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eyenda" sheetId="1" state="visible" r:id="rId3"/>
    <sheet name="01_Auditoria_v0.2" sheetId="2" state="visible" r:id="rId4"/>
    <sheet name="02_Supuestos" sheetId="3" state="visible" r:id="rId5"/>
    <sheet name="03_Precios_Proveedor" sheetId="4" state="visible" r:id="rId6"/>
    <sheet name="04_Equipo" sheetId="5" state="visible" r:id="rId7"/>
    <sheet name="05_CapaA_Implementacion" sheetId="6" state="visible" r:id="rId8"/>
    <sheet name="06_CapaB_Operacion" sheetId="7" state="visible" r:id="rId9"/>
    <sheet name="07_CapaC_Variable" sheetId="8" state="visible" r:id="rId10"/>
    <sheet name="08_CapaD_Transferencia_TCO" sheetId="9" state="visible" r:id="rId11"/>
    <sheet name="09_Escenarios" sheetId="10" state="visible" r:id="rId12"/>
    <sheet name="10_Matriz_Economica" sheetId="11" state="visible" r:id="rId13"/>
    <sheet name="11_Precios" sheetId="12" state="visible" r:id="rId14"/>
    <sheet name="12_Sensibilidad" sheetId="13" state="visible" r:id="rId15"/>
    <sheet name="13_Reconciliacion_CL" sheetId="14" state="visible" r:id="rId16"/>
    <sheet name="14_Riesgo_Contingencia" sheetId="15" state="visible" r:id="rId17"/>
    <sheet name="15_Flujo_Caj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<sst xmlns="http://schemas.openxmlformats.org/spreadsheetml/2006/main" count="1277" uniqueCount="884">
  <si>
    <t xml:space="preserve">AURENA AI · Modelo de costos y TCO v0.3 — IPA PR10598 «Una Visa por un Sueño»</t>
  </si>
  <si>
    <t xml:space="preserve">USO INTERNO · BORRADOR v0.3 · NO APROBADO · Preparado por Juan Pablo Pérez Mejía para la reunión interna Aurena–Campus Lands del 28 de julio de 2026. No es la oferta económica. No constituye asesoría legal ni tributaria.</t>
  </si>
  <si>
    <t xml:space="preserve">Concepto</t>
  </si>
  <si>
    <t xml:space="preserve">Detalle</t>
  </si>
  <si>
    <t xml:space="preserve">Proyecto</t>
  </si>
  <si>
    <t xml:space="preserve">IPA PR10598 · «Una Visa por un Sueño»</t>
  </si>
  <si>
    <t xml:space="preserve">Documento</t>
  </si>
  <si>
    <t xml:space="preserve">Modelo de costos y TCO v0.3 (reconstruido con la Enmienda No. 1 y el Q&amp;A del 27-jul-2026)</t>
  </si>
  <si>
    <t xml:space="preserve">Estado</t>
  </si>
  <si>
    <t xml:space="preserve">BORRADOR v0.3 · no aprobado</t>
  </si>
  <si>
    <t xml:space="preserve">Fecha</t>
  </si>
  <si>
    <t xml:space="preserve">28 de julio de 2026</t>
  </si>
  <si>
    <t xml:space="preserve">Responsable</t>
  </si>
  <si>
    <t xml:space="preserve">Juan Pablo Pérez Mejía · Aurena AI</t>
  </si>
  <si>
    <t xml:space="preserve">Fuentes controlantes</t>
  </si>
  <si>
    <t xml:space="preserve">RFP PR10598 (21-jul-2026, 37 pág.) · Enmienda No. 1 · Documento de Aclaraciones Q&amp;A (27-jul-2026, P1–P66)</t>
  </si>
  <si>
    <t xml:space="preserve">Sustituye a</t>
  </si>
  <si>
    <t xml:space="preserve">Modelo de costos v0.2 del 22-jul-2026. v0.2 se conserva sin modificación.</t>
  </si>
  <si>
    <t xml:space="preserve">TRM de evaluación</t>
  </si>
  <si>
    <t xml:space="preserve">COP 3.350 por USD — exclusivamente para la evaluación económica (RFP p.35)</t>
  </si>
  <si>
    <t xml:space="preserve">Confidencialidad</t>
  </si>
  <si>
    <t xml:space="preserve">Confidencial · Aurena AI × Campus Lands · uso interno</t>
  </si>
  <si>
    <t xml:space="preserve">Cómo usar este libro</t>
  </si>
  <si>
    <t xml:space="preserve">Regla</t>
  </si>
  <si>
    <t xml:space="preserve">Celdas editables</t>
  </si>
  <si>
    <t xml:space="preserve">Solo las celdas con FONDO BEIGE de la hoja 02_Supuestos. Todo lo demás son fórmulas.</t>
  </si>
  <si>
    <t xml:space="preserve">Escenarios</t>
  </si>
  <si>
    <t xml:space="preserve">Bajo / Base / Alto se calculan en paralelo en las hojas 06, 07 y 09. No hay una cifra única escondida.</t>
  </si>
  <si>
    <t xml:space="preserve">Anti doble conteo</t>
  </si>
  <si>
    <t xml:space="preserve">Cada rubro vive en UNA sola capa. La hoja 10 marca el componente del formulario del RFP al que pertenece.</t>
  </si>
  <si>
    <t xml:space="preserve">Trazabilidad</t>
  </si>
  <si>
    <t xml:space="preserve">Cada precio de proveedor tiene fuente, fecha de consulta y clasificación en la hoja 03.</t>
  </si>
  <si>
    <t xml:space="preserve">Qué NO contiene</t>
  </si>
  <si>
    <t xml:space="preserve">No contiene la estimación de Héctor. La hoja 13 está preparada para recibirla y compararla.</t>
  </si>
  <si>
    <t xml:space="preserve">Leyenda de clasificación de fuentes</t>
  </si>
  <si>
    <t xml:space="preserve">Marcador</t>
  </si>
  <si>
    <t xml:space="preserve">Significado</t>
  </si>
  <si>
    <t xml:space="preserve">[CONFIRMADO POR RFP]</t>
  </si>
  <si>
    <t xml:space="preserve">Obligación o dato expreso del RFP o de la Enmienda / Q&amp;A, con referencia verificada.</t>
  </si>
  <si>
    <t xml:space="preserve">[PRECIO OFICIAL]</t>
  </si>
  <si>
    <t xml:space="preserve">Tomado de la página oficial del proveedor en la fecha indicada.</t>
  </si>
  <si>
    <t xml:space="preserve">[ESTIMADO]</t>
  </si>
  <si>
    <t xml:space="preserve">Cifra de orden de magnitud construida con fuentes secundarias o cálculo propio.</t>
  </si>
  <si>
    <t xml:space="preserve">[SUPUESTO]</t>
  </si>
  <si>
    <t xml:space="preserve">Decisión de trabajo de Aurena. Debe declararse en la propuesta si afecta el precio.</t>
  </si>
  <si>
    <t xml:space="preserve">[VALIDACIÓN INSUFICIENTE]</t>
  </si>
  <si>
    <t xml:space="preserve">No hay evidencia suficiente. No usar como si fuera un hecho.</t>
  </si>
  <si>
    <t xml:space="preserve">[DECISIÓN JP–HÉCTOR]</t>
  </si>
  <si>
    <t xml:space="preserve">Debe cerrarse en la reunión antes de fijar precio.</t>
  </si>
  <si>
    <t xml:space="preserve">1. Auditoría del modelo v0.2 frente al RFP enmendado</t>
  </si>
  <si>
    <t xml:space="preserve">No se aceptan los totales de v0.2. La aritmética de v0.2 es correcta; lo que cambió son los insumos. Se listan solo los hallazgos con efecto económico real.</t>
  </si>
  <si>
    <t xml:space="preserve">Hallazgo</t>
  </si>
  <si>
    <t xml:space="preserve">Tipo</t>
  </si>
  <si>
    <t xml:space="preserve">Qué decía v0.2</t>
  </si>
  <si>
    <t xml:space="preserve">Corrección en v0.3</t>
  </si>
  <si>
    <t xml:space="preserve">Efecto USD</t>
  </si>
  <si>
    <t xml:space="preserve">Volumen de consultas</t>
  </si>
  <si>
    <t xml:space="preserve">Obsoleto</t>
  </si>
  <si>
    <t xml:space="preserve">6 consultas por usuario y SEMANA → 38.400 consultas totales. Supuesto propio, no declarado por IPA.</t>
  </si>
  <si>
    <t xml:space="preserve">Q&amp;A P5: 12–18 consultas por usuario DURANTE LAS 8 SEMANAS, valor de planeación 14 → 11.200 consultas. Queda resuelto: no es semanal.</t>
  </si>
  <si>
    <t xml:space="preserve">−67% volumen</t>
  </si>
  <si>
    <t xml:space="preserve">Mensajes salientes</t>
  </si>
  <si>
    <t xml:space="preserve">16.000 mensajes salientes.</t>
  </si>
  <si>
    <t xml:space="preserve">Q&amp;A P60 y Enmienda: 12.800 (≈16 por usuario × 800). La cifra de 16.000 correspondía a 1.000 usuarios.</t>
  </si>
  <si>
    <t xml:space="preserve">−20% mensajes</t>
  </si>
  <si>
    <t xml:space="preserve">Tasa de derivación al canal humano</t>
  </si>
  <si>
    <t xml:space="preserve">Supuesto oculto</t>
  </si>
  <si>
    <t xml:space="preserve">20 derivaciones/día en bolsa fija, sin declarar la tasa. Equivale al 2,1% de las consultas.</t>
  </si>
  <si>
    <t xml:space="preserve">Se hace explícita: 8% / 15% / 25%. Con 11.200 consultas el escenario base son 42/día, no 20.</t>
  </si>
  <si>
    <t xml:space="preserve">+5.500 (base)</t>
  </si>
  <si>
    <t xml:space="preserve">Precio del modelo de lenguaje</t>
  </si>
  <si>
    <t xml:space="preserve">No verificado</t>
  </si>
  <si>
    <t xml:space="preserve">USD 0,02 por consulta, 'gama media', marcado [VALIDAR CON PROVEEDOR].</t>
  </si>
  <si>
    <t xml:space="preserve">Tarifa oficial Anthropic. Sonnet 5 estándar desde 1-sep-2026: USD 3 entrada / 15 salida por MTok; lectura de caché 0,1×. Con caché, USD 0,0356 por consulta.</t>
  </si>
  <si>
    <t xml:space="preserve">precio real</t>
  </si>
  <si>
    <t xml:space="preserve">Tarifa introductoria del modelo</t>
  </si>
  <si>
    <t xml:space="preserve">Omitido</t>
  </si>
  <si>
    <t xml:space="preserve">No contempla que la tarifa introductoria de Sonnet 5 (USD 2/10) vence el 31-ago-2026.</t>
  </si>
  <si>
    <t xml:space="preserve">El contrato arranca después. Se modela con la tarifa ESTÁNDAR USD 3/15. Usar la introductoria sería subcotizar.</t>
  </si>
  <si>
    <t xml:space="preserve">+50% tokens</t>
  </si>
  <si>
    <t xml:space="preserve">Mensajes de servicio de WhatsApp</t>
  </si>
  <si>
    <t xml:space="preserve">OMITIDO — material</t>
  </si>
  <si>
    <t xml:space="preserve">Asume 38.400 mensajes entrantes y en ventana a USD 0.</t>
  </si>
  <si>
    <t xml:space="preserve">Meta cobrará TODOS los mensajes de servicio desde el 1-oct-2026, a la tarifa de utility del mercado. El contrato opera después de esa fecha.</t>
  </si>
  <si>
    <t xml:space="preserve">nueva línea</t>
  </si>
  <si>
    <t xml:space="preserve">Cuenta y número de WhatsApp</t>
  </si>
  <si>
    <t xml:space="preserve">OMITIDO</t>
  </si>
  <si>
    <t xml:space="preserve">No costea la provisión ni la verificación de la cuenta.</t>
  </si>
  <si>
    <t xml:space="preserve">Q&amp;A P8 / Mod. 3: la cuenta y el número los gestiona el proveedor y se transfieren al final. Nuevo paquete P-25 y P-28.</t>
  </si>
  <si>
    <t xml:space="preserve">+3.500</t>
  </si>
  <si>
    <t xml:space="preserve">Notificación 24/7 de casos sensibles</t>
  </si>
  <si>
    <t xml:space="preserve">Trata la alerta de 15 minutos como funcionalidad, sin costo de disponibilidad.</t>
  </si>
  <si>
    <t xml:space="preserve">Q&amp;A P7: 24/7 explícito, por WhatsApp Y correo. Se añaden P-26 (vía redundante) y una guardia con estipendio.</t>
  </si>
  <si>
    <t xml:space="preserve">Soporte, monitoreo y coordinación durante la operación</t>
  </si>
  <si>
    <t xml:space="preserve">Subcosteado</t>
  </si>
  <si>
    <t xml:space="preserve">Embebidos dentro de paquetes de construcción (P-17, P-22).</t>
  </si>
  <si>
    <t xml:space="preserve">Se separan y se llevan a la Capa B como costo de operación: 0,25 FTE DevOps y 0,20 FTE PM durante 4 meses.</t>
  </si>
  <si>
    <t xml:space="preserve">+5.100 neto</t>
  </si>
  <si>
    <t xml:space="preserve">Base de cálculo de las pólizas</t>
  </si>
  <si>
    <t xml:space="preserve">Error de base</t>
  </si>
  <si>
    <t xml:space="preserve">Prima calculada sobre el valor USD antes de IVA.</t>
  </si>
  <si>
    <t xml:space="preserve">Q&amp;A P18: las pólizas se calculan sobre el valor total del contrato INCLUYENDO impuestos. La base sube 19%.</t>
  </si>
  <si>
    <t xml:space="preserve">+19% prima</t>
  </si>
  <si>
    <t xml:space="preserve">Soporte de estabilización</t>
  </si>
  <si>
    <t xml:space="preserve">Clasificación</t>
  </si>
  <si>
    <t xml:space="preserve">Dentro de la Capa de implementación (P-24).</t>
  </si>
  <si>
    <t xml:space="preserve">Q&amp;A P64: ocurre DESPUÉS de los 120 días. Se reclasifica a Capa D / componente 4 del formulario.</t>
  </si>
  <si>
    <t xml:space="preserve">reclasificado</t>
  </si>
  <si>
    <t xml:space="preserve">Estructura del formulario económico</t>
  </si>
  <si>
    <t xml:space="preserve">Recurrente por usuario y por mes.</t>
  </si>
  <si>
    <t xml:space="preserve">Q&amp;A P15 y P16: componente 2 = valor GLOBAL del periodo; componente 3 = por usuario × 800 × volumen del escenario. Ningún rubro en ambos.</t>
  </si>
  <si>
    <t xml:space="preserve">estructura</t>
  </si>
  <si>
    <t xml:space="preserve">Tokenizador de modelos recientes</t>
  </si>
  <si>
    <t xml:space="preserve">Riesgo no visto</t>
  </si>
  <si>
    <t xml:space="preserve">No se menciona.</t>
  </si>
  <si>
    <t xml:space="preserve">Los modelos 4.7 en adelante usan un tokenizador que produce ~30% más tokens para el mismo texto. Los supuestos del RFP (20.200/8.200) son obligatorios para cotizar, pero el consumo real puede ser mayor.</t>
  </si>
  <si>
    <t xml:space="preserve">riesgo</t>
  </si>
  <si>
    <t xml:space="preserve">Aritmética de v0.2</t>
  </si>
  <si>
    <t xml:space="preserve">Válido</t>
  </si>
  <si>
    <t xml:space="preserve">IVA, conversión a COP y sumas.</t>
  </si>
  <si>
    <t xml:space="preserve">Verificadas de nuevo. Correctas. El problema nunca fue la aritmética.</t>
  </si>
  <si>
    <t xml:space="preserve">sin cambio</t>
  </si>
  <si>
    <t xml:space="preserve">Contingencia derivada de riesgos</t>
  </si>
  <si>
    <t xml:space="preserve">Válido y ampliado</t>
  </si>
  <si>
    <t xml:space="preserve">Siete riesgos, valor esperado USD 12.400.</t>
  </si>
  <si>
    <t xml:space="preserve">Se conserva el método y se amplía a diez riesgos con los nuevos del canal y de Meta.</t>
  </si>
  <si>
    <t xml:space="preserve">+1.751</t>
  </si>
  <si>
    <t xml:space="preserve">2. Supuestos centrales</t>
  </si>
  <si>
    <t xml:space="preserve">Las celdas con fondo beige son las ÚNICAS editables del libro. Todo lo demás se recalcula.</t>
  </si>
  <si>
    <t xml:space="preserve">Parámetro</t>
  </si>
  <si>
    <t xml:space="preserve">Bajo</t>
  </si>
  <si>
    <t xml:space="preserve">Base</t>
  </si>
  <si>
    <t xml:space="preserve">Alto</t>
  </si>
  <si>
    <t xml:space="preserve">Unidad</t>
  </si>
  <si>
    <t xml:space="preserve">Origen y clasificación</t>
  </si>
  <si>
    <t xml:space="preserve">Usuarios del despliegue</t>
  </si>
  <si>
    <t xml:space="preserve">usuarios</t>
  </si>
  <si>
    <t xml:space="preserve">[CONFIRMADO POR RFP] §11.1.2 p.22; §11.3 p.30. Q&amp;A P59: la base se mantiene constante.</t>
  </si>
  <si>
    <t xml:space="preserve">Usuarios del piloto</t>
  </si>
  <si>
    <t xml:space="preserve">[CONFIRMADO POR RFP] §11.1.4 tarea 6, p.26.</t>
  </si>
  <si>
    <t xml:space="preserve">Consultas entrantes por usuario (8 semanas)</t>
  </si>
  <si>
    <t xml:space="preserve">consultas</t>
  </si>
  <si>
    <t xml:space="preserve">[CONFIRMADO POR RFP] Q&amp;A P5: rango 12–18 durante las 8 semanas, valor de planeación 14. RESUELVE la ambigüedad de si eran semanales.</t>
  </si>
  <si>
    <t xml:space="preserve">Mensajes salientes programados</t>
  </si>
  <si>
    <t xml:space="preserve">mensajes</t>
  </si>
  <si>
    <t xml:space="preserve">[CONFIRMADO POR RFP] Q&amp;A P60 + Enmienda Mod. 2. ≈16 por usuario, distribución no uniforme.</t>
  </si>
  <si>
    <t xml:space="preserve">Turnos salientes del agente por consulta</t>
  </si>
  <si>
    <t xml:space="preserve">[SUPUESTO] Una consulta puede resolverse con texto + imagen o vídeo. Determina el conteo de mensajes de servicio.</t>
  </si>
  <si>
    <t xml:space="preserve">Tasa de acierto de caché de prompt</t>
  </si>
  <si>
    <t xml:space="preserve">%</t>
  </si>
  <si>
    <t xml:space="preserve">[SUPUESTO] Caché de 5 minutos. Mayor volumen ⇒ mejor localidad temporal. Ver hoja 12 para la alternativa de 1 hora.</t>
  </si>
  <si>
    <t xml:space="preserve">[SUPUESTO CRÍTICO] Q&amp;A P6 sólo dice «una fracción menor». Es la variable de mayor apalancamiento del modelo. DEBE declararse en la propuesta.</t>
  </si>
  <si>
    <t xml:space="preserve">Meses de operación en el componente 2</t>
  </si>
  <si>
    <t xml:space="preserve">meses</t>
  </si>
  <si>
    <t xml:space="preserve">[SUPUESTO] 120 días de contrato + 30 de soporte posterior. Q&amp;A P64 confirma que el soporte queda FUERA de los 4 meses.</t>
  </si>
  <si>
    <t xml:space="preserve">Meses de canal humano con dotación plena</t>
  </si>
  <si>
    <t xml:space="preserve">[SUPUESTO] Piloto ligero + 8 semanas de intervención + cola.</t>
  </si>
  <si>
    <t xml:space="preserve">Almacenamiento acumulado</t>
  </si>
  <si>
    <t xml:space="preserve">GB</t>
  </si>
  <si>
    <t xml:space="preserve">[SUPUESTO] Registros de conversación, medios versionados y copias.</t>
  </si>
  <si>
    <t xml:space="preserve">Parámetros comunes (no dependen del escenario)</t>
  </si>
  <si>
    <t xml:space="preserve">Valor</t>
  </si>
  <si>
    <t xml:space="preserve">COP/USD</t>
  </si>
  <si>
    <t xml:space="preserve">[CONFIRMADO POR RFP] p.35, sólo para evaluación económica.</t>
  </si>
  <si>
    <t xml:space="preserve">Tarifa IVA</t>
  </si>
  <si>
    <t xml:space="preserve">[SUPUESTO] [PENDIENTE CONTADOR] Tarifa general; confirmar aplicabilidad al objeto.</t>
  </si>
  <si>
    <t xml:space="preserve">Factor prestacional</t>
  </si>
  <si>
    <t xml:space="preserve">×</t>
  </si>
  <si>
    <t xml:space="preserve">[VALIDADO POR DOS FUENTES] buk 2026 (38–58%) y hacecuentas 2026 (~52%).</t>
  </si>
  <si>
    <t xml:space="preserve">Semanas por mes</t>
  </si>
  <si>
    <t xml:space="preserve">semanas</t>
  </si>
  <si>
    <t xml:space="preserve">[CÁLCULO]</t>
  </si>
  <si>
    <t xml:space="preserve">Overhead sobre costo directo</t>
  </si>
  <si>
    <t xml:space="preserve">[SUPUESTO] Administración, equipos, software y tiempo no facturable.</t>
  </si>
  <si>
    <t xml:space="preserve">Valor asegurado de las pólizas</t>
  </si>
  <si>
    <t xml:space="preserve">× contrato</t>
  </si>
  <si>
    <t xml:space="preserve">[CONFIRMADO POR RFP] §4.2 p.8-9: cumplimiento 30% + calidad 30% + salarios 10%.</t>
  </si>
  <si>
    <t xml:space="preserve">Tasa de prima de pólizas</t>
  </si>
  <si>
    <t xml:space="preserve">[VALIDACIÓN INSUFICIENTE] Marcador. Requiere cotización real. La póliza de salarios rige 3 años.</t>
  </si>
  <si>
    <t xml:space="preserve">× pre-IVA</t>
  </si>
  <si>
    <t xml:space="preserve">[CONFIRMADO POR RFP] Q&amp;A P18: se calculan sobre el valor total del contrato INCLUYENDO impuestos.</t>
  </si>
  <si>
    <t xml:space="preserve">Días hábiles de la intervención</t>
  </si>
  <si>
    <t xml:space="preserve">días</t>
  </si>
  <si>
    <t xml:space="preserve">[CÁLCULO] 8 semanas × 5 días. Q&amp;A P6: lunes a viernes, 8:00–17:00, sin festivos.</t>
  </si>
  <si>
    <t xml:space="preserve">Minutos por caso derivado</t>
  </si>
  <si>
    <t xml:space="preserve">minutos</t>
  </si>
  <si>
    <t xml:space="preserve">[SUPUESTO] Lectura, verificación contra contenido validado, redacción y registro.</t>
  </si>
  <si>
    <t xml:space="preserve">Horas productivas por jornada</t>
  </si>
  <si>
    <t xml:space="preserve">horas</t>
  </si>
  <si>
    <t xml:space="preserve">[SUPUESTO] Sobre una jornada de 9 horas.</t>
  </si>
  <si>
    <t xml:space="preserve">Tokens estáticos por consulta (cacheables)</t>
  </si>
  <si>
    <t xml:space="preserve">tokens</t>
  </si>
  <si>
    <t xml:space="preserve">[CONFIRMADO POR RFP] p.31: instrucciones 3.000 + herramientas 1.200 + base de conocimiento 14.000.</t>
  </si>
  <si>
    <t xml:space="preserve">Tokens dinámicos por consulta</t>
  </si>
  <si>
    <t xml:space="preserve">[CONFIRMADO POR RFP] p.31: historial ~2.000 + pregunta ~40. Total entrada ≈20.200.</t>
  </si>
  <si>
    <t xml:space="preserve">Tokens de salida por consulta</t>
  </si>
  <si>
    <t xml:space="preserve">[CONFIRMADO POR RFP] p.31.</t>
  </si>
  <si>
    <t xml:space="preserve">Tokens estáticos bajo RAG</t>
  </si>
  <si>
    <t xml:space="preserve">[CÁLCULO] Sólo instrucciones y herramientas son estables; el fragmento recuperado varía.</t>
  </si>
  <si>
    <t xml:space="preserve">Tokens dinámicos bajo RAG</t>
  </si>
  <si>
    <t xml:space="preserve">[CÁLCULO] Fragmento 2.000 + historial 2.000. Total entrada ≈8.200 (RFP p.31).</t>
  </si>
  <si>
    <t xml:space="preserve">3. Investigación de precios de proveedor</t>
  </si>
  <si>
    <t xml:space="preserve">Investigación acotada, sólo para validar costos tecnológicos. Consultada el 28 de julio de 2026. Se priorizó documentación oficial del proveedor.</t>
  </si>
  <si>
    <t xml:space="preserve">Proveedor</t>
  </si>
  <si>
    <t xml:space="preserve">Servicio</t>
  </si>
  <si>
    <t xml:space="preserve">Unidad de cobro</t>
  </si>
  <si>
    <t xml:space="preserve">Precio</t>
  </si>
  <si>
    <t xml:space="preserve">Moneda</t>
  </si>
  <si>
    <t xml:space="preserve">Fecha consulta</t>
  </si>
  <si>
    <t xml:space="preserve">Enlace o referencia</t>
  </si>
  <si>
    <t xml:space="preserve">Mínimos, escalones o costos ocultos</t>
  </si>
  <si>
    <t xml:space="preserve">Anthropic</t>
  </si>
  <si>
    <t xml:space="preserve">Claude Sonnet 5 — tokens de entrada</t>
  </si>
  <si>
    <t xml:space="preserve">por millón de tokens</t>
  </si>
  <si>
    <t xml:space="preserve">USD</t>
  </si>
  <si>
    <t xml:space="preserve">2026-07-28</t>
  </si>
  <si>
    <t xml:space="preserve">platform.claude.com/docs/en/about-claude/pricing</t>
  </si>
  <si>
    <t xml:space="preserve">Tarifa introductoria USD 2 vence el 31-ago-2026. Desde el 1-sep-2026 rige USD 3. El contrato opera después.</t>
  </si>
  <si>
    <t xml:space="preserve">Claude Sonnet 5 — tokens de salida</t>
  </si>
  <si>
    <t xml:space="preserve">Introductoria USD 10 hasta el 31-ago-2026.</t>
  </si>
  <si>
    <t xml:space="preserve">Escritura de caché de 5 minutos</t>
  </si>
  <si>
    <t xml:space="preserve">1,25× la entrada base. Se paga al almacenar.</t>
  </si>
  <si>
    <t xml:space="preserve">Escritura de caché de 1 hora</t>
  </si>
  <si>
    <t xml:space="preserve">2× la entrada base. Rentable a partir de dos lecturas.</t>
  </si>
  <si>
    <t xml:space="preserve">Lectura de caché (acierto)</t>
  </si>
  <si>
    <t xml:space="preserve">0,1× la entrada base. Es la palanca principal de costo del componente 3.</t>
  </si>
  <si>
    <t xml:space="preserve">Claude Haiku 4.5 — entrada / salida</t>
  </si>
  <si>
    <t xml:space="preserve">USD 1 entrada / USD 5 salida. Alternativa para clasificación y etiquetado, no para la respuesta al participante.</t>
  </si>
  <si>
    <t xml:space="preserve">Residencia de datos sólo EE. UU.</t>
  </si>
  <si>
    <t xml:space="preserve">multiplicador</t>
  </si>
  <si>
    <t xml:space="preserve">Si el DPA obligara a inferencia sólo en EE. UU., todo el token pricing sube 10%.</t>
  </si>
  <si>
    <t xml:space="preserve">Meta</t>
  </si>
  <si>
    <t xml:space="preserve">Plantilla saliente UTILITY — Colombia</t>
  </si>
  <si>
    <t xml:space="preserve">por mensaje entregado</t>
  </si>
  <si>
    <t xml:space="preserve">developers.facebook.com/documentation/business-messaging/whatsapp/pricing</t>
  </si>
  <si>
    <t xml:space="preserve">Colombia es de los mercados más baratos. Meta subió utility y auth para Colombia el 1-oct-2025. Confirmar en el rate card CSV oficial.</t>
  </si>
  <si>
    <t xml:space="preserve">Plantilla saliente MARKETING — Colombia</t>
  </si>
  <si>
    <t xml:space="preserve">[ESTIMADO — RIESGO]</t>
  </si>
  <si>
    <t xml:space="preserve">≈18× la tarifa utility. Si Meta clasifica el contenido semanal como marketing, la línea se multiplica. Ver riesgo R-04.</t>
  </si>
  <si>
    <t xml:space="preserve">Mensaje de SERVICIO (respuesta en ventana de 24 h)</t>
  </si>
  <si>
    <t xml:space="preserve">developers.facebook.com/documentation/business-messaging/whatsapp/pricing/non-template-messages</t>
  </si>
  <si>
    <t xml:space="preserve">[PRECIO OFICIAL — CAMBIO]</t>
  </si>
  <si>
    <t xml:space="preserve">GRATIS hasta el 30-sep-2026. Desde el 1-oct-2026 Meta cobra TODOS los mensajes de servicio a la tarifa de utility del mercado. Sin escalones por volumen. Tarifas definitivas se publican antes del 1-sep-2026.</t>
  </si>
  <si>
    <t xml:space="preserve">Mensajes entrantes del usuario</t>
  </si>
  <si>
    <t xml:space="preserve">por mensaje</t>
  </si>
  <si>
    <t xml:space="preserve">Meta no cobra los mensajes que el usuario envía al negocio.</t>
  </si>
  <si>
    <t xml:space="preserve">Límite de mensajería de portafolio nuevo</t>
  </si>
  <si>
    <t xml:space="preserve">destinatarios únicos / 24 h</t>
  </si>
  <si>
    <t xml:space="preserve">unid.</t>
  </si>
  <si>
    <t xml:space="preserve">developers.facebook.com/documentation/business-messaging/whatsapp/messaging-limits</t>
  </si>
  <si>
    <t xml:space="preserve">800 usuarios por envío NO caben en un día sin escalar el límite. Ruta crítica del cronograma, no sólo riesgo.</t>
  </si>
  <si>
    <t xml:space="preserve">AWS</t>
  </si>
  <si>
    <t xml:space="preserve">Fargate — vCPU</t>
  </si>
  <si>
    <t xml:space="preserve">por vCPU-hora</t>
  </si>
  <si>
    <t xml:space="preserve">aws.amazon.com (tarifa vigente 2026)</t>
  </si>
  <si>
    <t xml:space="preserve">Fargate Spot ~70% menos; no apto para producción de un ensayo.</t>
  </si>
  <si>
    <t xml:space="preserve">Fargate — memoria</t>
  </si>
  <si>
    <t xml:space="preserve">por GB-hora</t>
  </si>
  <si>
    <t xml:space="preserve">RDS PostgreSQL db.t4g.medium</t>
  </si>
  <si>
    <t xml:space="preserve">por hora</t>
  </si>
  <si>
    <t xml:space="preserve">aws.amazon.com/rds/postgresql/pricing</t>
  </si>
  <si>
    <t xml:space="preserve">Modo Unlimited: los créditos de CPU excedidos se cobran a USD 0,075 por vCPU-hora.</t>
  </si>
  <si>
    <t xml:space="preserve">ElastiCache cache.t4g.micro (Valkey)</t>
  </si>
  <si>
    <t xml:space="preserve">upstash.com/blog (recopilación de tarifas AWS, jul-2026)</t>
  </si>
  <si>
    <t xml:space="preserve">≈USD 9,34/mes. Valkey ~20% más barato que Redis OSS en nodos.</t>
  </si>
  <si>
    <t xml:space="preserve">Copias de seguridad RDS por encima del 100% del almacenamiento</t>
  </si>
  <si>
    <t xml:space="preserve">por GB-mes</t>
  </si>
  <si>
    <t xml:space="preserve">Hasta el 100% del almacenamiento provisionado es gratuito.</t>
  </si>
  <si>
    <t xml:space="preserve">Plomería por ambiente (ALB + NAT + CloudWatch)</t>
  </si>
  <si>
    <t xml:space="preserve">por ambiente-mes</t>
  </si>
  <si>
    <t xml:space="preserve">fortem.dev (análisis de costos Fargate 2026)</t>
  </si>
  <si>
    <t xml:space="preserve">Costo que no aparece en la calculadora de Fargate. Con 3 ambientes son ~USD 270/mes sólo de plomería.</t>
  </si>
  <si>
    <t xml:space="preserve">ADVERTENCIA DE VIGENCIA · Dos cambios de precio de proveedor caen DENTRO de la ventana del contrato: (1) la tarifa introductoria de Claude Sonnet 5 termina el 31-ago-2026; (2) Meta empieza a cobrar los mensajes de servicio el 1-oct-2026 y publicará las tarifas definitivas antes del 1-sep-2026. El modelo v0.2 no contemplaba ninguno de los dos. Cotizar con las tarifas de hoy sería subcotizar.</t>
  </si>
  <si>
    <t xml:space="preserve">4. Costo cargado por rol</t>
  </si>
  <si>
    <t xml:space="preserve">Salario base de mercado colombiano 2026 por seniority, cargado con factor prestacional. No es la tarifa de venta: es el costo para la empresa.</t>
  </si>
  <si>
    <t xml:space="preserve">Rol</t>
  </si>
  <si>
    <t xml:space="preserve">Salario COP/mes</t>
  </si>
  <si>
    <t xml:space="preserve">Factor</t>
  </si>
  <si>
    <t xml:space="preserve">Costo empresa COP/mes</t>
  </si>
  <si>
    <t xml:space="preserve">Costo USD/mes</t>
  </si>
  <si>
    <t xml:space="preserve">Costo USD/semana</t>
  </si>
  <si>
    <t xml:space="preserve">Fuente</t>
  </si>
  <si>
    <t xml:space="preserve">Arquitecto / líder técnico</t>
  </si>
  <si>
    <t xml:space="preserve">[VALIDADO POR DOS FUENTES] Coderhouse 2026 (bandas COP) + buk/hacecuentas 2026 (factor prestacional)</t>
  </si>
  <si>
    <t xml:space="preserve">Backend senior</t>
  </si>
  <si>
    <t xml:space="preserve">Backend semi-senior</t>
  </si>
  <si>
    <t xml:space="preserve">Ingeniero de IA / evaluación</t>
  </si>
  <si>
    <t xml:space="preserve">Frontend / panel</t>
  </si>
  <si>
    <t xml:space="preserve">DevOps / seguridad</t>
  </si>
  <si>
    <t xml:space="preserve">QA / evaluación</t>
  </si>
  <si>
    <t xml:space="preserve">UX</t>
  </si>
  <si>
    <t xml:space="preserve">Agente del canal humano</t>
  </si>
  <si>
    <t xml:space="preserve">Supervisor del canal humano</t>
  </si>
  <si>
    <t xml:space="preserve">PM / coordinación</t>
  </si>
  <si>
    <t xml:space="preserve">5. CAPA A — Implementación y desarrollo (pago único) · Componente 1 del formulario</t>
  </si>
  <si>
    <t xml:space="preserve">Esfuerzo de construcción. NO incluye la operación durante el contrato (Capa B) ni la transferencia (Capa D). Se conservan los identificadores P-xx de v0.2; los P-25 a P-27 son nuevos por la Enmienda.</t>
  </si>
  <si>
    <t xml:space="preserve">ID</t>
  </si>
  <si>
    <t xml:space="preserve">Paquete</t>
  </si>
  <si>
    <t xml:space="preserve">Persona-sem</t>
  </si>
  <si>
    <t xml:space="preserve">Costo USD</t>
  </si>
  <si>
    <t xml:space="preserve">Componente RFP</t>
  </si>
  <si>
    <t xml:space="preserve">Nota / cambio frente a v0.2</t>
  </si>
  <si>
    <t xml:space="preserve">P-01</t>
  </si>
  <si>
    <t xml:space="preserve">Descubrimiento técnico, readiness y línea base funcional conjunta</t>
  </si>
  <si>
    <t xml:space="preserve">1.1</t>
  </si>
  <si>
    <t xml:space="preserve">Q&amp;A P40–P42: la fase de levantamiento está dentro de los 4 meses y cierra con acta aprobada por IPA.</t>
  </si>
  <si>
    <t xml:space="preserve">P-02</t>
  </si>
  <si>
    <t xml:space="preserve">Arquitectura y tres ambientes</t>
  </si>
  <si>
    <t xml:space="preserve">P-03</t>
  </si>
  <si>
    <t xml:space="preserve">Integración WhatsApp (Cloud API)</t>
  </si>
  <si>
    <t xml:space="preserve">1.3</t>
  </si>
  <si>
    <t xml:space="preserve">P-04</t>
  </si>
  <si>
    <t xml:space="preserve">Plantillas y campañas, escalonamiento por límites</t>
  </si>
  <si>
    <t xml:space="preserve">1.6</t>
  </si>
  <si>
    <t xml:space="preserve">Ruta crítica: 800 destinatarios no caben en un día con portafolio nuevo.</t>
  </si>
  <si>
    <t xml:space="preserve">P-05</t>
  </si>
  <si>
    <t xml:space="preserve">Base de conocimiento: ingesta, versionado y publicación</t>
  </si>
  <si>
    <t xml:space="preserve">1.5</t>
  </si>
  <si>
    <t xml:space="preserve">Q&amp;A P24: IPA entrega documentos guía; el proveedor los estructura.</t>
  </si>
  <si>
    <t xml:space="preserve">P-06</t>
  </si>
  <si>
    <t xml:space="preserve">Recuperación y grounding, prueba comparativa</t>
  </si>
  <si>
    <t xml:space="preserve">1.4</t>
  </si>
  <si>
    <t xml:space="preserve">Ver hoja 12: la diferencia económica entre KB completa y RAG es marginal.</t>
  </si>
  <si>
    <t xml:space="preserve">P-07</t>
  </si>
  <si>
    <t xml:space="preserve">Orquestación del agente</t>
  </si>
  <si>
    <t xml:space="preserve">1.2</t>
  </si>
  <si>
    <t xml:space="preserve">P-08</t>
  </si>
  <si>
    <t xml:space="preserve">Guardrails, rechazo seguro y cortafuegos de asesoría legal</t>
  </si>
  <si>
    <t xml:space="preserve">P-09</t>
  </si>
  <si>
    <t xml:space="preserve">Versionado e integridad del ensayo (manifiesto de release)</t>
  </si>
  <si>
    <t xml:space="preserve">P-10</t>
  </si>
  <si>
    <t xml:space="preserve">Registro, auditoría y exportación estructurada</t>
  </si>
  <si>
    <t xml:space="preserve">1.8</t>
  </si>
  <si>
    <t xml:space="preserve">P-11</t>
  </si>
  <si>
    <t xml:space="preserve">Biblioteca multimedia versionada</t>
  </si>
  <si>
    <t xml:space="preserve">Q&amp;A P23: IPA prefiere archivos alojados, no enlaces.</t>
  </si>
  <si>
    <t xml:space="preserve">P-12</t>
  </si>
  <si>
    <t xml:space="preserve">Panel mínimo de administración</t>
  </si>
  <si>
    <t xml:space="preserve">Acotado: aprobación de releases y base, cola manual y exportación.</t>
  </si>
  <si>
    <t xml:space="preserve">P-13</t>
  </si>
  <si>
    <t xml:space="preserve">Clasificación de casos sensibles y alertas</t>
  </si>
  <si>
    <t xml:space="preserve">Q&amp;A P9: IPA comparte y valida la base de clasificación.</t>
  </si>
  <si>
    <t xml:space="preserve">P-14</t>
  </si>
  <si>
    <t xml:space="preserve">Arnés de evaluación y medición de precisión</t>
  </si>
  <si>
    <t xml:space="preserve">1.10</t>
  </si>
  <si>
    <t xml:space="preserve">Q&amp;A P50: conjunto de 50–150 preguntas con clave validada por IPA.</t>
  </si>
  <si>
    <t xml:space="preserve">P-15</t>
  </si>
  <si>
    <t xml:space="preserve">UX y accesibilidad para baja alfabetización</t>
  </si>
  <si>
    <t xml:space="preserve">1.7</t>
  </si>
  <si>
    <t xml:space="preserve">P-16</t>
  </si>
  <si>
    <t xml:space="preserve">Seguridad y privacidad técnica</t>
  </si>
  <si>
    <t xml:space="preserve">1.9</t>
  </si>
  <si>
    <t xml:space="preserve">Q&amp;A P21: sin prohibición absoluta de residencia, pero hay que especificar subprocesadores.</t>
  </si>
  <si>
    <t xml:space="preserve">P-17</t>
  </si>
  <si>
    <t xml:space="preserve">Observabilidad — CONSTRUCCIÓN de las cuatro capas</t>
  </si>
  <si>
    <t xml:space="preserve">RECLASIFICADO: v0.2 mezclaba construcción y operación. La operación pasa a la Capa B.</t>
  </si>
  <si>
    <t xml:space="preserve">P-18</t>
  </si>
  <si>
    <t xml:space="preserve">Piloto con ~10 usuarios</t>
  </si>
  <si>
    <t xml:space="preserve">Q&amp;A P53: ventana de remediación de 1–2 semanas si no se alcanza el umbral.</t>
  </si>
  <si>
    <t xml:space="preserve">P-19</t>
  </si>
  <si>
    <t xml:space="preserve">Preparación del despliegue y escalonamiento</t>
  </si>
  <si>
    <t xml:space="preserve">1.11</t>
  </si>
  <si>
    <t xml:space="preserve">P-22</t>
  </si>
  <si>
    <t xml:space="preserve">Gestión de proyecto y contrato — fase de construcción</t>
  </si>
  <si>
    <t xml:space="preserve">RECLASIFICADO: de 6 a 4 persona-semanas. Las 2 restantes pasan a coordinación operativa (Capa B).</t>
  </si>
  <si>
    <t xml:space="preserve">P-23</t>
  </si>
  <si>
    <t xml:space="preserve">Coordinación técnica Aurena–Campus Lands</t>
  </si>
  <si>
    <t xml:space="preserve">Sin este paquete la utilidad aparente está inflada.</t>
  </si>
  <si>
    <t xml:space="preserve">P-25</t>
  </si>
  <si>
    <t xml:space="preserve">Provisión de la cuenta de WhatsApp, verificación de negocio y escalado de límites</t>
  </si>
  <si>
    <t xml:space="preserve">NUEVO · Q&amp;A P8 / Mod. 3: la cuenta la gestiona el proveedor. Riesgo operativo trasladado a nosotros.</t>
  </si>
  <si>
    <t xml:space="preserve">P-26</t>
  </si>
  <si>
    <t xml:space="preserve">Vía redundante de notificación 24/7 y monitoreo de la propia vía</t>
  </si>
  <si>
    <t xml:space="preserve">NUEVO · Q&amp;A P7: 15 minutos, 24/7, por WhatsApp Y correo. Notificar fuera de ventana exige plantilla aprobada.</t>
  </si>
  <si>
    <t xml:space="preserve">P-27</t>
  </si>
  <si>
    <t xml:space="preserve">Inventario de PI preexistente y frontera de licenciamiento</t>
  </si>
  <si>
    <t xml:space="preserve">NUEVO · Q&amp;A P58 / Mod. 6: sin declarar qué es preexistente, todo se entiende producido bajo el contrato.</t>
  </si>
  <si>
    <t xml:space="preserve">SUBTOTAL PERSONAL — CAPA A</t>
  </si>
  <si>
    <t xml:space="preserve">Terceros asociados a la ejecución</t>
  </si>
  <si>
    <t xml:space="preserve">Nota</t>
  </si>
  <si>
    <t xml:space="preserve">T-01</t>
  </si>
  <si>
    <t xml:space="preserve">Legal — DPA, cesión de PI, revisión contractual</t>
  </si>
  <si>
    <t xml:space="preserve">[PENDIENTE ABOGADO] Q&amp;A P22 y P57: el modelo de contrato y el DPA no se conocen antes de la adjudicación.</t>
  </si>
  <si>
    <t xml:space="preserve">T-02</t>
  </si>
  <si>
    <t xml:space="preserve">Contable — IVA, retenciones, forma de facturación</t>
  </si>
  <si>
    <t xml:space="preserve">5</t>
  </si>
  <si>
    <t xml:space="preserve">[PENDIENTE CONTADOR]</t>
  </si>
  <si>
    <t xml:space="preserve">T-03</t>
  </si>
  <si>
    <t xml:space="preserve">Cámara de comercio, notarial y varios</t>
  </si>
  <si>
    <t xml:space="preserve">SUBTOTAL TERCEROS</t>
  </si>
  <si>
    <t xml:space="preserve">TOTAL CAPA A</t>
  </si>
  <si>
    <t xml:space="preserve">6. CAPA B — Operación fija durante el contrato · Componente 2 del formulario</t>
  </si>
  <si>
    <t xml:space="preserve">Costos que existen aunque el consumo sea bajo. La Enmienda (Q&amp;A P15) obliga a cotizar el componente 2 como VALOR GLOBAL del periodo, no por usuario. Consecuencia directa: si la derivación real supera nuestro supuesto, el sobrecosto es nuestro.</t>
  </si>
  <si>
    <t xml:space="preserve">6.1 Infraestructura — línea base sobria, 3 ambientes (USD/mes)</t>
  </si>
  <si>
    <t xml:space="preserve">USD/mes</t>
  </si>
  <si>
    <t xml:space="preserve">Ambiente</t>
  </si>
  <si>
    <t xml:space="preserve">Contenedores API + worker (2 × 0,5 vCPU / 1 GB)</t>
  </si>
  <si>
    <t xml:space="preserve">Producción</t>
  </si>
  <si>
    <t xml:space="preserve">Fargate 24/7. La hoja 12 valida que un contenedor cubre la carga con holgura.</t>
  </si>
  <si>
    <t xml:space="preserve">Balanceador de carga (ALB)</t>
  </si>
  <si>
    <t xml:space="preserve">PostgreSQL administrado (db.t4g.medium + 50 GB gp3)</t>
  </si>
  <si>
    <t xml:space="preserve">Caché y colas en memoria (cache.t4g.micro Valkey)</t>
  </si>
  <si>
    <t xml:space="preserve">Aporte de Héctor en la v0.3 técnica.</t>
  </si>
  <si>
    <t xml:space="preserve">NAT gateway y transferencia</t>
  </si>
  <si>
    <t xml:space="preserve">Observabilidad, métricas y logs</t>
  </si>
  <si>
    <t xml:space="preserve">Almacenamiento de objetos y copias de seguridad</t>
  </si>
  <si>
    <t xml:space="preserve">Gestor de secretos</t>
  </si>
  <si>
    <t xml:space="preserve">Preproducción con datos sintéticos</t>
  </si>
  <si>
    <t xml:space="preserve">Preproducción</t>
  </si>
  <si>
    <t xml:space="preserve">Dimensionado reducido.</t>
  </si>
  <si>
    <t xml:space="preserve">Desarrollo</t>
  </si>
  <si>
    <t xml:space="preserve">Subtotal infraestructura (USD/mes)</t>
  </si>
  <si>
    <t xml:space="preserve">Herramientas y licencias</t>
  </si>
  <si>
    <t xml:space="preserve">Repositorios y CI</t>
  </si>
  <si>
    <t xml:space="preserve">Rastreo de errores</t>
  </si>
  <si>
    <t xml:space="preserve">Monitoreo de disponibilidad</t>
  </si>
  <si>
    <t xml:space="preserve">Paginación / alertas on-call</t>
  </si>
  <si>
    <t xml:space="preserve">Necesario por el compromiso 24/7.</t>
  </si>
  <si>
    <t xml:space="preserve">Envío de correo transaccional</t>
  </si>
  <si>
    <t xml:space="preserve">Canal redundante de notificación a IPA.</t>
  </si>
  <si>
    <t xml:space="preserve">Subtotal herramientas (USD/mes)</t>
  </si>
  <si>
    <t xml:space="preserve">6.2 Canal humano no sensible — SLA 4 horas hábiles (Q&amp;A P6)</t>
  </si>
  <si>
    <t xml:space="preserve">Variable</t>
  </si>
  <si>
    <t xml:space="preserve">Fórmula / fuente</t>
  </si>
  <si>
    <t xml:space="preserve">Consultas totales</t>
  </si>
  <si>
    <t xml:space="preserve">usuarios × consultas por usuario</t>
  </si>
  <si>
    <t xml:space="preserve">Derivaciones totales</t>
  </si>
  <si>
    <t xml:space="preserve">casos</t>
  </si>
  <si>
    <t xml:space="preserve">consultas × tasa de derivación</t>
  </si>
  <si>
    <t xml:space="preserve">Derivaciones por día hábil</t>
  </si>
  <si>
    <t xml:space="preserve">casos/día</t>
  </si>
  <si>
    <t xml:space="preserve">Q&amp;A P6: 40 días hábiles en 8 semanas</t>
  </si>
  <si>
    <t xml:space="preserve">Horas de atención por día</t>
  </si>
  <si>
    <t xml:space="preserve">derivaciones × minutos por caso</t>
  </si>
  <si>
    <t xml:space="preserve">FTE agente requerido</t>
  </si>
  <si>
    <t xml:space="preserve">FTE</t>
  </si>
  <si>
    <t xml:space="preserve">horas ÷ horas productivas, redondeo a 0,25</t>
  </si>
  <si>
    <t xml:space="preserve">FTE supervisor</t>
  </si>
  <si>
    <t xml:space="preserve">escalona con el tamaño del equipo</t>
  </si>
  <si>
    <t xml:space="preserve">COSTO DEL CANAL HUMANO</t>
  </si>
  <si>
    <t xml:space="preserve">(costo agente × FTE + costo supervisor × FTE) × meses</t>
  </si>
  <si>
    <t xml:space="preserve">RIESGO PRINCIPAL DEL MODELO · Entre el escenario Bajo y el Alto el canal humano se multiplica por más de cinco. Como la Enmienda lo empuja al componente 2 (valor global fijo), toda la desviación la absorbe el proveedor. La tasa de derivación DEBE declararse como supuesto en la propuesta.</t>
  </si>
  <si>
    <t xml:space="preserve">6.3 Resto de la operación</t>
  </si>
  <si>
    <t xml:space="preserve">Fórmula / nota</t>
  </si>
  <si>
    <t xml:space="preserve">Infraestructura del periodo</t>
  </si>
  <si>
    <t xml:space="preserve">infraestructura mensual × meses de operación</t>
  </si>
  <si>
    <t xml:space="preserve">Herramientas y licencias del periodo</t>
  </si>
  <si>
    <t xml:space="preserve">herramientas mensuales × meses de operación</t>
  </si>
  <si>
    <t xml:space="preserve">Canal humano no sensible</t>
  </si>
  <si>
    <t xml:space="preserve">de la sección 6.2</t>
  </si>
  <si>
    <t xml:space="preserve">Guardia 24/7 de casos sensibles</t>
  </si>
  <si>
    <t xml:space="preserve">NUEVO · Q&amp;A P7. Dos ingenieros en rotación, estipendio COP 800.000/mes, 4 meses. La alerta es automática; lo que se paga es que la vía esté vigilada.</t>
  </si>
  <si>
    <t xml:space="preserve">Soporte técnico, monitoreo e incidentes</t>
  </si>
  <si>
    <t xml:space="preserve">0,25 FTE DevOps × 4 meses. Separado de P-17 para no duplicar.</t>
  </si>
  <si>
    <t xml:space="preserve">Coordinación operativa y reportes a IPA</t>
  </si>
  <si>
    <t xml:space="preserve">0,20 FTE PM × 4 meses. Incluye el reporte semanal de abandono (RT-26b).</t>
  </si>
  <si>
    <t xml:space="preserve">TOTAL CAPA B</t>
  </si>
  <si>
    <t xml:space="preserve">Costo mensual promedio de operación</t>
  </si>
  <si>
    <t xml:space="preserve">total ÷ meses de operación</t>
  </si>
  <si>
    <t xml:space="preserve">7. CAPA C — Costos variables por consumo · Componente 3 del formulario</t>
  </si>
  <si>
    <t xml:space="preserve">Sólo costos que cambian con el uso. Ningún salario, dirección de proyecto ni monitoreo humano entra aquí (Q&amp;A P16: ningún rubro puede aparecer en dos componentes).</t>
  </si>
  <si>
    <t xml:space="preserve">7.1 Costo del modelo de lenguaje por consulta</t>
  </si>
  <si>
    <t xml:space="preserve">Fórmula</t>
  </si>
  <si>
    <t xml:space="preserve">Consulta con ACIERTO de caché</t>
  </si>
  <si>
    <t xml:space="preserve">(estáticos×lectura de caché + dinámicos×entrada + salida×salida)/1e6</t>
  </si>
  <si>
    <t xml:space="preserve">Consulta con FALLO de caché (escritura 5 min)</t>
  </si>
  <si>
    <t xml:space="preserve">(estáticos×escritura + dinámicos×entrada + salida×salida)/1e6</t>
  </si>
  <si>
    <t xml:space="preserve">Consulta PONDERADA por tasa de acierto</t>
  </si>
  <si>
    <t xml:space="preserve">acierto×hit + (1−acierto)×miss</t>
  </si>
  <si>
    <t xml:space="preserve">Referencia: consulta SIN caché</t>
  </si>
  <si>
    <t xml:space="preserve">comparador</t>
  </si>
  <si>
    <t xml:space="preserve">Referencia: consulta con RAG y caché</t>
  </si>
  <si>
    <t xml:space="preserve">supuestos RAG del RFP (8.200 de entrada)</t>
  </si>
  <si>
    <t xml:space="preserve">Tarifa EFECTIVA de entrada con caché</t>
  </si>
  <si>
    <t xml:space="preserve">USD/MTok</t>
  </si>
  <si>
    <t xml:space="preserve">La caché reduce la entrada a la mitad frente a la tarifa de lista. Argumento para el formulario.</t>
  </si>
  <si>
    <t xml:space="preserve">7.2 Consumo del periodo</t>
  </si>
  <si>
    <t xml:space="preserve">800 × consultas por usuario</t>
  </si>
  <si>
    <t xml:space="preserve">Tokens — modelo de lenguaje</t>
  </si>
  <si>
    <t xml:space="preserve">consultas × costo ponderado por consulta</t>
  </si>
  <si>
    <t xml:space="preserve">Plantillas salientes programadas (utility)</t>
  </si>
  <si>
    <t xml:space="preserve">12.800 × tarifa utility Colombia</t>
  </si>
  <si>
    <t xml:space="preserve">Mensajes de servicio del agente (desde 1-oct-2026)</t>
  </si>
  <si>
    <t xml:space="preserve">NUEVO · consultas × turnos × tarifa de servicio. Gratis hasta el 30-sep-2026, cobrado después.</t>
  </si>
  <si>
    <t xml:space="preserve">Notificaciones de casos sensibles a IPA por WhatsApp</t>
  </si>
  <si>
    <t xml:space="preserve">2% de consultas × 2 intentos. Fuera de ventana ⇒ exige plantilla.</t>
  </si>
  <si>
    <t xml:space="preserve">Meta no cobra los mensajes del usuario al negocio.</t>
  </si>
  <si>
    <t xml:space="preserve">Almacenamiento adicional</t>
  </si>
  <si>
    <t xml:space="preserve">GB × USD 0,023/GB-mes × meses</t>
  </si>
  <si>
    <t xml:space="preserve">Transferencia de datos</t>
  </si>
  <si>
    <t xml:space="preserve">USD 8/mes estimado</t>
  </si>
  <si>
    <t xml:space="preserve">Embeddings</t>
  </si>
  <si>
    <t xml:space="preserve">No requeridos en la línea base de contexto completo. Se declara N/A en el formulario.</t>
  </si>
  <si>
    <t xml:space="preserve">Procesamiento de imágenes y vídeo entrantes</t>
  </si>
  <si>
    <t xml:space="preserve">RFP §11.1.6 y Q&amp;A P38: fuera de alcance. Se declara N/A.</t>
  </si>
  <si>
    <t xml:space="preserve">TOTAL CAPA C</t>
  </si>
  <si>
    <t xml:space="preserve">Costo variable POR USUARIO</t>
  </si>
  <si>
    <t xml:space="preserve">USD/usuario</t>
  </si>
  <si>
    <t xml:space="preserve">Total ÷ 800. Es la cifra que pide el formulario (Q&amp;A P15).</t>
  </si>
  <si>
    <t xml:space="preserve">AVISO DE PRESENTACIÓN · El componente 3 se cotiza POR USUARIO y IPA lo consolida multiplicando por 800 y por el volumen del escenario común (Q&amp;A P15 y P61). Si además cotizamos tarifas unitarias sin declarar la aritmética, IPA puede multiplicar dos veces. Declarar explícitamente: 800 usuarios × 14 consultas = 11.200 consultas, y mostrar la derivación completa.</t>
  </si>
  <si>
    <t xml:space="preserve">8. CAPA D — Transferencia y TCO posterior al contrato</t>
  </si>
  <si>
    <t xml:space="preserve">Componente 4 del formulario (transferencia, dentro del total evaluado) y componente 7 (mantenimiento posterior al traspaso, EXCLUIDO del total evaluado pero exigido en el formulario).</t>
  </si>
  <si>
    <t xml:space="preserve">8.1 Transferencia — componente 4 (dentro del total evaluado)</t>
  </si>
  <si>
    <t xml:space="preserve">ID / Concepto</t>
  </si>
  <si>
    <t xml:space="preserve">Componente</t>
  </si>
  <si>
    <t xml:space="preserve">P-20 · Documentación, procedimientos e inventario de activos</t>
  </si>
  <si>
    <t xml:space="preserve">4</t>
  </si>
  <si>
    <t xml:space="preserve">P-21 · Capacitación a la organización implementadora</t>
  </si>
  <si>
    <t xml:space="preserve">Q&amp;A P39: la organización puede no estar definida; la solución debe ser portable.</t>
  </si>
  <si>
    <t xml:space="preserve">P-24 · Soporte de estabilización de 30 días</t>
  </si>
  <si>
    <t xml:space="preserve">RECLASIFICADO · Q&amp;A P64: ocurre DESPUÉS de los 120 días, fuera del periodo de 4 meses.</t>
  </si>
  <si>
    <t xml:space="preserve">P-28 · Migración de la cuenta de WhatsApp y del número</t>
  </si>
  <si>
    <t xml:space="preserve">NUEVO · Q&amp;A P8. El RFP no describe el procedimiento; Meta impone condiciones propias.</t>
  </si>
  <si>
    <t xml:space="preserve">TOTAL CAPA D</t>
  </si>
  <si>
    <t xml:space="preserve">8.2 TCO mensual posterior al traspaso — componente 7 (EXCLUIDO del total evaluado)</t>
  </si>
  <si>
    <t xml:space="preserve">Continúa / desaparece</t>
  </si>
  <si>
    <t xml:space="preserve">Contenedores API + worker</t>
  </si>
  <si>
    <t xml:space="preserve">Continúa</t>
  </si>
  <si>
    <t xml:space="preserve">Producción únicamente.</t>
  </si>
  <si>
    <t xml:space="preserve">Balanceador de carga</t>
  </si>
  <si>
    <t xml:space="preserve">PostgreSQL administrado y almacenamiento</t>
  </si>
  <si>
    <t xml:space="preserve">Caché en memoria</t>
  </si>
  <si>
    <t xml:space="preserve">Observabilidad y logs</t>
  </si>
  <si>
    <t xml:space="preserve">Objetos y copias de seguridad</t>
  </si>
  <si>
    <t xml:space="preserve">Rastreo de errores, disponibilidad y correo</t>
  </si>
  <si>
    <t xml:space="preserve">Sin CI ni paginación propia.</t>
  </si>
  <si>
    <t xml:space="preserve">Ambientes de desarrollo y preproducción</t>
  </si>
  <si>
    <t xml:space="preserve">Opcional</t>
  </si>
  <si>
    <t xml:space="preserve">Se pueden apagar; sin ellos no hay forma segura de probar un cambio.</t>
  </si>
  <si>
    <t xml:space="preserve">Desaparece</t>
  </si>
  <si>
    <t xml:space="preserve">Lo asume IPA o la organización implementadora si decide mantener el servicio.</t>
  </si>
  <si>
    <t xml:space="preserve">Igual que el anterior.</t>
  </si>
  <si>
    <t xml:space="preserve">DevOps, PM y coordinación del proveedor</t>
  </si>
  <si>
    <t xml:space="preserve">Licencia de PI preexistente de Aurena</t>
  </si>
  <si>
    <t xml:space="preserve">Continúa sin costo</t>
  </si>
  <si>
    <t xml:space="preserve">Q&amp;A P58: licencia suficiente, perpetua y transferible para este proyecto.</t>
  </si>
  <si>
    <t xml:space="preserve">TCO TECNOLÓGICO MENSUAL POSTERIOR AL TRASPASO</t>
  </si>
  <si>
    <t xml:space="preserve">Consumo variable por cada 1.000 consultas</t>
  </si>
  <si>
    <t xml:space="preserve">Se suma al fijo anterior según el uso real.</t>
  </si>
  <si>
    <t xml:space="preserve">TCO anual estimado sólo de infraestructura</t>
  </si>
  <si>
    <t xml:space="preserve">Sin canal humano ni consumo de modelo.</t>
  </si>
  <si>
    <t xml:space="preserve">El componente 7 NO entra al total evaluado (RFP §10.3.1). Cotizarlo con honestidad no cuesta puntos de precio y sí ayuda en el criterio E (transferencia, 15 puntos), donde se evalúa que otra organización pueda operar el sistema.</t>
  </si>
  <si>
    <t xml:space="preserve">9. Consolidación por escenario</t>
  </si>
  <si>
    <t xml:space="preserve">Capa A — Implementación (pago único)</t>
  </si>
  <si>
    <t xml:space="preserve">hoja 05; no depende del escenario</t>
  </si>
  <si>
    <t xml:space="preserve">Capa B — Operación fija del periodo</t>
  </si>
  <si>
    <t xml:space="preserve">hoja 06</t>
  </si>
  <si>
    <t xml:space="preserve">Capa C — Variables por consumo</t>
  </si>
  <si>
    <t xml:space="preserve">hoja 07</t>
  </si>
  <si>
    <t xml:space="preserve">Capa D — Transferencia y estabilización</t>
  </si>
  <si>
    <t xml:space="preserve">hoja 08, sección 8.1</t>
  </si>
  <si>
    <t xml:space="preserve">COSTO DIRECTO</t>
  </si>
  <si>
    <t xml:space="preserve">suma de las cuatro capas</t>
  </si>
  <si>
    <t xml:space="preserve">Overhead</t>
  </si>
  <si>
    <t xml:space="preserve">8% sobre costo directo</t>
  </si>
  <si>
    <t xml:space="preserve">Contingencia por riesgo (valor esperado)</t>
  </si>
  <si>
    <t xml:space="preserve">hoja 14; diez riesgos con probabilidad e impacto</t>
  </si>
  <si>
    <t xml:space="preserve">COSTO BASE TOTAL (antes de margen y pólizas)</t>
  </si>
  <si>
    <t xml:space="preserve">Costo base en COP</t>
  </si>
  <si>
    <t xml:space="preserve">COP</t>
  </si>
  <si>
    <t xml:space="preserve">× TRM 3.350</t>
  </si>
  <si>
    <t xml:space="preserve">Reparto del costo base</t>
  </si>
  <si>
    <t xml:space="preserve">Capa</t>
  </si>
  <si>
    <t xml:space="preserve">Lectura</t>
  </si>
  <si>
    <t xml:space="preserve">Capa A — Implementación</t>
  </si>
  <si>
    <t xml:space="preserve">La mayor parte del costo es trabajo humano de construcción.</t>
  </si>
  <si>
    <t xml:space="preserve">Capa B — Operación fija</t>
  </si>
  <si>
    <t xml:space="preserve">Segunda partida. Aquí vive el riesgo del canal humano.</t>
  </si>
  <si>
    <t xml:space="preserve">Menos del 0,5% del costo. La tecnología no define esta licitación.</t>
  </si>
  <si>
    <t xml:space="preserve">Capa D — Transferencia</t>
  </si>
  <si>
    <t xml:space="preserve">10. Matriz económica principal (escenario Base)</t>
  </si>
  <si>
    <t xml:space="preserve">Cada rubro aparece en UN solo componente. La columna «Componente IPA» corresponde al formulario del Anexo 10.3 tal como quedó tras la Enmienda.</t>
  </si>
  <si>
    <t xml:space="preserve">Componente IPA</t>
  </si>
  <si>
    <t xml:space="preserve">Categoría</t>
  </si>
  <si>
    <t xml:space="preserve">Fijo/variable</t>
  </si>
  <si>
    <t xml:space="preserve">Cantidad</t>
  </si>
  <si>
    <t xml:space="preserve">Costo unitario</t>
  </si>
  <si>
    <t xml:space="preserve">Meses</t>
  </si>
  <si>
    <t xml:space="preserve">Costo total</t>
  </si>
  <si>
    <t xml:space="preserve">Margen aplicado</t>
  </si>
  <si>
    <t xml:space="preserve">Precio cotizado</t>
  </si>
  <si>
    <t xml:space="preserve">Responsable durante contrato</t>
  </si>
  <si>
    <t xml:space="preserve">Responsable tras el traspaso</t>
  </si>
  <si>
    <t xml:space="preserve">Confianza</t>
  </si>
  <si>
    <t xml:space="preserve">Riesgo</t>
  </si>
  <si>
    <t xml:space="preserve">1 · Único</t>
  </si>
  <si>
    <t xml:space="preserve">Capa A</t>
  </si>
  <si>
    <t xml:space="preserve">Personal de construcción (24 paquetes P-01…P-27)</t>
  </si>
  <si>
    <t xml:space="preserve">Fijo</t>
  </si>
  <si>
    <t xml:space="preserve">persona-sem</t>
  </si>
  <si>
    <t xml:space="preserve">—</t>
  </si>
  <si>
    <t xml:space="preserve">Campus Lands (nómina) · Aurena (dirección y arquitectura)</t>
  </si>
  <si>
    <t xml:space="preserve">N/A — se agota al entregar</t>
  </si>
  <si>
    <t xml:space="preserve">WBS hoja 05</t>
  </si>
  <si>
    <t xml:space="preserve">Media</t>
  </si>
  <si>
    <t xml:space="preserve">Rondas de corrección por encima de lo previsto</t>
  </si>
  <si>
    <t xml:space="preserve">Legal, contable y trámites</t>
  </si>
  <si>
    <t xml:space="preserve">global</t>
  </si>
  <si>
    <t xml:space="preserve">Campus Lands</t>
  </si>
  <si>
    <t xml:space="preserve">N/A</t>
  </si>
  <si>
    <t xml:space="preserve">Estimación</t>
  </si>
  <si>
    <t xml:space="preserve">Baja</t>
  </si>
  <si>
    <t xml:space="preserve">DPA y minuta no se conocen antes de adjudicar (Q&amp;A P22, P57)</t>
  </si>
  <si>
    <t xml:space="preserve">2 · Recurrente</t>
  </si>
  <si>
    <t xml:space="preserve">Capa B</t>
  </si>
  <si>
    <t xml:space="preserve">Infraestructura, 3 ambientes</t>
  </si>
  <si>
    <t xml:space="preserve">mes</t>
  </si>
  <si>
    <t xml:space="preserve">Aurena (arquitectura) · Campus Lands (cuenta cloud)</t>
  </si>
  <si>
    <t xml:space="preserve">IPA / organización implementadora</t>
  </si>
  <si>
    <t xml:space="preserve">Tarifas AWS 2026</t>
  </si>
  <si>
    <t xml:space="preserve">Residencia de datos podría obligar a otra región</t>
  </si>
  <si>
    <t xml:space="preserve">Aurena</t>
  </si>
  <si>
    <t xml:space="preserve">Parcialmente IPA</t>
  </si>
  <si>
    <t xml:space="preserve">Tarifas de proveedor</t>
  </si>
  <si>
    <t xml:space="preserve">Canal humano no sensible (SLA 4 h hábiles)</t>
  </si>
  <si>
    <t xml:space="preserve">FTE-mes</t>
  </si>
  <si>
    <t xml:space="preserve">Campus Lands (dotación) · Aurena (calidad de respuesta)</t>
  </si>
  <si>
    <t xml:space="preserve">IPA decide si lo mantiene</t>
  </si>
  <si>
    <t xml:space="preserve">Q&amp;A P6</t>
  </si>
  <si>
    <t xml:space="preserve">BAJA</t>
  </si>
  <si>
    <t xml:space="preserve">MÁXIMO · la tasa de derivación real puede triplicar la línea</t>
  </si>
  <si>
    <t xml:space="preserve">Aurena y Campus Lands en rotación</t>
  </si>
  <si>
    <t xml:space="preserve">IPA</t>
  </si>
  <si>
    <t xml:space="preserve">Q&amp;A P7</t>
  </si>
  <si>
    <t xml:space="preserve">Compromiso de 15 minutos en 24/7</t>
  </si>
  <si>
    <t xml:space="preserve">Demoras de IPA extienden el plazo sin compensar el costo</t>
  </si>
  <si>
    <t xml:space="preserve">3 · Variable</t>
  </si>
  <si>
    <t xml:space="preserve">Capa C</t>
  </si>
  <si>
    <t xml:space="preserve">Tokens del modelo de lenguaje</t>
  </si>
  <si>
    <t xml:space="preserve">consulta</t>
  </si>
  <si>
    <t xml:space="preserve">Tarifa oficial Anthropic</t>
  </si>
  <si>
    <t xml:space="preserve">ALTA</t>
  </si>
  <si>
    <t xml:space="preserve">Tokenizador reciente puede consumir ~30% más</t>
  </si>
  <si>
    <t xml:space="preserve">Plantillas salientes de WhatsApp</t>
  </si>
  <si>
    <t xml:space="preserve">mensaje</t>
  </si>
  <si>
    <t xml:space="preserve">Tarifa Meta</t>
  </si>
  <si>
    <t xml:space="preserve">Reclasificación a MARKETING multiplica ×18</t>
  </si>
  <si>
    <t xml:space="preserve">Mensajes de servicio del agente</t>
  </si>
  <si>
    <t xml:space="preserve">Meta, cambio del 1-oct-2026</t>
  </si>
  <si>
    <t xml:space="preserve">Tarifas definitivas se publican en septiembre</t>
  </si>
  <si>
    <t xml:space="preserve">Almacenamiento y transferencia adicionales</t>
  </si>
  <si>
    <t xml:space="preserve">GB-mes</t>
  </si>
  <si>
    <t xml:space="preserve">Tarifa cloud</t>
  </si>
  <si>
    <t xml:space="preserve">Alta</t>
  </si>
  <si>
    <t xml:space="preserve">4 · Transferencia</t>
  </si>
  <si>
    <t xml:space="preserve">Capa D</t>
  </si>
  <si>
    <t xml:space="preserve">Documentación, capacitación y traspaso</t>
  </si>
  <si>
    <t xml:space="preserve">Aurena y Campus Lands</t>
  </si>
  <si>
    <t xml:space="preserve">WBS hoja 08</t>
  </si>
  <si>
    <t xml:space="preserve">Organización implementadora aún sin definir (Q&amp;A P39)</t>
  </si>
  <si>
    <t xml:space="preserve">Soporte de estabilización de 30 días</t>
  </si>
  <si>
    <t xml:space="preserve">Q&amp;A P64</t>
  </si>
  <si>
    <t xml:space="preserve">Fuera de los 4 meses; hay que dotarlo igual</t>
  </si>
  <si>
    <t xml:space="preserve">Migración de la cuenta de WhatsApp y del número</t>
  </si>
  <si>
    <t xml:space="preserve">IPA (titular final)</t>
  </si>
  <si>
    <t xml:space="preserve">Q&amp;A P8</t>
  </si>
  <si>
    <t xml:space="preserve">Meta impone condiciones que no controlamos</t>
  </si>
  <si>
    <t xml:space="preserve">5 · Impuestos</t>
  </si>
  <si>
    <t xml:space="preserve">IVA</t>
  </si>
  <si>
    <t xml:space="preserve">RFP p.30</t>
  </si>
  <si>
    <t xml:space="preserve">[PENDIENTE CONTADOR] confirmar aplicabilidad</t>
  </si>
  <si>
    <t xml:space="preserve">Costo del contrato</t>
  </si>
  <si>
    <t xml:space="preserve">Primas de pólizas (cumplimiento 30 + calidad 30 + salarios 10)</t>
  </si>
  <si>
    <t xml:space="preserve">% valor asegurado</t>
  </si>
  <si>
    <t xml:space="preserve">RFP §4.2 · Q&amp;A P18</t>
  </si>
  <si>
    <t xml:space="preserve">MUY BAJA</t>
  </si>
  <si>
    <t xml:space="preserve">Sin cotización real. Póliza de salarios vigente 3 años</t>
  </si>
  <si>
    <t xml:space="preserve">6 · Opcionales</t>
  </si>
  <si>
    <t xml:space="preserve">Hora adicional de desarrollo o soporte</t>
  </si>
  <si>
    <t xml:space="preserve">hora</t>
  </si>
  <si>
    <t xml:space="preserve">Tarifa propia</t>
  </si>
  <si>
    <t xml:space="preserve">EXCLUIDO del total evaluado</t>
  </si>
  <si>
    <t xml:space="preserve">7 · Post-traspaso</t>
  </si>
  <si>
    <t xml:space="preserve">Mantenimiento mensual posterior al traspaso</t>
  </si>
  <si>
    <t xml:space="preserve">Hoja 08 §8.2</t>
  </si>
  <si>
    <t xml:space="preserve">TOTAL EVALUADO (componentes 1+2+3+4) — costo</t>
  </si>
  <si>
    <t xml:space="preserve">11. Los cuatro precios</t>
  </si>
  <si>
    <t xml:space="preserve">El precio se resuelve de forma circular porque la prima de pólizas se calcula sobre el valor total del contrato CON impuestos (Q&amp;A P18). Se aproxima con dos iteraciones explícitas.</t>
  </si>
  <si>
    <t xml:space="preserve">Nivel</t>
  </si>
  <si>
    <t xml:space="preserve">Costo base USD</t>
  </si>
  <si>
    <t xml:space="preserve">Margen</t>
  </si>
  <si>
    <t xml:space="preserve">USD pre-IVA</t>
  </si>
  <si>
    <t xml:space="preserve">COP pre-IVA</t>
  </si>
  <si>
    <t xml:space="preserve">IVA COP</t>
  </si>
  <si>
    <t xml:space="preserve">COP con IVA</t>
  </si>
  <si>
    <t xml:space="preserve">Prima pólizas USD</t>
  </si>
  <si>
    <t xml:space="preserve">Utilidad USD</t>
  </si>
  <si>
    <t xml:space="preserve">Margen real</t>
  </si>
  <si>
    <t xml:space="preserve">Condiciones de validez</t>
  </si>
  <si>
    <t xml:space="preserve">Piso sostenible (retirada)</t>
  </si>
  <si>
    <t xml:space="preserve">Sólo con alcance acotado, derivación en el escenario bajo y sin ciclo extra de precisión. Por debajo no hay margen para un solo imprevisto.</t>
  </si>
  <si>
    <t xml:space="preserve">Competitivo</t>
  </si>
  <si>
    <t xml:space="preserve">Maximiza competitividad conservando margen. Exige que los insumos de IPA lleguen a tiempo y que el umbral se supere al primer intento.</t>
  </si>
  <si>
    <t xml:space="preserve">Objetivo recomendado</t>
  </si>
  <si>
    <t xml:space="preserve">Equilibrio recomendado. Absorbe un ciclo de remediación y una desviación moderada del canal humano.</t>
  </si>
  <si>
    <t xml:space="preserve">Alto defendible</t>
  </si>
  <si>
    <t xml:space="preserve">Sólo si se decide cubrir el escenario Alto del canal humano o IPA amplía el alcance.</t>
  </si>
  <si>
    <t xml:space="preserve">Comparación con el modelo v0.2</t>
  </si>
  <si>
    <t xml:space="preserve">v0.2 (22-jul)</t>
  </si>
  <si>
    <t xml:space="preserve">v0.3 (28-jul)</t>
  </si>
  <si>
    <t xml:space="preserve">Diferencia</t>
  </si>
  <si>
    <t xml:space="preserve">Explicación</t>
  </si>
  <si>
    <t xml:space="preserve">Canal humano con la referencia de IPA, operación separada de construcción, paquetes nuevos de la Enmienda y tarifa estándar del modelo.</t>
  </si>
  <si>
    <t xml:space="preserve">Precio objetivo USD pre-IVA</t>
  </si>
  <si>
    <t xml:space="preserve">El precio sube ~17%. Cuesta ~1,4 puntos de 100 en la evaluación; protege entre USD 7.000 y 13.000 de exposición en el canal humano.</t>
  </si>
  <si>
    <t xml:space="preserve">Precio objetivo COP con IVA</t>
  </si>
  <si>
    <t xml:space="preserve">Puntaje de costo — el RFP no enuncia la fórmula</t>
  </si>
  <si>
    <t xml:space="preserve">[SUPUESTO] RFP p.14 (criterio F1): «el costo más bajo ganará 15 puntos y proporcionalmente se adjudicará el puntaje a partir de este valor». La lectura habitual es 15 × mínimo ÷ oferta, pero no es textual.</t>
  </si>
  <si>
    <t xml:space="preserve">Precio mínimo elegible USD</t>
  </si>
  <si>
    <t xml:space="preserve">Piso</t>
  </si>
  <si>
    <t xml:space="preserve">Objetivo</t>
  </si>
  <si>
    <t xml:space="preserve">Rubros: a costo, con markup o con tarifa fija</t>
  </si>
  <si>
    <t xml:space="preserve">Rubro</t>
  </si>
  <si>
    <t xml:space="preserve">Tratamiento recomendado</t>
  </si>
  <si>
    <t xml:space="preserve">Razón</t>
  </si>
  <si>
    <t xml:space="preserve">Tokens y mensajes de WhatsApp</t>
  </si>
  <si>
    <t xml:space="preserve">A COSTO + 10%</t>
  </si>
  <si>
    <t xml:space="preserve">IPA puede verificar la tarifa pública. Un markup alto es indefendible y llama la atención sobre el rubro equivocado.</t>
  </si>
  <si>
    <t xml:space="preserve">Infraestructura y licencias</t>
  </si>
  <si>
    <t xml:space="preserve">A COSTO + 16%</t>
  </si>
  <si>
    <t xml:space="preserve">Verificable pero con trabajo de arquitectura detrás.</t>
  </si>
  <si>
    <t xml:space="preserve">Personal de construcción</t>
  </si>
  <si>
    <t xml:space="preserve">Tarifa cargada + margen</t>
  </si>
  <si>
    <t xml:space="preserve">Es el grueso del valor. No desagregar salarios individuales en la propuesta.</t>
  </si>
  <si>
    <t xml:space="preserve">Canal humano</t>
  </si>
  <si>
    <t xml:space="preserve">TARIFA FIJA con supuesto declarado</t>
  </si>
  <si>
    <t xml:space="preserve">No se puede cotizar por consumo; el componente 2 es global. Declarar la tasa de derivación asumida.</t>
  </si>
  <si>
    <t xml:space="preserve">Pólizas</t>
  </si>
  <si>
    <t xml:space="preserve">A COSTO, sin margen</t>
  </si>
  <si>
    <t xml:space="preserve">Es un desembolso verificable con recibo de la aseguradora.</t>
  </si>
  <si>
    <t xml:space="preserve">TARIFA FIJA</t>
  </si>
  <si>
    <t xml:space="preserve">30 días, alcance acotado y horario definido.</t>
  </si>
  <si>
    <t xml:space="preserve">Componente 6 (opcionales)</t>
  </si>
  <si>
    <t xml:space="preserve">TARIFA POR HORA con markup alto</t>
  </si>
  <si>
    <t xml:space="preserve">No entra al total evaluado. Es la vía para absorber alcance adicional.</t>
  </si>
  <si>
    <t xml:space="preserve">Componente 7 (post-traspaso)</t>
  </si>
  <si>
    <t xml:space="preserve">A COSTO + 15%</t>
  </si>
  <si>
    <t xml:space="preserve">No entra al total evaluado. Cotizarlo honesto suma en el criterio E.</t>
  </si>
  <si>
    <t xml:space="preserve">12. Sensibilidad</t>
  </si>
  <si>
    <t xml:space="preserve">12.1 Meses de operación (escenario Base)</t>
  </si>
  <si>
    <t xml:space="preserve">Meses de operación</t>
  </si>
  <si>
    <t xml:space="preserve">2 meses</t>
  </si>
  <si>
    <t xml:space="preserve">4 meses</t>
  </si>
  <si>
    <t xml:space="preserve">5 meses</t>
  </si>
  <si>
    <t xml:space="preserve">Infraestructura y herramientas</t>
  </si>
  <si>
    <t xml:space="preserve">Lineal en los meses.</t>
  </si>
  <si>
    <t xml:space="preserve">Tope de 3 meses: la intervención dura 8 semanas.</t>
  </si>
  <si>
    <t xml:space="preserve">Guardia, soporte y coordinación</t>
  </si>
  <si>
    <t xml:space="preserve">Tope de 4 meses de contrato.</t>
  </si>
  <si>
    <t xml:space="preserve">Capa C — consumo</t>
  </si>
  <si>
    <t xml:space="preserve">No depende de los meses: depende de las consultas.</t>
  </si>
  <si>
    <t xml:space="preserve">TOTAL OPERACIÓN + CONSUMO</t>
  </si>
  <si>
    <t xml:space="preserve">Diferencia frente a 5 meses</t>
  </si>
  <si>
    <t xml:space="preserve">Cotizar 5 meses y ejecutar 2 deja margen; al revés, destruye utilidad.</t>
  </si>
  <si>
    <t xml:space="preserve">12.2 Tasa de derivación al canal humano — la variable de mayor apalancamiento</t>
  </si>
  <si>
    <t xml:space="preserve">Tasa de derivación</t>
  </si>
  <si>
    <t xml:space="preserve">5%</t>
  </si>
  <si>
    <t xml:space="preserve">15%</t>
  </si>
  <si>
    <t xml:space="preserve">25%</t>
  </si>
  <si>
    <t xml:space="preserve">35%</t>
  </si>
  <si>
    <t xml:space="preserve">FTE agente</t>
  </si>
  <si>
    <t xml:space="preserve">Costo del canal humano (3 meses)</t>
  </si>
  <si>
    <t xml:space="preserve">Entre el 5% y el 35% el canal humano se mueve más de USD 15.000. Es más de lo que se gana bajando el precio un 10%. Ésta es la decisión económica número uno de la reunión.</t>
  </si>
  <si>
    <t xml:space="preserve">12.3 Arquitectura de recuperación — KB completa frente a RAG</t>
  </si>
  <si>
    <t xml:space="preserve">KB completa</t>
  </si>
  <si>
    <t xml:space="preserve">RAG</t>
  </si>
  <si>
    <t xml:space="preserve">Costo por consulta (caché 70%)</t>
  </si>
  <si>
    <t xml:space="preserve">Costo total del estudio (11.200 consultas)</t>
  </si>
  <si>
    <t xml:space="preserve">Diferencia como % del precio objetivo</t>
  </si>
  <si>
    <t xml:space="preserve">Cierra D-01 con argumento económico.</t>
  </si>
  <si>
    <t xml:space="preserve">VEREDICTO PARA D-01 · La Enmienda hizo visible el costo de tokens en el total evaluado, pero la diferencia entre cargar la base completa y recuperar fragmentos es de unos USD 140 en todo el estudio: menos del 0,1% de la oferta. La decisión debe tomarse por riesgo de omisión, no por costo. Se mantiene contexto completo.</t>
  </si>
  <si>
    <t xml:space="preserve">12.4 Estrategia de caché</t>
  </si>
  <si>
    <t xml:space="preserve">Estrategia</t>
  </si>
  <si>
    <t xml:space="preserve">USD/consulta</t>
  </si>
  <si>
    <t xml:space="preserve">Sin caché</t>
  </si>
  <si>
    <t xml:space="preserve">Referencia.</t>
  </si>
  <si>
    <t xml:space="preserve">Caché de 5 minutos, acierto 70%</t>
  </si>
  <si>
    <t xml:space="preserve">Línea base del modelo.</t>
  </si>
  <si>
    <t xml:space="preserve">Caché de 1 hora, 12,5 consultas/hora</t>
  </si>
  <si>
    <t xml:space="preserve">Con ~200 consultas/día repartidas en 16 horas, escribir una vez por hora sale mejor que la caché de 5 minutos.</t>
  </si>
  <si>
    <t xml:space="preserve">Optimización identificada: con el patrón de tráfico previsto, la caché de 1 hora reduce el costo por consulta ~30% frente a la de 5 minutos. Es una decisión de implementación, no de propuesta, y no debe prometerse a IPA como garantía.</t>
  </si>
  <si>
    <t xml:space="preserve">13. Hoja de reconciliación Aurena ↔ Campus Lands</t>
  </si>
  <si>
    <t xml:space="preserve">Se completa EN la reunión, con la estimación de Héctor ya cerrada. No compartir la columna Aurena antes de que Héctor cierre la suya: anclar destruye el valor de las dos estimaciones independientes.</t>
  </si>
  <si>
    <t xml:space="preserve">Estimación Aurena</t>
  </si>
  <si>
    <t xml:space="preserve">Estimación Campus Lands</t>
  </si>
  <si>
    <t xml:space="preserve">Tipo de diferencia</t>
  </si>
  <si>
    <t xml:space="preserve">Razón probable de la divergencia</t>
  </si>
  <si>
    <t xml:space="preserve">Decisión requerida</t>
  </si>
  <si>
    <t xml:space="preserve">Capa A — personal de construcción</t>
  </si>
  <si>
    <t xml:space="preserve">De supuesto / de personal</t>
  </si>
  <si>
    <t xml:space="preserve">Distinto número de persona-semanas o distinta composición del equipo. Verificar que ambos costeamos los MISMOS 24 paquetes.</t>
  </si>
  <si>
    <t xml:space="preserve">Congelar la lista de paquetes y estimar de nuevo sólo los que difieran más del 20%.</t>
  </si>
  <si>
    <t xml:space="preserve">Tarifa cargada por rol</t>
  </si>
  <si>
    <t xml:space="preserve">De precio / de personal</t>
  </si>
  <si>
    <t xml:space="preserve">Campus Lands tiene nómina real y puede tener costos distintos a las bandas de mercado.</t>
  </si>
  <si>
    <t xml:space="preserve">Adoptar las tarifas reales de Campus Lands para el personal que aporta; mantener bandas de mercado para el resto.</t>
  </si>
  <si>
    <t xml:space="preserve">De supuesto</t>
  </si>
  <si>
    <t xml:space="preserve">Tasa de derivación asumida. Es la divergencia más probable y la más cara.</t>
  </si>
  <si>
    <t xml:space="preserve">Fijar UNA tasa de derivación, declararla en la propuesta y decidir quién absorbe la desviación.</t>
  </si>
  <si>
    <t xml:space="preserve">Puede que Campus Lands no lo haya costeado: la Enmienda lo hizo explícito hace dos días.</t>
  </si>
  <si>
    <t xml:space="preserve">Confirmar que está en ambas matrices o retirarlo de ambas.</t>
  </si>
  <si>
    <t xml:space="preserve">Soporte, monitoreo y coordinación</t>
  </si>
  <si>
    <t xml:space="preserve">De clasificación contable</t>
  </si>
  <si>
    <t xml:space="preserve">Puede estar embebido dentro de los paquetes de construcción en la matriz de Campus Lands.</t>
  </si>
  <si>
    <t xml:space="preserve">Verificar que no esté contado dos veces ni omitido.</t>
  </si>
  <si>
    <t xml:space="preserve">Infraestructura</t>
  </si>
  <si>
    <t xml:space="preserve">De precio / de cantidad</t>
  </si>
  <si>
    <t xml:space="preserve">Héctor propuso ECS con autoescalado, Aurora y balanceo. La validación de escala concluye que un contenedor cubre la carga.</t>
  </si>
  <si>
    <t xml:space="preserve">Decidir la arquitectura de despliegue. La diferencia es de USD 200–280 al mes.</t>
  </si>
  <si>
    <t xml:space="preserve">De precio / de supuesto</t>
  </si>
  <si>
    <t xml:space="preserve">Tarifa introductoria frente a tarifa estándar, y tasa de acierto de caché asumida.</t>
  </si>
  <si>
    <t xml:space="preserve">Usar la tarifa ESTÁNDAR: la introductoria vence antes de que arranque el contrato.</t>
  </si>
  <si>
    <t xml:space="preserve">Mensajes de WhatsApp</t>
  </si>
  <si>
    <t xml:space="preserve">Campus Lands probablemente asume que los mensajes en ventana son gratis. Lo eran hasta el 30-sep-2026.</t>
  </si>
  <si>
    <t xml:space="preserve">Incorporar el cambio de Meta del 1-oct-2026.</t>
  </si>
  <si>
    <t xml:space="preserve">Transferencia y capacitación</t>
  </si>
  <si>
    <t xml:space="preserve">De cantidad</t>
  </si>
  <si>
    <t xml:space="preserve">Número de sesiones y perfiles a capacitar.</t>
  </si>
  <si>
    <t xml:space="preserve">Q&amp;A P39: la organización implementadora puede no estar definida. Acotar el alcance.</t>
  </si>
  <si>
    <t xml:space="preserve">Campus Lands puede tener una tasa de overhead corporativa distinta a nuestro 8%.</t>
  </si>
  <si>
    <t xml:space="preserve">Acordar UNA tasa y aplicarla a la base común. Es la base del cálculo de utilidad.</t>
  </si>
  <si>
    <t xml:space="preserve">Contingencia</t>
  </si>
  <si>
    <t xml:space="preserve">De contingencia</t>
  </si>
  <si>
    <t xml:space="preserve">Bolsa redonda frente a valor esperado derivado de riesgos.</t>
  </si>
  <si>
    <t xml:space="preserve">Adoptar el método de riesgo con probabilidad e impacto y acordar quién libera la reserva.</t>
  </si>
  <si>
    <t xml:space="preserve">De precio de proveedor</t>
  </si>
  <si>
    <t xml:space="preserve">Ninguno de los dos tiene cotización real de aseguradora.</t>
  </si>
  <si>
    <t xml:space="preserve">Cotizar hoy. La póliza de salarios rige 3 años y encarece la prima.</t>
  </si>
  <si>
    <t xml:space="preserve">De margen</t>
  </si>
  <si>
    <t xml:space="preserve">Expectativas distintas de rentabilidad.</t>
  </si>
  <si>
    <t xml:space="preserve">Acordar el margen ANTES de discutir el reparto de la utilidad. Son dos conversaciones distintas.</t>
  </si>
  <si>
    <t xml:space="preserve">14. Contingencia derivada de riesgos específicos</t>
  </si>
  <si>
    <t xml:space="preserve">No es un porcentaje genérico. Cada línea tiene probabilidad e impacto explícitos. La reserva se libera al cierre o por decisión conjunta: no es utilidad hasta entonces.</t>
  </si>
  <si>
    <t xml:space="preserve">Probabilidad</t>
  </si>
  <si>
    <t xml:space="preserve">Impacto USD</t>
  </si>
  <si>
    <t xml:space="preserve">Valor esperado USD</t>
  </si>
  <si>
    <t xml:space="preserve">Mitigación</t>
  </si>
  <si>
    <t xml:space="preserve">R-01 · Insumos de IPA tardíos (base, taxonomía, clave de respuestas)</t>
  </si>
  <si>
    <t xml:space="preserve">Q&amp;A P10 fija que se entregan al arranque y que el retraso extiende el plazo sin penalización. No compensa el costo de los meses adicionales.</t>
  </si>
  <si>
    <t xml:space="preserve">R-02 · Ciclo adicional de precisión antes de superar el umbral</t>
  </si>
  <si>
    <t xml:space="preserve">Q&amp;A P53: ventana de remediación de 1–2 semanas. Reservar el ciclo; construir el answer key temprano.</t>
  </si>
  <si>
    <t xml:space="preserve">R-03 · Escalado de límites de Meta insuficiente para 800 destinatarios/día</t>
  </si>
  <si>
    <t xml:space="preserve">Verificar el negocio antes de firmar; escalonar envíos en varios días; hito propio en el plan de trabajo.</t>
  </si>
  <si>
    <t xml:space="preserve">R-04 · Meta clasifica las plantillas semanales como MARKETING</t>
  </si>
  <si>
    <t xml:space="preserve">Redactar las plantillas con estructura de utility; someterlas temprano; mantener alternativas aprobadas.</t>
  </si>
  <si>
    <t xml:space="preserve">R-05 · Tarifa de mensajes de servicio (1-oct-2026) superior a la prevista</t>
  </si>
  <si>
    <t xml:space="preserve">Meta publica las tarifas definitivas antes del 1-sep-2026. Revisar antes de firmar.</t>
  </si>
  <si>
    <t xml:space="preserve">R-06 · Derivación al canal humano por encima del escenario base</t>
  </si>
  <si>
    <t xml:space="preserve">Declarar la tasa asumida en la propuesta; acordar mecanismo de ajuste; reducir derivación por diseño.</t>
  </si>
  <si>
    <t xml:space="preserve">R-07 · Rondas extra de corrección de entregables</t>
  </si>
  <si>
    <t xml:space="preserve">Acordar número de rondas y criterios de aceptación en el acta de línea base (Q&amp;A P41).</t>
  </si>
  <si>
    <t xml:space="preserve">R-08 · Restricción de residencia o de subprocesadores</t>
  </si>
  <si>
    <t xml:space="preserve">Q&amp;A P21: no hay prohibición absoluta, pero hay que especificar. Inferencia sólo en EE. UU. encarece los tokens un 10%.</t>
  </si>
  <si>
    <t xml:space="preserve">R-09 · Cesión de PI más amplia de lo previsto</t>
  </si>
  <si>
    <t xml:space="preserve">Q&amp;A P58 mejora la posición. Construir el inventario de PI preexistente (P-27) antes de ofertar.</t>
  </si>
  <si>
    <t xml:space="preserve">R-10 · Transferencia de la cuenta y el número de WhatsApp más compleja de lo previsto</t>
  </si>
  <si>
    <t xml:space="preserve">Q&amp;A P8 exige entregarlos; el RFP no describe el procedimiento y Meta impone condiciones propias.</t>
  </si>
  <si>
    <t xml:space="preserve">TOTAL VALOR ESPERADO</t>
  </si>
  <si>
    <t xml:space="preserve">15. Flujo de caja — desfase entre ejecución, aceptación y pago</t>
  </si>
  <si>
    <t xml:space="preserve">Q&amp;A P62: IPA revisa y acepta en 10 días hábiles y paga máximo 8 días calendario después. Q&amp;A P19: los pagos fijos se atan a entregables aceptados; los variables se facturan mes vencido. Q&amp;A P17: el anticipo es posible si el oferente lo propone.</t>
  </si>
  <si>
    <t xml:space="preserve">Hito</t>
  </si>
  <si>
    <t xml:space="preserve">Día</t>
  </si>
  <si>
    <t xml:space="preserve">Egreso acumulado USD</t>
  </si>
  <si>
    <t xml:space="preserve">Cobro estimado USD</t>
  </si>
  <si>
    <t xml:space="preserve">Posición neta USD</t>
  </si>
  <si>
    <t xml:space="preserve">Firma del contrato</t>
  </si>
  <si>
    <t xml:space="preserve">Primas de pólizas en 5 días (RFP §4.2) y provisión de infraestructura. Salida de caja sin ingreso.</t>
  </si>
  <si>
    <t xml:space="preserve">Entregables 1–3 (agente, documentación, precisión)</t>
  </si>
  <si>
    <t xml:space="preserve">[CONFIRMADO POR RFP] §6 p.17-18.</t>
  </si>
  <si>
    <t xml:space="preserve">Aceptación de 1–3 (10 días hábiles)</t>
  </si>
  <si>
    <t xml:space="preserve">Q&amp;A P62.</t>
  </si>
  <si>
    <t xml:space="preserve">Cobro de 1–3 (8 días calendario tras aceptación)</t>
  </si>
  <si>
    <t xml:space="preserve">Entregable 4 (informe piloto)</t>
  </si>
  <si>
    <t xml:space="preserve">Cobro del entregable 4</t>
  </si>
  <si>
    <t xml:space="preserve">Entregables 5–6 (despliegue y traspaso)</t>
  </si>
  <si>
    <t xml:space="preserve">Cobro de 5–6</t>
  </si>
  <si>
    <t xml:space="preserve">Fin del contrato principal.</t>
  </si>
  <si>
    <t xml:space="preserve">Fin del soporte de estabilización</t>
  </si>
  <si>
    <t xml:space="preserve">Q&amp;A P64: fuera de los 4 meses.</t>
  </si>
  <si>
    <t xml:space="preserve">Liberación de la reserva de contingencia</t>
  </si>
  <si>
    <t xml:space="preserve">No es utilidad hasta que se libera.</t>
  </si>
  <si>
    <t xml:space="preserve">CAPITAL DE TRABAJO MÁXIMO REQUERIDO</t>
  </si>
  <si>
    <t xml:space="preserve">Es el dinero que Campus Lands debe poner antes de cobrar. Determina quién puede ser el oferente.</t>
  </si>
  <si>
    <t xml:space="preserve">[SUPUESTO] El reparto de egresos y cobros por hito es una curva de trabajo, no un cronograma acordado. Q&amp;A P4 señala que IPA prefiere ejecutar sin anticipos y evalúa la liquidez del oferente. Decidir si se propone anticipo: activa la póliza de buen manejo al 100% del anticipo, pero elimina la mayor parte del capital de trabajo.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</si>
</sst>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%"/>
    <numFmt numFmtId="167" formatCode="0.00%"/>
    <numFmt numFmtId="168" formatCode="#,##0.00000"/>
    <numFmt numFmtId="169" formatCode="#,##0"/>
    <numFmt numFmtId="170" formatCode="0.00"/>
    <numFmt numFmtId="171" formatCode="0.0"/>
    <numFmt numFmtId="172" formatCode="#,##0.0000"/>
    <numFmt numFmtId="173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0263F"/>
      <name val="Arial"/>
      <family val="0"/>
      <charset val="1"/>
    </font>
    <font>
      <i val="true"/>
      <sz val="9"/>
      <color rgb="FF1D2A3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D2A36"/>
      <name val="Arial"/>
      <family val="0"/>
      <charset val="1"/>
    </font>
    <font>
      <b val="true"/>
      <sz val="9"/>
      <color rgb="FF1D2A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E9E1"/>
        <bgColor rgb="FFF2F4F6"/>
      </patternFill>
    </fill>
    <fill>
      <patternFill patternType="solid">
        <fgColor rgb="FF10263F"/>
        <bgColor rgb="FF1D2A36"/>
      </patternFill>
    </fill>
    <fill>
      <patternFill patternType="solid">
        <fgColor rgb="FFF2F4F6"/>
        <bgColor rgb="FFEDE9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CF"/>
      </left>
      <right style="thin">
        <color rgb="FFBFC7CF"/>
      </right>
      <top style="thin">
        <color rgb="FFBFC7CF"/>
      </top>
      <bottom style="thin">
        <color rgb="FFBFC7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C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9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63F"/>
      <rgbColor rgb="FF339966"/>
      <rgbColor rgb="FF003300"/>
      <rgbColor rgb="FF333300"/>
      <rgbColor rgb="FF993300"/>
      <rgbColor rgb="FF993366"/>
      <rgbColor rgb="FF333399"/>
      <rgbColor rgb="FF1D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  <col collapsed="false" customWidth="true" hidden="false" outlineLevel="0" max="8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  <c r="G4" s="3"/>
      <c r="H4" s="3"/>
    </row>
    <row r="5" customFormat="false" ht="22.35" hidden="false" customHeight="false" outlineLevel="0" collapsed="false">
      <c r="A5" s="4" t="s">
        <v>4</v>
      </c>
      <c r="B5" s="4" t="s">
        <v>5</v>
      </c>
    </row>
    <row r="6" customFormat="false" ht="43.25" hidden="false" customHeight="false" outlineLevel="0" collapsed="false">
      <c r="A6" s="4" t="s">
        <v>6</v>
      </c>
      <c r="B6" s="4" t="s">
        <v>7</v>
      </c>
    </row>
    <row r="7" customFormat="false" ht="22.3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22.35" hidden="false" customHeight="false" outlineLevel="0" collapsed="false">
      <c r="A9" s="4" t="s">
        <v>12</v>
      </c>
      <c r="B9" s="4" t="s">
        <v>13</v>
      </c>
    </row>
    <row r="10" customFormat="false" ht="64.15" hidden="false" customHeight="false" outlineLevel="0" collapsed="false">
      <c r="A10" s="4" t="s">
        <v>14</v>
      </c>
      <c r="B10" s="4" t="s">
        <v>15</v>
      </c>
    </row>
    <row r="11" customFormat="false" ht="43.25" hidden="false" customHeight="false" outlineLevel="0" collapsed="false">
      <c r="A11" s="4" t="s">
        <v>16</v>
      </c>
      <c r="B11" s="4" t="s">
        <v>17</v>
      </c>
    </row>
    <row r="12" customFormat="false" ht="43.25" hidden="false" customHeight="false" outlineLevel="0" collapsed="false">
      <c r="A12" s="4" t="s">
        <v>18</v>
      </c>
      <c r="B12" s="4" t="s">
        <v>19</v>
      </c>
    </row>
    <row r="13" customFormat="false" ht="32.8" hidden="false" customHeight="false" outlineLevel="0" collapsed="false">
      <c r="A13" s="4" t="s">
        <v>20</v>
      </c>
      <c r="B13" s="4" t="s">
        <v>21</v>
      </c>
    </row>
    <row r="15" customFormat="false" ht="21.75" hidden="false" customHeight="true" outlineLevel="0" collapsed="false">
      <c r="A15" s="1" t="s">
        <v>22</v>
      </c>
      <c r="B15" s="1"/>
      <c r="C15" s="1"/>
      <c r="D15" s="1"/>
      <c r="E15" s="1"/>
      <c r="F15" s="1"/>
      <c r="G15" s="1"/>
      <c r="H15" s="1"/>
    </row>
    <row r="16" customFormat="false" ht="30" hidden="false" customHeight="true" outlineLevel="0" collapsed="false">
      <c r="A16" s="3" t="s">
        <v>23</v>
      </c>
      <c r="B16" s="3" t="s">
        <v>3</v>
      </c>
      <c r="C16" s="3"/>
      <c r="D16" s="3"/>
      <c r="E16" s="3"/>
      <c r="F16" s="3"/>
      <c r="G16" s="3"/>
      <c r="H16" s="3"/>
    </row>
    <row r="17" customFormat="false" ht="43.25" hidden="false" customHeight="false" outlineLevel="0" collapsed="false">
      <c r="A17" s="4" t="s">
        <v>24</v>
      </c>
      <c r="B17" s="4" t="s">
        <v>25</v>
      </c>
    </row>
    <row r="18" customFormat="false" ht="53.7" hidden="false" customHeight="false" outlineLevel="0" collapsed="false">
      <c r="A18" s="4" t="s">
        <v>26</v>
      </c>
      <c r="B18" s="4" t="s">
        <v>27</v>
      </c>
    </row>
    <row r="19" customFormat="false" ht="53.7" hidden="false" customHeight="false" outlineLevel="0" collapsed="false">
      <c r="A19" s="4" t="s">
        <v>28</v>
      </c>
      <c r="B19" s="4" t="s">
        <v>29</v>
      </c>
    </row>
    <row r="20" customFormat="false" ht="43.25" hidden="false" customHeight="false" outlineLevel="0" collapsed="false">
      <c r="A20" s="4" t="s">
        <v>30</v>
      </c>
      <c r="B20" s="4" t="s">
        <v>31</v>
      </c>
    </row>
    <row r="21" customFormat="false" ht="43.25" hidden="false" customHeight="false" outlineLevel="0" collapsed="false">
      <c r="A21" s="4" t="s">
        <v>32</v>
      </c>
      <c r="B21" s="4" t="s">
        <v>33</v>
      </c>
    </row>
    <row r="23" customFormat="false" ht="21.75" hidden="false" customHeight="true" outlineLevel="0" collapsed="false">
      <c r="A23" s="1" t="s">
        <v>34</v>
      </c>
      <c r="B23" s="1"/>
      <c r="C23" s="1"/>
      <c r="D23" s="1"/>
      <c r="E23" s="1"/>
      <c r="F23" s="1"/>
      <c r="G23" s="1"/>
      <c r="H23" s="1"/>
    </row>
    <row r="24" customFormat="false" ht="30" hidden="false" customHeight="true" outlineLevel="0" collapsed="false">
      <c r="A24" s="3" t="s">
        <v>35</v>
      </c>
      <c r="B24" s="3" t="s">
        <v>36</v>
      </c>
      <c r="C24" s="3"/>
      <c r="D24" s="3"/>
      <c r="E24" s="3"/>
      <c r="F24" s="3"/>
      <c r="G24" s="3"/>
      <c r="H24" s="3"/>
    </row>
    <row r="25" customFormat="false" ht="43.25" hidden="false" customHeight="false" outlineLevel="0" collapsed="false">
      <c r="A25" s="4" t="s">
        <v>37</v>
      </c>
      <c r="B25" s="4" t="s">
        <v>38</v>
      </c>
    </row>
    <row r="26" customFormat="false" ht="32.8" hidden="false" customHeight="false" outlineLevel="0" collapsed="false">
      <c r="A26" s="4" t="s">
        <v>39</v>
      </c>
      <c r="B26" s="4" t="s">
        <v>40</v>
      </c>
    </row>
    <row r="27" customFormat="false" ht="43.25" hidden="false" customHeight="false" outlineLevel="0" collapsed="false">
      <c r="A27" s="4" t="s">
        <v>41</v>
      </c>
      <c r="B27" s="4" t="s">
        <v>42</v>
      </c>
    </row>
    <row r="28" customFormat="false" ht="43.25" hidden="false" customHeight="false" outlineLevel="0" collapsed="false">
      <c r="A28" s="4" t="s">
        <v>43</v>
      </c>
      <c r="B28" s="4" t="s">
        <v>44</v>
      </c>
    </row>
    <row r="29" customFormat="false" ht="32.8" hidden="false" customHeight="false" outlineLevel="0" collapsed="false">
      <c r="A29" s="4" t="s">
        <v>45</v>
      </c>
      <c r="B29" s="4" t="s">
        <v>46</v>
      </c>
    </row>
    <row r="30" customFormat="false" ht="32.8" hidden="false" customHeight="false" outlineLevel="0" collapsed="false">
      <c r="A30" s="4" t="s">
        <v>47</v>
      </c>
      <c r="B30" s="4" t="s">
        <v>48</v>
      </c>
    </row>
  </sheetData>
  <mergeCells count="4">
    <mergeCell ref="A1:H1"/>
    <mergeCell ref="A2:H2"/>
    <mergeCell ref="A15:H15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4" min="3" style="0" width="44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49</v>
      </c>
      <c r="B1" s="1"/>
      <c r="C1" s="1"/>
      <c r="D1" s="1"/>
      <c r="E1" s="1"/>
    </row>
    <row r="2" customFormat="false" ht="30" hidden="false" customHeight="true" outlineLevel="0" collapsed="false">
      <c r="A2" s="2" t="s">
        <v>50</v>
      </c>
      <c r="B2" s="2"/>
      <c r="C2" s="2"/>
      <c r="D2" s="2"/>
      <c r="E2" s="2"/>
    </row>
    <row r="4" customFormat="false" ht="30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</row>
    <row r="5" customFormat="false" ht="32.8" hidden="false" customHeight="false" outlineLevel="0" collapsed="false">
      <c r="A5" s="4" t="s">
        <v>56</v>
      </c>
      <c r="B5" s="4" t="s">
        <v>57</v>
      </c>
      <c r="C5" s="4" t="s">
        <v>58</v>
      </c>
      <c r="D5" s="4" t="s">
        <v>59</v>
      </c>
      <c r="E5" s="4" t="s">
        <v>60</v>
      </c>
    </row>
    <row r="6" customFormat="false" ht="22.35" hidden="false" customHeight="false" outlineLevel="0" collapsed="false">
      <c r="A6" s="4" t="s">
        <v>61</v>
      </c>
      <c r="B6" s="4" t="s">
        <v>57</v>
      </c>
      <c r="C6" s="4" t="s">
        <v>62</v>
      </c>
      <c r="D6" s="4" t="s">
        <v>63</v>
      </c>
      <c r="E6" s="4" t="s">
        <v>64</v>
      </c>
    </row>
    <row r="7" customFormat="false" ht="22.35" hidden="false" customHeight="false" outlineLevel="0" collapsed="false">
      <c r="A7" s="4" t="s">
        <v>65</v>
      </c>
      <c r="B7" s="4" t="s">
        <v>66</v>
      </c>
      <c r="C7" s="4" t="s">
        <v>67</v>
      </c>
      <c r="D7" s="4" t="s">
        <v>68</v>
      </c>
      <c r="E7" s="4" t="s">
        <v>69</v>
      </c>
    </row>
    <row r="8" customFormat="false" ht="32.8" hidden="false" customHeight="false" outlineLevel="0" collapsed="false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</row>
    <row r="9" customFormat="false" ht="32.8" hidden="false" customHeight="false" outlineLevel="0" collapsed="false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</row>
    <row r="10" customFormat="false" ht="32.8" hidden="false" customHeight="false" outlineLevel="0" collapsed="false">
      <c r="A10" s="4" t="s">
        <v>80</v>
      </c>
      <c r="B10" s="4" t="s">
        <v>81</v>
      </c>
      <c r="C10" s="4" t="s">
        <v>82</v>
      </c>
      <c r="D10" s="4" t="s">
        <v>83</v>
      </c>
      <c r="E10" s="4" t="s">
        <v>84</v>
      </c>
    </row>
    <row r="11" customFormat="false" ht="32.8" hidden="false" customHeight="false" outlineLevel="0" collapsed="false">
      <c r="A11" s="4" t="s">
        <v>85</v>
      </c>
      <c r="B11" s="4" t="s">
        <v>86</v>
      </c>
      <c r="C11" s="4" t="s">
        <v>87</v>
      </c>
      <c r="D11" s="4" t="s">
        <v>88</v>
      </c>
      <c r="E11" s="4" t="s">
        <v>89</v>
      </c>
    </row>
    <row r="12" customFormat="false" ht="32.8" hidden="false" customHeight="false" outlineLevel="0" collapsed="false">
      <c r="A12" s="4" t="s">
        <v>90</v>
      </c>
      <c r="B12" s="4" t="s">
        <v>81</v>
      </c>
      <c r="C12" s="4" t="s">
        <v>91</v>
      </c>
      <c r="D12" s="4" t="s">
        <v>92</v>
      </c>
      <c r="E12" s="4" t="s">
        <v>89</v>
      </c>
    </row>
    <row r="13" customFormat="false" ht="32.8" hidden="false" customHeight="false" outlineLevel="0" collapsed="false">
      <c r="A13" s="4" t="s">
        <v>93</v>
      </c>
      <c r="B13" s="4" t="s">
        <v>94</v>
      </c>
      <c r="C13" s="4" t="s">
        <v>95</v>
      </c>
      <c r="D13" s="4" t="s">
        <v>96</v>
      </c>
      <c r="E13" s="4" t="s">
        <v>97</v>
      </c>
    </row>
    <row r="14" customFormat="false" ht="22.35" hidden="false" customHeight="false" outlineLevel="0" collapsed="false">
      <c r="A14" s="4" t="s">
        <v>98</v>
      </c>
      <c r="B14" s="4" t="s">
        <v>99</v>
      </c>
      <c r="C14" s="4" t="s">
        <v>100</v>
      </c>
      <c r="D14" s="4" t="s">
        <v>101</v>
      </c>
      <c r="E14" s="4" t="s">
        <v>102</v>
      </c>
    </row>
    <row r="15" customFormat="false" ht="22.35" hidden="false" customHeight="false" outlineLevel="0" collapsed="false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</row>
    <row r="16" customFormat="false" ht="32.8" hidden="false" customHeight="false" outlineLevel="0" collapsed="false">
      <c r="A16" s="4" t="s">
        <v>108</v>
      </c>
      <c r="B16" s="4" t="s">
        <v>57</v>
      </c>
      <c r="C16" s="4" t="s">
        <v>109</v>
      </c>
      <c r="D16" s="4" t="s">
        <v>110</v>
      </c>
      <c r="E16" s="4" t="s">
        <v>111</v>
      </c>
    </row>
    <row r="17" customFormat="false" ht="43.25" hidden="false" customHeight="false" outlineLevel="0" collapsed="false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</row>
    <row r="18" customFormat="false" ht="22.35" hidden="false" customHeight="false" outlineLevel="0" collapsed="false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</row>
    <row r="19" customFormat="false" ht="22.35" hidden="false" customHeight="false" outlineLevel="0" collapsed="false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21.75" hidden="false" customHeight="true" outlineLevel="0" collapsed="false">
      <c r="A1" s="1" t="s">
        <v>127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128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129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134</v>
      </c>
    </row>
    <row r="5" customFormat="false" ht="22.35" hidden="false" customHeight="false" outlineLevel="0" collapsed="false">
      <c r="A5" s="4" t="s">
        <v>135</v>
      </c>
      <c r="B5" s="5" t="n">
        <v>800</v>
      </c>
      <c r="C5" s="5" t="n">
        <v>800</v>
      </c>
      <c r="D5" s="5" t="n">
        <v>800</v>
      </c>
      <c r="E5" s="4" t="s">
        <v>136</v>
      </c>
      <c r="F5" s="4" t="s">
        <v>137</v>
      </c>
    </row>
    <row r="6" customFormat="false" ht="15" hidden="false" customHeight="false" outlineLevel="0" collapsed="false">
      <c r="A6" s="4" t="s">
        <v>138</v>
      </c>
      <c r="B6" s="5" t="n">
        <v>10</v>
      </c>
      <c r="C6" s="5" t="n">
        <v>10</v>
      </c>
      <c r="D6" s="5" t="n">
        <v>10</v>
      </c>
      <c r="E6" s="4" t="s">
        <v>136</v>
      </c>
      <c r="F6" s="4" t="s">
        <v>139</v>
      </c>
    </row>
    <row r="7" customFormat="false" ht="32.8" hidden="false" customHeight="false" outlineLevel="0" collapsed="false">
      <c r="A7" s="4" t="s">
        <v>140</v>
      </c>
      <c r="B7" s="5" t="n">
        <v>12</v>
      </c>
      <c r="C7" s="5" t="n">
        <v>14</v>
      </c>
      <c r="D7" s="5" t="n">
        <v>18</v>
      </c>
      <c r="E7" s="4" t="s">
        <v>141</v>
      </c>
      <c r="F7" s="4" t="s">
        <v>142</v>
      </c>
    </row>
    <row r="8" customFormat="false" ht="22.35" hidden="false" customHeight="false" outlineLevel="0" collapsed="false">
      <c r="A8" s="4" t="s">
        <v>143</v>
      </c>
      <c r="B8" s="5" t="n">
        <v>12800</v>
      </c>
      <c r="C8" s="5" t="n">
        <v>12800</v>
      </c>
      <c r="D8" s="5" t="n">
        <v>12800</v>
      </c>
      <c r="E8" s="4" t="s">
        <v>144</v>
      </c>
      <c r="F8" s="4" t="s">
        <v>145</v>
      </c>
    </row>
    <row r="9" customFormat="false" ht="22.35" hidden="false" customHeight="false" outlineLevel="0" collapsed="false">
      <c r="A9" s="4" t="s">
        <v>146</v>
      </c>
      <c r="B9" s="5" t="n">
        <v>1.2</v>
      </c>
      <c r="C9" s="5" t="n">
        <v>1.5</v>
      </c>
      <c r="D9" s="5" t="n">
        <v>2</v>
      </c>
      <c r="E9" s="4" t="s">
        <v>144</v>
      </c>
      <c r="F9" s="4" t="s">
        <v>147</v>
      </c>
    </row>
    <row r="10" customFormat="false" ht="22.35" hidden="false" customHeight="false" outlineLevel="0" collapsed="false">
      <c r="A10" s="4" t="s">
        <v>148</v>
      </c>
      <c r="B10" s="6" t="n">
        <v>0.6</v>
      </c>
      <c r="C10" s="6" t="n">
        <v>0.7</v>
      </c>
      <c r="D10" s="6" t="n">
        <v>0.8</v>
      </c>
      <c r="E10" s="4" t="s">
        <v>149</v>
      </c>
      <c r="F10" s="4" t="s">
        <v>150</v>
      </c>
    </row>
    <row r="11" customFormat="false" ht="32.8" hidden="false" customHeight="false" outlineLevel="0" collapsed="false">
      <c r="A11" s="4" t="s">
        <v>65</v>
      </c>
      <c r="B11" s="6" t="n">
        <v>0.08</v>
      </c>
      <c r="C11" s="6" t="n">
        <v>0.15</v>
      </c>
      <c r="D11" s="6" t="n">
        <v>0.25</v>
      </c>
      <c r="E11" s="4" t="s">
        <v>149</v>
      </c>
      <c r="F11" s="4" t="s">
        <v>151</v>
      </c>
    </row>
    <row r="12" customFormat="false" ht="22.35" hidden="false" customHeight="false" outlineLevel="0" collapsed="false">
      <c r="A12" s="4" t="s">
        <v>152</v>
      </c>
      <c r="B12" s="5" t="n">
        <v>4</v>
      </c>
      <c r="C12" s="5" t="n">
        <v>5</v>
      </c>
      <c r="D12" s="5" t="n">
        <v>5</v>
      </c>
      <c r="E12" s="4" t="s">
        <v>153</v>
      </c>
      <c r="F12" s="4" t="s">
        <v>154</v>
      </c>
    </row>
    <row r="13" customFormat="false" ht="15" hidden="false" customHeight="false" outlineLevel="0" collapsed="false">
      <c r="A13" s="4" t="s">
        <v>155</v>
      </c>
      <c r="B13" s="5" t="n">
        <v>2</v>
      </c>
      <c r="C13" s="5" t="n">
        <v>3</v>
      </c>
      <c r="D13" s="5" t="n">
        <v>3</v>
      </c>
      <c r="E13" s="4" t="s">
        <v>153</v>
      </c>
      <c r="F13" s="4" t="s">
        <v>156</v>
      </c>
    </row>
    <row r="14" customFormat="false" ht="22.35" hidden="false" customHeight="false" outlineLevel="0" collapsed="false">
      <c r="A14" s="4" t="s">
        <v>157</v>
      </c>
      <c r="B14" s="5" t="n">
        <v>20</v>
      </c>
      <c r="C14" s="5" t="n">
        <v>50</v>
      </c>
      <c r="D14" s="5" t="n">
        <v>120</v>
      </c>
      <c r="E14" s="4" t="s">
        <v>158</v>
      </c>
      <c r="F14" s="4" t="s">
        <v>159</v>
      </c>
    </row>
    <row r="16" customFormat="false" ht="21.75" hidden="false" customHeight="true" outlineLevel="0" collapsed="false">
      <c r="A16" s="1" t="s">
        <v>160</v>
      </c>
      <c r="B16" s="1"/>
      <c r="C16" s="1"/>
      <c r="D16" s="1"/>
      <c r="E16" s="1"/>
      <c r="F16" s="1"/>
    </row>
    <row r="17" customFormat="false" ht="30" hidden="false" customHeight="true" outlineLevel="0" collapsed="false">
      <c r="A17" s="3" t="s">
        <v>129</v>
      </c>
      <c r="B17" s="3" t="s">
        <v>161</v>
      </c>
      <c r="C17" s="3"/>
      <c r="D17" s="3"/>
      <c r="E17" s="3" t="s">
        <v>133</v>
      </c>
      <c r="F17" s="3" t="s">
        <v>134</v>
      </c>
    </row>
    <row r="18" customFormat="false" ht="15" hidden="false" customHeight="false" outlineLevel="0" collapsed="false">
      <c r="A18" s="4" t="s">
        <v>18</v>
      </c>
      <c r="B18" s="5" t="n">
        <v>3350</v>
      </c>
      <c r="C18" s="4"/>
      <c r="D18" s="4"/>
      <c r="E18" s="4" t="s">
        <v>162</v>
      </c>
      <c r="F18" s="4" t="s">
        <v>163</v>
      </c>
    </row>
    <row r="19" customFormat="false" ht="22.35" hidden="false" customHeight="false" outlineLevel="0" collapsed="false">
      <c r="A19" s="4" t="s">
        <v>164</v>
      </c>
      <c r="B19" s="7" t="n">
        <v>0.19</v>
      </c>
      <c r="C19" s="4"/>
      <c r="D19" s="4"/>
      <c r="E19" s="4" t="s">
        <v>149</v>
      </c>
      <c r="F19" s="4" t="s">
        <v>165</v>
      </c>
    </row>
    <row r="20" customFormat="false" ht="22.35" hidden="false" customHeight="false" outlineLevel="0" collapsed="false">
      <c r="A20" s="4" t="s">
        <v>166</v>
      </c>
      <c r="B20" s="5" t="n">
        <v>1.5</v>
      </c>
      <c r="C20" s="4"/>
      <c r="D20" s="4"/>
      <c r="E20" s="4" t="s">
        <v>167</v>
      </c>
      <c r="F20" s="4" t="s">
        <v>168</v>
      </c>
    </row>
    <row r="21" customFormat="false" ht="15" hidden="false" customHeight="false" outlineLevel="0" collapsed="false">
      <c r="A21" s="4" t="s">
        <v>169</v>
      </c>
      <c r="B21" s="5" t="n">
        <v>4.33</v>
      </c>
      <c r="C21" s="4"/>
      <c r="D21" s="4"/>
      <c r="E21" s="4" t="s">
        <v>170</v>
      </c>
      <c r="F21" s="4" t="s">
        <v>171</v>
      </c>
    </row>
    <row r="22" customFormat="false" ht="22.35" hidden="false" customHeight="false" outlineLevel="0" collapsed="false">
      <c r="A22" s="4" t="s">
        <v>172</v>
      </c>
      <c r="B22" s="7" t="n">
        <v>0.08</v>
      </c>
      <c r="C22" s="4"/>
      <c r="D22" s="4"/>
      <c r="E22" s="4" t="s">
        <v>149</v>
      </c>
      <c r="F22" s="4" t="s">
        <v>173</v>
      </c>
    </row>
    <row r="23" customFormat="false" ht="22.35" hidden="false" customHeight="false" outlineLevel="0" collapsed="false">
      <c r="A23" s="4" t="s">
        <v>174</v>
      </c>
      <c r="B23" s="7" t="n">
        <v>0.7</v>
      </c>
      <c r="C23" s="4"/>
      <c r="D23" s="4"/>
      <c r="E23" s="4" t="s">
        <v>175</v>
      </c>
      <c r="F23" s="4" t="s">
        <v>176</v>
      </c>
    </row>
    <row r="24" customFormat="false" ht="22.35" hidden="false" customHeight="false" outlineLevel="0" collapsed="false">
      <c r="A24" s="4" t="s">
        <v>177</v>
      </c>
      <c r="B24" s="7" t="n">
        <v>0.025</v>
      </c>
      <c r="C24" s="4"/>
      <c r="D24" s="4"/>
      <c r="E24" s="4" t="s">
        <v>149</v>
      </c>
      <c r="F24" s="4" t="s">
        <v>178</v>
      </c>
    </row>
    <row r="25" customFormat="false" ht="22.35" hidden="false" customHeight="false" outlineLevel="0" collapsed="false">
      <c r="A25" s="4" t="s">
        <v>98</v>
      </c>
      <c r="B25" s="7" t="n">
        <v>1.19</v>
      </c>
      <c r="C25" s="4"/>
      <c r="D25" s="4"/>
      <c r="E25" s="4" t="s">
        <v>179</v>
      </c>
      <c r="F25" s="4" t="s">
        <v>180</v>
      </c>
    </row>
    <row r="26" customFormat="false" ht="22.35" hidden="false" customHeight="false" outlineLevel="0" collapsed="false">
      <c r="A26" s="4" t="s">
        <v>181</v>
      </c>
      <c r="B26" s="5" t="n">
        <v>40</v>
      </c>
      <c r="C26" s="4"/>
      <c r="D26" s="4"/>
      <c r="E26" s="4" t="s">
        <v>182</v>
      </c>
      <c r="F26" s="4" t="s">
        <v>183</v>
      </c>
    </row>
    <row r="27" customFormat="false" ht="22.35" hidden="false" customHeight="false" outlineLevel="0" collapsed="false">
      <c r="A27" s="4" t="s">
        <v>184</v>
      </c>
      <c r="B27" s="5" t="n">
        <v>15</v>
      </c>
      <c r="C27" s="4"/>
      <c r="D27" s="4"/>
      <c r="E27" s="4" t="s">
        <v>185</v>
      </c>
      <c r="F27" s="4" t="s">
        <v>186</v>
      </c>
    </row>
    <row r="28" customFormat="false" ht="15" hidden="false" customHeight="false" outlineLevel="0" collapsed="false">
      <c r="A28" s="4" t="s">
        <v>187</v>
      </c>
      <c r="B28" s="5" t="n">
        <v>7</v>
      </c>
      <c r="C28" s="4"/>
      <c r="D28" s="4"/>
      <c r="E28" s="4" t="s">
        <v>188</v>
      </c>
      <c r="F28" s="4" t="s">
        <v>189</v>
      </c>
    </row>
    <row r="29" customFormat="false" ht="22.35" hidden="false" customHeight="false" outlineLevel="0" collapsed="false">
      <c r="A29" s="4" t="s">
        <v>190</v>
      </c>
      <c r="B29" s="5" t="n">
        <v>18200</v>
      </c>
      <c r="C29" s="4"/>
      <c r="D29" s="4"/>
      <c r="E29" s="4" t="s">
        <v>191</v>
      </c>
      <c r="F29" s="4" t="s">
        <v>192</v>
      </c>
    </row>
    <row r="30" customFormat="false" ht="22.35" hidden="false" customHeight="false" outlineLevel="0" collapsed="false">
      <c r="A30" s="4" t="s">
        <v>193</v>
      </c>
      <c r="B30" s="5" t="n">
        <v>2000</v>
      </c>
      <c r="C30" s="4"/>
      <c r="D30" s="4"/>
      <c r="E30" s="4" t="s">
        <v>191</v>
      </c>
      <c r="F30" s="4" t="s">
        <v>194</v>
      </c>
    </row>
    <row r="31" customFormat="false" ht="15" hidden="false" customHeight="false" outlineLevel="0" collapsed="false">
      <c r="A31" s="4" t="s">
        <v>195</v>
      </c>
      <c r="B31" s="5" t="n">
        <v>350</v>
      </c>
      <c r="C31" s="4"/>
      <c r="D31" s="4"/>
      <c r="E31" s="4" t="s">
        <v>191</v>
      </c>
      <c r="F31" s="4" t="s">
        <v>196</v>
      </c>
    </row>
    <row r="32" customFormat="false" ht="22.35" hidden="false" customHeight="false" outlineLevel="0" collapsed="false">
      <c r="A32" s="4" t="s">
        <v>197</v>
      </c>
      <c r="B32" s="5" t="n">
        <v>4200</v>
      </c>
      <c r="C32" s="4"/>
      <c r="D32" s="4"/>
      <c r="E32" s="4" t="s">
        <v>191</v>
      </c>
      <c r="F32" s="4" t="s">
        <v>198</v>
      </c>
    </row>
    <row r="33" customFormat="false" ht="22.35" hidden="false" customHeight="false" outlineLevel="0" collapsed="false">
      <c r="A33" s="4" t="s">
        <v>199</v>
      </c>
      <c r="B33" s="5" t="n">
        <v>4000</v>
      </c>
      <c r="C33" s="4"/>
      <c r="D33" s="4"/>
      <c r="E33" s="4" t="s">
        <v>191</v>
      </c>
      <c r="F33" s="4" t="s">
        <v>200</v>
      </c>
    </row>
  </sheetData>
  <mergeCells count="3">
    <mergeCell ref="A1:F1"/>
    <mergeCell ref="A2:F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34"/>
  </cols>
  <sheetData>
    <row r="1" customFormat="false" ht="21.7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  <c r="F4" s="3" t="s">
        <v>208</v>
      </c>
      <c r="G4" s="3" t="s">
        <v>209</v>
      </c>
      <c r="H4" s="3" t="s">
        <v>104</v>
      </c>
      <c r="I4" s="3" t="s">
        <v>210</v>
      </c>
    </row>
    <row r="5" customFormat="false" ht="32.8" hidden="false" customHeight="false" outlineLevel="0" collapsed="false">
      <c r="A5" s="4" t="s">
        <v>211</v>
      </c>
      <c r="B5" s="4" t="s">
        <v>212</v>
      </c>
      <c r="C5" s="4" t="s">
        <v>213</v>
      </c>
      <c r="D5" s="8" t="n">
        <v>3</v>
      </c>
      <c r="E5" s="4" t="s">
        <v>214</v>
      </c>
      <c r="F5" s="4" t="s">
        <v>215</v>
      </c>
      <c r="G5" s="4" t="s">
        <v>216</v>
      </c>
      <c r="H5" s="4" t="s">
        <v>39</v>
      </c>
      <c r="I5" s="4" t="s">
        <v>217</v>
      </c>
    </row>
    <row r="6" customFormat="false" ht="22.35" hidden="false" customHeight="false" outlineLevel="0" collapsed="false">
      <c r="A6" s="4" t="s">
        <v>211</v>
      </c>
      <c r="B6" s="4" t="s">
        <v>218</v>
      </c>
      <c r="C6" s="4" t="s">
        <v>213</v>
      </c>
      <c r="D6" s="8" t="n">
        <v>15</v>
      </c>
      <c r="E6" s="4" t="s">
        <v>214</v>
      </c>
      <c r="F6" s="4" t="s">
        <v>215</v>
      </c>
      <c r="G6" s="4" t="s">
        <v>216</v>
      </c>
      <c r="H6" s="4" t="s">
        <v>39</v>
      </c>
      <c r="I6" s="4" t="s">
        <v>219</v>
      </c>
    </row>
    <row r="7" customFormat="false" ht="22.35" hidden="false" customHeight="false" outlineLevel="0" collapsed="false">
      <c r="A7" s="4" t="s">
        <v>211</v>
      </c>
      <c r="B7" s="4" t="s">
        <v>220</v>
      </c>
      <c r="C7" s="4" t="s">
        <v>213</v>
      </c>
      <c r="D7" s="8" t="n">
        <v>3.75</v>
      </c>
      <c r="E7" s="4" t="s">
        <v>214</v>
      </c>
      <c r="F7" s="4" t="s">
        <v>215</v>
      </c>
      <c r="G7" s="4" t="s">
        <v>216</v>
      </c>
      <c r="H7" s="4" t="s">
        <v>39</v>
      </c>
      <c r="I7" s="4" t="s">
        <v>221</v>
      </c>
    </row>
    <row r="8" customFormat="false" ht="22.35" hidden="false" customHeight="false" outlineLevel="0" collapsed="false">
      <c r="A8" s="4" t="s">
        <v>211</v>
      </c>
      <c r="B8" s="4" t="s">
        <v>222</v>
      </c>
      <c r="C8" s="4" t="s">
        <v>213</v>
      </c>
      <c r="D8" s="8" t="n">
        <v>6</v>
      </c>
      <c r="E8" s="4" t="s">
        <v>214</v>
      </c>
      <c r="F8" s="4" t="s">
        <v>215</v>
      </c>
      <c r="G8" s="4" t="s">
        <v>216</v>
      </c>
      <c r="H8" s="4" t="s">
        <v>39</v>
      </c>
      <c r="I8" s="4" t="s">
        <v>223</v>
      </c>
    </row>
    <row r="9" customFormat="false" ht="22.35" hidden="false" customHeight="false" outlineLevel="0" collapsed="false">
      <c r="A9" s="4" t="s">
        <v>211</v>
      </c>
      <c r="B9" s="4" t="s">
        <v>224</v>
      </c>
      <c r="C9" s="4" t="s">
        <v>213</v>
      </c>
      <c r="D9" s="8" t="n">
        <v>0.3</v>
      </c>
      <c r="E9" s="4" t="s">
        <v>214</v>
      </c>
      <c r="F9" s="4" t="s">
        <v>215</v>
      </c>
      <c r="G9" s="4" t="s">
        <v>216</v>
      </c>
      <c r="H9" s="4" t="s">
        <v>39</v>
      </c>
      <c r="I9" s="4" t="s">
        <v>225</v>
      </c>
    </row>
    <row r="10" customFormat="false" ht="32.8" hidden="false" customHeight="false" outlineLevel="0" collapsed="false">
      <c r="A10" s="4" t="s">
        <v>211</v>
      </c>
      <c r="B10" s="4" t="s">
        <v>226</v>
      </c>
      <c r="C10" s="4" t="s">
        <v>213</v>
      </c>
      <c r="D10" s="8" t="n">
        <v>1</v>
      </c>
      <c r="E10" s="4" t="s">
        <v>214</v>
      </c>
      <c r="F10" s="4" t="s">
        <v>215</v>
      </c>
      <c r="G10" s="4" t="s">
        <v>216</v>
      </c>
      <c r="H10" s="4" t="s">
        <v>39</v>
      </c>
      <c r="I10" s="4" t="s">
        <v>227</v>
      </c>
    </row>
    <row r="11" customFormat="false" ht="22.35" hidden="false" customHeight="false" outlineLevel="0" collapsed="false">
      <c r="A11" s="4" t="s">
        <v>211</v>
      </c>
      <c r="B11" s="4" t="s">
        <v>228</v>
      </c>
      <c r="C11" s="4" t="s">
        <v>229</v>
      </c>
      <c r="D11" s="8" t="n">
        <v>1.1</v>
      </c>
      <c r="E11" s="4" t="s">
        <v>167</v>
      </c>
      <c r="F11" s="4" t="s">
        <v>215</v>
      </c>
      <c r="G11" s="4" t="s">
        <v>216</v>
      </c>
      <c r="H11" s="4" t="s">
        <v>39</v>
      </c>
      <c r="I11" s="4" t="s">
        <v>230</v>
      </c>
    </row>
    <row r="12" customFormat="false" ht="43.25" hidden="false" customHeight="false" outlineLevel="0" collapsed="false">
      <c r="A12" s="4" t="s">
        <v>231</v>
      </c>
      <c r="B12" s="4" t="s">
        <v>232</v>
      </c>
      <c r="C12" s="4" t="s">
        <v>233</v>
      </c>
      <c r="D12" s="8" t="n">
        <v>0.0014</v>
      </c>
      <c r="E12" s="4" t="s">
        <v>214</v>
      </c>
      <c r="F12" s="4" t="s">
        <v>215</v>
      </c>
      <c r="G12" s="4" t="s">
        <v>234</v>
      </c>
      <c r="H12" s="4" t="s">
        <v>41</v>
      </c>
      <c r="I12" s="4" t="s">
        <v>235</v>
      </c>
    </row>
    <row r="13" customFormat="false" ht="32.8" hidden="false" customHeight="false" outlineLevel="0" collapsed="false">
      <c r="A13" s="4" t="s">
        <v>231</v>
      </c>
      <c r="B13" s="4" t="s">
        <v>236</v>
      </c>
      <c r="C13" s="4" t="s">
        <v>233</v>
      </c>
      <c r="D13" s="8" t="n">
        <v>0.025</v>
      </c>
      <c r="E13" s="4" t="s">
        <v>214</v>
      </c>
      <c r="F13" s="4" t="s">
        <v>215</v>
      </c>
      <c r="G13" s="4" t="s">
        <v>234</v>
      </c>
      <c r="H13" s="4" t="s">
        <v>237</v>
      </c>
      <c r="I13" s="4" t="s">
        <v>238</v>
      </c>
    </row>
    <row r="14" customFormat="false" ht="53.7" hidden="false" customHeight="false" outlineLevel="0" collapsed="false">
      <c r="A14" s="4" t="s">
        <v>231</v>
      </c>
      <c r="B14" s="4" t="s">
        <v>239</v>
      </c>
      <c r="C14" s="4" t="s">
        <v>233</v>
      </c>
      <c r="D14" s="8" t="n">
        <v>0.0014</v>
      </c>
      <c r="E14" s="4" t="s">
        <v>214</v>
      </c>
      <c r="F14" s="4" t="s">
        <v>215</v>
      </c>
      <c r="G14" s="4" t="s">
        <v>240</v>
      </c>
      <c r="H14" s="4" t="s">
        <v>241</v>
      </c>
      <c r="I14" s="4" t="s">
        <v>242</v>
      </c>
    </row>
    <row r="15" customFormat="false" ht="22.35" hidden="false" customHeight="false" outlineLevel="0" collapsed="false">
      <c r="A15" s="4" t="s">
        <v>231</v>
      </c>
      <c r="B15" s="4" t="s">
        <v>243</v>
      </c>
      <c r="C15" s="4" t="s">
        <v>244</v>
      </c>
      <c r="D15" s="8" t="n">
        <v>0</v>
      </c>
      <c r="E15" s="4" t="s">
        <v>214</v>
      </c>
      <c r="F15" s="4" t="s">
        <v>215</v>
      </c>
      <c r="G15" s="4" t="s">
        <v>234</v>
      </c>
      <c r="H15" s="4" t="s">
        <v>39</v>
      </c>
      <c r="I15" s="4" t="s">
        <v>245</v>
      </c>
    </row>
    <row r="16" customFormat="false" ht="32.8" hidden="false" customHeight="false" outlineLevel="0" collapsed="false">
      <c r="A16" s="4" t="s">
        <v>231</v>
      </c>
      <c r="B16" s="4" t="s">
        <v>246</v>
      </c>
      <c r="C16" s="4" t="s">
        <v>247</v>
      </c>
      <c r="D16" s="8" t="n">
        <v>250</v>
      </c>
      <c r="E16" s="4" t="s">
        <v>248</v>
      </c>
      <c r="F16" s="4" t="s">
        <v>215</v>
      </c>
      <c r="G16" s="4" t="s">
        <v>249</v>
      </c>
      <c r="H16" s="4" t="s">
        <v>39</v>
      </c>
      <c r="I16" s="4" t="s">
        <v>250</v>
      </c>
    </row>
    <row r="17" customFormat="false" ht="22.35" hidden="false" customHeight="false" outlineLevel="0" collapsed="false">
      <c r="A17" s="4" t="s">
        <v>251</v>
      </c>
      <c r="B17" s="4" t="s">
        <v>252</v>
      </c>
      <c r="C17" s="4" t="s">
        <v>253</v>
      </c>
      <c r="D17" s="8" t="n">
        <v>0.04048</v>
      </c>
      <c r="E17" s="4" t="s">
        <v>214</v>
      </c>
      <c r="F17" s="4" t="s">
        <v>215</v>
      </c>
      <c r="G17" s="4" t="s">
        <v>254</v>
      </c>
      <c r="H17" s="4" t="s">
        <v>41</v>
      </c>
      <c r="I17" s="4" t="s">
        <v>255</v>
      </c>
    </row>
    <row r="18" customFormat="false" ht="15" hidden="false" customHeight="false" outlineLevel="0" collapsed="false">
      <c r="A18" s="4" t="s">
        <v>251</v>
      </c>
      <c r="B18" s="4" t="s">
        <v>256</v>
      </c>
      <c r="C18" s="4" t="s">
        <v>257</v>
      </c>
      <c r="D18" s="8" t="n">
        <v>0.004445</v>
      </c>
      <c r="E18" s="4" t="s">
        <v>214</v>
      </c>
      <c r="F18" s="4" t="s">
        <v>215</v>
      </c>
      <c r="G18" s="4" t="s">
        <v>254</v>
      </c>
      <c r="H18" s="4" t="s">
        <v>41</v>
      </c>
      <c r="I18" s="4"/>
    </row>
    <row r="19" customFormat="false" ht="32.8" hidden="false" customHeight="false" outlineLevel="0" collapsed="false">
      <c r="A19" s="4" t="s">
        <v>251</v>
      </c>
      <c r="B19" s="4" t="s">
        <v>258</v>
      </c>
      <c r="C19" s="4" t="s">
        <v>259</v>
      </c>
      <c r="D19" s="8" t="n">
        <v>0.065</v>
      </c>
      <c r="E19" s="4" t="s">
        <v>214</v>
      </c>
      <c r="F19" s="4" t="s">
        <v>215</v>
      </c>
      <c r="G19" s="4" t="s">
        <v>260</v>
      </c>
      <c r="H19" s="4" t="s">
        <v>41</v>
      </c>
      <c r="I19" s="4" t="s">
        <v>261</v>
      </c>
    </row>
    <row r="20" customFormat="false" ht="22.35" hidden="false" customHeight="false" outlineLevel="0" collapsed="false">
      <c r="A20" s="4" t="s">
        <v>251</v>
      </c>
      <c r="B20" s="4" t="s">
        <v>262</v>
      </c>
      <c r="C20" s="4" t="s">
        <v>259</v>
      </c>
      <c r="D20" s="8" t="n">
        <v>0.0128</v>
      </c>
      <c r="E20" s="4" t="s">
        <v>214</v>
      </c>
      <c r="F20" s="4" t="s">
        <v>215</v>
      </c>
      <c r="G20" s="4" t="s">
        <v>263</v>
      </c>
      <c r="H20" s="4" t="s">
        <v>41</v>
      </c>
      <c r="I20" s="4" t="s">
        <v>264</v>
      </c>
    </row>
    <row r="21" customFormat="false" ht="22.35" hidden="false" customHeight="false" outlineLevel="0" collapsed="false">
      <c r="A21" s="4" t="s">
        <v>251</v>
      </c>
      <c r="B21" s="4" t="s">
        <v>265</v>
      </c>
      <c r="C21" s="4" t="s">
        <v>266</v>
      </c>
      <c r="D21" s="8" t="n">
        <v>0.095</v>
      </c>
      <c r="E21" s="4" t="s">
        <v>214</v>
      </c>
      <c r="F21" s="4" t="s">
        <v>215</v>
      </c>
      <c r="G21" s="4" t="s">
        <v>260</v>
      </c>
      <c r="H21" s="4" t="s">
        <v>41</v>
      </c>
      <c r="I21" s="4" t="s">
        <v>267</v>
      </c>
    </row>
    <row r="22" customFormat="false" ht="32.8" hidden="false" customHeight="false" outlineLevel="0" collapsed="false">
      <c r="A22" s="4" t="s">
        <v>251</v>
      </c>
      <c r="B22" s="4" t="s">
        <v>268</v>
      </c>
      <c r="C22" s="4" t="s">
        <v>269</v>
      </c>
      <c r="D22" s="8" t="n">
        <v>90</v>
      </c>
      <c r="E22" s="4" t="s">
        <v>214</v>
      </c>
      <c r="F22" s="4" t="s">
        <v>215</v>
      </c>
      <c r="G22" s="4" t="s">
        <v>270</v>
      </c>
      <c r="H22" s="4" t="s">
        <v>41</v>
      </c>
      <c r="I22" s="4" t="s">
        <v>271</v>
      </c>
    </row>
    <row r="24" customFormat="false" ht="30" hidden="false" customHeight="true" outlineLevel="0" collapsed="false">
      <c r="A24" s="2" t="s">
        <v>272</v>
      </c>
      <c r="B24" s="2"/>
      <c r="C24" s="2"/>
      <c r="D24" s="2"/>
      <c r="E24" s="2"/>
      <c r="F24" s="2"/>
      <c r="G24" s="2"/>
      <c r="H24" s="2"/>
      <c r="I24" s="2"/>
    </row>
  </sheetData>
  <mergeCells count="3">
    <mergeCell ref="A1:I1"/>
    <mergeCell ref="A2:I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44"/>
  </cols>
  <sheetData>
    <row r="1" customFormat="false" ht="21.75" hidden="false" customHeight="true" outlineLevel="0" collapsed="false">
      <c r="A1" s="1" t="s">
        <v>273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274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275</v>
      </c>
      <c r="B4" s="3" t="s">
        <v>276</v>
      </c>
      <c r="C4" s="3" t="s">
        <v>277</v>
      </c>
      <c r="D4" s="3" t="s">
        <v>278</v>
      </c>
      <c r="E4" s="3" t="s">
        <v>279</v>
      </c>
      <c r="F4" s="3" t="s">
        <v>280</v>
      </c>
      <c r="G4" s="3" t="s">
        <v>281</v>
      </c>
    </row>
    <row r="5" customFormat="false" ht="32.8" hidden="false" customHeight="false" outlineLevel="0" collapsed="false">
      <c r="A5" s="4" t="s">
        <v>282</v>
      </c>
      <c r="B5" s="9" t="n">
        <v>14000000</v>
      </c>
      <c r="C5" s="10" t="n">
        <f aca="false">02_Supuestos!$B$20</f>
        <v>1.5</v>
      </c>
      <c r="D5" s="9" t="n">
        <f aca="false">B5*C5</f>
        <v>21000000</v>
      </c>
      <c r="E5" s="9" t="n">
        <f aca="false">D5/02_Supuestos!$B$18</f>
        <v>6268.65671641791</v>
      </c>
      <c r="F5" s="9" t="n">
        <f aca="false">E5/02_Supuestos!$B$21</f>
        <v>1447.72672434594</v>
      </c>
      <c r="G5" s="4" t="s">
        <v>283</v>
      </c>
    </row>
    <row r="6" customFormat="false" ht="32.8" hidden="false" customHeight="false" outlineLevel="0" collapsed="false">
      <c r="A6" s="4" t="s">
        <v>284</v>
      </c>
      <c r="B6" s="9" t="n">
        <v>10000000</v>
      </c>
      <c r="C6" s="10" t="n">
        <f aca="false">02_Supuestos!$B$20</f>
        <v>1.5</v>
      </c>
      <c r="D6" s="9" t="n">
        <f aca="false">B6*C6</f>
        <v>15000000</v>
      </c>
      <c r="E6" s="9" t="n">
        <f aca="false">D6/02_Supuestos!$B$18</f>
        <v>4477.61194029851</v>
      </c>
      <c r="F6" s="9" t="n">
        <f aca="false">E6/02_Supuestos!$B$21</f>
        <v>1034.09051738996</v>
      </c>
      <c r="G6" s="4" t="s">
        <v>283</v>
      </c>
    </row>
    <row r="7" customFormat="false" ht="32.8" hidden="false" customHeight="false" outlineLevel="0" collapsed="false">
      <c r="A7" s="4" t="s">
        <v>285</v>
      </c>
      <c r="B7" s="9" t="n">
        <v>7000000</v>
      </c>
      <c r="C7" s="10" t="n">
        <f aca="false">02_Supuestos!$B$20</f>
        <v>1.5</v>
      </c>
      <c r="D7" s="9" t="n">
        <f aca="false">B7*C7</f>
        <v>10500000</v>
      </c>
      <c r="E7" s="9" t="n">
        <f aca="false">D7/02_Supuestos!$B$18</f>
        <v>3134.32835820896</v>
      </c>
      <c r="F7" s="9" t="n">
        <f aca="false">E7/02_Supuestos!$B$21</f>
        <v>723.863362172969</v>
      </c>
      <c r="G7" s="4" t="s">
        <v>283</v>
      </c>
    </row>
    <row r="8" customFormat="false" ht="32.8" hidden="false" customHeight="false" outlineLevel="0" collapsed="false">
      <c r="A8" s="4" t="s">
        <v>286</v>
      </c>
      <c r="B8" s="9" t="n">
        <v>12000000</v>
      </c>
      <c r="C8" s="10" t="n">
        <f aca="false">02_Supuestos!$B$20</f>
        <v>1.5</v>
      </c>
      <c r="D8" s="9" t="n">
        <f aca="false">B8*C8</f>
        <v>18000000</v>
      </c>
      <c r="E8" s="9" t="n">
        <f aca="false">D8/02_Supuestos!$B$18</f>
        <v>5373.13432835821</v>
      </c>
      <c r="F8" s="9" t="n">
        <f aca="false">E8/02_Supuestos!$B$21</f>
        <v>1240.90862086795</v>
      </c>
      <c r="G8" s="4" t="s">
        <v>283</v>
      </c>
    </row>
    <row r="9" customFormat="false" ht="32.8" hidden="false" customHeight="false" outlineLevel="0" collapsed="false">
      <c r="A9" s="4" t="s">
        <v>287</v>
      </c>
      <c r="B9" s="9" t="n">
        <v>7500000</v>
      </c>
      <c r="C9" s="10" t="n">
        <f aca="false">02_Supuestos!$B$20</f>
        <v>1.5</v>
      </c>
      <c r="D9" s="9" t="n">
        <f aca="false">B9*C9</f>
        <v>11250000</v>
      </c>
      <c r="E9" s="9" t="n">
        <f aca="false">D9/02_Supuestos!$B$18</f>
        <v>3358.20895522388</v>
      </c>
      <c r="F9" s="9" t="n">
        <f aca="false">E9/02_Supuestos!$B$21</f>
        <v>775.567888042467</v>
      </c>
      <c r="G9" s="4" t="s">
        <v>283</v>
      </c>
    </row>
    <row r="10" customFormat="false" ht="32.8" hidden="false" customHeight="false" outlineLevel="0" collapsed="false">
      <c r="A10" s="4" t="s">
        <v>288</v>
      </c>
      <c r="B10" s="9" t="n">
        <v>11000000</v>
      </c>
      <c r="C10" s="10" t="n">
        <f aca="false">02_Supuestos!$B$20</f>
        <v>1.5</v>
      </c>
      <c r="D10" s="9" t="n">
        <f aca="false">B10*C10</f>
        <v>16500000</v>
      </c>
      <c r="E10" s="9" t="n">
        <f aca="false">D10/02_Supuestos!$B$18</f>
        <v>4925.37313432836</v>
      </c>
      <c r="F10" s="9" t="n">
        <f aca="false">E10/02_Supuestos!$B$21</f>
        <v>1137.49956912895</v>
      </c>
      <c r="G10" s="4" t="s">
        <v>283</v>
      </c>
    </row>
    <row r="11" customFormat="false" ht="32.8" hidden="false" customHeight="false" outlineLevel="0" collapsed="false">
      <c r="A11" s="4" t="s">
        <v>289</v>
      </c>
      <c r="B11" s="9" t="n">
        <v>6500000</v>
      </c>
      <c r="C11" s="10" t="n">
        <f aca="false">02_Supuestos!$B$20</f>
        <v>1.5</v>
      </c>
      <c r="D11" s="9" t="n">
        <f aca="false">B11*C11</f>
        <v>9750000</v>
      </c>
      <c r="E11" s="9" t="n">
        <f aca="false">D11/02_Supuestos!$B$18</f>
        <v>2910.44776119403</v>
      </c>
      <c r="F11" s="9" t="n">
        <f aca="false">E11/02_Supuestos!$B$21</f>
        <v>672.158836303471</v>
      </c>
      <c r="G11" s="4" t="s">
        <v>283</v>
      </c>
    </row>
    <row r="12" customFormat="false" ht="32.8" hidden="false" customHeight="false" outlineLevel="0" collapsed="false">
      <c r="A12" s="4" t="s">
        <v>290</v>
      </c>
      <c r="B12" s="9" t="n">
        <v>7000000</v>
      </c>
      <c r="C12" s="10" t="n">
        <f aca="false">02_Supuestos!$B$20</f>
        <v>1.5</v>
      </c>
      <c r="D12" s="9" t="n">
        <f aca="false">B12*C12</f>
        <v>10500000</v>
      </c>
      <c r="E12" s="9" t="n">
        <f aca="false">D12/02_Supuestos!$B$18</f>
        <v>3134.32835820896</v>
      </c>
      <c r="F12" s="9" t="n">
        <f aca="false">E12/02_Supuestos!$B$21</f>
        <v>723.863362172969</v>
      </c>
      <c r="G12" s="4" t="s">
        <v>283</v>
      </c>
    </row>
    <row r="13" customFormat="false" ht="32.8" hidden="false" customHeight="false" outlineLevel="0" collapsed="false">
      <c r="A13" s="4" t="s">
        <v>291</v>
      </c>
      <c r="B13" s="9" t="n">
        <v>3000000</v>
      </c>
      <c r="C13" s="10" t="n">
        <f aca="false">02_Supuestos!$B$20</f>
        <v>1.5</v>
      </c>
      <c r="D13" s="9" t="n">
        <f aca="false">B13*C13</f>
        <v>4500000</v>
      </c>
      <c r="E13" s="9" t="n">
        <f aca="false">D13/02_Supuestos!$B$18</f>
        <v>1343.28358208955</v>
      </c>
      <c r="F13" s="9" t="n">
        <f aca="false">E13/02_Supuestos!$B$21</f>
        <v>310.227155216987</v>
      </c>
      <c r="G13" s="4" t="s">
        <v>283</v>
      </c>
    </row>
    <row r="14" customFormat="false" ht="32.8" hidden="false" customHeight="false" outlineLevel="0" collapsed="false">
      <c r="A14" s="4" t="s">
        <v>292</v>
      </c>
      <c r="B14" s="9" t="n">
        <v>4500000</v>
      </c>
      <c r="C14" s="10" t="n">
        <f aca="false">02_Supuestos!$B$20</f>
        <v>1.5</v>
      </c>
      <c r="D14" s="9" t="n">
        <f aca="false">B14*C14</f>
        <v>6750000</v>
      </c>
      <c r="E14" s="9" t="n">
        <f aca="false">D14/02_Supuestos!$B$18</f>
        <v>2014.92537313433</v>
      </c>
      <c r="F14" s="9" t="n">
        <f aca="false">E14/02_Supuestos!$B$21</f>
        <v>465.34073282548</v>
      </c>
      <c r="G14" s="4" t="s">
        <v>283</v>
      </c>
    </row>
    <row r="15" customFormat="false" ht="32.8" hidden="false" customHeight="false" outlineLevel="0" collapsed="false">
      <c r="A15" s="4" t="s">
        <v>293</v>
      </c>
      <c r="B15" s="9" t="n">
        <v>8000000</v>
      </c>
      <c r="C15" s="10" t="n">
        <f aca="false">02_Supuestos!$B$20</f>
        <v>1.5</v>
      </c>
      <c r="D15" s="9" t="n">
        <f aca="false">B15*C15</f>
        <v>12000000</v>
      </c>
      <c r="E15" s="9" t="n">
        <f aca="false">D15/02_Supuestos!$B$18</f>
        <v>3582.08955223881</v>
      </c>
      <c r="F15" s="9" t="n">
        <f aca="false">E15/02_Supuestos!$B$21</f>
        <v>827.272413911964</v>
      </c>
      <c r="G15" s="4" t="s">
        <v>283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42"/>
  </cols>
  <sheetData>
    <row r="1" customFormat="false" ht="21.75" hidden="false" customHeight="true" outlineLevel="0" collapsed="false">
      <c r="A1" s="1" t="s">
        <v>294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295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296</v>
      </c>
      <c r="B4" s="3" t="s">
        <v>297</v>
      </c>
      <c r="C4" s="3" t="s">
        <v>298</v>
      </c>
      <c r="D4" s="3" t="s">
        <v>299</v>
      </c>
      <c r="E4" s="3" t="s">
        <v>300</v>
      </c>
      <c r="F4" s="3" t="s">
        <v>301</v>
      </c>
    </row>
    <row r="5" customFormat="false" ht="22.35" hidden="false" customHeight="false" outlineLevel="0" collapsed="false">
      <c r="A5" s="4" t="s">
        <v>302</v>
      </c>
      <c r="B5" s="4" t="s">
        <v>303</v>
      </c>
      <c r="C5" s="11" t="n">
        <v>3.5</v>
      </c>
      <c r="D5" s="9" t="n">
        <v>4240</v>
      </c>
      <c r="E5" s="4" t="s">
        <v>304</v>
      </c>
      <c r="F5" s="4" t="s">
        <v>305</v>
      </c>
    </row>
    <row r="6" customFormat="false" ht="15" hidden="false" customHeight="false" outlineLevel="0" collapsed="false">
      <c r="A6" s="4" t="s">
        <v>306</v>
      </c>
      <c r="B6" s="4" t="s">
        <v>307</v>
      </c>
      <c r="C6" s="11" t="n">
        <v>4</v>
      </c>
      <c r="D6" s="9" t="n">
        <v>5171</v>
      </c>
      <c r="E6" s="4" t="s">
        <v>304</v>
      </c>
      <c r="F6" s="4"/>
    </row>
    <row r="7" customFormat="false" ht="15" hidden="false" customHeight="false" outlineLevel="0" collapsed="false">
      <c r="A7" s="4" t="s">
        <v>308</v>
      </c>
      <c r="B7" s="4" t="s">
        <v>309</v>
      </c>
      <c r="C7" s="11" t="n">
        <v>4</v>
      </c>
      <c r="D7" s="9" t="n">
        <v>4240</v>
      </c>
      <c r="E7" s="4" t="s">
        <v>310</v>
      </c>
      <c r="F7" s="4"/>
    </row>
    <row r="8" customFormat="false" ht="22.35" hidden="false" customHeight="false" outlineLevel="0" collapsed="false">
      <c r="A8" s="4" t="s">
        <v>311</v>
      </c>
      <c r="B8" s="4" t="s">
        <v>312</v>
      </c>
      <c r="C8" s="11" t="n">
        <v>3</v>
      </c>
      <c r="D8" s="9" t="n">
        <v>2275</v>
      </c>
      <c r="E8" s="4" t="s">
        <v>313</v>
      </c>
      <c r="F8" s="4" t="s">
        <v>314</v>
      </c>
    </row>
    <row r="9" customFormat="false" ht="22.35" hidden="false" customHeight="false" outlineLevel="0" collapsed="false">
      <c r="A9" s="4" t="s">
        <v>315</v>
      </c>
      <c r="B9" s="4" t="s">
        <v>316</v>
      </c>
      <c r="C9" s="11" t="n">
        <v>3.5</v>
      </c>
      <c r="D9" s="9" t="n">
        <v>3568</v>
      </c>
      <c r="E9" s="4" t="s">
        <v>317</v>
      </c>
      <c r="F9" s="4" t="s">
        <v>318</v>
      </c>
    </row>
    <row r="10" customFormat="false" ht="22.35" hidden="false" customHeight="false" outlineLevel="0" collapsed="false">
      <c r="A10" s="4" t="s">
        <v>319</v>
      </c>
      <c r="B10" s="4" t="s">
        <v>320</v>
      </c>
      <c r="C10" s="11" t="n">
        <v>4</v>
      </c>
      <c r="D10" s="9" t="n">
        <v>4395</v>
      </c>
      <c r="E10" s="4" t="s">
        <v>321</v>
      </c>
      <c r="F10" s="4" t="s">
        <v>322</v>
      </c>
    </row>
    <row r="11" customFormat="false" ht="15" hidden="false" customHeight="false" outlineLevel="0" collapsed="false">
      <c r="A11" s="4" t="s">
        <v>323</v>
      </c>
      <c r="B11" s="4" t="s">
        <v>324</v>
      </c>
      <c r="C11" s="11" t="n">
        <v>6</v>
      </c>
      <c r="D11" s="9" t="n">
        <v>6619</v>
      </c>
      <c r="E11" s="4" t="s">
        <v>325</v>
      </c>
      <c r="F11" s="4"/>
    </row>
    <row r="12" customFormat="false" ht="15" hidden="false" customHeight="false" outlineLevel="0" collapsed="false">
      <c r="A12" s="4" t="s">
        <v>326</v>
      </c>
      <c r="B12" s="4" t="s">
        <v>327</v>
      </c>
      <c r="C12" s="11" t="n">
        <v>4.5</v>
      </c>
      <c r="D12" s="9" t="n">
        <v>4446</v>
      </c>
      <c r="E12" s="4" t="s">
        <v>325</v>
      </c>
      <c r="F12" s="4"/>
    </row>
    <row r="13" customFormat="false" ht="15" hidden="false" customHeight="false" outlineLevel="0" collapsed="false">
      <c r="A13" s="4" t="s">
        <v>328</v>
      </c>
      <c r="B13" s="4" t="s">
        <v>329</v>
      </c>
      <c r="C13" s="11" t="n">
        <v>4</v>
      </c>
      <c r="D13" s="9" t="n">
        <v>4551</v>
      </c>
      <c r="E13" s="4" t="s">
        <v>325</v>
      </c>
      <c r="F13" s="4"/>
    </row>
    <row r="14" customFormat="false" ht="15" hidden="false" customHeight="false" outlineLevel="0" collapsed="false">
      <c r="A14" s="4" t="s">
        <v>330</v>
      </c>
      <c r="B14" s="4" t="s">
        <v>331</v>
      </c>
      <c r="C14" s="11" t="n">
        <v>4</v>
      </c>
      <c r="D14" s="9" t="n">
        <v>3671</v>
      </c>
      <c r="E14" s="4" t="s">
        <v>332</v>
      </c>
      <c r="F14" s="4"/>
    </row>
    <row r="15" customFormat="false" ht="15" hidden="false" customHeight="false" outlineLevel="0" collapsed="false">
      <c r="A15" s="4" t="s">
        <v>333</v>
      </c>
      <c r="B15" s="4" t="s">
        <v>334</v>
      </c>
      <c r="C15" s="11" t="n">
        <v>1.5</v>
      </c>
      <c r="D15" s="9" t="n">
        <v>1086</v>
      </c>
      <c r="E15" s="4" t="s">
        <v>325</v>
      </c>
      <c r="F15" s="4" t="s">
        <v>335</v>
      </c>
    </row>
    <row r="16" customFormat="false" ht="22.35" hidden="false" customHeight="false" outlineLevel="0" collapsed="false">
      <c r="A16" s="4" t="s">
        <v>336</v>
      </c>
      <c r="B16" s="4" t="s">
        <v>337</v>
      </c>
      <c r="C16" s="11" t="n">
        <v>5</v>
      </c>
      <c r="D16" s="9" t="n">
        <v>3826</v>
      </c>
      <c r="E16" s="4" t="s">
        <v>325</v>
      </c>
      <c r="F16" s="4" t="s">
        <v>338</v>
      </c>
    </row>
    <row r="17" customFormat="false" ht="15" hidden="false" customHeight="false" outlineLevel="0" collapsed="false">
      <c r="A17" s="4" t="s">
        <v>339</v>
      </c>
      <c r="B17" s="4" t="s">
        <v>340</v>
      </c>
      <c r="C17" s="11" t="n">
        <v>3</v>
      </c>
      <c r="D17" s="9" t="n">
        <v>2740</v>
      </c>
      <c r="E17" s="4" t="s">
        <v>325</v>
      </c>
      <c r="F17" s="4" t="s">
        <v>341</v>
      </c>
    </row>
    <row r="18" customFormat="false" ht="22.35" hidden="false" customHeight="false" outlineLevel="0" collapsed="false">
      <c r="A18" s="4" t="s">
        <v>342</v>
      </c>
      <c r="B18" s="4" t="s">
        <v>343</v>
      </c>
      <c r="C18" s="11" t="n">
        <v>7</v>
      </c>
      <c r="D18" s="9" t="n">
        <v>6411</v>
      </c>
      <c r="E18" s="4" t="s">
        <v>344</v>
      </c>
      <c r="F18" s="4" t="s">
        <v>345</v>
      </c>
    </row>
    <row r="19" customFormat="false" ht="15" hidden="false" customHeight="false" outlineLevel="0" collapsed="false">
      <c r="A19" s="4" t="s">
        <v>346</v>
      </c>
      <c r="B19" s="4" t="s">
        <v>347</v>
      </c>
      <c r="C19" s="11" t="n">
        <v>3.5</v>
      </c>
      <c r="D19" s="9" t="n">
        <v>2481</v>
      </c>
      <c r="E19" s="4" t="s">
        <v>348</v>
      </c>
      <c r="F19" s="4"/>
    </row>
    <row r="20" customFormat="false" ht="22.35" hidden="false" customHeight="false" outlineLevel="0" collapsed="false">
      <c r="A20" s="4" t="s">
        <v>349</v>
      </c>
      <c r="B20" s="4" t="s">
        <v>350</v>
      </c>
      <c r="C20" s="11" t="n">
        <v>4.5</v>
      </c>
      <c r="D20" s="9" t="n">
        <v>5326</v>
      </c>
      <c r="E20" s="4" t="s">
        <v>351</v>
      </c>
      <c r="F20" s="4" t="s">
        <v>352</v>
      </c>
    </row>
    <row r="21" customFormat="false" ht="22.35" hidden="false" customHeight="false" outlineLevel="0" collapsed="false">
      <c r="A21" s="4" t="s">
        <v>353</v>
      </c>
      <c r="B21" s="4" t="s">
        <v>354</v>
      </c>
      <c r="C21" s="11" t="n">
        <v>2</v>
      </c>
      <c r="D21" s="9" t="n">
        <v>2000</v>
      </c>
      <c r="E21" s="4" t="s">
        <v>351</v>
      </c>
      <c r="F21" s="4" t="s">
        <v>355</v>
      </c>
    </row>
    <row r="22" customFormat="false" ht="22.35" hidden="false" customHeight="false" outlineLevel="0" collapsed="false">
      <c r="A22" s="4" t="s">
        <v>356</v>
      </c>
      <c r="B22" s="4" t="s">
        <v>357</v>
      </c>
      <c r="C22" s="11" t="n">
        <v>4</v>
      </c>
      <c r="D22" s="9" t="n">
        <v>3412</v>
      </c>
      <c r="E22" s="4" t="s">
        <v>344</v>
      </c>
      <c r="F22" s="4" t="s">
        <v>358</v>
      </c>
    </row>
    <row r="23" customFormat="false" ht="15" hidden="false" customHeight="false" outlineLevel="0" collapsed="false">
      <c r="A23" s="4" t="s">
        <v>359</v>
      </c>
      <c r="B23" s="4" t="s">
        <v>360</v>
      </c>
      <c r="C23" s="11" t="n">
        <v>4</v>
      </c>
      <c r="D23" s="9" t="n">
        <v>3929</v>
      </c>
      <c r="E23" s="4" t="s">
        <v>361</v>
      </c>
      <c r="F23" s="4"/>
    </row>
    <row r="24" customFormat="false" ht="22.35" hidden="false" customHeight="false" outlineLevel="0" collapsed="false">
      <c r="A24" s="4" t="s">
        <v>362</v>
      </c>
      <c r="B24" s="4" t="s">
        <v>363</v>
      </c>
      <c r="C24" s="11" t="n">
        <v>4</v>
      </c>
      <c r="D24" s="9" t="n">
        <v>3309</v>
      </c>
      <c r="E24" s="4" t="s">
        <v>304</v>
      </c>
      <c r="F24" s="4" t="s">
        <v>364</v>
      </c>
    </row>
    <row r="25" customFormat="false" ht="15" hidden="false" customHeight="false" outlineLevel="0" collapsed="false">
      <c r="A25" s="4" t="s">
        <v>365</v>
      </c>
      <c r="B25" s="4" t="s">
        <v>366</v>
      </c>
      <c r="C25" s="11" t="n">
        <v>5</v>
      </c>
      <c r="D25" s="9" t="n">
        <v>6619</v>
      </c>
      <c r="E25" s="4" t="s">
        <v>304</v>
      </c>
      <c r="F25" s="4" t="s">
        <v>367</v>
      </c>
    </row>
    <row r="26" customFormat="false" ht="22.35" hidden="false" customHeight="false" outlineLevel="0" collapsed="false">
      <c r="A26" s="4" t="s">
        <v>368</v>
      </c>
      <c r="B26" s="4" t="s">
        <v>369</v>
      </c>
      <c r="C26" s="11" t="n">
        <v>2</v>
      </c>
      <c r="D26" s="9" t="n">
        <f aca="false">04_Equipo!$F$10+04_Equipo!$F$15</f>
        <v>1964.77198304092</v>
      </c>
      <c r="E26" s="4" t="s">
        <v>310</v>
      </c>
      <c r="F26" s="4" t="s">
        <v>370</v>
      </c>
    </row>
    <row r="27" customFormat="false" ht="32.8" hidden="false" customHeight="false" outlineLevel="0" collapsed="false">
      <c r="A27" s="4" t="s">
        <v>371</v>
      </c>
      <c r="B27" s="4" t="s">
        <v>372</v>
      </c>
      <c r="C27" s="11" t="n">
        <v>1.5</v>
      </c>
      <c r="D27" s="9" t="n">
        <f aca="false">04_Equipo!$F$6+0.5*04_Equipo!$F$10</f>
        <v>1602.84030195443</v>
      </c>
      <c r="E27" s="4" t="s">
        <v>325</v>
      </c>
      <c r="F27" s="4" t="s">
        <v>373</v>
      </c>
    </row>
    <row r="28" customFormat="false" ht="32.8" hidden="false" customHeight="false" outlineLevel="0" collapsed="false">
      <c r="A28" s="4" t="s">
        <v>374</v>
      </c>
      <c r="B28" s="4" t="s">
        <v>375</v>
      </c>
      <c r="C28" s="11" t="n">
        <v>1.5</v>
      </c>
      <c r="D28" s="9" t="n">
        <f aca="false">04_Equipo!$F$5+0.5*04_Equipo!$F$15</f>
        <v>1861.36293130192</v>
      </c>
      <c r="E28" s="4" t="s">
        <v>304</v>
      </c>
      <c r="F28" s="4" t="s">
        <v>376</v>
      </c>
    </row>
    <row r="29" customFormat="false" ht="15" hidden="false" customHeight="false" outlineLevel="0" collapsed="false">
      <c r="A29" s="12"/>
      <c r="B29" s="12" t="s">
        <v>377</v>
      </c>
      <c r="C29" s="13" t="n">
        <f aca="false">SUM(C5:C28)</f>
        <v>89</v>
      </c>
      <c r="D29" s="14" t="n">
        <f aca="false">SUM(D5:D28)</f>
        <v>89743.9752162973</v>
      </c>
      <c r="E29" s="12"/>
      <c r="F29" s="12"/>
    </row>
    <row r="31" customFormat="false" ht="21.75" hidden="false" customHeight="true" outlineLevel="0" collapsed="false">
      <c r="A31" s="1" t="s">
        <v>378</v>
      </c>
      <c r="B31" s="1"/>
      <c r="C31" s="1"/>
      <c r="D31" s="1"/>
      <c r="E31" s="1"/>
      <c r="F31" s="1"/>
    </row>
    <row r="32" customFormat="false" ht="30" hidden="false" customHeight="true" outlineLevel="0" collapsed="false">
      <c r="A32" s="3" t="s">
        <v>296</v>
      </c>
      <c r="B32" s="3" t="s">
        <v>2</v>
      </c>
      <c r="C32" s="3"/>
      <c r="D32" s="3" t="s">
        <v>299</v>
      </c>
      <c r="E32" s="3" t="s">
        <v>300</v>
      </c>
      <c r="F32" s="3" t="s">
        <v>379</v>
      </c>
    </row>
    <row r="33" customFormat="false" ht="32.8" hidden="false" customHeight="false" outlineLevel="0" collapsed="false">
      <c r="A33" s="4" t="s">
        <v>380</v>
      </c>
      <c r="B33" s="4" t="s">
        <v>381</v>
      </c>
      <c r="C33" s="4"/>
      <c r="D33" s="9" t="n">
        <v>2500</v>
      </c>
      <c r="E33" s="4" t="s">
        <v>304</v>
      </c>
      <c r="F33" s="4" t="s">
        <v>382</v>
      </c>
    </row>
    <row r="34" customFormat="false" ht="15" hidden="false" customHeight="false" outlineLevel="0" collapsed="false">
      <c r="A34" s="4" t="s">
        <v>383</v>
      </c>
      <c r="B34" s="4" t="s">
        <v>384</v>
      </c>
      <c r="C34" s="4"/>
      <c r="D34" s="9" t="n">
        <v>1300</v>
      </c>
      <c r="E34" s="4" t="s">
        <v>385</v>
      </c>
      <c r="F34" s="4" t="s">
        <v>386</v>
      </c>
    </row>
    <row r="35" customFormat="false" ht="15" hidden="false" customHeight="false" outlineLevel="0" collapsed="false">
      <c r="A35" s="4" t="s">
        <v>387</v>
      </c>
      <c r="B35" s="4" t="s">
        <v>388</v>
      </c>
      <c r="C35" s="4"/>
      <c r="D35" s="9" t="n">
        <v>500</v>
      </c>
      <c r="E35" s="4" t="s">
        <v>304</v>
      </c>
      <c r="F35" s="4"/>
    </row>
    <row r="36" customFormat="false" ht="15" hidden="false" customHeight="false" outlineLevel="0" collapsed="false">
      <c r="A36" s="12"/>
      <c r="B36" s="12" t="s">
        <v>389</v>
      </c>
      <c r="C36" s="12"/>
      <c r="D36" s="14" t="n">
        <f aca="false">SUM(D33:D35)</f>
        <v>4300</v>
      </c>
      <c r="E36" s="12"/>
      <c r="F36" s="12"/>
    </row>
    <row r="38" customFormat="false" ht="15" hidden="false" customHeight="false" outlineLevel="0" collapsed="false">
      <c r="A38" s="15"/>
      <c r="B38" s="15" t="s">
        <v>390</v>
      </c>
      <c r="C38" s="16" t="n">
        <f aca="false">C29</f>
        <v>89</v>
      </c>
      <c r="D38" s="17" t="n">
        <f aca="false">D29+D36</f>
        <v>94043.9752162973</v>
      </c>
      <c r="E38" s="15"/>
      <c r="F38" s="15"/>
    </row>
  </sheetData>
  <mergeCells count="3">
    <mergeCell ref="A1:F1"/>
    <mergeCell ref="A2:F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1" t="s">
        <v>391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392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" t="s">
        <v>393</v>
      </c>
      <c r="B4" s="1"/>
      <c r="C4" s="1"/>
      <c r="D4" s="1"/>
      <c r="E4" s="1"/>
      <c r="F4" s="1"/>
    </row>
    <row r="5" customFormat="false" ht="30" hidden="false" customHeight="true" outlineLevel="0" collapsed="false">
      <c r="A5" s="3" t="s">
        <v>2</v>
      </c>
      <c r="B5" s="3" t="s">
        <v>394</v>
      </c>
      <c r="C5" s="3"/>
      <c r="D5" s="3"/>
      <c r="E5" s="3" t="s">
        <v>395</v>
      </c>
      <c r="F5" s="3" t="s">
        <v>379</v>
      </c>
    </row>
    <row r="6" customFormat="false" ht="22.35" hidden="false" customHeight="false" outlineLevel="0" collapsed="false">
      <c r="A6" s="4" t="s">
        <v>396</v>
      </c>
      <c r="B6" s="9" t="n">
        <v>36</v>
      </c>
      <c r="C6" s="4"/>
      <c r="D6" s="4"/>
      <c r="E6" s="4" t="s">
        <v>397</v>
      </c>
      <c r="F6" s="4" t="s">
        <v>398</v>
      </c>
    </row>
    <row r="7" customFormat="false" ht="15" hidden="false" customHeight="false" outlineLevel="0" collapsed="false">
      <c r="A7" s="4" t="s">
        <v>399</v>
      </c>
      <c r="B7" s="9" t="n">
        <v>20</v>
      </c>
      <c r="C7" s="4"/>
      <c r="D7" s="4"/>
      <c r="E7" s="4" t="s">
        <v>397</v>
      </c>
      <c r="F7" s="4"/>
    </row>
    <row r="8" customFormat="false" ht="15" hidden="false" customHeight="false" outlineLevel="0" collapsed="false">
      <c r="A8" s="4" t="s">
        <v>400</v>
      </c>
      <c r="B8" s="9" t="n">
        <v>53</v>
      </c>
      <c r="C8" s="4"/>
      <c r="D8" s="4"/>
      <c r="E8" s="4" t="s">
        <v>397</v>
      </c>
      <c r="F8" s="4"/>
    </row>
    <row r="9" customFormat="false" ht="15" hidden="false" customHeight="false" outlineLevel="0" collapsed="false">
      <c r="A9" s="4" t="s">
        <v>401</v>
      </c>
      <c r="B9" s="9" t="n">
        <v>10</v>
      </c>
      <c r="C9" s="4"/>
      <c r="D9" s="4"/>
      <c r="E9" s="4" t="s">
        <v>397</v>
      </c>
      <c r="F9" s="4" t="s">
        <v>402</v>
      </c>
    </row>
    <row r="10" customFormat="false" ht="15" hidden="false" customHeight="false" outlineLevel="0" collapsed="false">
      <c r="A10" s="4" t="s">
        <v>403</v>
      </c>
      <c r="B10" s="9" t="n">
        <v>32</v>
      </c>
      <c r="C10" s="4"/>
      <c r="D10" s="4"/>
      <c r="E10" s="4" t="s">
        <v>397</v>
      </c>
      <c r="F10" s="4"/>
    </row>
    <row r="11" customFormat="false" ht="15" hidden="false" customHeight="false" outlineLevel="0" collapsed="false">
      <c r="A11" s="4" t="s">
        <v>404</v>
      </c>
      <c r="B11" s="9" t="n">
        <v>20</v>
      </c>
      <c r="C11" s="4"/>
      <c r="D11" s="4"/>
      <c r="E11" s="4" t="s">
        <v>397</v>
      </c>
      <c r="F11" s="4"/>
    </row>
    <row r="12" customFormat="false" ht="15" hidden="false" customHeight="false" outlineLevel="0" collapsed="false">
      <c r="A12" s="4" t="s">
        <v>405</v>
      </c>
      <c r="B12" s="9" t="n">
        <v>10</v>
      </c>
      <c r="C12" s="4"/>
      <c r="D12" s="4"/>
      <c r="E12" s="4" t="s">
        <v>397</v>
      </c>
      <c r="F12" s="4"/>
    </row>
    <row r="13" customFormat="false" ht="15" hidden="false" customHeight="false" outlineLevel="0" collapsed="false">
      <c r="A13" s="4" t="s">
        <v>406</v>
      </c>
      <c r="B13" s="9" t="n">
        <v>4</v>
      </c>
      <c r="C13" s="4"/>
      <c r="D13" s="4"/>
      <c r="E13" s="4" t="s">
        <v>397</v>
      </c>
      <c r="F13" s="4"/>
    </row>
    <row r="14" customFormat="false" ht="15" hidden="false" customHeight="false" outlineLevel="0" collapsed="false">
      <c r="A14" s="4" t="s">
        <v>407</v>
      </c>
      <c r="B14" s="9" t="n">
        <v>60</v>
      </c>
      <c r="C14" s="4"/>
      <c r="D14" s="4"/>
      <c r="E14" s="4" t="s">
        <v>408</v>
      </c>
      <c r="F14" s="4" t="s">
        <v>409</v>
      </c>
    </row>
    <row r="15" customFormat="false" ht="15" hidden="false" customHeight="false" outlineLevel="0" collapsed="false">
      <c r="A15" s="4" t="s">
        <v>410</v>
      </c>
      <c r="B15" s="9" t="n">
        <v>25</v>
      </c>
      <c r="C15" s="4"/>
      <c r="D15" s="4"/>
      <c r="E15" s="4" t="s">
        <v>410</v>
      </c>
      <c r="F15" s="4" t="s">
        <v>409</v>
      </c>
    </row>
    <row r="16" customFormat="false" ht="15" hidden="false" customHeight="false" outlineLevel="0" collapsed="false">
      <c r="A16" s="12" t="s">
        <v>411</v>
      </c>
      <c r="B16" s="14" t="n">
        <f aca="false">SUM(B6:B15)</f>
        <v>270</v>
      </c>
      <c r="C16" s="12"/>
      <c r="D16" s="12"/>
      <c r="E16" s="12"/>
      <c r="F16" s="12"/>
    </row>
    <row r="18" customFormat="false" ht="30" hidden="false" customHeight="true" outlineLevel="0" collapsed="false">
      <c r="A18" s="3" t="s">
        <v>412</v>
      </c>
      <c r="B18" s="3" t="s">
        <v>394</v>
      </c>
      <c r="C18" s="3"/>
      <c r="D18" s="3"/>
      <c r="E18" s="3"/>
      <c r="F18" s="3" t="s">
        <v>379</v>
      </c>
    </row>
    <row r="19" customFormat="false" ht="15" hidden="false" customHeight="false" outlineLevel="0" collapsed="false">
      <c r="A19" s="4" t="s">
        <v>413</v>
      </c>
      <c r="B19" s="9" t="n">
        <v>44</v>
      </c>
      <c r="C19" s="4"/>
      <c r="D19" s="4"/>
      <c r="E19" s="4"/>
      <c r="F19" s="4"/>
    </row>
    <row r="20" customFormat="false" ht="15" hidden="false" customHeight="false" outlineLevel="0" collapsed="false">
      <c r="A20" s="4" t="s">
        <v>414</v>
      </c>
      <c r="B20" s="9" t="n">
        <v>26</v>
      </c>
      <c r="C20" s="4"/>
      <c r="D20" s="4"/>
      <c r="E20" s="4"/>
      <c r="F20" s="4"/>
    </row>
    <row r="21" customFormat="false" ht="15" hidden="false" customHeight="false" outlineLevel="0" collapsed="false">
      <c r="A21" s="4" t="s">
        <v>415</v>
      </c>
      <c r="B21" s="9" t="n">
        <v>10</v>
      </c>
      <c r="C21" s="4"/>
      <c r="D21" s="4"/>
      <c r="E21" s="4"/>
      <c r="F21" s="4"/>
    </row>
    <row r="22" customFormat="false" ht="15" hidden="false" customHeight="false" outlineLevel="0" collapsed="false">
      <c r="A22" s="4" t="s">
        <v>416</v>
      </c>
      <c r="B22" s="9" t="n">
        <v>15</v>
      </c>
      <c r="C22" s="4"/>
      <c r="D22" s="4"/>
      <c r="E22" s="4"/>
      <c r="F22" s="4" t="s">
        <v>417</v>
      </c>
    </row>
    <row r="23" customFormat="false" ht="15" hidden="false" customHeight="false" outlineLevel="0" collapsed="false">
      <c r="A23" s="4" t="s">
        <v>418</v>
      </c>
      <c r="B23" s="9" t="n">
        <v>5</v>
      </c>
      <c r="C23" s="4"/>
      <c r="D23" s="4"/>
      <c r="E23" s="4"/>
      <c r="F23" s="4" t="s">
        <v>419</v>
      </c>
    </row>
    <row r="24" customFormat="false" ht="15" hidden="false" customHeight="false" outlineLevel="0" collapsed="false">
      <c r="A24" s="12" t="s">
        <v>420</v>
      </c>
      <c r="B24" s="14" t="n">
        <f aca="false">SUM(B19:B23)</f>
        <v>100</v>
      </c>
      <c r="C24" s="12"/>
      <c r="D24" s="12"/>
      <c r="E24" s="12"/>
      <c r="F24" s="12"/>
    </row>
    <row r="26" customFormat="false" ht="21.75" hidden="false" customHeight="true" outlineLevel="0" collapsed="false">
      <c r="A26" s="1" t="s">
        <v>421</v>
      </c>
      <c r="B26" s="1"/>
      <c r="C26" s="1"/>
      <c r="D26" s="1"/>
      <c r="E26" s="1"/>
      <c r="F26" s="1"/>
    </row>
    <row r="27" customFormat="false" ht="30" hidden="false" customHeight="true" outlineLevel="0" collapsed="false">
      <c r="A27" s="3" t="s">
        <v>422</v>
      </c>
      <c r="B27" s="3" t="s">
        <v>130</v>
      </c>
      <c r="C27" s="3" t="s">
        <v>131</v>
      </c>
      <c r="D27" s="3" t="s">
        <v>132</v>
      </c>
      <c r="E27" s="3" t="s">
        <v>133</v>
      </c>
      <c r="F27" s="3" t="s">
        <v>423</v>
      </c>
    </row>
    <row r="28" customFormat="false" ht="15" hidden="false" customHeight="false" outlineLevel="0" collapsed="false">
      <c r="A28" s="4" t="s">
        <v>424</v>
      </c>
      <c r="B28" s="18" t="n">
        <f aca="false">02_Supuestos!B5*02_Supuestos!B7</f>
        <v>9600</v>
      </c>
      <c r="C28" s="18" t="n">
        <f aca="false">02_Supuestos!C5*02_Supuestos!C7</f>
        <v>11200</v>
      </c>
      <c r="D28" s="18" t="n">
        <f aca="false">02_Supuestos!D5*02_Supuestos!D7</f>
        <v>14400</v>
      </c>
      <c r="E28" s="4" t="s">
        <v>141</v>
      </c>
      <c r="F28" s="4" t="s">
        <v>425</v>
      </c>
    </row>
    <row r="29" customFormat="false" ht="15" hidden="false" customHeight="false" outlineLevel="0" collapsed="false">
      <c r="A29" s="4" t="s">
        <v>426</v>
      </c>
      <c r="B29" s="18" t="n">
        <f aca="false">B28*02_Supuestos!B11</f>
        <v>768</v>
      </c>
      <c r="C29" s="18" t="n">
        <f aca="false">C28*02_Supuestos!C11</f>
        <v>1680</v>
      </c>
      <c r="D29" s="18" t="n">
        <f aca="false">D28*02_Supuestos!D11</f>
        <v>3600</v>
      </c>
      <c r="E29" s="4" t="s">
        <v>427</v>
      </c>
      <c r="F29" s="4" t="s">
        <v>428</v>
      </c>
    </row>
    <row r="30" customFormat="false" ht="15" hidden="false" customHeight="false" outlineLevel="0" collapsed="false">
      <c r="A30" s="4" t="s">
        <v>429</v>
      </c>
      <c r="B30" s="18" t="n">
        <f aca="false">B29/02_Supuestos!$B$26</f>
        <v>19.2</v>
      </c>
      <c r="C30" s="18" t="n">
        <f aca="false">C29/02_Supuestos!$B$26</f>
        <v>42</v>
      </c>
      <c r="D30" s="18" t="n">
        <f aca="false">D29/02_Supuestos!$B$26</f>
        <v>90</v>
      </c>
      <c r="E30" s="4" t="s">
        <v>430</v>
      </c>
      <c r="F30" s="4" t="s">
        <v>431</v>
      </c>
    </row>
    <row r="31" customFormat="false" ht="15" hidden="false" customHeight="false" outlineLevel="0" collapsed="false">
      <c r="A31" s="4" t="s">
        <v>432</v>
      </c>
      <c r="B31" s="18" t="n">
        <f aca="false">B30*02_Supuestos!$B$27/60</f>
        <v>4.8</v>
      </c>
      <c r="C31" s="18" t="n">
        <f aca="false">C30*02_Supuestos!$B$27/60</f>
        <v>10.5</v>
      </c>
      <c r="D31" s="18" t="n">
        <f aca="false">D30*02_Supuestos!$B$27/60</f>
        <v>22.5</v>
      </c>
      <c r="E31" s="4" t="s">
        <v>188</v>
      </c>
      <c r="F31" s="4" t="s">
        <v>433</v>
      </c>
    </row>
    <row r="32" customFormat="false" ht="15" hidden="false" customHeight="false" outlineLevel="0" collapsed="false">
      <c r="A32" s="4" t="s">
        <v>434</v>
      </c>
      <c r="B32" s="18" t="n">
        <f aca="false">MAX(0.25,ROUND(B31/02_Supuestos!$B$28*4,0)/4)</f>
        <v>0.75</v>
      </c>
      <c r="C32" s="18" t="n">
        <f aca="false">MAX(0.25,ROUND(C31/02_Supuestos!$B$28*4,0)/4)</f>
        <v>1.5</v>
      </c>
      <c r="D32" s="18" t="n">
        <f aca="false">MAX(0.25,ROUND(D31/02_Supuestos!$B$28*4,0)/4)</f>
        <v>3.25</v>
      </c>
      <c r="E32" s="4" t="s">
        <v>435</v>
      </c>
      <c r="F32" s="4" t="s">
        <v>436</v>
      </c>
    </row>
    <row r="33" customFormat="false" ht="15" hidden="false" customHeight="false" outlineLevel="0" collapsed="false">
      <c r="A33" s="4" t="s">
        <v>437</v>
      </c>
      <c r="B33" s="18" t="n">
        <f aca="false">IF(B32&lt;=1.25,0.25,0.5)</f>
        <v>0.25</v>
      </c>
      <c r="C33" s="18" t="n">
        <f aca="false">IF(C32&lt;=1.25,0.25,0.5)</f>
        <v>0.5</v>
      </c>
      <c r="D33" s="18" t="n">
        <f aca="false">IF(D32&lt;=1.25,0.25,0.5)</f>
        <v>0.5</v>
      </c>
      <c r="E33" s="4" t="s">
        <v>435</v>
      </c>
      <c r="F33" s="4" t="s">
        <v>438</v>
      </c>
    </row>
    <row r="34" customFormat="false" ht="15" hidden="false" customHeight="false" outlineLevel="0" collapsed="false">
      <c r="A34" s="4" t="s">
        <v>439</v>
      </c>
      <c r="B34" s="18" t="n">
        <f aca="false">(04_Equipo!$E$13*B32+04_Equipo!$E$14*B33)*02_Supuestos!B13</f>
        <v>3022.38805970149</v>
      </c>
      <c r="C34" s="18" t="n">
        <f aca="false">(04_Equipo!$E$13*C32+04_Equipo!$E$14*C33)*02_Supuestos!C13</f>
        <v>9067.16417910448</v>
      </c>
      <c r="D34" s="18" t="n">
        <f aca="false">(04_Equipo!$E$13*D32+04_Equipo!$E$14*D33)*02_Supuestos!D13</f>
        <v>16119.4029850746</v>
      </c>
      <c r="E34" s="4" t="s">
        <v>214</v>
      </c>
      <c r="F34" s="4" t="s">
        <v>440</v>
      </c>
    </row>
    <row r="35" customFormat="false" ht="30" hidden="false" customHeight="true" outlineLevel="0" collapsed="false">
      <c r="A35" s="2" t="s">
        <v>441</v>
      </c>
      <c r="B35" s="2"/>
      <c r="C35" s="2"/>
      <c r="D35" s="2"/>
      <c r="E35" s="2"/>
      <c r="F35" s="2"/>
    </row>
    <row r="37" customFormat="false" ht="21.75" hidden="false" customHeight="true" outlineLevel="0" collapsed="false">
      <c r="A37" s="1" t="s">
        <v>442</v>
      </c>
      <c r="B37" s="1"/>
      <c r="C37" s="1"/>
      <c r="D37" s="1"/>
      <c r="E37" s="1"/>
      <c r="F37" s="1"/>
    </row>
    <row r="38" customFormat="false" ht="30" hidden="false" customHeight="true" outlineLevel="0" collapsed="false">
      <c r="A38" s="3" t="s">
        <v>2</v>
      </c>
      <c r="B38" s="3" t="s">
        <v>130</v>
      </c>
      <c r="C38" s="3" t="s">
        <v>131</v>
      </c>
      <c r="D38" s="3" t="s">
        <v>132</v>
      </c>
      <c r="E38" s="3" t="s">
        <v>133</v>
      </c>
      <c r="F38" s="3" t="s">
        <v>443</v>
      </c>
    </row>
    <row r="39" customFormat="false" ht="15" hidden="false" customHeight="false" outlineLevel="0" collapsed="false">
      <c r="A39" s="4" t="s">
        <v>444</v>
      </c>
      <c r="B39" s="9" t="n">
        <f aca="false">06_CapaB_Operacion!$B$16*02_Supuestos!B12</f>
        <v>1080</v>
      </c>
      <c r="C39" s="9" t="n">
        <f aca="false">06_CapaB_Operacion!$B$16*02_Supuestos!C12</f>
        <v>1350</v>
      </c>
      <c r="D39" s="9" t="n">
        <f aca="false">06_CapaB_Operacion!$B$16*02_Supuestos!D12</f>
        <v>1350</v>
      </c>
      <c r="E39" s="4" t="s">
        <v>214</v>
      </c>
      <c r="F39" s="4" t="s">
        <v>445</v>
      </c>
    </row>
    <row r="40" customFormat="false" ht="15" hidden="false" customHeight="false" outlineLevel="0" collapsed="false">
      <c r="A40" s="4" t="s">
        <v>446</v>
      </c>
      <c r="B40" s="9" t="n">
        <f aca="false">06_CapaB_Operacion!$B$24*02_Supuestos!B12</f>
        <v>400</v>
      </c>
      <c r="C40" s="9" t="n">
        <f aca="false">06_CapaB_Operacion!$B$24*02_Supuestos!C12</f>
        <v>500</v>
      </c>
      <c r="D40" s="9" t="n">
        <f aca="false">06_CapaB_Operacion!$B$24*02_Supuestos!D12</f>
        <v>500</v>
      </c>
      <c r="E40" s="4" t="s">
        <v>214</v>
      </c>
      <c r="F40" s="4" t="s">
        <v>447</v>
      </c>
    </row>
    <row r="41" customFormat="false" ht="15" hidden="false" customHeight="false" outlineLevel="0" collapsed="false">
      <c r="A41" s="4" t="s">
        <v>448</v>
      </c>
      <c r="B41" s="9" t="n">
        <f aca="false">06_CapaB_Operacion!B34</f>
        <v>3022.38805970149</v>
      </c>
      <c r="C41" s="9" t="n">
        <f aca="false">06_CapaB_Operacion!C34</f>
        <v>9067.16417910448</v>
      </c>
      <c r="D41" s="9" t="n">
        <f aca="false">06_CapaB_Operacion!D34</f>
        <v>16119.4029850746</v>
      </c>
      <c r="E41" s="4" t="s">
        <v>214</v>
      </c>
      <c r="F41" s="4" t="s">
        <v>449</v>
      </c>
    </row>
    <row r="42" customFormat="false" ht="32.8" hidden="false" customHeight="false" outlineLevel="0" collapsed="false">
      <c r="A42" s="4" t="s">
        <v>450</v>
      </c>
      <c r="B42" s="9" t="n">
        <f aca="false">(800000*2/02_Supuestos!$B$18)*4</f>
        <v>1910.44776119403</v>
      </c>
      <c r="C42" s="9" t="n">
        <f aca="false">(800000*2/02_Supuestos!$B$18)*4</f>
        <v>1910.44776119403</v>
      </c>
      <c r="D42" s="9" t="n">
        <f aca="false">(800000*2/02_Supuestos!$B$18)*4</f>
        <v>1910.44776119403</v>
      </c>
      <c r="E42" s="4" t="s">
        <v>214</v>
      </c>
      <c r="F42" s="4" t="s">
        <v>451</v>
      </c>
    </row>
    <row r="43" customFormat="false" ht="22.35" hidden="false" customHeight="false" outlineLevel="0" collapsed="false">
      <c r="A43" s="4" t="s">
        <v>452</v>
      </c>
      <c r="B43" s="9" t="n">
        <f aca="false">04_Equipo!$E$10*0.25*4</f>
        <v>4925.37313432836</v>
      </c>
      <c r="C43" s="9" t="n">
        <f aca="false">04_Equipo!$E$10*0.25*4</f>
        <v>4925.37313432836</v>
      </c>
      <c r="D43" s="9" t="n">
        <f aca="false">04_Equipo!$E$10*0.25*4</f>
        <v>4925.37313432836</v>
      </c>
      <c r="E43" s="4" t="s">
        <v>214</v>
      </c>
      <c r="F43" s="4" t="s">
        <v>453</v>
      </c>
    </row>
    <row r="44" customFormat="false" ht="22.35" hidden="false" customHeight="false" outlineLevel="0" collapsed="false">
      <c r="A44" s="4" t="s">
        <v>454</v>
      </c>
      <c r="B44" s="9" t="n">
        <f aca="false">04_Equipo!$E$15*0.2*4</f>
        <v>2865.67164179104</v>
      </c>
      <c r="C44" s="9" t="n">
        <f aca="false">04_Equipo!$E$15*0.2*4</f>
        <v>2865.67164179104</v>
      </c>
      <c r="D44" s="9" t="n">
        <f aca="false">04_Equipo!$E$15*0.2*4</f>
        <v>2865.67164179104</v>
      </c>
      <c r="E44" s="4" t="s">
        <v>214</v>
      </c>
      <c r="F44" s="4" t="s">
        <v>455</v>
      </c>
    </row>
    <row r="45" customFormat="false" ht="15" hidden="false" customHeight="false" outlineLevel="0" collapsed="false">
      <c r="A45" s="15" t="s">
        <v>456</v>
      </c>
      <c r="B45" s="17" t="n">
        <f aca="false">SUM(B39:B44)</f>
        <v>14203.8805970149</v>
      </c>
      <c r="C45" s="17" t="n">
        <f aca="false">SUM(C39:C44)</f>
        <v>20618.6567164179</v>
      </c>
      <c r="D45" s="17" t="n">
        <f aca="false">SUM(D39:D44)</f>
        <v>27670.8955223881</v>
      </c>
      <c r="E45" s="15" t="s">
        <v>214</v>
      </c>
      <c r="F45" s="15"/>
    </row>
    <row r="46" customFormat="false" ht="15" hidden="false" customHeight="false" outlineLevel="0" collapsed="false">
      <c r="A46" s="19" t="s">
        <v>457</v>
      </c>
      <c r="B46" s="20" t="n">
        <f aca="false">B45/02_Supuestos!B12</f>
        <v>3550.97014925373</v>
      </c>
      <c r="C46" s="20" t="n">
        <f aca="false">C45/02_Supuestos!C12</f>
        <v>4123.73134328358</v>
      </c>
      <c r="D46" s="20" t="n">
        <f aca="false">D45/02_Supuestos!D12</f>
        <v>5534.17910447761</v>
      </c>
      <c r="E46" s="19" t="s">
        <v>394</v>
      </c>
      <c r="F46" s="19" t="s">
        <v>458</v>
      </c>
    </row>
  </sheetData>
  <mergeCells count="6">
    <mergeCell ref="A1:F1"/>
    <mergeCell ref="A2:F2"/>
    <mergeCell ref="A4:F4"/>
    <mergeCell ref="A26:F26"/>
    <mergeCell ref="A35:F35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" t="s">
        <v>459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460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" t="s">
        <v>461</v>
      </c>
      <c r="B4" s="1"/>
      <c r="C4" s="1"/>
      <c r="D4" s="1"/>
      <c r="E4" s="1"/>
      <c r="F4" s="1"/>
    </row>
    <row r="5" customFormat="false" ht="30" hidden="false" customHeight="true" outlineLevel="0" collapsed="false">
      <c r="A5" s="3" t="s">
        <v>422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462</v>
      </c>
    </row>
    <row r="6" customFormat="false" ht="22.35" hidden="false" customHeight="false" outlineLevel="0" collapsed="false">
      <c r="A6" s="4" t="s">
        <v>463</v>
      </c>
      <c r="B6" s="8" t="n">
        <f aca="false">(02_Supuestos!$B$29*03_Precios_Proveedor!$D$9+02_Supuestos!$B$30*03_Precios_Proveedor!$D$5+02_Supuestos!$B$31*03_Precios_Proveedor!$D$6)/1000000</f>
        <v>0.01671</v>
      </c>
      <c r="C6" s="8" t="n">
        <f aca="false">(02_Supuestos!$B$29*03_Precios_Proveedor!$D$9+02_Supuestos!$B$30*03_Precios_Proveedor!$D$5+02_Supuestos!$B$31*03_Precios_Proveedor!$D$6)/1000000</f>
        <v>0.01671</v>
      </c>
      <c r="D6" s="8" t="n">
        <f aca="false">(02_Supuestos!$B$29*03_Precios_Proveedor!$D$9+02_Supuestos!$B$30*03_Precios_Proveedor!$D$5+02_Supuestos!$B$31*03_Precios_Proveedor!$D$6)/1000000</f>
        <v>0.01671</v>
      </c>
      <c r="E6" s="4" t="s">
        <v>214</v>
      </c>
      <c r="F6" s="4" t="s">
        <v>464</v>
      </c>
    </row>
    <row r="7" customFormat="false" ht="22.35" hidden="false" customHeight="false" outlineLevel="0" collapsed="false">
      <c r="A7" s="4" t="s">
        <v>465</v>
      </c>
      <c r="B7" s="8" t="n">
        <f aca="false">(02_Supuestos!$B$29*03_Precios_Proveedor!$D$7+02_Supuestos!$B$30*03_Precios_Proveedor!$D$5+02_Supuestos!$B$31*03_Precios_Proveedor!$D$6)/1000000</f>
        <v>0.0795</v>
      </c>
      <c r="C7" s="8" t="n">
        <f aca="false">(02_Supuestos!$B$29*03_Precios_Proveedor!$D$7+02_Supuestos!$B$30*03_Precios_Proveedor!$D$5+02_Supuestos!$B$31*03_Precios_Proveedor!$D$6)/1000000</f>
        <v>0.0795</v>
      </c>
      <c r="D7" s="8" t="n">
        <f aca="false">(02_Supuestos!$B$29*03_Precios_Proveedor!$D$7+02_Supuestos!$B$30*03_Precios_Proveedor!$D$5+02_Supuestos!$B$31*03_Precios_Proveedor!$D$6)/1000000</f>
        <v>0.0795</v>
      </c>
      <c r="E7" s="4" t="s">
        <v>214</v>
      </c>
      <c r="F7" s="4" t="s">
        <v>466</v>
      </c>
    </row>
    <row r="8" customFormat="false" ht="15" hidden="false" customHeight="false" outlineLevel="0" collapsed="false">
      <c r="A8" s="4" t="s">
        <v>467</v>
      </c>
      <c r="B8" s="8" t="n">
        <f aca="false">02_Supuestos!B10*B6+(1-02_Supuestos!B10)*B7</f>
        <v>0.041826</v>
      </c>
      <c r="C8" s="8" t="n">
        <f aca="false">02_Supuestos!C10*C6+(1-02_Supuestos!C10)*C7</f>
        <v>0.035547</v>
      </c>
      <c r="D8" s="8" t="n">
        <f aca="false">02_Supuestos!D10*D6+(1-02_Supuestos!D10)*D7</f>
        <v>0.029268</v>
      </c>
      <c r="E8" s="4" t="s">
        <v>214</v>
      </c>
      <c r="F8" s="4" t="s">
        <v>468</v>
      </c>
    </row>
    <row r="9" customFormat="false" ht="15" hidden="false" customHeight="false" outlineLevel="0" collapsed="false">
      <c r="A9" s="4" t="s">
        <v>469</v>
      </c>
      <c r="B9" s="8" t="n">
        <f aca="false">((02_Supuestos!$B$29+02_Supuestos!$B$30)*03_Precios_Proveedor!$D$5+02_Supuestos!$B$31*03_Precios_Proveedor!$D$6)/1000000</f>
        <v>0.06585</v>
      </c>
      <c r="C9" s="8" t="n">
        <f aca="false">((02_Supuestos!$B$29+02_Supuestos!$B$30)*03_Precios_Proveedor!$D$5+02_Supuestos!$B$31*03_Precios_Proveedor!$D$6)/1000000</f>
        <v>0.06585</v>
      </c>
      <c r="D9" s="8" t="n">
        <f aca="false">((02_Supuestos!$B$29+02_Supuestos!$B$30)*03_Precios_Proveedor!$D$5+02_Supuestos!$B$31*03_Precios_Proveedor!$D$6)/1000000</f>
        <v>0.06585</v>
      </c>
      <c r="E9" s="4" t="s">
        <v>214</v>
      </c>
      <c r="F9" s="4" t="s">
        <v>470</v>
      </c>
    </row>
    <row r="10" customFormat="false" ht="15" hidden="false" customHeight="false" outlineLevel="0" collapsed="false">
      <c r="A10" s="4" t="s">
        <v>471</v>
      </c>
      <c r="B10" s="8" t="n">
        <f aca="false">02_Supuestos!B10*((02_Supuestos!$B$32*03_Precios_Proveedor!$D$9+02_Supuestos!$B$33*03_Precios_Proveedor!$D$5+02_Supuestos!$B$31*03_Precios_Proveedor!$D$6)/1000000)+(1-02_Supuestos!B10)*((02_Supuestos!$B$32*03_Precios_Proveedor!$D$7+02_Supuestos!$B$33*03_Precios_Proveedor!$D$5+02_Supuestos!$B$31*03_Precios_Proveedor!$D$6)/1000000)</f>
        <v>0.024306</v>
      </c>
      <c r="C10" s="8" t="n">
        <f aca="false">02_Supuestos!C10*((02_Supuestos!$B$32*03_Precios_Proveedor!$D$9+02_Supuestos!$B$33*03_Precios_Proveedor!$D$5+02_Supuestos!$B$31*03_Precios_Proveedor!$D$6)/1000000)+(1-02_Supuestos!C10)*((02_Supuestos!$B$32*03_Precios_Proveedor!$D$7+02_Supuestos!$B$33*03_Precios_Proveedor!$D$5+02_Supuestos!$B$31*03_Precios_Proveedor!$D$6)/1000000)</f>
        <v>0.022857</v>
      </c>
      <c r="D10" s="8" t="n">
        <f aca="false">02_Supuestos!D10*((02_Supuestos!$B$32*03_Precios_Proveedor!$D$9+02_Supuestos!$B$33*03_Precios_Proveedor!$D$5+02_Supuestos!$B$31*03_Precios_Proveedor!$D$6)/1000000)+(1-02_Supuestos!D10)*((02_Supuestos!$B$32*03_Precios_Proveedor!$D$7+02_Supuestos!$B$33*03_Precios_Proveedor!$D$5+02_Supuestos!$B$31*03_Precios_Proveedor!$D$6)/1000000)</f>
        <v>0.021408</v>
      </c>
      <c r="E10" s="4" t="s">
        <v>214</v>
      </c>
      <c r="F10" s="4" t="s">
        <v>472</v>
      </c>
    </row>
    <row r="11" customFormat="false" ht="22.35" hidden="false" customHeight="false" outlineLevel="0" collapsed="false">
      <c r="A11" s="4" t="s">
        <v>473</v>
      </c>
      <c r="B11" s="18" t="n">
        <f aca="false">(B8-02_Supuestos!$B$31*03_Precios_Proveedor!$D$6/1000000)/(02_Supuestos!$B$29+02_Supuestos!$B$30)*1000000</f>
        <v>1.81069306930693</v>
      </c>
      <c r="C11" s="18" t="n">
        <f aca="false">(C8-02_Supuestos!$B$31*03_Precios_Proveedor!$D$6/1000000)/(02_Supuestos!$B$29+02_Supuestos!$B$30)*1000000</f>
        <v>1.49985148514852</v>
      </c>
      <c r="D11" s="18" t="n">
        <f aca="false">(D8-02_Supuestos!$B$31*03_Precios_Proveedor!$D$6/1000000)/(02_Supuestos!$B$29+02_Supuestos!$B$30)*1000000</f>
        <v>1.1890099009901</v>
      </c>
      <c r="E11" s="4" t="s">
        <v>474</v>
      </c>
      <c r="F11" s="4" t="s">
        <v>475</v>
      </c>
    </row>
    <row r="13" customFormat="false" ht="21.75" hidden="false" customHeight="true" outlineLevel="0" collapsed="false">
      <c r="A13" s="1" t="s">
        <v>476</v>
      </c>
      <c r="B13" s="1"/>
      <c r="C13" s="1"/>
      <c r="D13" s="1"/>
      <c r="E13" s="1"/>
      <c r="F13" s="1"/>
    </row>
    <row r="14" customFormat="false" ht="30" hidden="false" customHeight="true" outlineLevel="0" collapsed="false">
      <c r="A14" s="3" t="s">
        <v>2</v>
      </c>
      <c r="B14" s="3" t="s">
        <v>130</v>
      </c>
      <c r="C14" s="3" t="s">
        <v>131</v>
      </c>
      <c r="D14" s="3" t="s">
        <v>132</v>
      </c>
      <c r="E14" s="3" t="s">
        <v>133</v>
      </c>
      <c r="F14" s="3" t="s">
        <v>423</v>
      </c>
    </row>
    <row r="15" customFormat="false" ht="15" hidden="false" customHeight="false" outlineLevel="0" collapsed="false">
      <c r="A15" s="4" t="s">
        <v>424</v>
      </c>
      <c r="B15" s="9" t="n">
        <f aca="false">02_Supuestos!B5*02_Supuestos!B7</f>
        <v>9600</v>
      </c>
      <c r="C15" s="9" t="n">
        <f aca="false">02_Supuestos!C5*02_Supuestos!C7</f>
        <v>11200</v>
      </c>
      <c r="D15" s="9" t="n">
        <f aca="false">02_Supuestos!D5*02_Supuestos!D7</f>
        <v>14400</v>
      </c>
      <c r="E15" s="4" t="s">
        <v>141</v>
      </c>
      <c r="F15" s="4" t="s">
        <v>477</v>
      </c>
    </row>
    <row r="16" customFormat="false" ht="15" hidden="false" customHeight="false" outlineLevel="0" collapsed="false">
      <c r="A16" s="4" t="s">
        <v>478</v>
      </c>
      <c r="B16" s="9" t="n">
        <f aca="false">B15*07_CapaC_Variable!B8</f>
        <v>401.5296</v>
      </c>
      <c r="C16" s="9" t="n">
        <f aca="false">C15*07_CapaC_Variable!C8</f>
        <v>398.1264</v>
      </c>
      <c r="D16" s="9" t="n">
        <f aca="false">D15*07_CapaC_Variable!D8</f>
        <v>421.4592</v>
      </c>
      <c r="E16" s="4" t="s">
        <v>214</v>
      </c>
      <c r="F16" s="4" t="s">
        <v>479</v>
      </c>
    </row>
    <row r="17" customFormat="false" ht="15" hidden="false" customHeight="false" outlineLevel="0" collapsed="false">
      <c r="A17" s="4" t="s">
        <v>480</v>
      </c>
      <c r="B17" s="9" t="n">
        <f aca="false">02_Supuestos!B8*03_Precios_Proveedor!$D$12</f>
        <v>17.92</v>
      </c>
      <c r="C17" s="9" t="n">
        <f aca="false">02_Supuestos!C8*03_Precios_Proveedor!$D$12</f>
        <v>17.92</v>
      </c>
      <c r="D17" s="9" t="n">
        <f aca="false">02_Supuestos!D8*03_Precios_Proveedor!$D$12</f>
        <v>17.92</v>
      </c>
      <c r="E17" s="4" t="s">
        <v>214</v>
      </c>
      <c r="F17" s="4" t="s">
        <v>481</v>
      </c>
    </row>
    <row r="18" customFormat="false" ht="22.35" hidden="false" customHeight="false" outlineLevel="0" collapsed="false">
      <c r="A18" s="4" t="s">
        <v>482</v>
      </c>
      <c r="B18" s="9" t="n">
        <f aca="false">B15*02_Supuestos!B9*03_Precios_Proveedor!$D$14</f>
        <v>16.128</v>
      </c>
      <c r="C18" s="9" t="n">
        <f aca="false">C15*02_Supuestos!C9*03_Precios_Proveedor!$D$14</f>
        <v>23.52</v>
      </c>
      <c r="D18" s="9" t="n">
        <f aca="false">D15*02_Supuestos!D9*03_Precios_Proveedor!$D$14</f>
        <v>40.32</v>
      </c>
      <c r="E18" s="4" t="s">
        <v>214</v>
      </c>
      <c r="F18" s="4" t="s">
        <v>483</v>
      </c>
    </row>
    <row r="19" customFormat="false" ht="22.35" hidden="false" customHeight="false" outlineLevel="0" collapsed="false">
      <c r="A19" s="4" t="s">
        <v>484</v>
      </c>
      <c r="B19" s="9" t="n">
        <f aca="false">B15*0.02*2*03_Precios_Proveedor!$D$12</f>
        <v>0.5376</v>
      </c>
      <c r="C19" s="9" t="n">
        <f aca="false">C15*0.02*2*03_Precios_Proveedor!$D$12</f>
        <v>0.6272</v>
      </c>
      <c r="D19" s="9" t="n">
        <f aca="false">D15*0.02*2*03_Precios_Proveedor!$D$12</f>
        <v>0.8064</v>
      </c>
      <c r="E19" s="4" t="s">
        <v>214</v>
      </c>
      <c r="F19" s="4" t="s">
        <v>485</v>
      </c>
    </row>
    <row r="20" customFormat="false" ht="15" hidden="false" customHeight="false" outlineLevel="0" collapsed="false">
      <c r="A20" s="4" t="s">
        <v>243</v>
      </c>
      <c r="B20" s="9" t="n">
        <f aca="false">0</f>
        <v>0</v>
      </c>
      <c r="C20" s="9" t="n">
        <f aca="false">0</f>
        <v>0</v>
      </c>
      <c r="D20" s="9" t="n">
        <f aca="false">0</f>
        <v>0</v>
      </c>
      <c r="E20" s="4" t="s">
        <v>214</v>
      </c>
      <c r="F20" s="4" t="s">
        <v>486</v>
      </c>
    </row>
    <row r="21" customFormat="false" ht="15" hidden="false" customHeight="false" outlineLevel="0" collapsed="false">
      <c r="A21" s="4" t="s">
        <v>487</v>
      </c>
      <c r="B21" s="9" t="n">
        <f aca="false">02_Supuestos!B14*0.023*02_Supuestos!B12</f>
        <v>1.84</v>
      </c>
      <c r="C21" s="9" t="n">
        <f aca="false">02_Supuestos!C14*0.023*02_Supuestos!C12</f>
        <v>5.75</v>
      </c>
      <c r="D21" s="9" t="n">
        <f aca="false">02_Supuestos!D14*0.023*02_Supuestos!D12</f>
        <v>13.8</v>
      </c>
      <c r="E21" s="4" t="s">
        <v>214</v>
      </c>
      <c r="F21" s="4" t="s">
        <v>488</v>
      </c>
    </row>
    <row r="22" customFormat="false" ht="15" hidden="false" customHeight="false" outlineLevel="0" collapsed="false">
      <c r="A22" s="4" t="s">
        <v>489</v>
      </c>
      <c r="B22" s="9" t="n">
        <f aca="false">8*02_Supuestos!B12</f>
        <v>32</v>
      </c>
      <c r="C22" s="9" t="n">
        <f aca="false">8*02_Supuestos!C12</f>
        <v>40</v>
      </c>
      <c r="D22" s="9" t="n">
        <f aca="false">8*02_Supuestos!D12</f>
        <v>40</v>
      </c>
      <c r="E22" s="4" t="s">
        <v>214</v>
      </c>
      <c r="F22" s="4" t="s">
        <v>490</v>
      </c>
    </row>
    <row r="23" customFormat="false" ht="22.35" hidden="false" customHeight="false" outlineLevel="0" collapsed="false">
      <c r="A23" s="4" t="s">
        <v>491</v>
      </c>
      <c r="B23" s="9" t="n">
        <f aca="false">0</f>
        <v>0</v>
      </c>
      <c r="C23" s="9" t="n">
        <f aca="false">0</f>
        <v>0</v>
      </c>
      <c r="D23" s="9" t="n">
        <f aca="false">0</f>
        <v>0</v>
      </c>
      <c r="E23" s="4" t="s">
        <v>214</v>
      </c>
      <c r="F23" s="4" t="s">
        <v>492</v>
      </c>
    </row>
    <row r="24" customFormat="false" ht="15" hidden="false" customHeight="false" outlineLevel="0" collapsed="false">
      <c r="A24" s="4" t="s">
        <v>493</v>
      </c>
      <c r="B24" s="9" t="n">
        <f aca="false">0</f>
        <v>0</v>
      </c>
      <c r="C24" s="9" t="n">
        <f aca="false">0</f>
        <v>0</v>
      </c>
      <c r="D24" s="9" t="n">
        <f aca="false">0</f>
        <v>0</v>
      </c>
      <c r="E24" s="4" t="s">
        <v>214</v>
      </c>
      <c r="F24" s="4" t="s">
        <v>494</v>
      </c>
    </row>
    <row r="25" customFormat="false" ht="15" hidden="false" customHeight="false" outlineLevel="0" collapsed="false">
      <c r="A25" s="15" t="s">
        <v>495</v>
      </c>
      <c r="B25" s="17" t="n">
        <f aca="false">SUM(B16:B24)</f>
        <v>469.9552</v>
      </c>
      <c r="C25" s="17" t="n">
        <f aca="false">SUM(C16:C24)</f>
        <v>485.9436</v>
      </c>
      <c r="D25" s="17" t="n">
        <f aca="false">SUM(D16:D24)</f>
        <v>534.3056</v>
      </c>
      <c r="E25" s="15" t="s">
        <v>214</v>
      </c>
      <c r="F25" s="15"/>
    </row>
    <row r="26" customFormat="false" ht="15" hidden="false" customHeight="false" outlineLevel="0" collapsed="false">
      <c r="A26" s="19" t="s">
        <v>496</v>
      </c>
      <c r="B26" s="21" t="n">
        <f aca="false">B25/02_Supuestos!B5</f>
        <v>0.587444</v>
      </c>
      <c r="C26" s="21" t="n">
        <f aca="false">C25/02_Supuestos!C5</f>
        <v>0.6074295</v>
      </c>
      <c r="D26" s="21" t="n">
        <f aca="false">D25/02_Supuestos!D5</f>
        <v>0.667882</v>
      </c>
      <c r="E26" s="19" t="s">
        <v>497</v>
      </c>
      <c r="F26" s="19" t="s">
        <v>498</v>
      </c>
    </row>
    <row r="28" customFormat="false" ht="30" hidden="false" customHeight="true" outlineLevel="0" collapsed="false">
      <c r="A28" s="2" t="s">
        <v>499</v>
      </c>
      <c r="B28" s="2"/>
      <c r="C28" s="2"/>
      <c r="D28" s="2"/>
      <c r="E28" s="2"/>
      <c r="F28" s="2"/>
    </row>
  </sheetData>
  <mergeCells count="5">
    <mergeCell ref="A1:F1"/>
    <mergeCell ref="A2:F2"/>
    <mergeCell ref="A4:F4"/>
    <mergeCell ref="A13:F13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" t="s">
        <v>500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501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" t="s">
        <v>502</v>
      </c>
      <c r="B4" s="1"/>
      <c r="C4" s="1"/>
      <c r="D4" s="1"/>
      <c r="E4" s="1"/>
      <c r="F4" s="1"/>
    </row>
    <row r="5" customFormat="false" ht="30" hidden="false" customHeight="true" outlineLevel="0" collapsed="false">
      <c r="A5" s="3" t="s">
        <v>503</v>
      </c>
      <c r="B5" s="3" t="s">
        <v>298</v>
      </c>
      <c r="C5" s="3" t="s">
        <v>299</v>
      </c>
      <c r="D5" s="3"/>
      <c r="E5" s="3" t="s">
        <v>504</v>
      </c>
      <c r="F5" s="3" t="s">
        <v>379</v>
      </c>
    </row>
    <row r="6" customFormat="false" ht="22.35" hidden="false" customHeight="false" outlineLevel="0" collapsed="false">
      <c r="A6" s="4" t="s">
        <v>505</v>
      </c>
      <c r="B6" s="11" t="n">
        <v>4</v>
      </c>
      <c r="C6" s="9" t="n">
        <v>4550</v>
      </c>
      <c r="D6" s="4"/>
      <c r="E6" s="4" t="s">
        <v>506</v>
      </c>
      <c r="F6" s="4"/>
    </row>
    <row r="7" customFormat="false" ht="22.35" hidden="false" customHeight="false" outlineLevel="0" collapsed="false">
      <c r="A7" s="4" t="s">
        <v>507</v>
      </c>
      <c r="B7" s="11" t="n">
        <v>2</v>
      </c>
      <c r="C7" s="9" t="n">
        <v>2275</v>
      </c>
      <c r="D7" s="4"/>
      <c r="E7" s="4" t="s">
        <v>506</v>
      </c>
      <c r="F7" s="4" t="s">
        <v>508</v>
      </c>
    </row>
    <row r="8" customFormat="false" ht="22.35" hidden="false" customHeight="false" outlineLevel="0" collapsed="false">
      <c r="A8" s="4" t="s">
        <v>509</v>
      </c>
      <c r="B8" s="11" t="n">
        <v>2</v>
      </c>
      <c r="C8" s="9" t="n">
        <v>2017</v>
      </c>
      <c r="D8" s="4"/>
      <c r="E8" s="4" t="s">
        <v>506</v>
      </c>
      <c r="F8" s="4" t="s">
        <v>510</v>
      </c>
    </row>
    <row r="9" customFormat="false" ht="22.35" hidden="false" customHeight="false" outlineLevel="0" collapsed="false">
      <c r="A9" s="4" t="s">
        <v>511</v>
      </c>
      <c r="B9" s="11" t="n">
        <v>1.5</v>
      </c>
      <c r="C9" s="9" t="n">
        <f aca="false">04_Equipo!$F$10+0.5*04_Equipo!$F$15</f>
        <v>1551.13577608493</v>
      </c>
      <c r="D9" s="4"/>
      <c r="E9" s="4" t="s">
        <v>506</v>
      </c>
      <c r="F9" s="4" t="s">
        <v>512</v>
      </c>
    </row>
    <row r="10" customFormat="false" ht="15" hidden="false" customHeight="false" outlineLevel="0" collapsed="false">
      <c r="A10" s="15" t="s">
        <v>513</v>
      </c>
      <c r="B10" s="16" t="n">
        <f aca="false">SUM(B6:B9)</f>
        <v>9.5</v>
      </c>
      <c r="C10" s="17" t="n">
        <f aca="false">SUM(C6:C9)</f>
        <v>10393.1357760849</v>
      </c>
      <c r="D10" s="15"/>
      <c r="E10" s="15"/>
      <c r="F10" s="15"/>
    </row>
    <row r="12" customFormat="false" ht="21.75" hidden="false" customHeight="true" outlineLevel="0" collapsed="false">
      <c r="A12" s="1" t="s">
        <v>514</v>
      </c>
      <c r="B12" s="1"/>
      <c r="C12" s="1"/>
      <c r="D12" s="1"/>
      <c r="E12" s="1"/>
      <c r="F12" s="1"/>
    </row>
    <row r="13" customFormat="false" ht="30" hidden="false" customHeight="true" outlineLevel="0" collapsed="false">
      <c r="A13" s="3" t="s">
        <v>2</v>
      </c>
      <c r="B13" s="3" t="s">
        <v>394</v>
      </c>
      <c r="C13" s="3"/>
      <c r="D13" s="3"/>
      <c r="E13" s="3" t="s">
        <v>515</v>
      </c>
      <c r="F13" s="3" t="s">
        <v>379</v>
      </c>
    </row>
    <row r="14" customFormat="false" ht="15" hidden="false" customHeight="false" outlineLevel="0" collapsed="false">
      <c r="A14" s="4" t="s">
        <v>516</v>
      </c>
      <c r="B14" s="9" t="n">
        <v>36</v>
      </c>
      <c r="C14" s="4"/>
      <c r="D14" s="4"/>
      <c r="E14" s="4" t="s">
        <v>517</v>
      </c>
      <c r="F14" s="4" t="s">
        <v>518</v>
      </c>
    </row>
    <row r="15" customFormat="false" ht="15" hidden="false" customHeight="false" outlineLevel="0" collapsed="false">
      <c r="A15" s="4" t="s">
        <v>519</v>
      </c>
      <c r="B15" s="9" t="n">
        <v>20</v>
      </c>
      <c r="C15" s="4"/>
      <c r="D15" s="4"/>
      <c r="E15" s="4" t="s">
        <v>517</v>
      </c>
      <c r="F15" s="4"/>
    </row>
    <row r="16" customFormat="false" ht="15" hidden="false" customHeight="false" outlineLevel="0" collapsed="false">
      <c r="A16" s="4" t="s">
        <v>520</v>
      </c>
      <c r="B16" s="9" t="n">
        <v>53</v>
      </c>
      <c r="C16" s="4"/>
      <c r="D16" s="4"/>
      <c r="E16" s="4" t="s">
        <v>517</v>
      </c>
      <c r="F16" s="4"/>
    </row>
    <row r="17" customFormat="false" ht="15" hidden="false" customHeight="false" outlineLevel="0" collapsed="false">
      <c r="A17" s="4" t="s">
        <v>521</v>
      </c>
      <c r="B17" s="9" t="n">
        <v>10</v>
      </c>
      <c r="C17" s="4"/>
      <c r="D17" s="4"/>
      <c r="E17" s="4" t="s">
        <v>517</v>
      </c>
      <c r="F17" s="4"/>
    </row>
    <row r="18" customFormat="false" ht="15" hidden="false" customHeight="false" outlineLevel="0" collapsed="false">
      <c r="A18" s="4" t="s">
        <v>403</v>
      </c>
      <c r="B18" s="9" t="n">
        <v>32</v>
      </c>
      <c r="C18" s="4"/>
      <c r="D18" s="4"/>
      <c r="E18" s="4" t="s">
        <v>517</v>
      </c>
      <c r="F18" s="4"/>
    </row>
    <row r="19" customFormat="false" ht="15" hidden="false" customHeight="false" outlineLevel="0" collapsed="false">
      <c r="A19" s="4" t="s">
        <v>522</v>
      </c>
      <c r="B19" s="9" t="n">
        <v>20</v>
      </c>
      <c r="C19" s="4"/>
      <c r="D19" s="4"/>
      <c r="E19" s="4" t="s">
        <v>517</v>
      </c>
      <c r="F19" s="4"/>
    </row>
    <row r="20" customFormat="false" ht="15" hidden="false" customHeight="false" outlineLevel="0" collapsed="false">
      <c r="A20" s="4" t="s">
        <v>523</v>
      </c>
      <c r="B20" s="9" t="n">
        <v>10</v>
      </c>
      <c r="C20" s="4"/>
      <c r="D20" s="4"/>
      <c r="E20" s="4" t="s">
        <v>517</v>
      </c>
      <c r="F20" s="4"/>
    </row>
    <row r="21" customFormat="false" ht="15" hidden="false" customHeight="false" outlineLevel="0" collapsed="false">
      <c r="A21" s="4" t="s">
        <v>406</v>
      </c>
      <c r="B21" s="9" t="n">
        <v>4</v>
      </c>
      <c r="C21" s="4"/>
      <c r="D21" s="4"/>
      <c r="E21" s="4" t="s">
        <v>517</v>
      </c>
      <c r="F21" s="4"/>
    </row>
    <row r="22" customFormat="false" ht="15" hidden="false" customHeight="false" outlineLevel="0" collapsed="false">
      <c r="A22" s="4" t="s">
        <v>524</v>
      </c>
      <c r="B22" s="9" t="n">
        <v>41</v>
      </c>
      <c r="C22" s="4"/>
      <c r="D22" s="4"/>
      <c r="E22" s="4" t="s">
        <v>517</v>
      </c>
      <c r="F22" s="4" t="s">
        <v>525</v>
      </c>
    </row>
    <row r="23" customFormat="false" ht="22.35" hidden="false" customHeight="false" outlineLevel="0" collapsed="false">
      <c r="A23" s="4" t="s">
        <v>526</v>
      </c>
      <c r="B23" s="9" t="n">
        <v>0</v>
      </c>
      <c r="C23" s="4"/>
      <c r="D23" s="4"/>
      <c r="E23" s="4" t="s">
        <v>527</v>
      </c>
      <c r="F23" s="4" t="s">
        <v>528</v>
      </c>
    </row>
    <row r="24" customFormat="false" ht="22.35" hidden="false" customHeight="false" outlineLevel="0" collapsed="false">
      <c r="A24" s="4" t="s">
        <v>448</v>
      </c>
      <c r="B24" s="9" t="n">
        <v>0</v>
      </c>
      <c r="C24" s="4"/>
      <c r="D24" s="4"/>
      <c r="E24" s="4" t="s">
        <v>529</v>
      </c>
      <c r="F24" s="4" t="s">
        <v>530</v>
      </c>
    </row>
    <row r="25" customFormat="false" ht="15" hidden="false" customHeight="false" outlineLevel="0" collapsed="false">
      <c r="A25" s="4" t="s">
        <v>450</v>
      </c>
      <c r="B25" s="9" t="n">
        <v>0</v>
      </c>
      <c r="C25" s="4"/>
      <c r="D25" s="4"/>
      <c r="E25" s="4" t="s">
        <v>529</v>
      </c>
      <c r="F25" s="4" t="s">
        <v>531</v>
      </c>
    </row>
    <row r="26" customFormat="false" ht="15" hidden="false" customHeight="false" outlineLevel="0" collapsed="false">
      <c r="A26" s="4" t="s">
        <v>532</v>
      </c>
      <c r="B26" s="9" t="n">
        <v>0</v>
      </c>
      <c r="C26" s="4"/>
      <c r="D26" s="4"/>
      <c r="E26" s="4" t="s">
        <v>529</v>
      </c>
      <c r="F26" s="4"/>
    </row>
    <row r="27" customFormat="false" ht="22.35" hidden="false" customHeight="false" outlineLevel="0" collapsed="false">
      <c r="A27" s="4" t="s">
        <v>533</v>
      </c>
      <c r="B27" s="9" t="n">
        <v>0</v>
      </c>
      <c r="C27" s="4"/>
      <c r="D27" s="4"/>
      <c r="E27" s="4" t="s">
        <v>534</v>
      </c>
      <c r="F27" s="4" t="s">
        <v>535</v>
      </c>
    </row>
    <row r="28" customFormat="false" ht="22.35" hidden="false" customHeight="false" outlineLevel="0" collapsed="false">
      <c r="A28" s="15" t="s">
        <v>536</v>
      </c>
      <c r="B28" s="17" t="n">
        <f aca="false">SUM(B14:B27)</f>
        <v>226</v>
      </c>
      <c r="C28" s="15"/>
      <c r="D28" s="15"/>
      <c r="E28" s="15"/>
      <c r="F28" s="15"/>
    </row>
    <row r="29" customFormat="false" ht="15" hidden="false" customHeight="false" outlineLevel="0" collapsed="false">
      <c r="A29" s="19" t="s">
        <v>537</v>
      </c>
      <c r="B29" s="22" t="n">
        <f aca="false">1000*07_CapaC_Variable!C8</f>
        <v>35.547</v>
      </c>
      <c r="C29" s="19"/>
      <c r="D29" s="19"/>
      <c r="E29" s="19" t="s">
        <v>422</v>
      </c>
      <c r="F29" s="19" t="s">
        <v>538</v>
      </c>
    </row>
    <row r="30" customFormat="false" ht="15" hidden="false" customHeight="false" outlineLevel="0" collapsed="false">
      <c r="A30" s="19" t="s">
        <v>539</v>
      </c>
      <c r="B30" s="20" t="n">
        <f aca="false">08_CapaD_Transferencia_TCO!$B$28*12</f>
        <v>2712</v>
      </c>
      <c r="C30" s="19"/>
      <c r="D30" s="19"/>
      <c r="E30" s="19"/>
      <c r="F30" s="19" t="s">
        <v>540</v>
      </c>
    </row>
    <row r="32" customFormat="false" ht="30" hidden="false" customHeight="true" outlineLevel="0" collapsed="false">
      <c r="A32" s="2" t="s">
        <v>541</v>
      </c>
      <c r="B32" s="2"/>
      <c r="C32" s="2"/>
      <c r="D32" s="2"/>
      <c r="E32" s="2"/>
      <c r="F32" s="2"/>
    </row>
  </sheetData>
  <mergeCells count="5">
    <mergeCell ref="A1:F1"/>
    <mergeCell ref="A2:F2"/>
    <mergeCell ref="A4:F4"/>
    <mergeCell ref="A12:F12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1" t="s">
        <v>542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3" t="s">
        <v>2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462</v>
      </c>
    </row>
    <row r="3" customFormat="false" ht="15" hidden="false" customHeight="false" outlineLevel="0" collapsed="false">
      <c r="A3" s="4" t="s">
        <v>543</v>
      </c>
      <c r="B3" s="9" t="n">
        <f aca="false">05_CapaA_Implementacion!$D$38</f>
        <v>94043.9752162973</v>
      </c>
      <c r="C3" s="9" t="n">
        <f aca="false">05_CapaA_Implementacion!$D$38</f>
        <v>94043.9752162973</v>
      </c>
      <c r="D3" s="9" t="n">
        <f aca="false">05_CapaA_Implementacion!$D$38</f>
        <v>94043.9752162973</v>
      </c>
      <c r="E3" s="4" t="s">
        <v>214</v>
      </c>
      <c r="F3" s="4" t="s">
        <v>544</v>
      </c>
    </row>
    <row r="4" customFormat="false" ht="15" hidden="false" customHeight="false" outlineLevel="0" collapsed="false">
      <c r="A4" s="4" t="s">
        <v>545</v>
      </c>
      <c r="B4" s="9" t="n">
        <f aca="false">06_CapaB_Operacion!B45</f>
        <v>14203.8805970149</v>
      </c>
      <c r="C4" s="9" t="n">
        <f aca="false">06_CapaB_Operacion!C45</f>
        <v>20618.6567164179</v>
      </c>
      <c r="D4" s="9" t="n">
        <f aca="false">06_CapaB_Operacion!D45</f>
        <v>27670.8955223881</v>
      </c>
      <c r="E4" s="4" t="s">
        <v>214</v>
      </c>
      <c r="F4" s="4" t="s">
        <v>546</v>
      </c>
    </row>
    <row r="5" customFormat="false" ht="15" hidden="false" customHeight="false" outlineLevel="0" collapsed="false">
      <c r="A5" s="4" t="s">
        <v>547</v>
      </c>
      <c r="B5" s="9" t="n">
        <f aca="false">07_CapaC_Variable!B25</f>
        <v>469.9552</v>
      </c>
      <c r="C5" s="9" t="n">
        <f aca="false">07_CapaC_Variable!C25</f>
        <v>485.9436</v>
      </c>
      <c r="D5" s="9" t="n">
        <f aca="false">07_CapaC_Variable!D25</f>
        <v>534.3056</v>
      </c>
      <c r="E5" s="4" t="s">
        <v>214</v>
      </c>
      <c r="F5" s="4" t="s">
        <v>548</v>
      </c>
    </row>
    <row r="6" customFormat="false" ht="15" hidden="false" customHeight="false" outlineLevel="0" collapsed="false">
      <c r="A6" s="4" t="s">
        <v>549</v>
      </c>
      <c r="B6" s="9" t="n">
        <f aca="false">08_CapaD_Transferencia_TCO!$C$10</f>
        <v>10393.1357760849</v>
      </c>
      <c r="C6" s="9" t="n">
        <f aca="false">08_CapaD_Transferencia_TCO!$C$10</f>
        <v>10393.1357760849</v>
      </c>
      <c r="D6" s="9" t="n">
        <f aca="false">08_CapaD_Transferencia_TCO!$C$10</f>
        <v>10393.1357760849</v>
      </c>
      <c r="E6" s="4" t="s">
        <v>214</v>
      </c>
      <c r="F6" s="4" t="s">
        <v>550</v>
      </c>
    </row>
    <row r="7" customFormat="false" ht="15" hidden="false" customHeight="false" outlineLevel="0" collapsed="false">
      <c r="A7" s="12" t="s">
        <v>551</v>
      </c>
      <c r="B7" s="14" t="n">
        <f aca="false">SUM(B3:B6)</f>
        <v>119110.946789397</v>
      </c>
      <c r="C7" s="14" t="n">
        <f aca="false">SUM(C3:C6)</f>
        <v>125541.7113088</v>
      </c>
      <c r="D7" s="14" t="n">
        <f aca="false">SUM(D3:D6)</f>
        <v>132642.31211477</v>
      </c>
      <c r="E7" s="12" t="s">
        <v>214</v>
      </c>
      <c r="F7" s="12" t="s">
        <v>552</v>
      </c>
    </row>
    <row r="8" customFormat="false" ht="15" hidden="false" customHeight="false" outlineLevel="0" collapsed="false">
      <c r="A8" s="4" t="s">
        <v>553</v>
      </c>
      <c r="B8" s="9" t="n">
        <f aca="false">B7*02_Supuestos!$B$22</f>
        <v>9528.87574315177</v>
      </c>
      <c r="C8" s="9" t="n">
        <f aca="false">C7*02_Supuestos!$B$22</f>
        <v>10043.336904704</v>
      </c>
      <c r="D8" s="9" t="n">
        <f aca="false">D7*02_Supuestos!$B$22</f>
        <v>10611.3849691816</v>
      </c>
      <c r="E8" s="4" t="s">
        <v>214</v>
      </c>
      <c r="F8" s="4" t="s">
        <v>554</v>
      </c>
    </row>
    <row r="9" customFormat="false" ht="15" hidden="false" customHeight="false" outlineLevel="0" collapsed="false">
      <c r="A9" s="4" t="s">
        <v>555</v>
      </c>
      <c r="B9" s="9" t="n">
        <f aca="false">14_Riesgo_Contingencia!$D$15</f>
        <v>14151</v>
      </c>
      <c r="C9" s="9" t="n">
        <f aca="false">14_Riesgo_Contingencia!$D$15</f>
        <v>14151</v>
      </c>
      <c r="D9" s="9" t="n">
        <f aca="false">14_Riesgo_Contingencia!$D$15</f>
        <v>14151</v>
      </c>
      <c r="E9" s="4" t="s">
        <v>214</v>
      </c>
      <c r="F9" s="4" t="s">
        <v>556</v>
      </c>
    </row>
    <row r="10" customFormat="false" ht="15" hidden="false" customHeight="false" outlineLevel="0" collapsed="false">
      <c r="A10" s="15" t="s">
        <v>557</v>
      </c>
      <c r="B10" s="17" t="n">
        <f aca="false">SUM(B7:B9)</f>
        <v>142790.822532549</v>
      </c>
      <c r="C10" s="17" t="n">
        <f aca="false">SUM(C7:C9)</f>
        <v>149736.048213504</v>
      </c>
      <c r="D10" s="17" t="n">
        <f aca="false">SUM(D7:D9)</f>
        <v>157404.697083952</v>
      </c>
      <c r="E10" s="15" t="s">
        <v>214</v>
      </c>
      <c r="F10" s="15"/>
    </row>
    <row r="11" customFormat="false" ht="15" hidden="false" customHeight="false" outlineLevel="0" collapsed="false">
      <c r="A11" s="4" t="s">
        <v>558</v>
      </c>
      <c r="B11" s="9" t="n">
        <f aca="false">B10*02_Supuestos!$B$18</f>
        <v>478349255.484039</v>
      </c>
      <c r="C11" s="9" t="n">
        <f aca="false">C10*02_Supuestos!$B$18</f>
        <v>501615761.515239</v>
      </c>
      <c r="D11" s="9" t="n">
        <f aca="false">D10*02_Supuestos!$B$18</f>
        <v>527305735.231239</v>
      </c>
      <c r="E11" s="4" t="s">
        <v>559</v>
      </c>
      <c r="F11" s="4" t="s">
        <v>560</v>
      </c>
    </row>
    <row r="13" customFormat="false" ht="21.75" hidden="false" customHeight="true" outlineLevel="0" collapsed="false">
      <c r="A13" s="1" t="s">
        <v>561</v>
      </c>
      <c r="B13" s="1"/>
      <c r="C13" s="1"/>
      <c r="D13" s="1"/>
      <c r="E13" s="1"/>
      <c r="F13" s="1"/>
    </row>
    <row r="14" customFormat="false" ht="30" hidden="false" customHeight="true" outlineLevel="0" collapsed="false">
      <c r="A14" s="3" t="s">
        <v>562</v>
      </c>
      <c r="B14" s="3" t="s">
        <v>130</v>
      </c>
      <c r="C14" s="3" t="s">
        <v>131</v>
      </c>
      <c r="D14" s="3" t="s">
        <v>132</v>
      </c>
      <c r="E14" s="3"/>
      <c r="F14" s="3" t="s">
        <v>563</v>
      </c>
    </row>
    <row r="15" customFormat="false" ht="22.35" hidden="false" customHeight="false" outlineLevel="0" collapsed="false">
      <c r="A15" s="4" t="s">
        <v>564</v>
      </c>
      <c r="B15" s="23" t="n">
        <f aca="false">B3/B10</f>
        <v>0.658613582780225</v>
      </c>
      <c r="C15" s="23" t="n">
        <f aca="false">C3/C10</f>
        <v>0.628065027348677</v>
      </c>
      <c r="D15" s="23" t="n">
        <f aca="false">D3/D10</f>
        <v>0.597466130036379</v>
      </c>
      <c r="E15" s="4"/>
      <c r="F15" s="4" t="s">
        <v>565</v>
      </c>
    </row>
    <row r="16" customFormat="false" ht="15" hidden="false" customHeight="false" outlineLevel="0" collapsed="false">
      <c r="A16" s="4" t="s">
        <v>566</v>
      </c>
      <c r="B16" s="23" t="n">
        <f aca="false">B4/B10</f>
        <v>0.0994733439103005</v>
      </c>
      <c r="C16" s="23" t="n">
        <f aca="false">C4/C10</f>
        <v>0.137700019216604</v>
      </c>
      <c r="D16" s="23" t="n">
        <f aca="false">D4/D10</f>
        <v>0.175794598477768</v>
      </c>
      <c r="E16" s="4"/>
      <c r="F16" s="4" t="s">
        <v>567</v>
      </c>
    </row>
    <row r="17" customFormat="false" ht="22.35" hidden="false" customHeight="false" outlineLevel="0" collapsed="false">
      <c r="A17" s="4" t="s">
        <v>547</v>
      </c>
      <c r="B17" s="23" t="n">
        <f aca="false">B5/B10</f>
        <v>0.00329121432081445</v>
      </c>
      <c r="C17" s="23" t="n">
        <f aca="false">C5/C10</f>
        <v>0.00324533474602661</v>
      </c>
      <c r="D17" s="23" t="n">
        <f aca="false">D5/D10</f>
        <v>0.00339447049483554</v>
      </c>
      <c r="E17" s="4"/>
      <c r="F17" s="4" t="s">
        <v>568</v>
      </c>
    </row>
    <row r="18" customFormat="false" ht="15" hidden="false" customHeight="false" outlineLevel="0" collapsed="false">
      <c r="A18" s="4" t="s">
        <v>569</v>
      </c>
      <c r="B18" s="23" t="n">
        <f aca="false">B6/B10</f>
        <v>0.0727857406502147</v>
      </c>
      <c r="C18" s="23" t="n">
        <f aca="false">C6/C10</f>
        <v>0.0694097106213573</v>
      </c>
      <c r="D18" s="23" t="n">
        <f aca="false">D6/D10</f>
        <v>0.066028117131357</v>
      </c>
      <c r="E18" s="4"/>
      <c r="F18" s="4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26"/>
  </cols>
  <sheetData>
    <row r="1" customFormat="false" ht="21.75" hidden="false" customHeight="true" outlineLevel="0" collapsed="false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3" t="s">
        <v>572</v>
      </c>
      <c r="B4" s="3" t="s">
        <v>573</v>
      </c>
      <c r="C4" s="3" t="s">
        <v>2</v>
      </c>
      <c r="D4" s="3" t="s">
        <v>574</v>
      </c>
      <c r="E4" s="3" t="s">
        <v>133</v>
      </c>
      <c r="F4" s="3" t="s">
        <v>575</v>
      </c>
      <c r="G4" s="3" t="s">
        <v>576</v>
      </c>
      <c r="H4" s="3" t="s">
        <v>577</v>
      </c>
      <c r="I4" s="3" t="s">
        <v>578</v>
      </c>
      <c r="J4" s="3" t="s">
        <v>579</v>
      </c>
      <c r="K4" s="3" t="s">
        <v>580</v>
      </c>
      <c r="L4" s="3" t="s">
        <v>581</v>
      </c>
      <c r="M4" s="3" t="s">
        <v>582</v>
      </c>
      <c r="N4" s="3" t="s">
        <v>281</v>
      </c>
      <c r="O4" s="3" t="s">
        <v>583</v>
      </c>
      <c r="P4" s="3" t="s">
        <v>584</v>
      </c>
    </row>
    <row r="5" customFormat="false" ht="32.8" hidden="false" customHeight="false" outlineLevel="0" collapsed="false">
      <c r="A5" s="4" t="s">
        <v>585</v>
      </c>
      <c r="B5" s="4" t="s">
        <v>586</v>
      </c>
      <c r="C5" s="4" t="s">
        <v>587</v>
      </c>
      <c r="D5" s="4" t="s">
        <v>588</v>
      </c>
      <c r="E5" s="4" t="s">
        <v>589</v>
      </c>
      <c r="F5" s="11" t="n">
        <f aca="false">05_CapaA_Implementacion!$C$29</f>
        <v>89</v>
      </c>
      <c r="G5" s="18"/>
      <c r="H5" s="4" t="s">
        <v>590</v>
      </c>
      <c r="I5" s="9" t="n">
        <f aca="false">05_CapaA_Implementacion!$D$29</f>
        <v>89743.9752162973</v>
      </c>
      <c r="J5" s="23" t="n">
        <v>0.16</v>
      </c>
      <c r="K5" s="9" t="n">
        <f aca="false">IF(J5=0,I5,I5/(1-J5))</f>
        <v>106838.065733687</v>
      </c>
      <c r="L5" s="4" t="s">
        <v>591</v>
      </c>
      <c r="M5" s="4" t="s">
        <v>592</v>
      </c>
      <c r="N5" s="4" t="s">
        <v>593</v>
      </c>
      <c r="O5" s="4" t="s">
        <v>594</v>
      </c>
      <c r="P5" s="4" t="s">
        <v>595</v>
      </c>
    </row>
    <row r="6" customFormat="false" ht="32.8" hidden="false" customHeight="false" outlineLevel="0" collapsed="false">
      <c r="A6" s="4" t="s">
        <v>585</v>
      </c>
      <c r="B6" s="4" t="s">
        <v>586</v>
      </c>
      <c r="C6" s="4" t="s">
        <v>596</v>
      </c>
      <c r="D6" s="4" t="s">
        <v>588</v>
      </c>
      <c r="E6" s="4" t="s">
        <v>597</v>
      </c>
      <c r="F6" s="4" t="n">
        <v>1</v>
      </c>
      <c r="G6" s="18" t="n">
        <v>4300</v>
      </c>
      <c r="H6" s="4" t="s">
        <v>590</v>
      </c>
      <c r="I6" s="9" t="n">
        <v>4300</v>
      </c>
      <c r="J6" s="23" t="n">
        <v>0.16</v>
      </c>
      <c r="K6" s="9" t="n">
        <f aca="false">IF(J6=0,I6,I6/(1-J6))</f>
        <v>5119.04761904762</v>
      </c>
      <c r="L6" s="4" t="s">
        <v>598</v>
      </c>
      <c r="M6" s="4" t="s">
        <v>599</v>
      </c>
      <c r="N6" s="4" t="s">
        <v>600</v>
      </c>
      <c r="O6" s="4" t="s">
        <v>601</v>
      </c>
      <c r="P6" s="4" t="s">
        <v>602</v>
      </c>
    </row>
    <row r="7" customFormat="false" ht="32.8" hidden="false" customHeight="false" outlineLevel="0" collapsed="false">
      <c r="A7" s="4" t="s">
        <v>603</v>
      </c>
      <c r="B7" s="4" t="s">
        <v>604</v>
      </c>
      <c r="C7" s="4" t="s">
        <v>605</v>
      </c>
      <c r="D7" s="4" t="s">
        <v>588</v>
      </c>
      <c r="E7" s="4" t="s">
        <v>606</v>
      </c>
      <c r="F7" s="4" t="n">
        <v>1</v>
      </c>
      <c r="G7" s="18" t="n">
        <f aca="false">06_CapaB_Operacion!$B$16</f>
        <v>270</v>
      </c>
      <c r="H7" s="4" t="n">
        <v>5</v>
      </c>
      <c r="I7" s="9" t="n">
        <f aca="false">06_CapaB_Operacion!$B$16*02_Supuestos!C12</f>
        <v>1350</v>
      </c>
      <c r="J7" s="23" t="n">
        <v>0.16</v>
      </c>
      <c r="K7" s="9" t="n">
        <f aca="false">IF(J7=0,I7,I7/(1-J7))</f>
        <v>1607.14285714286</v>
      </c>
      <c r="L7" s="4" t="s">
        <v>607</v>
      </c>
      <c r="M7" s="4" t="s">
        <v>608</v>
      </c>
      <c r="N7" s="4" t="s">
        <v>609</v>
      </c>
      <c r="O7" s="4" t="s">
        <v>594</v>
      </c>
      <c r="P7" s="4" t="s">
        <v>610</v>
      </c>
    </row>
    <row r="8" customFormat="false" ht="15" hidden="false" customHeight="false" outlineLevel="0" collapsed="false">
      <c r="A8" s="4" t="s">
        <v>603</v>
      </c>
      <c r="B8" s="4" t="s">
        <v>604</v>
      </c>
      <c r="C8" s="4" t="s">
        <v>412</v>
      </c>
      <c r="D8" s="4" t="s">
        <v>588</v>
      </c>
      <c r="E8" s="4" t="s">
        <v>606</v>
      </c>
      <c r="F8" s="4" t="n">
        <v>1</v>
      </c>
      <c r="G8" s="18" t="n">
        <f aca="false">06_CapaB_Operacion!$B$24</f>
        <v>100</v>
      </c>
      <c r="H8" s="4" t="n">
        <v>5</v>
      </c>
      <c r="I8" s="9" t="n">
        <f aca="false">06_CapaB_Operacion!$B$24*02_Supuestos!C12</f>
        <v>500</v>
      </c>
      <c r="J8" s="23" t="n">
        <v>0.16</v>
      </c>
      <c r="K8" s="9" t="n">
        <f aca="false">IF(J8=0,I8,I8/(1-J8))</f>
        <v>595.238095238095</v>
      </c>
      <c r="L8" s="4" t="s">
        <v>611</v>
      </c>
      <c r="M8" s="4" t="s">
        <v>612</v>
      </c>
      <c r="N8" s="4" t="s">
        <v>613</v>
      </c>
      <c r="O8" s="4" t="s">
        <v>594</v>
      </c>
      <c r="P8" s="4" t="s">
        <v>590</v>
      </c>
    </row>
    <row r="9" customFormat="false" ht="32.8" hidden="false" customHeight="false" outlineLevel="0" collapsed="false">
      <c r="A9" s="4" t="s">
        <v>603</v>
      </c>
      <c r="B9" s="4" t="s">
        <v>604</v>
      </c>
      <c r="C9" s="4" t="s">
        <v>614</v>
      </c>
      <c r="D9" s="4" t="s">
        <v>588</v>
      </c>
      <c r="E9" s="4" t="s">
        <v>615</v>
      </c>
      <c r="F9" s="4"/>
      <c r="G9" s="18"/>
      <c r="H9" s="4" t="n">
        <v>3</v>
      </c>
      <c r="I9" s="9" t="n">
        <f aca="false">06_CapaB_Operacion!C34</f>
        <v>9067.16417910448</v>
      </c>
      <c r="J9" s="23" t="n">
        <v>0.16</v>
      </c>
      <c r="K9" s="9" t="n">
        <f aca="false">IF(J9=0,I9,I9/(1-J9))</f>
        <v>10794.2430703625</v>
      </c>
      <c r="L9" s="4" t="s">
        <v>616</v>
      </c>
      <c r="M9" s="4" t="s">
        <v>617</v>
      </c>
      <c r="N9" s="4" t="s">
        <v>618</v>
      </c>
      <c r="O9" s="4" t="s">
        <v>619</v>
      </c>
      <c r="P9" s="4" t="s">
        <v>620</v>
      </c>
    </row>
    <row r="10" customFormat="false" ht="22.35" hidden="false" customHeight="false" outlineLevel="0" collapsed="false">
      <c r="A10" s="4" t="s">
        <v>603</v>
      </c>
      <c r="B10" s="4" t="s">
        <v>604</v>
      </c>
      <c r="C10" s="4" t="s">
        <v>450</v>
      </c>
      <c r="D10" s="4" t="s">
        <v>588</v>
      </c>
      <c r="E10" s="4" t="s">
        <v>606</v>
      </c>
      <c r="F10" s="4" t="n">
        <v>1</v>
      </c>
      <c r="G10" s="18"/>
      <c r="H10" s="4" t="n">
        <v>4</v>
      </c>
      <c r="I10" s="9" t="n">
        <f aca="false">(800000*2/02_Supuestos!$B$18)*4</f>
        <v>1910.44776119403</v>
      </c>
      <c r="J10" s="23" t="n">
        <v>0.16</v>
      </c>
      <c r="K10" s="9" t="n">
        <f aca="false">IF(J10=0,I10,I10/(1-J10))</f>
        <v>2274.34257285004</v>
      </c>
      <c r="L10" s="4" t="s">
        <v>621</v>
      </c>
      <c r="M10" s="4" t="s">
        <v>622</v>
      </c>
      <c r="N10" s="4" t="s">
        <v>623</v>
      </c>
      <c r="O10" s="4" t="s">
        <v>594</v>
      </c>
      <c r="P10" s="4" t="s">
        <v>624</v>
      </c>
    </row>
    <row r="11" customFormat="false" ht="15" hidden="false" customHeight="false" outlineLevel="0" collapsed="false">
      <c r="A11" s="4" t="s">
        <v>603</v>
      </c>
      <c r="B11" s="4" t="s">
        <v>604</v>
      </c>
      <c r="C11" s="4" t="s">
        <v>452</v>
      </c>
      <c r="D11" s="4" t="s">
        <v>588</v>
      </c>
      <c r="E11" s="4" t="s">
        <v>615</v>
      </c>
      <c r="F11" s="4" t="n">
        <v>0.25</v>
      </c>
      <c r="G11" s="18"/>
      <c r="H11" s="4" t="n">
        <v>4</v>
      </c>
      <c r="I11" s="9" t="n">
        <f aca="false">04_Equipo!$E$10*0.25*4</f>
        <v>4925.37313432836</v>
      </c>
      <c r="J11" s="23" t="n">
        <v>0.16</v>
      </c>
      <c r="K11" s="9" t="n">
        <f aca="false">IF(J11=0,I11,I11/(1-J11))</f>
        <v>5863.539445629</v>
      </c>
      <c r="L11" s="4" t="s">
        <v>598</v>
      </c>
      <c r="M11" s="4" t="s">
        <v>622</v>
      </c>
      <c r="N11" s="4" t="s">
        <v>600</v>
      </c>
      <c r="O11" s="4" t="s">
        <v>594</v>
      </c>
      <c r="P11" s="4" t="s">
        <v>590</v>
      </c>
    </row>
    <row r="12" customFormat="false" ht="22.35" hidden="false" customHeight="false" outlineLevel="0" collapsed="false">
      <c r="A12" s="4" t="s">
        <v>603</v>
      </c>
      <c r="B12" s="4" t="s">
        <v>604</v>
      </c>
      <c r="C12" s="4" t="s">
        <v>454</v>
      </c>
      <c r="D12" s="4" t="s">
        <v>588</v>
      </c>
      <c r="E12" s="4" t="s">
        <v>615</v>
      </c>
      <c r="F12" s="4" t="n">
        <v>0.2</v>
      </c>
      <c r="G12" s="18"/>
      <c r="H12" s="4" t="n">
        <v>4</v>
      </c>
      <c r="I12" s="9" t="n">
        <f aca="false">04_Equipo!$E$15*0.2*4</f>
        <v>2865.67164179104</v>
      </c>
      <c r="J12" s="23" t="n">
        <v>0.16</v>
      </c>
      <c r="K12" s="9" t="n">
        <f aca="false">IF(J12=0,I12,I12/(1-J12))</f>
        <v>3411.51385927505</v>
      </c>
      <c r="L12" s="4" t="s">
        <v>611</v>
      </c>
      <c r="M12" s="4" t="s">
        <v>622</v>
      </c>
      <c r="N12" s="4" t="s">
        <v>600</v>
      </c>
      <c r="O12" s="4" t="s">
        <v>594</v>
      </c>
      <c r="P12" s="4" t="s">
        <v>625</v>
      </c>
    </row>
    <row r="13" customFormat="false" ht="22.35" hidden="false" customHeight="false" outlineLevel="0" collapsed="false">
      <c r="A13" s="4" t="s">
        <v>626</v>
      </c>
      <c r="B13" s="4" t="s">
        <v>627</v>
      </c>
      <c r="C13" s="4" t="s">
        <v>628</v>
      </c>
      <c r="D13" s="4" t="s">
        <v>422</v>
      </c>
      <c r="E13" s="4" t="s">
        <v>629</v>
      </c>
      <c r="F13" s="9" t="n">
        <f aca="false">02_Supuestos!C5*02_Supuestos!C7</f>
        <v>11200</v>
      </c>
      <c r="G13" s="8" t="n">
        <f aca="false">07_CapaC_Variable!C8</f>
        <v>0.035547</v>
      </c>
      <c r="H13" s="4" t="s">
        <v>590</v>
      </c>
      <c r="I13" s="9" t="n">
        <f aca="false">F13*G13</f>
        <v>398.1264</v>
      </c>
      <c r="J13" s="23" t="n">
        <v>0.1</v>
      </c>
      <c r="K13" s="9" t="n">
        <f aca="false">IF(J13=0,I13,I13/(1-J13))</f>
        <v>442.362666666667</v>
      </c>
      <c r="L13" s="4" t="s">
        <v>611</v>
      </c>
      <c r="M13" s="4" t="s">
        <v>622</v>
      </c>
      <c r="N13" s="4" t="s">
        <v>630</v>
      </c>
      <c r="O13" s="4" t="s">
        <v>631</v>
      </c>
      <c r="P13" s="4" t="s">
        <v>632</v>
      </c>
    </row>
    <row r="14" customFormat="false" ht="22.35" hidden="false" customHeight="false" outlineLevel="0" collapsed="false">
      <c r="A14" s="4" t="s">
        <v>626</v>
      </c>
      <c r="B14" s="4" t="s">
        <v>627</v>
      </c>
      <c r="C14" s="4" t="s">
        <v>633</v>
      </c>
      <c r="D14" s="4" t="s">
        <v>422</v>
      </c>
      <c r="E14" s="4" t="s">
        <v>634</v>
      </c>
      <c r="F14" s="4" t="n">
        <v>12800</v>
      </c>
      <c r="G14" s="18" t="n">
        <v>0.0014</v>
      </c>
      <c r="H14" s="4" t="s">
        <v>590</v>
      </c>
      <c r="I14" s="9" t="n">
        <f aca="false">F14*G14</f>
        <v>17.92</v>
      </c>
      <c r="J14" s="23" t="n">
        <v>0.1</v>
      </c>
      <c r="K14" s="9" t="n">
        <f aca="false">IF(J14=0,I14,I14/(1-J14))</f>
        <v>19.9111111111111</v>
      </c>
      <c r="L14" s="4" t="s">
        <v>611</v>
      </c>
      <c r="M14" s="4" t="s">
        <v>622</v>
      </c>
      <c r="N14" s="4" t="s">
        <v>635</v>
      </c>
      <c r="O14" s="4" t="s">
        <v>594</v>
      </c>
      <c r="P14" s="4" t="s">
        <v>636</v>
      </c>
    </row>
    <row r="15" customFormat="false" ht="22.35" hidden="false" customHeight="false" outlineLevel="0" collapsed="false">
      <c r="A15" s="4" t="s">
        <v>626</v>
      </c>
      <c r="B15" s="4" t="s">
        <v>627</v>
      </c>
      <c r="C15" s="4" t="s">
        <v>637</v>
      </c>
      <c r="D15" s="4" t="s">
        <v>422</v>
      </c>
      <c r="E15" s="4" t="s">
        <v>634</v>
      </c>
      <c r="F15" s="9" t="n">
        <f aca="false">02_Supuestos!C5*02_Supuestos!C7*02_Supuestos!C9</f>
        <v>16800</v>
      </c>
      <c r="G15" s="18" t="n">
        <v>0.0014</v>
      </c>
      <c r="H15" s="4" t="s">
        <v>590</v>
      </c>
      <c r="I15" s="9" t="n">
        <f aca="false">F15*G15</f>
        <v>23.52</v>
      </c>
      <c r="J15" s="23" t="n">
        <v>0.1</v>
      </c>
      <c r="K15" s="9" t="n">
        <f aca="false">IF(J15=0,I15,I15/(1-J15))</f>
        <v>26.1333333333333</v>
      </c>
      <c r="L15" s="4" t="s">
        <v>611</v>
      </c>
      <c r="M15" s="4" t="s">
        <v>622</v>
      </c>
      <c r="N15" s="4" t="s">
        <v>638</v>
      </c>
      <c r="O15" s="4" t="s">
        <v>594</v>
      </c>
      <c r="P15" s="4" t="s">
        <v>639</v>
      </c>
    </row>
    <row r="16" customFormat="false" ht="15" hidden="false" customHeight="false" outlineLevel="0" collapsed="false">
      <c r="A16" s="4" t="s">
        <v>626</v>
      </c>
      <c r="B16" s="4" t="s">
        <v>627</v>
      </c>
      <c r="C16" s="4" t="s">
        <v>640</v>
      </c>
      <c r="D16" s="4" t="s">
        <v>422</v>
      </c>
      <c r="E16" s="4" t="s">
        <v>641</v>
      </c>
      <c r="F16" s="4" t="n">
        <v>50</v>
      </c>
      <c r="G16" s="18" t="n">
        <v>0.023</v>
      </c>
      <c r="H16" s="4" t="n">
        <v>5</v>
      </c>
      <c r="I16" s="9" t="n">
        <f aca="false">F16*G16*H16</f>
        <v>5.75</v>
      </c>
      <c r="J16" s="23" t="n">
        <v>0.1</v>
      </c>
      <c r="K16" s="9" t="n">
        <f aca="false">IF(J16=0,I16,I16/(1-J16))</f>
        <v>6.38888888888889</v>
      </c>
      <c r="L16" s="4" t="s">
        <v>611</v>
      </c>
      <c r="M16" s="4" t="s">
        <v>622</v>
      </c>
      <c r="N16" s="4" t="s">
        <v>642</v>
      </c>
      <c r="O16" s="4" t="s">
        <v>643</v>
      </c>
      <c r="P16" s="4" t="s">
        <v>590</v>
      </c>
    </row>
    <row r="17" customFormat="false" ht="22.35" hidden="false" customHeight="false" outlineLevel="0" collapsed="false">
      <c r="A17" s="4" t="s">
        <v>644</v>
      </c>
      <c r="B17" s="4" t="s">
        <v>645</v>
      </c>
      <c r="C17" s="4" t="s">
        <v>646</v>
      </c>
      <c r="D17" s="4" t="s">
        <v>588</v>
      </c>
      <c r="E17" s="4" t="s">
        <v>597</v>
      </c>
      <c r="F17" s="4" t="n">
        <v>1</v>
      </c>
      <c r="G17" s="18"/>
      <c r="H17" s="4" t="s">
        <v>590</v>
      </c>
      <c r="I17" s="9" t="n">
        <f aca="false">08_CapaD_Transferencia_TCO!$C$10-2017-(04_Equipo!$F$10+0.5*04_Equipo!$F$15)</f>
        <v>6825</v>
      </c>
      <c r="J17" s="23" t="n">
        <v>0.16</v>
      </c>
      <c r="K17" s="9" t="n">
        <f aca="false">IF(J17=0,I17,I17/(1-J17))</f>
        <v>8125</v>
      </c>
      <c r="L17" s="4" t="s">
        <v>647</v>
      </c>
      <c r="M17" s="4" t="s">
        <v>622</v>
      </c>
      <c r="N17" s="4" t="s">
        <v>648</v>
      </c>
      <c r="O17" s="4" t="s">
        <v>594</v>
      </c>
      <c r="P17" s="4" t="s">
        <v>649</v>
      </c>
    </row>
    <row r="18" customFormat="false" ht="22.35" hidden="false" customHeight="false" outlineLevel="0" collapsed="false">
      <c r="A18" s="4" t="s">
        <v>644</v>
      </c>
      <c r="B18" s="4" t="s">
        <v>645</v>
      </c>
      <c r="C18" s="4" t="s">
        <v>650</v>
      </c>
      <c r="D18" s="4" t="s">
        <v>588</v>
      </c>
      <c r="E18" s="4" t="s">
        <v>606</v>
      </c>
      <c r="F18" s="4" t="n">
        <v>1</v>
      </c>
      <c r="G18" s="18" t="n">
        <v>2017</v>
      </c>
      <c r="H18" s="4" t="n">
        <v>1</v>
      </c>
      <c r="I18" s="9" t="n">
        <v>2017</v>
      </c>
      <c r="J18" s="23" t="n">
        <v>0.16</v>
      </c>
      <c r="K18" s="9" t="n">
        <f aca="false">IF(J18=0,I18,I18/(1-J18))</f>
        <v>2401.19047619048</v>
      </c>
      <c r="L18" s="4" t="s">
        <v>598</v>
      </c>
      <c r="M18" s="4" t="s">
        <v>622</v>
      </c>
      <c r="N18" s="4" t="s">
        <v>651</v>
      </c>
      <c r="O18" s="4" t="s">
        <v>594</v>
      </c>
      <c r="P18" s="4" t="s">
        <v>652</v>
      </c>
    </row>
    <row r="19" customFormat="false" ht="22.35" hidden="false" customHeight="false" outlineLevel="0" collapsed="false">
      <c r="A19" s="4" t="s">
        <v>644</v>
      </c>
      <c r="B19" s="4" t="s">
        <v>645</v>
      </c>
      <c r="C19" s="4" t="s">
        <v>653</v>
      </c>
      <c r="D19" s="4" t="s">
        <v>588</v>
      </c>
      <c r="E19" s="4" t="s">
        <v>597</v>
      </c>
      <c r="F19" s="4" t="n">
        <v>1</v>
      </c>
      <c r="G19" s="18"/>
      <c r="H19" s="4" t="s">
        <v>590</v>
      </c>
      <c r="I19" s="9" t="n">
        <f aca="false">04_Equipo!$F$10+0.5*04_Equipo!$F$15</f>
        <v>1551.13577608493</v>
      </c>
      <c r="J19" s="23" t="n">
        <v>0.16</v>
      </c>
      <c r="K19" s="9" t="n">
        <f aca="false">IF(J19=0,I19,I19/(1-J19))</f>
        <v>1846.59020962492</v>
      </c>
      <c r="L19" s="4" t="s">
        <v>611</v>
      </c>
      <c r="M19" s="4" t="s">
        <v>654</v>
      </c>
      <c r="N19" s="4" t="s">
        <v>655</v>
      </c>
      <c r="O19" s="4" t="s">
        <v>619</v>
      </c>
      <c r="P19" s="4" t="s">
        <v>656</v>
      </c>
    </row>
    <row r="20" customFormat="false" ht="22.35" hidden="false" customHeight="false" outlineLevel="0" collapsed="false">
      <c r="A20" s="4" t="s">
        <v>657</v>
      </c>
      <c r="B20" s="4" t="s">
        <v>590</v>
      </c>
      <c r="C20" s="4" t="s">
        <v>658</v>
      </c>
      <c r="D20" s="4" t="s">
        <v>590</v>
      </c>
      <c r="E20" s="4" t="s">
        <v>149</v>
      </c>
      <c r="F20" s="4" t="n">
        <v>0.19</v>
      </c>
      <c r="G20" s="18"/>
      <c r="H20" s="4" t="s">
        <v>590</v>
      </c>
      <c r="I20" s="9"/>
      <c r="J20" s="23" t="n">
        <v>0</v>
      </c>
      <c r="K20" s="9"/>
      <c r="L20" s="4" t="s">
        <v>598</v>
      </c>
      <c r="M20" s="4" t="s">
        <v>599</v>
      </c>
      <c r="N20" s="4" t="s">
        <v>659</v>
      </c>
      <c r="O20" s="4" t="s">
        <v>594</v>
      </c>
      <c r="P20" s="4" t="s">
        <v>660</v>
      </c>
    </row>
    <row r="21" customFormat="false" ht="22.35" hidden="false" customHeight="false" outlineLevel="0" collapsed="false">
      <c r="A21" s="4" t="s">
        <v>661</v>
      </c>
      <c r="B21" s="4" t="s">
        <v>590</v>
      </c>
      <c r="C21" s="4" t="s">
        <v>662</v>
      </c>
      <c r="D21" s="4" t="s">
        <v>588</v>
      </c>
      <c r="E21" s="4" t="s">
        <v>663</v>
      </c>
      <c r="F21" s="4" t="n">
        <v>0.7</v>
      </c>
      <c r="G21" s="18" t="n">
        <v>0.025</v>
      </c>
      <c r="H21" s="4" t="s">
        <v>590</v>
      </c>
      <c r="I21" s="9"/>
      <c r="J21" s="23" t="n">
        <v>0</v>
      </c>
      <c r="K21" s="9"/>
      <c r="L21" s="4" t="s">
        <v>598</v>
      </c>
      <c r="M21" s="4" t="s">
        <v>599</v>
      </c>
      <c r="N21" s="4" t="s">
        <v>664</v>
      </c>
      <c r="O21" s="4" t="s">
        <v>665</v>
      </c>
      <c r="P21" s="4" t="s">
        <v>666</v>
      </c>
    </row>
    <row r="22" customFormat="false" ht="15" hidden="false" customHeight="false" outlineLevel="0" collapsed="false">
      <c r="A22" s="4" t="s">
        <v>667</v>
      </c>
      <c r="B22" s="4" t="s">
        <v>590</v>
      </c>
      <c r="C22" s="4" t="s">
        <v>668</v>
      </c>
      <c r="D22" s="4" t="s">
        <v>422</v>
      </c>
      <c r="E22" s="4" t="s">
        <v>669</v>
      </c>
      <c r="F22" s="4" t="n">
        <v>1</v>
      </c>
      <c r="G22" s="18"/>
      <c r="H22" s="4" t="s">
        <v>590</v>
      </c>
      <c r="I22" s="9"/>
      <c r="J22" s="23" t="n">
        <v>0.25</v>
      </c>
      <c r="K22" s="9" t="n">
        <f aca="false">IF(J22=0,I22,I22/(1-J22))</f>
        <v>0</v>
      </c>
      <c r="L22" s="4" t="s">
        <v>647</v>
      </c>
      <c r="M22" s="4" t="s">
        <v>622</v>
      </c>
      <c r="N22" s="4" t="s">
        <v>670</v>
      </c>
      <c r="O22" s="4" t="s">
        <v>643</v>
      </c>
      <c r="P22" s="4" t="s">
        <v>671</v>
      </c>
    </row>
    <row r="23" customFormat="false" ht="22.35" hidden="false" customHeight="false" outlineLevel="0" collapsed="false">
      <c r="A23" s="4" t="s">
        <v>672</v>
      </c>
      <c r="B23" s="4" t="s">
        <v>645</v>
      </c>
      <c r="C23" s="4" t="s">
        <v>673</v>
      </c>
      <c r="D23" s="4" t="s">
        <v>588</v>
      </c>
      <c r="E23" s="4" t="s">
        <v>606</v>
      </c>
      <c r="F23" s="4" t="n">
        <v>1</v>
      </c>
      <c r="G23" s="18" t="n">
        <f aca="false">08_CapaD_Transferencia_TCO!$B$28</f>
        <v>226</v>
      </c>
      <c r="H23" s="4" t="n">
        <v>12</v>
      </c>
      <c r="I23" s="9" t="n">
        <f aca="false">08_CapaD_Transferencia_TCO!$B$28*12</f>
        <v>2712</v>
      </c>
      <c r="J23" s="23" t="n">
        <v>0.15</v>
      </c>
      <c r="K23" s="9" t="n">
        <f aca="false">IF(J23=0,I23,I23/(1-J23))</f>
        <v>3190.58823529412</v>
      </c>
      <c r="L23" s="4" t="s">
        <v>599</v>
      </c>
      <c r="M23" s="4" t="s">
        <v>608</v>
      </c>
      <c r="N23" s="4" t="s">
        <v>674</v>
      </c>
      <c r="O23" s="4" t="s">
        <v>594</v>
      </c>
      <c r="P23" s="4" t="s">
        <v>671</v>
      </c>
    </row>
    <row r="24" customFormat="false" ht="15" hidden="false" customHeight="false" outlineLevel="0" collapsed="false">
      <c r="A24" s="15"/>
      <c r="B24" s="15"/>
      <c r="C24" s="15" t="s">
        <v>675</v>
      </c>
      <c r="D24" s="15"/>
      <c r="E24" s="15"/>
      <c r="F24" s="15"/>
      <c r="G24" s="15"/>
      <c r="H24" s="15"/>
      <c r="I24" s="17" t="n">
        <f aca="false">SUM(I5:I19)</f>
        <v>125501.0841088</v>
      </c>
      <c r="J24" s="15"/>
      <c r="K24" s="17" t="n">
        <f aca="false">SUM(K5:K19)</f>
        <v>149370.709939048</v>
      </c>
      <c r="L24" s="15"/>
      <c r="M24" s="15"/>
      <c r="N24" s="15"/>
      <c r="O24" s="15"/>
      <c r="P24" s="15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21.75" hidden="false" customHeight="true" outlineLevel="0" collapsed="false">
      <c r="A1" s="1" t="s">
        <v>676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677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678</v>
      </c>
      <c r="B4" s="3" t="s">
        <v>679</v>
      </c>
      <c r="C4" s="3" t="s">
        <v>680</v>
      </c>
      <c r="D4" s="3" t="s">
        <v>681</v>
      </c>
      <c r="E4" s="3" t="s">
        <v>682</v>
      </c>
      <c r="F4" s="3" t="s">
        <v>683</v>
      </c>
      <c r="G4" s="3" t="s">
        <v>684</v>
      </c>
      <c r="H4" s="3" t="s">
        <v>685</v>
      </c>
      <c r="I4" s="3" t="s">
        <v>686</v>
      </c>
      <c r="J4" s="3" t="s">
        <v>687</v>
      </c>
      <c r="K4" s="3" t="s">
        <v>688</v>
      </c>
    </row>
    <row r="5" customFormat="false" ht="32.8" hidden="false" customHeight="false" outlineLevel="0" collapsed="false">
      <c r="A5" s="4" t="s">
        <v>689</v>
      </c>
      <c r="B5" s="9" t="n">
        <f aca="false">09_Escenarios!C10</f>
        <v>149736.048213504</v>
      </c>
      <c r="C5" s="23" t="n">
        <v>0.04</v>
      </c>
      <c r="D5" s="9" t="n">
        <f aca="false">(B5+02_Supuestos!$B$23*(B5/(1-C5))*02_Supuestos!$B$25*02_Supuestos!$B$24)/(1-C5)</f>
        <v>159358.571494152</v>
      </c>
      <c r="E5" s="9" t="n">
        <f aca="false">D5*02_Supuestos!$B$18</f>
        <v>533851214.505408</v>
      </c>
      <c r="F5" s="9" t="n">
        <f aca="false">E5*02_Supuestos!$B$19</f>
        <v>101431730.756028</v>
      </c>
      <c r="G5" s="9" t="n">
        <f aca="false">E5+F5</f>
        <v>635282945.261436</v>
      </c>
      <c r="H5" s="9" t="n">
        <f aca="false">D5*02_Supuestos!$B$25*02_Supuestos!$B$23*02_Supuestos!$B$24</f>
        <v>3318.64225136571</v>
      </c>
      <c r="I5" s="9" t="n">
        <f aca="false">D5-B5-H5</f>
        <v>6303.88102928185</v>
      </c>
      <c r="J5" s="23" t="n">
        <f aca="false">I5/D5</f>
        <v>0.0395578409757092</v>
      </c>
      <c r="K5" s="4" t="s">
        <v>690</v>
      </c>
    </row>
    <row r="6" customFormat="false" ht="32.8" hidden="false" customHeight="false" outlineLevel="0" collapsed="false">
      <c r="A6" s="4" t="s">
        <v>691</v>
      </c>
      <c r="B6" s="9" t="n">
        <f aca="false">09_Escenarios!C10</f>
        <v>149736.048213504</v>
      </c>
      <c r="C6" s="23" t="n">
        <v>0.1</v>
      </c>
      <c r="D6" s="9" t="n">
        <f aca="false">(B6+02_Supuestos!$B$23*(B6/(1-C6))*02_Supuestos!$B$25*02_Supuestos!$B$24)/(1-C6)</f>
        <v>170223.082217531</v>
      </c>
      <c r="E6" s="9" t="n">
        <f aca="false">D6*02_Supuestos!$B$18</f>
        <v>570247325.428728</v>
      </c>
      <c r="F6" s="9" t="n">
        <f aca="false">E6*02_Supuestos!$B$19</f>
        <v>108346991.831458</v>
      </c>
      <c r="G6" s="9" t="n">
        <f aca="false">E6+F6</f>
        <v>678594317.260186</v>
      </c>
      <c r="H6" s="9" t="n">
        <f aca="false">D6*02_Supuestos!$B$25*02_Supuestos!$B$23*02_Supuestos!$B$24</f>
        <v>3544.89568718008</v>
      </c>
      <c r="I6" s="9" t="n">
        <f aca="false">D6-B6-H6</f>
        <v>16942.1383168466</v>
      </c>
      <c r="J6" s="23" t="n">
        <f aca="false">I6/D6</f>
        <v>0.0995290303532158</v>
      </c>
      <c r="K6" s="4" t="s">
        <v>692</v>
      </c>
    </row>
    <row r="7" customFormat="false" ht="22.35" hidden="false" customHeight="false" outlineLevel="0" collapsed="false">
      <c r="A7" s="4" t="s">
        <v>693</v>
      </c>
      <c r="B7" s="9" t="n">
        <f aca="false">09_Escenarios!C10</f>
        <v>149736.048213504</v>
      </c>
      <c r="C7" s="23" t="n">
        <v>0.16</v>
      </c>
      <c r="D7" s="9" t="n">
        <f aca="false">(B7+02_Supuestos!$B$23*(B7/(1-C7))*02_Supuestos!$B$25*02_Supuestos!$B$24)/(1-C7)</f>
        <v>182676.493343806</v>
      </c>
      <c r="E7" s="9" t="n">
        <f aca="false">D7*02_Supuestos!$B$18</f>
        <v>611966252.701751</v>
      </c>
      <c r="F7" s="9" t="n">
        <f aca="false">E7*02_Supuestos!$B$19</f>
        <v>116273588.013333</v>
      </c>
      <c r="G7" s="9" t="n">
        <f aca="false">E7+F7</f>
        <v>728239840.715084</v>
      </c>
      <c r="H7" s="9" t="n">
        <f aca="false">D7*02_Supuestos!$B$25*02_Supuestos!$B$23*02_Supuestos!$B$24</f>
        <v>3804.23797388477</v>
      </c>
      <c r="I7" s="9" t="n">
        <f aca="false">D7-B7-H7</f>
        <v>29136.2071564173</v>
      </c>
      <c r="J7" s="23" t="n">
        <f aca="false">I7/D7</f>
        <v>0.159496203496646</v>
      </c>
      <c r="K7" s="4" t="s">
        <v>694</v>
      </c>
    </row>
    <row r="8" customFormat="false" ht="22.35" hidden="false" customHeight="false" outlineLevel="0" collapsed="false">
      <c r="A8" s="4" t="s">
        <v>695</v>
      </c>
      <c r="B8" s="9" t="n">
        <f aca="false">09_Escenarios!D10</f>
        <v>157404.697083952</v>
      </c>
      <c r="C8" s="23" t="n">
        <v>0.22</v>
      </c>
      <c r="D8" s="9" t="n">
        <f aca="false">(B8+02_Supuestos!$B$23*(B8/(1-C8))*02_Supuestos!$B$25*02_Supuestos!$B$24)/(1-C8)</f>
        <v>207188.71884</v>
      </c>
      <c r="E8" s="9" t="n">
        <f aca="false">D8*02_Supuestos!$B$18</f>
        <v>694082208.113999</v>
      </c>
      <c r="F8" s="9" t="n">
        <f aca="false">E8*02_Supuestos!$B$19</f>
        <v>131875619.54166</v>
      </c>
      <c r="G8" s="9" t="n">
        <f aca="false">E8+F8</f>
        <v>825957827.655658</v>
      </c>
      <c r="H8" s="9" t="n">
        <f aca="false">D8*02_Supuestos!$B$25*02_Supuestos!$B$23*02_Supuestos!$B$24</f>
        <v>4314.70506984299</v>
      </c>
      <c r="I8" s="9" t="n">
        <f aca="false">D8-B8-H8</f>
        <v>45469.3166862047</v>
      </c>
      <c r="J8" s="23" t="n">
        <f aca="false">I8/D8</f>
        <v>0.219458457684263</v>
      </c>
      <c r="K8" s="4" t="s">
        <v>696</v>
      </c>
    </row>
    <row r="10" customFormat="false" ht="21.75" hidden="false" customHeight="true" outlineLevel="0" collapsed="false">
      <c r="A10" s="1" t="s">
        <v>697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30" hidden="false" customHeight="true" outlineLevel="0" collapsed="false">
      <c r="A11" s="3" t="s">
        <v>2</v>
      </c>
      <c r="B11" s="3" t="s">
        <v>698</v>
      </c>
      <c r="C11" s="3"/>
      <c r="D11" s="3" t="s">
        <v>699</v>
      </c>
      <c r="E11" s="3" t="s">
        <v>700</v>
      </c>
      <c r="F11" s="3"/>
      <c r="G11" s="3"/>
      <c r="H11" s="3"/>
      <c r="I11" s="3"/>
      <c r="J11" s="3"/>
      <c r="K11" s="3" t="s">
        <v>701</v>
      </c>
    </row>
    <row r="12" customFormat="false" ht="32.8" hidden="false" customHeight="false" outlineLevel="0" collapsed="false">
      <c r="A12" s="4" t="s">
        <v>679</v>
      </c>
      <c r="B12" s="9" t="n">
        <v>128467</v>
      </c>
      <c r="C12" s="4"/>
      <c r="D12" s="9" t="n">
        <f aca="false">09_Escenarios!C10</f>
        <v>149736.048213504</v>
      </c>
      <c r="E12" s="9" t="n">
        <f aca="false">D12-B12</f>
        <v>21269.0482135041</v>
      </c>
      <c r="F12" s="4"/>
      <c r="G12" s="4"/>
      <c r="H12" s="4"/>
      <c r="I12" s="4"/>
      <c r="J12" s="4"/>
      <c r="K12" s="4" t="s">
        <v>702</v>
      </c>
    </row>
    <row r="13" customFormat="false" ht="32.8" hidden="false" customHeight="false" outlineLevel="0" collapsed="false">
      <c r="A13" s="4" t="s">
        <v>703</v>
      </c>
      <c r="B13" s="9" t="n">
        <v>156124</v>
      </c>
      <c r="C13" s="4"/>
      <c r="D13" s="9" t="n">
        <f aca="false">11_Precios!$D$7</f>
        <v>182676.493343806</v>
      </c>
      <c r="E13" s="9" t="n">
        <f aca="false">D13-B13</f>
        <v>26552.4933438062</v>
      </c>
      <c r="F13" s="4"/>
      <c r="G13" s="4"/>
      <c r="H13" s="4"/>
      <c r="I13" s="4"/>
      <c r="J13" s="4"/>
      <c r="K13" s="4" t="s">
        <v>704</v>
      </c>
    </row>
    <row r="14" customFormat="false" ht="15" hidden="false" customHeight="false" outlineLevel="0" collapsed="false">
      <c r="A14" s="4" t="s">
        <v>705</v>
      </c>
      <c r="B14" s="9" t="n">
        <v>622388326</v>
      </c>
      <c r="C14" s="4"/>
      <c r="D14" s="9" t="n">
        <f aca="false">11_Precios!$D$7*02_Supuestos!$B$18*(1+02_Supuestos!$B$19)</f>
        <v>728239840.715084</v>
      </c>
      <c r="E14" s="9" t="n">
        <f aca="false">D14-B14</f>
        <v>105851514.715083</v>
      </c>
      <c r="F14" s="4"/>
      <c r="G14" s="4"/>
      <c r="H14" s="4"/>
      <c r="I14" s="4"/>
      <c r="J14" s="4"/>
      <c r="K14" s="4"/>
    </row>
    <row r="16" customFormat="false" ht="21.75" hidden="false" customHeight="true" outlineLevel="0" collapsed="false">
      <c r="A16" s="1" t="s">
        <v>706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30" hidden="false" customHeight="true" outlineLevel="0" collapsed="false">
      <c r="A17" s="2" t="s">
        <v>707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30" hidden="false" customHeight="true" outlineLevel="0" collapsed="false">
      <c r="A18" s="3" t="s">
        <v>708</v>
      </c>
      <c r="B18" s="3" t="s">
        <v>709</v>
      </c>
      <c r="C18" s="3"/>
      <c r="D18" s="3" t="s">
        <v>691</v>
      </c>
      <c r="E18" s="3" t="s">
        <v>710</v>
      </c>
      <c r="F18" s="3" t="s">
        <v>695</v>
      </c>
      <c r="G18" s="3"/>
      <c r="H18" s="3"/>
      <c r="I18" s="3"/>
      <c r="J18" s="3"/>
      <c r="K18" s="3"/>
    </row>
    <row r="19" customFormat="false" ht="15" hidden="false" customHeight="false" outlineLevel="0" collapsed="false">
      <c r="A19" s="9" t="n">
        <v>100000</v>
      </c>
      <c r="B19" s="18" t="n">
        <f aca="false">MIN(15,15*$A19/D$5)</f>
        <v>9.41273497833186</v>
      </c>
      <c r="C19" s="4"/>
      <c r="D19" s="18" t="n">
        <f aca="false">MIN(15,15*$A19/D$6)</f>
        <v>8.81196592412259</v>
      </c>
      <c r="E19" s="18" t="n">
        <f aca="false">MIN(15,15*$A19/D$7)</f>
        <v>8.21123710305149</v>
      </c>
      <c r="F19" s="18" t="n">
        <f aca="false">MIN(15,15*$A19/D$8)</f>
        <v>7.23977641445994</v>
      </c>
      <c r="G19" s="4"/>
      <c r="H19" s="4"/>
      <c r="I19" s="4"/>
      <c r="J19" s="4"/>
      <c r="K19" s="4"/>
    </row>
    <row r="20" customFormat="false" ht="15" hidden="false" customHeight="false" outlineLevel="0" collapsed="false">
      <c r="A20" s="9" t="n">
        <v>120000</v>
      </c>
      <c r="B20" s="18" t="n">
        <f aca="false">MIN(15,15*$A20/D$5)</f>
        <v>11.2952819739982</v>
      </c>
      <c r="C20" s="4"/>
      <c r="D20" s="18" t="n">
        <f aca="false">MIN(15,15*$A20/D$6)</f>
        <v>10.5743591089471</v>
      </c>
      <c r="E20" s="18" t="n">
        <f aca="false">MIN(15,15*$A20/D$7)</f>
        <v>9.85348452366179</v>
      </c>
      <c r="F20" s="18" t="n">
        <f aca="false">MIN(15,15*$A20/D$8)</f>
        <v>8.68773169735192</v>
      </c>
      <c r="G20" s="4"/>
      <c r="H20" s="4"/>
      <c r="I20" s="4"/>
      <c r="J20" s="4"/>
      <c r="K20" s="4"/>
    </row>
    <row r="21" customFormat="false" ht="15" hidden="false" customHeight="false" outlineLevel="0" collapsed="false">
      <c r="A21" s="9" t="n">
        <v>140000</v>
      </c>
      <c r="B21" s="18" t="n">
        <f aca="false">MIN(15,15*$A21/D$5)</f>
        <v>13.1778289696646</v>
      </c>
      <c r="C21" s="4"/>
      <c r="D21" s="18" t="n">
        <f aca="false">MIN(15,15*$A21/D$6)</f>
        <v>12.3367522937716</v>
      </c>
      <c r="E21" s="18" t="n">
        <f aca="false">MIN(15,15*$A21/D$7)</f>
        <v>11.4957319442721</v>
      </c>
      <c r="F21" s="18" t="n">
        <f aca="false">MIN(15,15*$A21/D$8)</f>
        <v>10.1356869802439</v>
      </c>
      <c r="G21" s="4"/>
      <c r="H21" s="4"/>
      <c r="I21" s="4"/>
      <c r="J21" s="4"/>
      <c r="K21" s="4"/>
    </row>
    <row r="22" customFormat="false" ht="15" hidden="false" customHeight="false" outlineLevel="0" collapsed="false">
      <c r="A22" s="9" t="n">
        <v>160000</v>
      </c>
      <c r="B22" s="18" t="n">
        <f aca="false">MIN(15,15*$A22/D$5)</f>
        <v>15</v>
      </c>
      <c r="C22" s="4"/>
      <c r="D22" s="18" t="n">
        <f aca="false">MIN(15,15*$A22/D$6)</f>
        <v>14.0991454785962</v>
      </c>
      <c r="E22" s="18" t="n">
        <f aca="false">MIN(15,15*$A22/D$7)</f>
        <v>13.1379793648824</v>
      </c>
      <c r="F22" s="18" t="n">
        <f aca="false">MIN(15,15*$A22/D$8)</f>
        <v>11.5836422631359</v>
      </c>
      <c r="G22" s="4"/>
      <c r="H22" s="4"/>
      <c r="I22" s="4"/>
      <c r="J22" s="4"/>
      <c r="K22" s="4"/>
    </row>
    <row r="23" customFormat="false" ht="15" hidden="false" customHeight="false" outlineLevel="0" collapsed="false">
      <c r="A23" s="9" t="n">
        <v>180000</v>
      </c>
      <c r="B23" s="18" t="n">
        <f aca="false">MIN(15,15*$A23/D$5)</f>
        <v>15</v>
      </c>
      <c r="C23" s="4"/>
      <c r="D23" s="18" t="n">
        <f aca="false">MIN(15,15*$A23/D$6)</f>
        <v>15</v>
      </c>
      <c r="E23" s="18" t="n">
        <f aca="false">MIN(15,15*$A23/D$7)</f>
        <v>14.7802267854927</v>
      </c>
      <c r="F23" s="18" t="n">
        <f aca="false">MIN(15,15*$A23/D$8)</f>
        <v>13.0315975460279</v>
      </c>
      <c r="G23" s="4"/>
      <c r="H23" s="4"/>
      <c r="I23" s="4"/>
      <c r="J23" s="4"/>
      <c r="K23" s="4"/>
    </row>
    <row r="25" customFormat="false" ht="21.75" hidden="false" customHeight="true" outlineLevel="0" collapsed="false">
      <c r="A25" s="1" t="s">
        <v>711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30" hidden="false" customHeight="true" outlineLevel="0" collapsed="false">
      <c r="A26" s="3" t="s">
        <v>712</v>
      </c>
      <c r="B26" s="3" t="s">
        <v>713</v>
      </c>
      <c r="C26" s="3"/>
      <c r="D26" s="3" t="s">
        <v>714</v>
      </c>
      <c r="E26" s="3"/>
      <c r="F26" s="3"/>
      <c r="G26" s="3"/>
      <c r="H26" s="3"/>
      <c r="I26" s="3"/>
      <c r="J26" s="3"/>
      <c r="K26" s="3"/>
    </row>
    <row r="27" customFormat="false" ht="64.15" hidden="false" customHeight="false" outlineLevel="0" collapsed="false">
      <c r="A27" s="4" t="s">
        <v>715</v>
      </c>
      <c r="B27" s="4" t="s">
        <v>716</v>
      </c>
      <c r="C27" s="4"/>
      <c r="D27" s="4" t="s">
        <v>717</v>
      </c>
      <c r="E27" s="4"/>
      <c r="F27" s="4"/>
      <c r="G27" s="4"/>
      <c r="H27" s="4"/>
      <c r="I27" s="4"/>
      <c r="J27" s="4"/>
      <c r="K27" s="4"/>
    </row>
    <row r="28" customFormat="false" ht="32.8" hidden="false" customHeight="false" outlineLevel="0" collapsed="false">
      <c r="A28" s="4" t="s">
        <v>718</v>
      </c>
      <c r="B28" s="4" t="s">
        <v>719</v>
      </c>
      <c r="C28" s="4"/>
      <c r="D28" s="4" t="s">
        <v>720</v>
      </c>
      <c r="E28" s="4"/>
      <c r="F28" s="4"/>
      <c r="G28" s="4"/>
      <c r="H28" s="4"/>
      <c r="I28" s="4"/>
      <c r="J28" s="4"/>
      <c r="K28" s="4"/>
    </row>
    <row r="29" customFormat="false" ht="53.7" hidden="false" customHeight="false" outlineLevel="0" collapsed="false">
      <c r="A29" s="4" t="s">
        <v>721</v>
      </c>
      <c r="B29" s="4" t="s">
        <v>722</v>
      </c>
      <c r="C29" s="4"/>
      <c r="D29" s="4" t="s">
        <v>723</v>
      </c>
      <c r="E29" s="4"/>
      <c r="F29" s="4"/>
      <c r="G29" s="4"/>
      <c r="H29" s="4"/>
      <c r="I29" s="4"/>
      <c r="J29" s="4"/>
      <c r="K29" s="4"/>
    </row>
    <row r="30" customFormat="false" ht="64.15" hidden="false" customHeight="false" outlineLevel="0" collapsed="false">
      <c r="A30" s="4" t="s">
        <v>724</v>
      </c>
      <c r="B30" s="4" t="s">
        <v>725</v>
      </c>
      <c r="C30" s="4"/>
      <c r="D30" s="4" t="s">
        <v>726</v>
      </c>
      <c r="E30" s="4"/>
      <c r="F30" s="4"/>
      <c r="G30" s="4"/>
      <c r="H30" s="4"/>
      <c r="I30" s="4"/>
      <c r="J30" s="4"/>
      <c r="K30" s="4"/>
    </row>
    <row r="31" customFormat="false" ht="43.25" hidden="false" customHeight="false" outlineLevel="0" collapsed="false">
      <c r="A31" s="4" t="s">
        <v>727</v>
      </c>
      <c r="B31" s="4" t="s">
        <v>728</v>
      </c>
      <c r="C31" s="4"/>
      <c r="D31" s="4" t="s">
        <v>729</v>
      </c>
      <c r="E31" s="4"/>
      <c r="F31" s="4"/>
      <c r="G31" s="4"/>
      <c r="H31" s="4"/>
      <c r="I31" s="4"/>
      <c r="J31" s="4"/>
      <c r="K31" s="4"/>
    </row>
    <row r="32" customFormat="false" ht="32.8" hidden="false" customHeight="false" outlineLevel="0" collapsed="false">
      <c r="A32" s="4" t="s">
        <v>103</v>
      </c>
      <c r="B32" s="4" t="s">
        <v>730</v>
      </c>
      <c r="C32" s="4"/>
      <c r="D32" s="4" t="s">
        <v>731</v>
      </c>
      <c r="E32" s="4"/>
      <c r="F32" s="4"/>
      <c r="G32" s="4"/>
      <c r="H32" s="4"/>
      <c r="I32" s="4"/>
      <c r="J32" s="4"/>
      <c r="K32" s="4"/>
    </row>
    <row r="33" customFormat="false" ht="43.25" hidden="false" customHeight="false" outlineLevel="0" collapsed="false">
      <c r="A33" s="4" t="s">
        <v>732</v>
      </c>
      <c r="B33" s="4" t="s">
        <v>733</v>
      </c>
      <c r="C33" s="4"/>
      <c r="D33" s="4" t="s">
        <v>734</v>
      </c>
      <c r="E33" s="4"/>
      <c r="F33" s="4"/>
      <c r="G33" s="4"/>
      <c r="H33" s="4"/>
      <c r="I33" s="4"/>
      <c r="J33" s="4"/>
      <c r="K33" s="4"/>
    </row>
    <row r="34" customFormat="false" ht="43.25" hidden="false" customHeight="false" outlineLevel="0" collapsed="false">
      <c r="A34" s="4" t="s">
        <v>735</v>
      </c>
      <c r="B34" s="4" t="s">
        <v>736</v>
      </c>
      <c r="C34" s="4"/>
      <c r="D34" s="4" t="s">
        <v>737</v>
      </c>
      <c r="E34" s="4"/>
      <c r="F34" s="4"/>
      <c r="G34" s="4"/>
      <c r="H34" s="4"/>
      <c r="I34" s="4"/>
      <c r="J34" s="4"/>
      <c r="K34" s="4"/>
    </row>
  </sheetData>
  <mergeCells count="6">
    <mergeCell ref="A1:K1"/>
    <mergeCell ref="A2:K2"/>
    <mergeCell ref="A10:K10"/>
    <mergeCell ref="A16:K16"/>
    <mergeCell ref="A17:K17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" t="s">
        <v>738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1" t="s">
        <v>739</v>
      </c>
      <c r="B2" s="1"/>
      <c r="C2" s="1"/>
      <c r="D2" s="1"/>
      <c r="E2" s="1"/>
      <c r="F2" s="1"/>
    </row>
    <row r="3" customFormat="false" ht="30" hidden="false" customHeight="true" outlineLevel="0" collapsed="false">
      <c r="A3" s="3" t="s">
        <v>740</v>
      </c>
      <c r="B3" s="3" t="s">
        <v>741</v>
      </c>
      <c r="C3" s="3" t="s">
        <v>742</v>
      </c>
      <c r="D3" s="3" t="s">
        <v>743</v>
      </c>
      <c r="E3" s="3" t="s">
        <v>133</v>
      </c>
      <c r="F3" s="3" t="s">
        <v>379</v>
      </c>
    </row>
    <row r="4" customFormat="false" ht="15" hidden="false" customHeight="false" outlineLevel="0" collapsed="false">
      <c r="A4" s="4" t="s">
        <v>744</v>
      </c>
      <c r="B4" s="9" t="n">
        <f aca="false">(06_CapaB_Operacion!$B$16+06_CapaB_Operacion!$B$24)*2</f>
        <v>740</v>
      </c>
      <c r="C4" s="9" t="n">
        <f aca="false">(06_CapaB_Operacion!$B$16+06_CapaB_Operacion!$B$24)*4</f>
        <v>1480</v>
      </c>
      <c r="D4" s="9" t="n">
        <f aca="false">(06_CapaB_Operacion!$B$16+06_CapaB_Operacion!$B$24)*5</f>
        <v>1850</v>
      </c>
      <c r="E4" s="4" t="s">
        <v>214</v>
      </c>
      <c r="F4" s="4" t="s">
        <v>745</v>
      </c>
    </row>
    <row r="5" customFormat="false" ht="15" hidden="false" customHeight="false" outlineLevel="0" collapsed="false">
      <c r="A5" s="4" t="s">
        <v>724</v>
      </c>
      <c r="B5" s="9" t="n">
        <f aca="false">(04_Equipo!$E$13*06_CapaB_Operacion!$C$32+04_Equipo!$E$14*06_CapaB_Operacion!$C$33)*2</f>
        <v>6044.77611940298</v>
      </c>
      <c r="C5" s="9" t="n">
        <f aca="false">(04_Equipo!$E$13*06_CapaB_Operacion!$C$32+04_Equipo!$E$14*06_CapaB_Operacion!$C$33)*3</f>
        <v>9067.16417910448</v>
      </c>
      <c r="D5" s="9" t="n">
        <f aca="false">(04_Equipo!$E$13*06_CapaB_Operacion!$C$32+04_Equipo!$E$14*06_CapaB_Operacion!$C$33)*3</f>
        <v>9067.16417910448</v>
      </c>
      <c r="E5" s="4" t="s">
        <v>214</v>
      </c>
      <c r="F5" s="4" t="s">
        <v>746</v>
      </c>
    </row>
    <row r="6" customFormat="false" ht="15" hidden="false" customHeight="false" outlineLevel="0" collapsed="false">
      <c r="A6" s="4" t="s">
        <v>747</v>
      </c>
      <c r="B6" s="9" t="n">
        <f aca="false">((800000*2/02_Supuestos!$B$18)+04_Equipo!$E$10*0.25+04_Equipo!$E$15*0.2)*2</f>
        <v>4850.74626865672</v>
      </c>
      <c r="C6" s="9" t="n">
        <f aca="false">((800000*2/02_Supuestos!$B$18)+04_Equipo!$E$10*0.25+04_Equipo!$E$15*0.2)*4</f>
        <v>9701.49253731343</v>
      </c>
      <c r="D6" s="9" t="n">
        <f aca="false">((800000*2/02_Supuestos!$B$18)+04_Equipo!$E$10*0.25+04_Equipo!$E$15*0.2)*4</f>
        <v>9701.49253731343</v>
      </c>
      <c r="E6" s="4" t="s">
        <v>214</v>
      </c>
      <c r="F6" s="4" t="s">
        <v>748</v>
      </c>
    </row>
    <row r="7" customFormat="false" ht="15" hidden="false" customHeight="false" outlineLevel="0" collapsed="false">
      <c r="A7" s="4" t="s">
        <v>749</v>
      </c>
      <c r="B7" s="9" t="n">
        <f aca="false">07_CapaC_Variable!C25</f>
        <v>485.9436</v>
      </c>
      <c r="C7" s="9" t="n">
        <f aca="false">07_CapaC_Variable!C25</f>
        <v>485.9436</v>
      </c>
      <c r="D7" s="9" t="n">
        <f aca="false">07_CapaC_Variable!C25</f>
        <v>485.9436</v>
      </c>
      <c r="E7" s="4" t="s">
        <v>214</v>
      </c>
      <c r="F7" s="4" t="s">
        <v>750</v>
      </c>
    </row>
    <row r="8" customFormat="false" ht="15" hidden="false" customHeight="false" outlineLevel="0" collapsed="false">
      <c r="A8" s="15" t="s">
        <v>751</v>
      </c>
      <c r="B8" s="17" t="n">
        <f aca="false">SUM(B4:B7)</f>
        <v>12121.4659880597</v>
      </c>
      <c r="C8" s="17" t="n">
        <f aca="false">SUM(C4:C7)</f>
        <v>20734.6003164179</v>
      </c>
      <c r="D8" s="17" t="n">
        <f aca="false">SUM(D4:D7)</f>
        <v>21104.6003164179</v>
      </c>
      <c r="E8" s="15" t="s">
        <v>214</v>
      </c>
      <c r="F8" s="15"/>
    </row>
    <row r="9" customFormat="false" ht="22.35" hidden="false" customHeight="false" outlineLevel="0" collapsed="false">
      <c r="A9" s="4" t="s">
        <v>752</v>
      </c>
      <c r="B9" s="9" t="n">
        <f aca="false">B8-D8</f>
        <v>-8983.13432835821</v>
      </c>
      <c r="C9" s="9" t="n">
        <f aca="false">C8-D8</f>
        <v>-370</v>
      </c>
      <c r="D9" s="9" t="n">
        <f aca="false">D8-D8</f>
        <v>0</v>
      </c>
      <c r="E9" s="4" t="s">
        <v>214</v>
      </c>
      <c r="F9" s="4" t="s">
        <v>753</v>
      </c>
    </row>
    <row r="11" customFormat="false" ht="21.75" hidden="false" customHeight="true" outlineLevel="0" collapsed="false">
      <c r="A11" s="1" t="s">
        <v>754</v>
      </c>
      <c r="B11" s="1"/>
      <c r="C11" s="1"/>
      <c r="D11" s="1"/>
      <c r="E11" s="1"/>
      <c r="F11" s="1"/>
    </row>
    <row r="12" customFormat="false" ht="30" hidden="false" customHeight="true" outlineLevel="0" collapsed="false">
      <c r="A12" s="3" t="s">
        <v>755</v>
      </c>
      <c r="B12" s="3" t="s">
        <v>756</v>
      </c>
      <c r="C12" s="3" t="s">
        <v>757</v>
      </c>
      <c r="D12" s="3" t="s">
        <v>758</v>
      </c>
      <c r="E12" s="3" t="s">
        <v>759</v>
      </c>
      <c r="F12" s="3" t="s">
        <v>563</v>
      </c>
    </row>
    <row r="13" customFormat="false" ht="15" hidden="false" customHeight="false" outlineLevel="0" collapsed="false">
      <c r="A13" s="4" t="s">
        <v>429</v>
      </c>
      <c r="B13" s="18" t="n">
        <f aca="false">02_Supuestos!C5*02_Supuestos!C7*0.05/02_Supuestos!$B$26</f>
        <v>14</v>
      </c>
      <c r="C13" s="18" t="n">
        <f aca="false">02_Supuestos!C5*02_Supuestos!C7*0.15/02_Supuestos!$B$26</f>
        <v>42</v>
      </c>
      <c r="D13" s="18" t="n">
        <f aca="false">02_Supuestos!C5*02_Supuestos!C7*0.25/02_Supuestos!$B$26</f>
        <v>70</v>
      </c>
      <c r="E13" s="18" t="n">
        <f aca="false">02_Supuestos!C5*02_Supuestos!C7*0.35/02_Supuestos!$B$26</f>
        <v>98</v>
      </c>
      <c r="F13" s="4" t="s">
        <v>430</v>
      </c>
    </row>
    <row r="14" customFormat="false" ht="15" hidden="false" customHeight="false" outlineLevel="0" collapsed="false">
      <c r="A14" s="4" t="s">
        <v>760</v>
      </c>
      <c r="B14" s="18" t="n">
        <f aca="false">MAX(0.25,ROUND(B13*02_Supuestos!$B$27/60/02_Supuestos!$B$28*4,0)/4)</f>
        <v>0.5</v>
      </c>
      <c r="C14" s="18" t="n">
        <f aca="false">MAX(0.25,ROUND(C13*02_Supuestos!$B$27/60/02_Supuestos!$B$28*4,0)/4)</f>
        <v>1.5</v>
      </c>
      <c r="D14" s="18" t="n">
        <f aca="false">MAX(0.25,ROUND(D13*02_Supuestos!$B$27/60/02_Supuestos!$B$28*4,0)/4)</f>
        <v>2.5</v>
      </c>
      <c r="E14" s="18" t="n">
        <f aca="false">MAX(0.25,ROUND(E13*02_Supuestos!$B$27/60/02_Supuestos!$B$28*4,0)/4)</f>
        <v>3.5</v>
      </c>
      <c r="F14" s="4" t="s">
        <v>435</v>
      </c>
    </row>
    <row r="15" customFormat="false" ht="15" hidden="false" customHeight="false" outlineLevel="0" collapsed="false">
      <c r="A15" s="19" t="s">
        <v>761</v>
      </c>
      <c r="B15" s="20" t="n">
        <f aca="false">(04_Equipo!$E$13*B14+04_Equipo!$E$14*IF(B14&lt;=1.25,0.25,0.5))*3</f>
        <v>3526.11940298508</v>
      </c>
      <c r="C15" s="20" t="n">
        <f aca="false">(04_Equipo!$E$13*C14+04_Equipo!$E$14*IF(C14&lt;=1.25,0.25,0.5))*3</f>
        <v>9067.16417910448</v>
      </c>
      <c r="D15" s="20" t="n">
        <f aca="false">(04_Equipo!$E$13*D14+04_Equipo!$E$14*IF(D14&lt;=1.25,0.25,0.5))*3</f>
        <v>13097.0149253731</v>
      </c>
      <c r="E15" s="20" t="n">
        <f aca="false">(04_Equipo!$E$13*E14+04_Equipo!$E$14*IF(E14&lt;=1.25,0.25,0.5))*3</f>
        <v>17126.8656716418</v>
      </c>
      <c r="F15" s="19" t="s">
        <v>214</v>
      </c>
    </row>
    <row r="16" customFormat="false" ht="30" hidden="false" customHeight="true" outlineLevel="0" collapsed="false">
      <c r="A16" s="2" t="s">
        <v>762</v>
      </c>
      <c r="B16" s="2"/>
      <c r="C16" s="2"/>
      <c r="D16" s="2"/>
      <c r="E16" s="2"/>
      <c r="F16" s="2"/>
    </row>
    <row r="18" customFormat="false" ht="21.75" hidden="false" customHeight="true" outlineLevel="0" collapsed="false">
      <c r="A18" s="1" t="s">
        <v>763</v>
      </c>
      <c r="B18" s="1"/>
      <c r="C18" s="1"/>
      <c r="D18" s="1"/>
      <c r="E18" s="1"/>
      <c r="F18" s="1"/>
    </row>
    <row r="19" customFormat="false" ht="30" hidden="false" customHeight="true" outlineLevel="0" collapsed="false">
      <c r="A19" s="3" t="s">
        <v>2</v>
      </c>
      <c r="B19" s="3" t="s">
        <v>764</v>
      </c>
      <c r="C19" s="3" t="s">
        <v>765</v>
      </c>
      <c r="D19" s="3" t="s">
        <v>700</v>
      </c>
      <c r="E19" s="3" t="s">
        <v>133</v>
      </c>
      <c r="F19" s="3" t="s">
        <v>563</v>
      </c>
    </row>
    <row r="20" customFormat="false" ht="15" hidden="false" customHeight="false" outlineLevel="0" collapsed="false">
      <c r="A20" s="4" t="s">
        <v>766</v>
      </c>
      <c r="B20" s="8" t="n">
        <f aca="false">07_CapaC_Variable!C8</f>
        <v>0.035547</v>
      </c>
      <c r="C20" s="8" t="n">
        <f aca="false">07_CapaC_Variable!C10</f>
        <v>0.022857</v>
      </c>
      <c r="D20" s="8" t="n">
        <f aca="false">B20-C20</f>
        <v>0.01269</v>
      </c>
      <c r="E20" s="4" t="s">
        <v>214</v>
      </c>
      <c r="F20" s="4"/>
    </row>
    <row r="21" customFormat="false" ht="15" hidden="false" customHeight="false" outlineLevel="0" collapsed="false">
      <c r="A21" s="19" t="s">
        <v>767</v>
      </c>
      <c r="B21" s="20" t="n">
        <f aca="false">02_Supuestos!C5*02_Supuestos!C7*B20</f>
        <v>398.1264</v>
      </c>
      <c r="C21" s="20" t="n">
        <f aca="false">02_Supuestos!C5*02_Supuestos!C7*C20</f>
        <v>255.9984</v>
      </c>
      <c r="D21" s="20" t="n">
        <f aca="false">B21-C21</f>
        <v>142.128</v>
      </c>
      <c r="E21" s="19" t="s">
        <v>214</v>
      </c>
      <c r="F21" s="19"/>
    </row>
    <row r="22" customFormat="false" ht="15" hidden="false" customHeight="false" outlineLevel="0" collapsed="false">
      <c r="A22" s="4" t="s">
        <v>768</v>
      </c>
      <c r="B22" s="4"/>
      <c r="C22" s="4"/>
      <c r="D22" s="24" t="n">
        <f aca="false">D21/11_Precios!$D$7</f>
        <v>0.000778031137988335</v>
      </c>
      <c r="E22" s="4" t="s">
        <v>149</v>
      </c>
      <c r="F22" s="4" t="s">
        <v>769</v>
      </c>
    </row>
    <row r="23" customFormat="false" ht="30" hidden="false" customHeight="true" outlineLevel="0" collapsed="false">
      <c r="A23" s="2" t="s">
        <v>770</v>
      </c>
      <c r="B23" s="2"/>
      <c r="C23" s="2"/>
      <c r="D23" s="2"/>
      <c r="E23" s="2"/>
      <c r="F23" s="2"/>
    </row>
    <row r="25" customFormat="false" ht="21.75" hidden="false" customHeight="true" outlineLevel="0" collapsed="false">
      <c r="A25" s="1" t="s">
        <v>771</v>
      </c>
      <c r="B25" s="1"/>
      <c r="C25" s="1"/>
      <c r="D25" s="1"/>
      <c r="E25" s="1"/>
      <c r="F25" s="1"/>
    </row>
    <row r="26" customFormat="false" ht="30" hidden="false" customHeight="true" outlineLevel="0" collapsed="false">
      <c r="A26" s="3" t="s">
        <v>772</v>
      </c>
      <c r="B26" s="3" t="s">
        <v>773</v>
      </c>
      <c r="C26" s="3"/>
      <c r="D26" s="3"/>
      <c r="E26" s="3"/>
      <c r="F26" s="3" t="s">
        <v>379</v>
      </c>
    </row>
    <row r="27" customFormat="false" ht="15" hidden="false" customHeight="false" outlineLevel="0" collapsed="false">
      <c r="A27" s="4" t="s">
        <v>774</v>
      </c>
      <c r="B27" s="8" t="n">
        <f aca="false">((02_Supuestos!$B$29+02_Supuestos!$B$30)*03_Precios_Proveedor!$D$5+02_Supuestos!$B$31*03_Precios_Proveedor!$D$6)/1000000</f>
        <v>0.06585</v>
      </c>
      <c r="C27" s="4"/>
      <c r="D27" s="4"/>
      <c r="E27" s="4"/>
      <c r="F27" s="4" t="s">
        <v>775</v>
      </c>
    </row>
    <row r="28" customFormat="false" ht="15" hidden="false" customHeight="false" outlineLevel="0" collapsed="false">
      <c r="A28" s="4" t="s">
        <v>776</v>
      </c>
      <c r="B28" s="8" t="n">
        <f aca="false">07_CapaC_Variable!C8</f>
        <v>0.035547</v>
      </c>
      <c r="C28" s="4"/>
      <c r="D28" s="4"/>
      <c r="E28" s="4"/>
      <c r="F28" s="4" t="s">
        <v>777</v>
      </c>
    </row>
    <row r="29" customFormat="false" ht="22.35" hidden="false" customHeight="false" outlineLevel="0" collapsed="false">
      <c r="A29" s="4" t="s">
        <v>778</v>
      </c>
      <c r="B29" s="8" t="n">
        <f aca="false">(02_Supuestos!$B$29*03_Precios_Proveedor!$D$8+12.5*(02_Supuestos!$B$30*03_Precios_Proveedor!$D$5+02_Supuestos!$B$31*03_Precios_Proveedor!$D$6)+11.5*02_Supuestos!$B$29*03_Precios_Proveedor!$D$9)/1000000/12.5</f>
        <v>0.0250092</v>
      </c>
      <c r="C29" s="4"/>
      <c r="D29" s="4"/>
      <c r="E29" s="4"/>
      <c r="F29" s="4" t="s">
        <v>779</v>
      </c>
    </row>
    <row r="30" customFormat="false" ht="30" hidden="false" customHeight="true" outlineLevel="0" collapsed="false">
      <c r="A30" s="2" t="s">
        <v>780</v>
      </c>
      <c r="B30" s="2"/>
      <c r="C30" s="2"/>
      <c r="D30" s="2"/>
      <c r="E30" s="2"/>
      <c r="F30" s="2"/>
    </row>
  </sheetData>
  <mergeCells count="8">
    <mergeCell ref="A1:F1"/>
    <mergeCell ref="A2:F2"/>
    <mergeCell ref="A11:F11"/>
    <mergeCell ref="A16:F16"/>
    <mergeCell ref="A18:F18"/>
    <mergeCell ref="A23:F23"/>
    <mergeCell ref="A25:F25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40"/>
  </cols>
  <sheetData>
    <row r="1" customFormat="false" ht="21.75" hidden="false" customHeight="true" outlineLevel="0" collapsed="false">
      <c r="A1" s="1" t="s">
        <v>781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782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712</v>
      </c>
      <c r="B4" s="3" t="s">
        <v>783</v>
      </c>
      <c r="C4" s="3" t="s">
        <v>784</v>
      </c>
      <c r="D4" s="3" t="s">
        <v>700</v>
      </c>
      <c r="E4" s="3" t="s">
        <v>785</v>
      </c>
      <c r="F4" s="3" t="s">
        <v>786</v>
      </c>
      <c r="G4" s="3" t="s">
        <v>787</v>
      </c>
    </row>
    <row r="5" customFormat="false" ht="22.35" hidden="false" customHeight="false" outlineLevel="0" collapsed="false">
      <c r="A5" s="4" t="s">
        <v>788</v>
      </c>
      <c r="B5" s="9" t="n">
        <f aca="false">05_CapaA_Implementacion!$D$29</f>
        <v>89743.9752162973</v>
      </c>
      <c r="C5" s="25"/>
      <c r="D5" s="9" t="str">
        <f aca="false">IF(C5="","",C5-B5)</f>
        <v/>
      </c>
      <c r="E5" s="4" t="s">
        <v>789</v>
      </c>
      <c r="F5" s="4" t="s">
        <v>790</v>
      </c>
      <c r="G5" s="4" t="s">
        <v>791</v>
      </c>
    </row>
    <row r="6" customFormat="false" ht="32.8" hidden="false" customHeight="false" outlineLevel="0" collapsed="false">
      <c r="A6" s="4" t="s">
        <v>792</v>
      </c>
      <c r="B6" s="9" t="n">
        <f aca="false">04_Equipo!$E$5</f>
        <v>6268.65671641791</v>
      </c>
      <c r="C6" s="25"/>
      <c r="D6" s="9" t="str">
        <f aca="false">IF(C6="","",C6-B6)</f>
        <v/>
      </c>
      <c r="E6" s="4" t="s">
        <v>793</v>
      </c>
      <c r="F6" s="4" t="s">
        <v>794</v>
      </c>
      <c r="G6" s="4" t="s">
        <v>795</v>
      </c>
    </row>
    <row r="7" customFormat="false" ht="22.35" hidden="false" customHeight="false" outlineLevel="0" collapsed="false">
      <c r="A7" s="4" t="s">
        <v>724</v>
      </c>
      <c r="B7" s="9" t="n">
        <f aca="false">06_CapaB_Operacion!C34</f>
        <v>9067.16417910448</v>
      </c>
      <c r="C7" s="25"/>
      <c r="D7" s="9" t="str">
        <f aca="false">IF(C7="","",C7-B7)</f>
        <v/>
      </c>
      <c r="E7" s="4" t="s">
        <v>796</v>
      </c>
      <c r="F7" s="4" t="s">
        <v>797</v>
      </c>
      <c r="G7" s="4" t="s">
        <v>798</v>
      </c>
    </row>
    <row r="8" customFormat="false" ht="22.35" hidden="false" customHeight="false" outlineLevel="0" collapsed="false">
      <c r="A8" s="4" t="s">
        <v>450</v>
      </c>
      <c r="B8" s="9" t="n">
        <f aca="false">(800000*2/02_Supuestos!$B$18)*4</f>
        <v>1910.44776119403</v>
      </c>
      <c r="C8" s="25"/>
      <c r="D8" s="9" t="str">
        <f aca="false">IF(C8="","",C8-B8)</f>
        <v/>
      </c>
      <c r="E8" s="4" t="s">
        <v>796</v>
      </c>
      <c r="F8" s="4" t="s">
        <v>799</v>
      </c>
      <c r="G8" s="4" t="s">
        <v>800</v>
      </c>
    </row>
    <row r="9" customFormat="false" ht="22.35" hidden="false" customHeight="false" outlineLevel="0" collapsed="false">
      <c r="A9" s="4" t="s">
        <v>801</v>
      </c>
      <c r="B9" s="9" t="n">
        <f aca="false">04_Equipo!$E$10*0.25*4+04_Equipo!$E$15*0.2*4</f>
        <v>7791.0447761194</v>
      </c>
      <c r="C9" s="25"/>
      <c r="D9" s="9" t="str">
        <f aca="false">IF(C9="","",C9-B9)</f>
        <v/>
      </c>
      <c r="E9" s="4" t="s">
        <v>802</v>
      </c>
      <c r="F9" s="4" t="s">
        <v>803</v>
      </c>
      <c r="G9" s="4" t="s">
        <v>804</v>
      </c>
    </row>
    <row r="10" customFormat="false" ht="22.35" hidden="false" customHeight="false" outlineLevel="0" collapsed="false">
      <c r="A10" s="4" t="s">
        <v>805</v>
      </c>
      <c r="B10" s="9" t="n">
        <f aca="false">06_CapaB_Operacion!$B$16*02_Supuestos!C12</f>
        <v>1350</v>
      </c>
      <c r="C10" s="25"/>
      <c r="D10" s="9" t="str">
        <f aca="false">IF(C10="","",C10-B10)</f>
        <v/>
      </c>
      <c r="E10" s="4" t="s">
        <v>806</v>
      </c>
      <c r="F10" s="4" t="s">
        <v>807</v>
      </c>
      <c r="G10" s="4" t="s">
        <v>808</v>
      </c>
    </row>
    <row r="11" customFormat="false" ht="22.35" hidden="false" customHeight="false" outlineLevel="0" collapsed="false">
      <c r="A11" s="4" t="s">
        <v>628</v>
      </c>
      <c r="B11" s="9" t="n">
        <f aca="false">02_Supuestos!C5*02_Supuestos!C7*07_CapaC_Variable!C8</f>
        <v>398.1264</v>
      </c>
      <c r="C11" s="25"/>
      <c r="D11" s="9" t="str">
        <f aca="false">IF(C11="","",C11-B11)</f>
        <v/>
      </c>
      <c r="E11" s="4" t="s">
        <v>809</v>
      </c>
      <c r="F11" s="4" t="s">
        <v>810</v>
      </c>
      <c r="G11" s="4" t="s">
        <v>811</v>
      </c>
    </row>
    <row r="12" customFormat="false" ht="22.35" hidden="false" customHeight="false" outlineLevel="0" collapsed="false">
      <c r="A12" s="4" t="s">
        <v>812</v>
      </c>
      <c r="B12" s="9" t="n">
        <f aca="false">02_Supuestos!C8*03_Precios_Proveedor!$D$12+02_Supuestos!C5*02_Supuestos!C7*02_Supuestos!C9*03_Precios_Proveedor!$D$14</f>
        <v>41.44</v>
      </c>
      <c r="C12" s="25"/>
      <c r="D12" s="9" t="str">
        <f aca="false">IF(C12="","",C12-B12)</f>
        <v/>
      </c>
      <c r="E12" s="4" t="s">
        <v>796</v>
      </c>
      <c r="F12" s="4" t="s">
        <v>813</v>
      </c>
      <c r="G12" s="4" t="s">
        <v>814</v>
      </c>
    </row>
    <row r="13" customFormat="false" ht="22.35" hidden="false" customHeight="false" outlineLevel="0" collapsed="false">
      <c r="A13" s="4" t="s">
        <v>815</v>
      </c>
      <c r="B13" s="9" t="n">
        <f aca="false">08_CapaD_Transferencia_TCO!$C$10</f>
        <v>10393.1357760849</v>
      </c>
      <c r="C13" s="25"/>
      <c r="D13" s="9" t="str">
        <f aca="false">IF(C13="","",C13-B13)</f>
        <v/>
      </c>
      <c r="E13" s="4" t="s">
        <v>816</v>
      </c>
      <c r="F13" s="4" t="s">
        <v>817</v>
      </c>
      <c r="G13" s="4" t="s">
        <v>818</v>
      </c>
    </row>
    <row r="14" customFormat="false" ht="22.35" hidden="false" customHeight="false" outlineLevel="0" collapsed="false">
      <c r="A14" s="4" t="s">
        <v>553</v>
      </c>
      <c r="B14" s="9" t="n">
        <f aca="false">09_Escenarios!$C$8</f>
        <v>10043.336904704</v>
      </c>
      <c r="C14" s="25"/>
      <c r="D14" s="9" t="str">
        <f aca="false">IF(C14="","",C14-B14)</f>
        <v/>
      </c>
      <c r="E14" s="4" t="s">
        <v>802</v>
      </c>
      <c r="F14" s="4" t="s">
        <v>819</v>
      </c>
      <c r="G14" s="4" t="s">
        <v>820</v>
      </c>
    </row>
    <row r="15" customFormat="false" ht="22.35" hidden="false" customHeight="false" outlineLevel="0" collapsed="false">
      <c r="A15" s="4" t="s">
        <v>821</v>
      </c>
      <c r="B15" s="9" t="n">
        <f aca="false">14_Riesgo_Contingencia!$D$15</f>
        <v>14151</v>
      </c>
      <c r="C15" s="25"/>
      <c r="D15" s="9" t="str">
        <f aca="false">IF(C15="","",C15-B15)</f>
        <v/>
      </c>
      <c r="E15" s="4" t="s">
        <v>822</v>
      </c>
      <c r="F15" s="4" t="s">
        <v>823</v>
      </c>
      <c r="G15" s="4" t="s">
        <v>824</v>
      </c>
    </row>
    <row r="16" customFormat="false" ht="22.35" hidden="false" customHeight="false" outlineLevel="0" collapsed="false">
      <c r="A16" s="4" t="s">
        <v>727</v>
      </c>
      <c r="B16" s="9" t="n">
        <f aca="false">11_Precios!$D$7*02_Supuestos!$B$25*02_Supuestos!$B$23*02_Supuestos!$B$24</f>
        <v>3804.23797388477</v>
      </c>
      <c r="C16" s="25"/>
      <c r="D16" s="9" t="str">
        <f aca="false">IF(C16="","",C16-B16)</f>
        <v/>
      </c>
      <c r="E16" s="4" t="s">
        <v>825</v>
      </c>
      <c r="F16" s="4" t="s">
        <v>826</v>
      </c>
      <c r="G16" s="4" t="s">
        <v>827</v>
      </c>
    </row>
    <row r="17" customFormat="false" ht="22.35" hidden="false" customHeight="false" outlineLevel="0" collapsed="false">
      <c r="A17" s="4" t="s">
        <v>680</v>
      </c>
      <c r="B17" s="23" t="n">
        <v>0.16</v>
      </c>
      <c r="C17" s="25"/>
      <c r="D17" s="9" t="str">
        <f aca="false">IF(C17="","",C17-B17)</f>
        <v/>
      </c>
      <c r="E17" s="4" t="s">
        <v>828</v>
      </c>
      <c r="F17" s="4" t="s">
        <v>829</v>
      </c>
      <c r="G17" s="4" t="s">
        <v>830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1" t="s">
        <v>831</v>
      </c>
      <c r="B1" s="1"/>
      <c r="C1" s="1"/>
      <c r="D1" s="1"/>
      <c r="E1" s="1"/>
    </row>
    <row r="2" customFormat="false" ht="30" hidden="false" customHeight="true" outlineLevel="0" collapsed="false">
      <c r="A2" s="2" t="s">
        <v>832</v>
      </c>
      <c r="B2" s="2"/>
      <c r="C2" s="2"/>
      <c r="D2" s="2"/>
      <c r="E2" s="2"/>
    </row>
    <row r="4" customFormat="false" ht="30" hidden="false" customHeight="true" outlineLevel="0" collapsed="false">
      <c r="A4" s="3" t="s">
        <v>584</v>
      </c>
      <c r="B4" s="3" t="s">
        <v>833</v>
      </c>
      <c r="C4" s="3" t="s">
        <v>834</v>
      </c>
      <c r="D4" s="3" t="s">
        <v>835</v>
      </c>
      <c r="E4" s="3" t="s">
        <v>836</v>
      </c>
    </row>
    <row r="5" customFormat="false" ht="32.8" hidden="false" customHeight="false" outlineLevel="0" collapsed="false">
      <c r="A5" s="4" t="s">
        <v>837</v>
      </c>
      <c r="B5" s="26" t="n">
        <v>0.45</v>
      </c>
      <c r="C5" s="9" t="n">
        <v>6000</v>
      </c>
      <c r="D5" s="9" t="n">
        <f aca="false">B5*C5</f>
        <v>2700</v>
      </c>
      <c r="E5" s="4" t="s">
        <v>838</v>
      </c>
    </row>
    <row r="6" customFormat="false" ht="22.35" hidden="false" customHeight="false" outlineLevel="0" collapsed="false">
      <c r="A6" s="4" t="s">
        <v>839</v>
      </c>
      <c r="B6" s="26" t="n">
        <v>0.35</v>
      </c>
      <c r="C6" s="9" t="n">
        <v>8000</v>
      </c>
      <c r="D6" s="9" t="n">
        <f aca="false">B6*C6</f>
        <v>2800</v>
      </c>
      <c r="E6" s="4" t="s">
        <v>840</v>
      </c>
    </row>
    <row r="7" customFormat="false" ht="22.35" hidden="false" customHeight="false" outlineLevel="0" collapsed="false">
      <c r="A7" s="4" t="s">
        <v>841</v>
      </c>
      <c r="B7" s="26" t="n">
        <v>0.35</v>
      </c>
      <c r="C7" s="9" t="n">
        <v>5000</v>
      </c>
      <c r="D7" s="9" t="n">
        <f aca="false">B7*C7</f>
        <v>1750</v>
      </c>
      <c r="E7" s="4" t="s">
        <v>842</v>
      </c>
    </row>
    <row r="8" customFormat="false" ht="22.35" hidden="false" customHeight="false" outlineLevel="0" collapsed="false">
      <c r="A8" s="4" t="s">
        <v>843</v>
      </c>
      <c r="B8" s="26" t="n">
        <v>0.3</v>
      </c>
      <c r="C8" s="9" t="n">
        <v>320</v>
      </c>
      <c r="D8" s="9" t="n">
        <f aca="false">B8*C8</f>
        <v>96</v>
      </c>
      <c r="E8" s="4" t="s">
        <v>844</v>
      </c>
    </row>
    <row r="9" customFormat="false" ht="22.35" hidden="false" customHeight="false" outlineLevel="0" collapsed="false">
      <c r="A9" s="4" t="s">
        <v>845</v>
      </c>
      <c r="B9" s="26" t="n">
        <v>0.3</v>
      </c>
      <c r="C9" s="9" t="n">
        <v>600</v>
      </c>
      <c r="D9" s="9" t="n">
        <f aca="false">B9*C9</f>
        <v>180</v>
      </c>
      <c r="E9" s="4" t="s">
        <v>846</v>
      </c>
    </row>
    <row r="10" customFormat="false" ht="22.35" hidden="false" customHeight="false" outlineLevel="0" collapsed="false">
      <c r="A10" s="4" t="s">
        <v>847</v>
      </c>
      <c r="B10" s="26" t="n">
        <v>0.4</v>
      </c>
      <c r="C10" s="9" t="n">
        <v>4500</v>
      </c>
      <c r="D10" s="9" t="n">
        <f aca="false">B10*C10</f>
        <v>1800</v>
      </c>
      <c r="E10" s="4" t="s">
        <v>848</v>
      </c>
    </row>
    <row r="11" customFormat="false" ht="22.35" hidden="false" customHeight="false" outlineLevel="0" collapsed="false">
      <c r="A11" s="4" t="s">
        <v>849</v>
      </c>
      <c r="B11" s="26" t="n">
        <v>0.4</v>
      </c>
      <c r="C11" s="9" t="n">
        <v>4000</v>
      </c>
      <c r="D11" s="9" t="n">
        <f aca="false">B11*C11</f>
        <v>1600</v>
      </c>
      <c r="E11" s="4" t="s">
        <v>850</v>
      </c>
    </row>
    <row r="12" customFormat="false" ht="22.35" hidden="false" customHeight="false" outlineLevel="0" collapsed="false">
      <c r="A12" s="4" t="s">
        <v>851</v>
      </c>
      <c r="B12" s="26" t="n">
        <v>0.2</v>
      </c>
      <c r="C12" s="9" t="n">
        <v>7000</v>
      </c>
      <c r="D12" s="9" t="n">
        <f aca="false">B12*C12</f>
        <v>1400</v>
      </c>
      <c r="E12" s="4" t="s">
        <v>852</v>
      </c>
    </row>
    <row r="13" customFormat="false" ht="22.35" hidden="false" customHeight="false" outlineLevel="0" collapsed="false">
      <c r="A13" s="4" t="s">
        <v>853</v>
      </c>
      <c r="B13" s="26" t="n">
        <v>0.2</v>
      </c>
      <c r="C13" s="9" t="n">
        <v>6000</v>
      </c>
      <c r="D13" s="9" t="n">
        <f aca="false">B13*C13</f>
        <v>1200</v>
      </c>
      <c r="E13" s="4" t="s">
        <v>854</v>
      </c>
    </row>
    <row r="14" customFormat="false" ht="22.35" hidden="false" customHeight="false" outlineLevel="0" collapsed="false">
      <c r="A14" s="4" t="s">
        <v>855</v>
      </c>
      <c r="B14" s="26" t="n">
        <v>0.25</v>
      </c>
      <c r="C14" s="9" t="n">
        <v>2500</v>
      </c>
      <c r="D14" s="9" t="n">
        <f aca="false">B14*C14</f>
        <v>625</v>
      </c>
      <c r="E14" s="4" t="s">
        <v>856</v>
      </c>
    </row>
    <row r="15" customFormat="false" ht="15" hidden="false" customHeight="false" outlineLevel="0" collapsed="false">
      <c r="A15" s="15" t="s">
        <v>857</v>
      </c>
      <c r="B15" s="15"/>
      <c r="C15" s="15"/>
      <c r="D15" s="17" t="n">
        <f aca="false">SUM(D5:D14)</f>
        <v>14151</v>
      </c>
      <c r="E15" s="1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6" min="6" style="0" width="52"/>
  </cols>
  <sheetData>
    <row r="1" customFormat="false" ht="21.75" hidden="false" customHeight="true" outlineLevel="0" collapsed="false">
      <c r="A1" s="1" t="s">
        <v>858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859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860</v>
      </c>
      <c r="B4" s="3" t="s">
        <v>861</v>
      </c>
      <c r="C4" s="3" t="s">
        <v>862</v>
      </c>
      <c r="D4" s="3" t="s">
        <v>863</v>
      </c>
      <c r="E4" s="3" t="s">
        <v>864</v>
      </c>
      <c r="F4" s="3" t="s">
        <v>379</v>
      </c>
    </row>
    <row r="5" customFormat="false" ht="22.35" hidden="false" customHeight="false" outlineLevel="0" collapsed="false">
      <c r="A5" s="4" t="s">
        <v>865</v>
      </c>
      <c r="B5" s="4" t="n">
        <v>0</v>
      </c>
      <c r="C5" s="9" t="n">
        <f aca="false">09_Escenarios!C10*0</f>
        <v>0</v>
      </c>
      <c r="D5" s="9" t="n">
        <f aca="false">11_Precios!$D$7*0</f>
        <v>0</v>
      </c>
      <c r="E5" s="9" t="n">
        <f aca="false">D5-C5</f>
        <v>0</v>
      </c>
      <c r="F5" s="4" t="s">
        <v>866</v>
      </c>
    </row>
    <row r="6" customFormat="false" ht="22.35" hidden="false" customHeight="false" outlineLevel="0" collapsed="false">
      <c r="A6" s="4" t="s">
        <v>867</v>
      </c>
      <c r="B6" s="4" t="n">
        <v>30</v>
      </c>
      <c r="C6" s="9" t="n">
        <f aca="false">09_Escenarios!C10*0.3</f>
        <v>44920.8144640512</v>
      </c>
      <c r="D6" s="9" t="n">
        <f aca="false">11_Precios!$D$7*0</f>
        <v>0</v>
      </c>
      <c r="E6" s="9" t="n">
        <f aca="false">D6-C6</f>
        <v>-44920.8144640512</v>
      </c>
      <c r="F6" s="4" t="s">
        <v>868</v>
      </c>
    </row>
    <row r="7" customFormat="false" ht="15" hidden="false" customHeight="false" outlineLevel="0" collapsed="false">
      <c r="A7" s="4" t="s">
        <v>869</v>
      </c>
      <c r="B7" s="4" t="n">
        <v>44</v>
      </c>
      <c r="C7" s="9" t="n">
        <f aca="false">09_Escenarios!C10*0.42</f>
        <v>62889.1402496717</v>
      </c>
      <c r="D7" s="9" t="n">
        <f aca="false">11_Precios!$D$7*0</f>
        <v>0</v>
      </c>
      <c r="E7" s="9" t="n">
        <f aca="false">D7-C7</f>
        <v>-62889.1402496717</v>
      </c>
      <c r="F7" s="4" t="s">
        <v>870</v>
      </c>
    </row>
    <row r="8" customFormat="false" ht="15" hidden="false" customHeight="false" outlineLevel="0" collapsed="false">
      <c r="A8" s="4" t="s">
        <v>871</v>
      </c>
      <c r="B8" s="4" t="n">
        <v>52</v>
      </c>
      <c r="C8" s="9" t="n">
        <f aca="false">09_Escenarios!C10*0.5</f>
        <v>74868.0241067521</v>
      </c>
      <c r="D8" s="9" t="n">
        <f aca="false">11_Precios!$D$7*0.3</f>
        <v>54802.9480031419</v>
      </c>
      <c r="E8" s="9" t="n">
        <f aca="false">D8-C8</f>
        <v>-20065.0761036102</v>
      </c>
      <c r="F8" s="4" t="s">
        <v>870</v>
      </c>
    </row>
    <row r="9" customFormat="false" ht="15" hidden="false" customHeight="false" outlineLevel="0" collapsed="false">
      <c r="A9" s="4" t="s">
        <v>872</v>
      </c>
      <c r="B9" s="4" t="n">
        <v>60</v>
      </c>
      <c r="C9" s="9" t="n">
        <f aca="false">09_Escenarios!C10*0.58</f>
        <v>86846.9079638324</v>
      </c>
      <c r="D9" s="9" t="n">
        <f aca="false">11_Precios!$D$7*0.3</f>
        <v>54802.9480031419</v>
      </c>
      <c r="E9" s="9" t="n">
        <f aca="false">D9-C9</f>
        <v>-32043.9599606905</v>
      </c>
      <c r="F9" s="4"/>
    </row>
    <row r="10" customFormat="false" ht="15" hidden="false" customHeight="false" outlineLevel="0" collapsed="false">
      <c r="A10" s="4" t="s">
        <v>873</v>
      </c>
      <c r="B10" s="4" t="n">
        <v>82</v>
      </c>
      <c r="C10" s="9" t="n">
        <f aca="false">09_Escenarios!C10*0.7</f>
        <v>104815.233749453</v>
      </c>
      <c r="D10" s="9" t="n">
        <f aca="false">11_Precios!$D$7*0.45</f>
        <v>82204.4220047128</v>
      </c>
      <c r="E10" s="9" t="n">
        <f aca="false">D10-C10</f>
        <v>-22610.8117447401</v>
      </c>
      <c r="F10" s="4"/>
    </row>
    <row r="11" customFormat="false" ht="15" hidden="false" customHeight="false" outlineLevel="0" collapsed="false">
      <c r="A11" s="4" t="s">
        <v>874</v>
      </c>
      <c r="B11" s="4" t="n">
        <v>120</v>
      </c>
      <c r="C11" s="9" t="n">
        <f aca="false">09_Escenarios!C10*0.9</f>
        <v>134762.443392154</v>
      </c>
      <c r="D11" s="9" t="n">
        <f aca="false">11_Precios!$D$7*0.45</f>
        <v>82204.4220047128</v>
      </c>
      <c r="E11" s="9" t="n">
        <f aca="false">D11-C11</f>
        <v>-52558.0213874409</v>
      </c>
      <c r="F11" s="4"/>
    </row>
    <row r="12" customFormat="false" ht="15" hidden="false" customHeight="false" outlineLevel="0" collapsed="false">
      <c r="A12" s="4" t="s">
        <v>875</v>
      </c>
      <c r="B12" s="4" t="n">
        <v>142</v>
      </c>
      <c r="C12" s="9" t="n">
        <f aca="false">09_Escenarios!C10*0.97</f>
        <v>145243.966767099</v>
      </c>
      <c r="D12" s="9" t="n">
        <f aca="false">11_Precios!$D$7*0.95</f>
        <v>173542.668676616</v>
      </c>
      <c r="E12" s="9" t="n">
        <f aca="false">D12-C12</f>
        <v>28298.7019095169</v>
      </c>
      <c r="F12" s="4" t="s">
        <v>876</v>
      </c>
    </row>
    <row r="13" customFormat="false" ht="15" hidden="false" customHeight="false" outlineLevel="0" collapsed="false">
      <c r="A13" s="4" t="s">
        <v>877</v>
      </c>
      <c r="B13" s="4" t="n">
        <v>150</v>
      </c>
      <c r="C13" s="9" t="n">
        <f aca="false">09_Escenarios!C10*1</f>
        <v>149736.048213504</v>
      </c>
      <c r="D13" s="9" t="n">
        <f aca="false">11_Precios!$D$7*1</f>
        <v>182676.493343806</v>
      </c>
      <c r="E13" s="9" t="n">
        <f aca="false">D13-C13</f>
        <v>32940.4451303021</v>
      </c>
      <c r="F13" s="4" t="s">
        <v>878</v>
      </c>
    </row>
    <row r="14" customFormat="false" ht="15" hidden="false" customHeight="false" outlineLevel="0" collapsed="false">
      <c r="A14" s="4" t="s">
        <v>879</v>
      </c>
      <c r="B14" s="4" t="n">
        <v>160</v>
      </c>
      <c r="C14" s="9" t="n">
        <f aca="false">09_Escenarios!C10*1</f>
        <v>149736.048213504</v>
      </c>
      <c r="D14" s="9" t="n">
        <f aca="false">11_Precios!$D$7*1</f>
        <v>182676.493343806</v>
      </c>
      <c r="E14" s="9" t="n">
        <f aca="false">D14-C14</f>
        <v>32940.4451303021</v>
      </c>
      <c r="F14" s="4" t="s">
        <v>880</v>
      </c>
    </row>
    <row r="15" customFormat="false" ht="22.35" hidden="false" customHeight="false" outlineLevel="0" collapsed="false">
      <c r="A15" s="15" t="s">
        <v>881</v>
      </c>
      <c r="B15" s="15"/>
      <c r="C15" s="15"/>
      <c r="D15" s="15"/>
      <c r="E15" s="17" t="n">
        <f aca="false">MIN(E5:E14)</f>
        <v>-62889.1402496717</v>
      </c>
      <c r="F15" s="15" t="s">
        <v>882</v>
      </c>
    </row>
    <row r="17" customFormat="false" ht="30" hidden="false" customHeight="true" outlineLevel="0" collapsed="false">
      <c r="A17" s="2" t="s">
        <v>883</v>
      </c>
      <c r="B17" s="2"/>
      <c r="C17" s="2"/>
      <c r="D17" s="2"/>
      <c r="E17" s="2"/>
      <c r="F17" s="2"/>
    </row>
  </sheetData>
  <mergeCells count="3">
    <mergeCell ref="A1:F1"/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2026-07-28T19:45:14Z</dcterms:created>
  <dc:creator>openpyxl</dc:creator>
  <dc:description/>
  <dc:language>en-US</dc:language>
  <cp:lastModifiedBy/>
  <dcterms:modified xsi:type="dcterms:W3CDTF">2026-07-28T19:45:14Z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