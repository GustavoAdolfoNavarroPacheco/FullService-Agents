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6.xml" ContentType="application/vnd.ms-excel.documenttasks+xml"/>
  <Override PartName="/xl/threadedComments/threadedComment6.xml" ContentType="application/vnd.ms-excel.threadedcomments+xml"/>
  <Override PartName="/xl/documenttasks/documenttask7.xml" ContentType="application/vnd.ms-excel.documenttasks+xml"/>
  <Override PartName="/xl/threadedComments/threadedComment7.xml" ContentType="application/vnd.ms-excel.threadedcomments+xml"/>
  <Override PartName="/xl/documenttasks/documenttask8.xml" ContentType="application/vnd.ms-excel.documenttasks+xml"/>
  <Override PartName="/xl/threadedComments/threadedComment8.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ull Service\Downloads\"/>
    </mc:Choice>
  </mc:AlternateContent>
  <bookViews>
    <workbookView xWindow="0" yWindow="0" windowWidth="28800" windowHeight="12915"/>
  </bookViews>
  <sheets>
    <sheet name="🔴Colbeef agente IA" sheetId="12" r:id="rId1"/>
    <sheet name="🟢BAIRÓS (CAÑAS)" sheetId="23" state="hidden" r:id="rId2"/>
    <sheet name="Aleja Hooy " sheetId="24" state="hidden" r:id="rId3"/>
    <sheet name="🔴 Rapido San Pedro (Stiven)" sheetId="25" state="hidden" r:id="rId4"/>
    <sheet name="🟢Cajasan " sheetId="26" state="hidden" r:id="rId5"/>
    <sheet name="🟢BAIRÓS (CAÑAS) 2" sheetId="27" state="hidden" r:id="rId6"/>
    <sheet name="🟢El Guamito" sheetId="28" state="hidden" r:id="rId7"/>
    <sheet name="🟢​Vet(IA)" sheetId="29" state="hidden" r:id="rId8"/>
    <sheet name="🔴Kupocell" sheetId="30" state="hidden" r:id="rId9"/>
    <sheet name="🔴Lavco Ajustad" sheetId="31" state="hidden" r:id="rId10"/>
    <sheet name="🟢Marval - Ajustado" sheetId="39" state="hidden" r:id="rId11"/>
    <sheet name="🟢Marval Alcance Com" sheetId="40" state="hidden" r:id="rId12"/>
    <sheet name="🟢Andrés Radiologo " sheetId="41" state="hidden" r:id="rId13"/>
  </sheets>
  <calcPr calcId="162913"/>
  <fileRecoveryPr repairLoad="1"/>
</workbook>
</file>

<file path=xl/calcChain.xml><?xml version="1.0" encoding="utf-8"?>
<calcChain xmlns="http://schemas.openxmlformats.org/spreadsheetml/2006/main">
  <c r="B133" i="41" l="1"/>
  <c r="B132" i="41"/>
  <c r="B131" i="41"/>
  <c r="B130" i="41"/>
  <c r="B129" i="41"/>
  <c r="B128" i="41"/>
  <c r="B127" i="41"/>
  <c r="B126" i="41"/>
  <c r="B125" i="41"/>
  <c r="O123" i="41"/>
  <c r="M123" i="41"/>
  <c r="M122" i="41"/>
  <c r="K121" i="41"/>
  <c r="J121" i="41"/>
  <c r="I121" i="41"/>
  <c r="H121" i="41"/>
  <c r="G121" i="41"/>
  <c r="F121" i="41"/>
  <c r="E121" i="41"/>
  <c r="D121" i="41"/>
  <c r="C121" i="41"/>
  <c r="B121" i="41"/>
  <c r="A121" i="41"/>
  <c r="AC119" i="41"/>
  <c r="X119" i="41"/>
  <c r="AC118" i="41"/>
  <c r="X118" i="41"/>
  <c r="AC117" i="41"/>
  <c r="X117" i="41"/>
  <c r="AC116" i="41"/>
  <c r="X116" i="41"/>
  <c r="AC115" i="41"/>
  <c r="X115" i="41"/>
  <c r="AC114" i="41"/>
  <c r="X114" i="41"/>
  <c r="AC113" i="41"/>
  <c r="X113" i="41"/>
  <c r="AC112" i="41"/>
  <c r="X112" i="41"/>
  <c r="AC111" i="41"/>
  <c r="X111" i="41"/>
  <c r="AC110" i="41"/>
  <c r="X110" i="41"/>
  <c r="AC109" i="41"/>
  <c r="X109" i="41"/>
  <c r="AC108" i="41"/>
  <c r="X108" i="41"/>
  <c r="AC107" i="41"/>
  <c r="X107" i="41"/>
  <c r="AC106" i="41"/>
  <c r="X106" i="41"/>
  <c r="AC105" i="41"/>
  <c r="X105" i="41"/>
  <c r="AC104" i="41"/>
  <c r="X104" i="41"/>
  <c r="AC103" i="41"/>
  <c r="X103" i="41"/>
  <c r="AC102" i="41"/>
  <c r="X102" i="41"/>
  <c r="AC101" i="41"/>
  <c r="X101" i="41"/>
  <c r="AC100" i="41"/>
  <c r="X100" i="41"/>
  <c r="AC99" i="41"/>
  <c r="X99" i="41"/>
  <c r="AC98" i="41"/>
  <c r="X98" i="41"/>
  <c r="AC97" i="41"/>
  <c r="X97" i="41"/>
  <c r="AC96" i="41"/>
  <c r="X96" i="41"/>
  <c r="AC95" i="41"/>
  <c r="X95" i="41"/>
  <c r="AC94" i="41"/>
  <c r="X94" i="41"/>
  <c r="AC93" i="41"/>
  <c r="X93" i="41"/>
  <c r="AC92" i="41"/>
  <c r="X92" i="41"/>
  <c r="AC91" i="41"/>
  <c r="X91" i="41"/>
  <c r="AC90" i="41"/>
  <c r="X90" i="41"/>
  <c r="AC89" i="41"/>
  <c r="X89" i="41"/>
  <c r="AC88" i="41"/>
  <c r="X88" i="41"/>
  <c r="AC87" i="41"/>
  <c r="X87" i="41"/>
  <c r="AC86" i="41"/>
  <c r="X86" i="41"/>
  <c r="AC85" i="41"/>
  <c r="X85" i="41"/>
  <c r="AC84" i="41"/>
  <c r="X84" i="41"/>
  <c r="AC83" i="41"/>
  <c r="X83" i="41"/>
  <c r="AC82" i="41"/>
  <c r="X82" i="41"/>
  <c r="AC81" i="41"/>
  <c r="X81" i="41"/>
  <c r="AC80" i="41"/>
  <c r="X80" i="41"/>
  <c r="AC79" i="41"/>
  <c r="X79" i="41"/>
  <c r="AC78" i="41"/>
  <c r="X78" i="41"/>
  <c r="AC77" i="41"/>
  <c r="X77" i="41"/>
  <c r="AC76" i="41"/>
  <c r="X76" i="41"/>
  <c r="AC75" i="41"/>
  <c r="X75" i="41"/>
  <c r="AC74" i="41"/>
  <c r="X74" i="41"/>
  <c r="AC73" i="41"/>
  <c r="X73" i="41"/>
  <c r="AC72" i="41"/>
  <c r="X72" i="41"/>
  <c r="AC71" i="41"/>
  <c r="X71" i="41"/>
  <c r="AC70" i="41"/>
  <c r="X70" i="41"/>
  <c r="AC69" i="41"/>
  <c r="X69" i="41"/>
  <c r="AC68" i="41"/>
  <c r="X68" i="41"/>
  <c r="AC67" i="41"/>
  <c r="X67" i="41"/>
  <c r="AC66" i="41"/>
  <c r="X66" i="41"/>
  <c r="AC65" i="41"/>
  <c r="X65" i="41"/>
  <c r="AC64" i="41"/>
  <c r="X64" i="41"/>
  <c r="AC63" i="41"/>
  <c r="X63" i="41"/>
  <c r="AC62" i="41"/>
  <c r="X62" i="41"/>
  <c r="AC61" i="41"/>
  <c r="X61" i="41"/>
  <c r="AC60" i="41"/>
  <c r="X60" i="41"/>
  <c r="AC59" i="41"/>
  <c r="X59" i="41"/>
  <c r="AC58" i="41"/>
  <c r="X58" i="41"/>
  <c r="AC57" i="41"/>
  <c r="X57" i="41"/>
  <c r="AC56" i="41"/>
  <c r="X56" i="41"/>
  <c r="AC55" i="41"/>
  <c r="X55" i="41"/>
  <c r="AC54" i="41"/>
  <c r="X54" i="41"/>
  <c r="AC53" i="41"/>
  <c r="X53" i="41"/>
  <c r="AC52" i="41"/>
  <c r="X52" i="41"/>
  <c r="AC51" i="41"/>
  <c r="X51" i="41"/>
  <c r="AC50" i="41"/>
  <c r="X50" i="41"/>
  <c r="AC49" i="41"/>
  <c r="X49" i="41"/>
  <c r="AC48" i="41"/>
  <c r="X48" i="41"/>
  <c r="AC47" i="41"/>
  <c r="X47" i="41"/>
  <c r="AC46" i="41"/>
  <c r="X46" i="41"/>
  <c r="AC45" i="41"/>
  <c r="X45" i="41"/>
  <c r="AC44" i="41"/>
  <c r="X44" i="41"/>
  <c r="AC43" i="41"/>
  <c r="X43" i="41"/>
  <c r="AC42" i="41"/>
  <c r="X42" i="41"/>
  <c r="AC41" i="41"/>
  <c r="X41" i="41"/>
  <c r="AC40" i="41"/>
  <c r="X40" i="41"/>
  <c r="AC39" i="41"/>
  <c r="X39" i="41"/>
  <c r="AC38" i="41"/>
  <c r="X38" i="41"/>
  <c r="AC37" i="41"/>
  <c r="X37" i="41"/>
  <c r="AC36" i="41"/>
  <c r="X36" i="41"/>
  <c r="AC35" i="41"/>
  <c r="X35" i="41"/>
  <c r="AC34" i="41"/>
  <c r="X34" i="41"/>
  <c r="AC33" i="41"/>
  <c r="X33" i="41"/>
  <c r="AC32" i="41"/>
  <c r="X32" i="41"/>
  <c r="AC31" i="41"/>
  <c r="X31" i="41"/>
  <c r="AC30" i="41"/>
  <c r="X30" i="41"/>
  <c r="AC29" i="41"/>
  <c r="X29" i="41"/>
  <c r="AC28" i="41"/>
  <c r="X28" i="41"/>
  <c r="AC27" i="41"/>
  <c r="X27" i="41"/>
  <c r="AC26" i="41"/>
  <c r="X26" i="41"/>
  <c r="AC25" i="41"/>
  <c r="X25" i="41"/>
  <c r="AC24" i="41"/>
  <c r="X24" i="41"/>
  <c r="AC23" i="41"/>
  <c r="X23" i="41"/>
  <c r="AC22" i="41"/>
  <c r="X22" i="41"/>
  <c r="AC21" i="41"/>
  <c r="X21" i="41"/>
  <c r="AC20" i="41"/>
  <c r="X20" i="41"/>
  <c r="AC19" i="41"/>
  <c r="X19" i="41"/>
  <c r="AC18" i="41"/>
  <c r="X18" i="41"/>
  <c r="AC17" i="41"/>
  <c r="X17" i="41"/>
  <c r="AC16" i="41"/>
  <c r="X16" i="41"/>
  <c r="AC15" i="41"/>
  <c r="X15" i="41"/>
  <c r="AC14" i="41"/>
  <c r="X14" i="41"/>
  <c r="AC13" i="41"/>
  <c r="X13" i="41"/>
  <c r="AC12" i="41"/>
  <c r="X12" i="41"/>
  <c r="X11" i="41"/>
  <c r="AC10" i="41"/>
  <c r="X10" i="41"/>
  <c r="AC9" i="41"/>
  <c r="X9" i="41"/>
  <c r="AC8" i="41"/>
  <c r="X8" i="41"/>
  <c r="X7" i="41"/>
  <c r="AC6" i="41"/>
  <c r="X6" i="41"/>
  <c r="X5" i="41"/>
  <c r="X4" i="41"/>
  <c r="X3" i="41"/>
  <c r="X2" i="41"/>
  <c r="U109" i="40"/>
  <c r="B108" i="40"/>
  <c r="U108" i="40" s="1"/>
  <c r="U107" i="40"/>
  <c r="B107" i="40"/>
  <c r="B106" i="40"/>
  <c r="U106" i="40" s="1"/>
  <c r="M105" i="40"/>
  <c r="B105" i="40"/>
  <c r="B104" i="40"/>
  <c r="U104" i="40" s="1"/>
  <c r="U103" i="40"/>
  <c r="B103" i="40"/>
  <c r="B102" i="40"/>
  <c r="U102" i="40" s="1"/>
  <c r="M101" i="40"/>
  <c r="B101" i="40"/>
  <c r="M100" i="40"/>
  <c r="P100" i="40" s="1"/>
  <c r="B100" i="40"/>
  <c r="O98" i="40"/>
  <c r="M98" i="40"/>
  <c r="M107" i="40" s="1"/>
  <c r="M97" i="40"/>
  <c r="K96" i="40"/>
  <c r="J96" i="40"/>
  <c r="I96" i="40"/>
  <c r="H96" i="40"/>
  <c r="G96" i="40"/>
  <c r="U105" i="40" s="1"/>
  <c r="F96" i="40"/>
  <c r="E96" i="40"/>
  <c r="D96" i="40"/>
  <c r="C96" i="40"/>
  <c r="U101" i="40" s="1"/>
  <c r="B96" i="40"/>
  <c r="A96" i="40"/>
  <c r="AC94" i="40"/>
  <c r="X94" i="40"/>
  <c r="X93" i="40"/>
  <c r="X92" i="40"/>
  <c r="X91" i="40"/>
  <c r="X90" i="40"/>
  <c r="X89" i="40"/>
  <c r="X88" i="40"/>
  <c r="X87" i="40"/>
  <c r="X86" i="40"/>
  <c r="X85" i="40"/>
  <c r="AC84" i="40"/>
  <c r="X84" i="40"/>
  <c r="X83" i="40"/>
  <c r="X82" i="40"/>
  <c r="X81" i="40"/>
  <c r="X80" i="40"/>
  <c r="X79" i="40"/>
  <c r="AC78" i="40"/>
  <c r="X78" i="40"/>
  <c r="X77" i="40"/>
  <c r="X76" i="40"/>
  <c r="X75" i="40"/>
  <c r="X74" i="40"/>
  <c r="X73" i="40"/>
  <c r="X72" i="40"/>
  <c r="AC71" i="40"/>
  <c r="X71" i="40"/>
  <c r="X70" i="40"/>
  <c r="X69" i="40"/>
  <c r="X68" i="40"/>
  <c r="X67" i="40"/>
  <c r="AC66" i="40"/>
  <c r="X66" i="40"/>
  <c r="X65" i="40"/>
  <c r="X64" i="40"/>
  <c r="X63" i="40"/>
  <c r="X62" i="40"/>
  <c r="X61" i="40"/>
  <c r="X60" i="40"/>
  <c r="AC59" i="40"/>
  <c r="X59" i="40"/>
  <c r="X58" i="40"/>
  <c r="X57" i="40"/>
  <c r="X56" i="40"/>
  <c r="X55" i="40"/>
  <c r="X54" i="40"/>
  <c r="X53" i="40"/>
  <c r="X52" i="40"/>
  <c r="AC51" i="40"/>
  <c r="X51" i="40"/>
  <c r="X50" i="40"/>
  <c r="X49" i="40"/>
  <c r="X48" i="40"/>
  <c r="X47" i="40"/>
  <c r="X46" i="40"/>
  <c r="X45" i="40"/>
  <c r="X44" i="40"/>
  <c r="X43" i="40"/>
  <c r="X42" i="40"/>
  <c r="AC41" i="40"/>
  <c r="X41" i="40"/>
  <c r="X40" i="40"/>
  <c r="X39" i="40"/>
  <c r="X38" i="40"/>
  <c r="X37" i="40"/>
  <c r="X36" i="40"/>
  <c r="X35" i="40"/>
  <c r="X34" i="40"/>
  <c r="X33" i="40"/>
  <c r="X32" i="40"/>
  <c r="X31" i="40"/>
  <c r="X30" i="40"/>
  <c r="X29" i="40"/>
  <c r="X28" i="40"/>
  <c r="X27" i="40"/>
  <c r="AC26" i="40"/>
  <c r="X26" i="40"/>
  <c r="X25" i="40"/>
  <c r="X24" i="40"/>
  <c r="X23" i="40"/>
  <c r="X22" i="40"/>
  <c r="X21" i="40"/>
  <c r="AC20" i="40"/>
  <c r="X20" i="40"/>
  <c r="AC19" i="40"/>
  <c r="X19" i="40"/>
  <c r="X18" i="40"/>
  <c r="AC17" i="40"/>
  <c r="X17" i="40"/>
  <c r="AC16" i="40"/>
  <c r="X16" i="40"/>
  <c r="AC15" i="40"/>
  <c r="X15" i="40"/>
  <c r="AC14" i="40"/>
  <c r="X14" i="40"/>
  <c r="AC13" i="40"/>
  <c r="X13" i="40"/>
  <c r="X12" i="40"/>
  <c r="AC11" i="40"/>
  <c r="X11" i="40"/>
  <c r="AC10" i="40"/>
  <c r="X10" i="40"/>
  <c r="AC9" i="40"/>
  <c r="X9" i="40"/>
  <c r="AC8" i="40"/>
  <c r="X8" i="40"/>
  <c r="X7" i="40"/>
  <c r="AC6" i="40"/>
  <c r="X6" i="40"/>
  <c r="X5" i="40"/>
  <c r="X4" i="40"/>
  <c r="X3" i="40"/>
  <c r="X2" i="40"/>
  <c r="U80" i="39"/>
  <c r="M80" i="39"/>
  <c r="P80" i="39" s="1"/>
  <c r="W80" i="39" s="1"/>
  <c r="B79" i="39"/>
  <c r="B78" i="39"/>
  <c r="U78" i="39" s="1"/>
  <c r="U77" i="39"/>
  <c r="B77" i="39"/>
  <c r="B76" i="39"/>
  <c r="U75" i="39"/>
  <c r="M75" i="39"/>
  <c r="P75" i="39" s="1"/>
  <c r="W75" i="39" s="1"/>
  <c r="B75" i="39"/>
  <c r="B74" i="39"/>
  <c r="U73" i="39"/>
  <c r="B73" i="39"/>
  <c r="B72" i="39"/>
  <c r="B71" i="39"/>
  <c r="O69" i="39"/>
  <c r="M69" i="39"/>
  <c r="M68" i="39"/>
  <c r="K67" i="39"/>
  <c r="J67" i="39"/>
  <c r="I67" i="39"/>
  <c r="H67" i="39"/>
  <c r="G67" i="39"/>
  <c r="F67" i="39"/>
  <c r="E67" i="39"/>
  <c r="D67" i="39"/>
  <c r="C67" i="39"/>
  <c r="B67" i="39"/>
  <c r="A67" i="39"/>
  <c r="AC65" i="39"/>
  <c r="X65" i="39"/>
  <c r="AC64" i="39"/>
  <c r="X64" i="39"/>
  <c r="AC63" i="39"/>
  <c r="X63" i="39"/>
  <c r="AC62" i="39"/>
  <c r="X62" i="39"/>
  <c r="AC61" i="39"/>
  <c r="X61" i="39"/>
  <c r="AC60" i="39"/>
  <c r="X60" i="39"/>
  <c r="AC59" i="39"/>
  <c r="X59" i="39"/>
  <c r="AC58" i="39"/>
  <c r="X58" i="39"/>
  <c r="AC57" i="39"/>
  <c r="X57" i="39"/>
  <c r="AC56" i="39"/>
  <c r="X56" i="39"/>
  <c r="AC55" i="39"/>
  <c r="X55" i="39"/>
  <c r="AC54" i="39"/>
  <c r="X54" i="39"/>
  <c r="X53" i="39"/>
  <c r="AC52" i="39"/>
  <c r="X52" i="39"/>
  <c r="AC51" i="39"/>
  <c r="X51" i="39"/>
  <c r="X50" i="39"/>
  <c r="AC49" i="39"/>
  <c r="X49" i="39"/>
  <c r="AC48" i="39"/>
  <c r="X48" i="39"/>
  <c r="X47" i="39"/>
  <c r="AC46" i="39"/>
  <c r="X46" i="39"/>
  <c r="AC45" i="39"/>
  <c r="X45" i="39"/>
  <c r="X44" i="39"/>
  <c r="AC43" i="39"/>
  <c r="X43" i="39"/>
  <c r="AC42" i="39"/>
  <c r="X42" i="39"/>
  <c r="AC41" i="39"/>
  <c r="X41" i="39"/>
  <c r="AC40" i="39"/>
  <c r="X40" i="39"/>
  <c r="X39" i="39"/>
  <c r="AC38" i="39"/>
  <c r="X38" i="39"/>
  <c r="AC37" i="39"/>
  <c r="X37" i="39"/>
  <c r="AC36" i="39"/>
  <c r="X36" i="39"/>
  <c r="AC35" i="39"/>
  <c r="X35" i="39"/>
  <c r="AC34" i="39"/>
  <c r="X34" i="39"/>
  <c r="AC33" i="39"/>
  <c r="X33" i="39"/>
  <c r="AC32" i="39"/>
  <c r="X32" i="39"/>
  <c r="X31" i="39"/>
  <c r="AC30" i="39"/>
  <c r="X30" i="39"/>
  <c r="AC29" i="39"/>
  <c r="X29" i="39"/>
  <c r="AC28" i="39"/>
  <c r="X28" i="39"/>
  <c r="AC27" i="39"/>
  <c r="X27" i="39"/>
  <c r="AC26" i="39"/>
  <c r="X26" i="39"/>
  <c r="X25" i="39"/>
  <c r="AC24" i="39"/>
  <c r="X24" i="39"/>
  <c r="AC23" i="39"/>
  <c r="X23" i="39"/>
  <c r="AC22" i="39"/>
  <c r="X22" i="39"/>
  <c r="AC21" i="39"/>
  <c r="X21" i="39"/>
  <c r="AC20" i="39"/>
  <c r="X20" i="39"/>
  <c r="X19" i="39"/>
  <c r="AC18" i="39"/>
  <c r="X18" i="39"/>
  <c r="AC17" i="39"/>
  <c r="X17" i="39"/>
  <c r="AC16" i="39"/>
  <c r="X16" i="39"/>
  <c r="AC15" i="39"/>
  <c r="X15" i="39"/>
  <c r="AC14" i="39"/>
  <c r="X14" i="39"/>
  <c r="AC13" i="39"/>
  <c r="X13" i="39"/>
  <c r="AC12" i="39"/>
  <c r="X12" i="39"/>
  <c r="AC11" i="39"/>
  <c r="X11" i="39"/>
  <c r="X10" i="39"/>
  <c r="AC9" i="39"/>
  <c r="X9" i="39"/>
  <c r="AC8" i="39"/>
  <c r="X8" i="39"/>
  <c r="X7" i="39"/>
  <c r="AC6" i="39"/>
  <c r="X6" i="39"/>
  <c r="X5" i="39"/>
  <c r="X4" i="39"/>
  <c r="X3" i="39"/>
  <c r="X2" i="39"/>
  <c r="B169" i="31"/>
  <c r="U169" i="31" s="1"/>
  <c r="B168" i="31"/>
  <c r="U168" i="31" s="1"/>
  <c r="B167" i="31"/>
  <c r="B166" i="31"/>
  <c r="U165" i="31"/>
  <c r="B165" i="31"/>
  <c r="B164" i="31"/>
  <c r="M163" i="31"/>
  <c r="B163" i="31"/>
  <c r="U163" i="31" s="1"/>
  <c r="U162" i="31"/>
  <c r="B162" i="31"/>
  <c r="B161" i="31"/>
  <c r="O159" i="31"/>
  <c r="M159" i="31"/>
  <c r="M158" i="31"/>
  <c r="M162" i="31" s="1"/>
  <c r="K157" i="31"/>
  <c r="U170" i="31" s="1"/>
  <c r="J157" i="31"/>
  <c r="I157" i="31"/>
  <c r="H157" i="31"/>
  <c r="U167" i="31" s="1"/>
  <c r="G157" i="31"/>
  <c r="F157" i="31"/>
  <c r="E157" i="31"/>
  <c r="D157" i="31"/>
  <c r="C157" i="31"/>
  <c r="B157" i="31"/>
  <c r="U161" i="31" s="1"/>
  <c r="A157" i="31"/>
  <c r="U166" i="31" s="1"/>
  <c r="AC155" i="31"/>
  <c r="X155" i="31"/>
  <c r="AC154" i="31"/>
  <c r="X154" i="31"/>
  <c r="AC145" i="31"/>
  <c r="X145" i="31"/>
  <c r="AC144" i="31"/>
  <c r="X144" i="31"/>
  <c r="AC143" i="31"/>
  <c r="X143" i="31"/>
  <c r="AC142" i="31"/>
  <c r="X142" i="31"/>
  <c r="AC141" i="31"/>
  <c r="X141" i="31"/>
  <c r="AC140" i="31"/>
  <c r="X140" i="31"/>
  <c r="AC139" i="31"/>
  <c r="X139" i="31"/>
  <c r="AC138" i="31"/>
  <c r="X138" i="31"/>
  <c r="AC137" i="31"/>
  <c r="X137" i="31"/>
  <c r="AC136" i="31"/>
  <c r="X136" i="31"/>
  <c r="AC135" i="31"/>
  <c r="X135" i="31"/>
  <c r="AC134" i="31"/>
  <c r="X134" i="31"/>
  <c r="AC133" i="31"/>
  <c r="X133" i="31"/>
  <c r="AC132" i="31"/>
  <c r="X132" i="31"/>
  <c r="AC131" i="31"/>
  <c r="X131" i="31"/>
  <c r="AC130" i="31"/>
  <c r="X130" i="31"/>
  <c r="AC129" i="31"/>
  <c r="X129" i="31"/>
  <c r="AC127" i="31"/>
  <c r="X127" i="31"/>
  <c r="AC126" i="31"/>
  <c r="X126" i="31"/>
  <c r="AC125" i="31"/>
  <c r="X125" i="31"/>
  <c r="AC124" i="31"/>
  <c r="X124" i="31"/>
  <c r="AC122" i="31"/>
  <c r="X122" i="31"/>
  <c r="AC121" i="31"/>
  <c r="X121" i="31"/>
  <c r="AC120" i="31"/>
  <c r="X120" i="31"/>
  <c r="AC119" i="31"/>
  <c r="X119" i="31"/>
  <c r="AC118" i="31"/>
  <c r="X118" i="31"/>
  <c r="AC117" i="31"/>
  <c r="X117" i="31"/>
  <c r="AC116" i="31"/>
  <c r="X116" i="31"/>
  <c r="AC115" i="31"/>
  <c r="X115" i="31"/>
  <c r="AC114" i="31"/>
  <c r="X114" i="31"/>
  <c r="AC113" i="31"/>
  <c r="X113" i="31"/>
  <c r="AC112" i="31"/>
  <c r="X112" i="31"/>
  <c r="AC111" i="31"/>
  <c r="X111" i="31"/>
  <c r="AC110" i="31"/>
  <c r="X110" i="31"/>
  <c r="AC109" i="31"/>
  <c r="X109" i="31"/>
  <c r="AC107" i="31"/>
  <c r="X107" i="31"/>
  <c r="AC106" i="31"/>
  <c r="X106" i="31"/>
  <c r="AC105" i="31"/>
  <c r="X105" i="31"/>
  <c r="AC104" i="31"/>
  <c r="X104" i="31"/>
  <c r="AC103" i="31"/>
  <c r="X103" i="31"/>
  <c r="AC102" i="31"/>
  <c r="X102" i="31"/>
  <c r="AC101" i="31"/>
  <c r="X101" i="31"/>
  <c r="AC100" i="31"/>
  <c r="X100" i="31"/>
  <c r="AC99" i="31"/>
  <c r="X99" i="31"/>
  <c r="AC98" i="31"/>
  <c r="X98" i="31"/>
  <c r="AC97" i="31"/>
  <c r="X97" i="31"/>
  <c r="AC96" i="31"/>
  <c r="X96" i="31"/>
  <c r="AC95" i="31"/>
  <c r="X95" i="31"/>
  <c r="AC94" i="31"/>
  <c r="X94" i="31"/>
  <c r="AC92" i="31"/>
  <c r="X92" i="31"/>
  <c r="AC90" i="31"/>
  <c r="X90" i="31"/>
  <c r="AC89" i="31"/>
  <c r="X89" i="31"/>
  <c r="AC88" i="31"/>
  <c r="X88" i="31"/>
  <c r="AC87" i="31"/>
  <c r="X87" i="31"/>
  <c r="AC84" i="31"/>
  <c r="X84" i="31"/>
  <c r="AC83" i="31"/>
  <c r="X83" i="31"/>
  <c r="AC82" i="31"/>
  <c r="X82" i="31"/>
  <c r="AC81" i="31"/>
  <c r="X81" i="31"/>
  <c r="AC80" i="31"/>
  <c r="X80" i="31"/>
  <c r="AC79" i="31"/>
  <c r="X79" i="31"/>
  <c r="AC78" i="31"/>
  <c r="X78" i="31"/>
  <c r="AC77" i="31"/>
  <c r="X77" i="31"/>
  <c r="AC71" i="31"/>
  <c r="AC66" i="31"/>
  <c r="AC62" i="31"/>
  <c r="AC61" i="31"/>
  <c r="AC60" i="31"/>
  <c r="AC59" i="31"/>
  <c r="AC58" i="31"/>
  <c r="AC57" i="31"/>
  <c r="AC56" i="31"/>
  <c r="AC55" i="31"/>
  <c r="AC54" i="31"/>
  <c r="AC53" i="31"/>
  <c r="AC52" i="31"/>
  <c r="AC51" i="31"/>
  <c r="AC50" i="31"/>
  <c r="AC49" i="31"/>
  <c r="AC48" i="31"/>
  <c r="AC47" i="31"/>
  <c r="AC46" i="31"/>
  <c r="AC45" i="31"/>
  <c r="AC44" i="31"/>
  <c r="AC43" i="31"/>
  <c r="AC42" i="31"/>
  <c r="AC41" i="31"/>
  <c r="AC40" i="31"/>
  <c r="AC39" i="31"/>
  <c r="AC38" i="31"/>
  <c r="AC37" i="31"/>
  <c r="AC36" i="31"/>
  <c r="AC35" i="31"/>
  <c r="AC34" i="31"/>
  <c r="AC33" i="31"/>
  <c r="AC32" i="31"/>
  <c r="AC31" i="31"/>
  <c r="AC30" i="31"/>
  <c r="AC29" i="31"/>
  <c r="AC28" i="31"/>
  <c r="AC27" i="31"/>
  <c r="AC26" i="31"/>
  <c r="AC25" i="31"/>
  <c r="AC24" i="31"/>
  <c r="AC23" i="31"/>
  <c r="AC22" i="31"/>
  <c r="AC21" i="31"/>
  <c r="Y21" i="31"/>
  <c r="AC20" i="31"/>
  <c r="AC19" i="31"/>
  <c r="AC18" i="31"/>
  <c r="X18" i="31"/>
  <c r="X17" i="31"/>
  <c r="X16" i="31"/>
  <c r="X15" i="31"/>
  <c r="AC14" i="31"/>
  <c r="X14" i="31"/>
  <c r="X13" i="31"/>
  <c r="X12" i="31"/>
  <c r="X11" i="31"/>
  <c r="X10" i="31"/>
  <c r="X9" i="31"/>
  <c r="X8" i="31"/>
  <c r="X7" i="31"/>
  <c r="X6" i="31"/>
  <c r="X5" i="31"/>
  <c r="X4" i="31"/>
  <c r="X3" i="31"/>
  <c r="X2" i="31"/>
  <c r="B111" i="30"/>
  <c r="U110" i="30"/>
  <c r="B110" i="30"/>
  <c r="B109" i="30"/>
  <c r="M108" i="30"/>
  <c r="B108" i="30"/>
  <c r="B107" i="30"/>
  <c r="B106" i="30"/>
  <c r="U106" i="30" s="1"/>
  <c r="M105" i="30"/>
  <c r="P105" i="30" s="1"/>
  <c r="B105" i="30"/>
  <c r="B104" i="30"/>
  <c r="B103" i="30"/>
  <c r="O101" i="30"/>
  <c r="M101" i="30"/>
  <c r="M111" i="30" s="1"/>
  <c r="P111" i="30" s="1"/>
  <c r="M100" i="30"/>
  <c r="K99" i="30"/>
  <c r="J99" i="30"/>
  <c r="I99" i="30"/>
  <c r="H99" i="30"/>
  <c r="G99" i="30"/>
  <c r="F99" i="30"/>
  <c r="E99" i="30"/>
  <c r="D99" i="30"/>
  <c r="C99" i="30"/>
  <c r="B99" i="30"/>
  <c r="A99" i="30"/>
  <c r="U109" i="30" s="1"/>
  <c r="AC97" i="30"/>
  <c r="X97" i="30"/>
  <c r="AC96" i="30"/>
  <c r="X96" i="30"/>
  <c r="AC95" i="30"/>
  <c r="X95" i="30"/>
  <c r="AC94" i="30"/>
  <c r="X94" i="30"/>
  <c r="AC93" i="30"/>
  <c r="X93" i="30"/>
  <c r="AC92" i="30"/>
  <c r="X92" i="30"/>
  <c r="AC91" i="30"/>
  <c r="X91" i="30"/>
  <c r="AC90" i="30"/>
  <c r="X90" i="30"/>
  <c r="AC89" i="30"/>
  <c r="X89" i="30"/>
  <c r="AC88" i="30"/>
  <c r="X88" i="30"/>
  <c r="AC87" i="30"/>
  <c r="X87" i="30"/>
  <c r="X86" i="30"/>
  <c r="AC85" i="30"/>
  <c r="X85" i="30"/>
  <c r="AC84" i="30"/>
  <c r="X84" i="30"/>
  <c r="AC83" i="30"/>
  <c r="X83" i="30"/>
  <c r="AC82" i="30"/>
  <c r="X82" i="30"/>
  <c r="AC81" i="30"/>
  <c r="X81" i="30"/>
  <c r="X80" i="30"/>
  <c r="AC79" i="30"/>
  <c r="X79" i="30"/>
  <c r="AC78" i="30"/>
  <c r="X78" i="30"/>
  <c r="AC77" i="30"/>
  <c r="X77" i="30"/>
  <c r="AC76" i="30"/>
  <c r="X76" i="30"/>
  <c r="AC75" i="30"/>
  <c r="X75" i="30"/>
  <c r="AC74" i="30"/>
  <c r="X74" i="30"/>
  <c r="X73" i="30"/>
  <c r="AC72" i="30"/>
  <c r="X72" i="30"/>
  <c r="AC71" i="30"/>
  <c r="X71" i="30"/>
  <c r="AC70" i="30"/>
  <c r="X70" i="30"/>
  <c r="AC69" i="30"/>
  <c r="X69" i="30"/>
  <c r="AC68" i="30"/>
  <c r="X68" i="30"/>
  <c r="AC67" i="30"/>
  <c r="X67" i="30"/>
  <c r="AC66" i="30"/>
  <c r="X66" i="30"/>
  <c r="AC65" i="30"/>
  <c r="X65" i="30"/>
  <c r="AC64" i="30"/>
  <c r="X64" i="30"/>
  <c r="X63" i="30"/>
  <c r="AC62" i="30"/>
  <c r="X62" i="30"/>
  <c r="AC61" i="30"/>
  <c r="X61" i="30"/>
  <c r="AC60" i="30"/>
  <c r="X60" i="30"/>
  <c r="AC59" i="30"/>
  <c r="X59" i="30"/>
  <c r="AC58" i="30"/>
  <c r="X58" i="30"/>
  <c r="AC57" i="30"/>
  <c r="X57" i="30"/>
  <c r="AC56" i="30"/>
  <c r="X56" i="30"/>
  <c r="X55" i="30"/>
  <c r="AC54" i="30"/>
  <c r="X54" i="30"/>
  <c r="AC53" i="30"/>
  <c r="X53" i="30"/>
  <c r="AC52" i="30"/>
  <c r="X52" i="30"/>
  <c r="AC51" i="30"/>
  <c r="X51" i="30"/>
  <c r="AC50" i="30"/>
  <c r="X50" i="30"/>
  <c r="AC49" i="30"/>
  <c r="X49" i="30"/>
  <c r="AC48" i="30"/>
  <c r="X48" i="30"/>
  <c r="AC47" i="30"/>
  <c r="X47" i="30"/>
  <c r="AC46" i="30"/>
  <c r="X46" i="30"/>
  <c r="AC45" i="30"/>
  <c r="X45" i="30"/>
  <c r="X44" i="30"/>
  <c r="AC43" i="30"/>
  <c r="X43" i="30"/>
  <c r="AC42" i="30"/>
  <c r="X42" i="30"/>
  <c r="AC41" i="30"/>
  <c r="X41" i="30"/>
  <c r="AC40" i="30"/>
  <c r="X40" i="30"/>
  <c r="AC39" i="30"/>
  <c r="X39" i="30"/>
  <c r="AC38" i="30"/>
  <c r="X38" i="30"/>
  <c r="X37" i="30"/>
  <c r="AC36" i="30"/>
  <c r="X36" i="30"/>
  <c r="AC35" i="30"/>
  <c r="X35" i="30"/>
  <c r="AC34" i="30"/>
  <c r="X34" i="30"/>
  <c r="AC33" i="30"/>
  <c r="X33" i="30"/>
  <c r="X32" i="30"/>
  <c r="AC31" i="30"/>
  <c r="X31" i="30"/>
  <c r="AC30" i="30"/>
  <c r="X30" i="30"/>
  <c r="AC29" i="30"/>
  <c r="X29" i="30"/>
  <c r="AC28" i="30"/>
  <c r="X28" i="30"/>
  <c r="AC27" i="30"/>
  <c r="X27" i="30"/>
  <c r="AC26" i="30"/>
  <c r="X26" i="30"/>
  <c r="AC25" i="30"/>
  <c r="X25" i="30"/>
  <c r="X24" i="30"/>
  <c r="AC23" i="30"/>
  <c r="X23" i="30"/>
  <c r="AC22" i="30"/>
  <c r="X22" i="30"/>
  <c r="AC21" i="30"/>
  <c r="X21" i="30"/>
  <c r="AC20" i="30"/>
  <c r="X20" i="30"/>
  <c r="AC19" i="30"/>
  <c r="X19" i="30"/>
  <c r="AC18" i="30"/>
  <c r="X18" i="30"/>
  <c r="AC17" i="30"/>
  <c r="X17" i="30"/>
  <c r="AC16" i="30"/>
  <c r="X16" i="30"/>
  <c r="AC15" i="30"/>
  <c r="X15" i="30"/>
  <c r="X14" i="30"/>
  <c r="AC13" i="30"/>
  <c r="X13" i="30"/>
  <c r="AC12" i="30"/>
  <c r="X12" i="30"/>
  <c r="AC11" i="30"/>
  <c r="X11" i="30"/>
  <c r="AC10" i="30"/>
  <c r="X10" i="30"/>
  <c r="AC9" i="30"/>
  <c r="X9" i="30"/>
  <c r="AC8" i="30"/>
  <c r="X8" i="30"/>
  <c r="X7" i="30"/>
  <c r="AC6" i="30"/>
  <c r="X6" i="30"/>
  <c r="X5" i="30"/>
  <c r="X4" i="30"/>
  <c r="X3" i="30"/>
  <c r="X2" i="30"/>
  <c r="B74" i="29"/>
  <c r="U74" i="29" s="1"/>
  <c r="U73" i="29"/>
  <c r="B73" i="29"/>
  <c r="B72" i="29"/>
  <c r="M71" i="29"/>
  <c r="P71" i="29" s="1"/>
  <c r="B71" i="29"/>
  <c r="U71" i="29" s="1"/>
  <c r="B70" i="29"/>
  <c r="B69" i="29"/>
  <c r="U68" i="29"/>
  <c r="B68" i="29"/>
  <c r="U67" i="29"/>
  <c r="B67" i="29"/>
  <c r="B66" i="29"/>
  <c r="U66" i="29" s="1"/>
  <c r="O64" i="29"/>
  <c r="M64" i="29"/>
  <c r="M73" i="29" s="1"/>
  <c r="P73" i="29" s="1"/>
  <c r="W73" i="29" s="1"/>
  <c r="M63" i="29"/>
  <c r="K62" i="29"/>
  <c r="J62" i="29"/>
  <c r="I62" i="29"/>
  <c r="H62" i="29"/>
  <c r="G62" i="29"/>
  <c r="F62" i="29"/>
  <c r="E62" i="29"/>
  <c r="D62" i="29"/>
  <c r="C62" i="29"/>
  <c r="B62" i="29"/>
  <c r="A62" i="29"/>
  <c r="U75" i="29" s="1"/>
  <c r="AC60" i="29"/>
  <c r="X60" i="29"/>
  <c r="AC59" i="29"/>
  <c r="X59" i="29"/>
  <c r="AC58" i="29"/>
  <c r="X58" i="29"/>
  <c r="AC57" i="29"/>
  <c r="X57" i="29"/>
  <c r="AC56" i="29"/>
  <c r="X56" i="29"/>
  <c r="X55" i="29"/>
  <c r="AC54" i="29"/>
  <c r="X54" i="29"/>
  <c r="AC53" i="29"/>
  <c r="X53" i="29"/>
  <c r="AC52" i="29"/>
  <c r="X52" i="29"/>
  <c r="AC51" i="29"/>
  <c r="X51" i="29"/>
  <c r="AC50" i="29"/>
  <c r="X50" i="29"/>
  <c r="AC49" i="29"/>
  <c r="X49" i="29"/>
  <c r="AC48" i="29"/>
  <c r="X48" i="29"/>
  <c r="AC47" i="29"/>
  <c r="X47" i="29"/>
  <c r="AC46" i="29"/>
  <c r="X46" i="29"/>
  <c r="AC45" i="29"/>
  <c r="X45" i="29"/>
  <c r="AC44" i="29"/>
  <c r="X44" i="29"/>
  <c r="X43" i="29"/>
  <c r="AC42" i="29"/>
  <c r="X42" i="29"/>
  <c r="AC41" i="29"/>
  <c r="X41" i="29"/>
  <c r="AC40" i="29"/>
  <c r="X40" i="29"/>
  <c r="AC39" i="29"/>
  <c r="X39" i="29"/>
  <c r="AC38" i="29"/>
  <c r="X38" i="29"/>
  <c r="AC37" i="29"/>
  <c r="X37" i="29"/>
  <c r="AC36" i="29"/>
  <c r="X36" i="29"/>
  <c r="X35" i="29"/>
  <c r="AC34" i="29"/>
  <c r="X34" i="29"/>
  <c r="AC33" i="29"/>
  <c r="X33" i="29"/>
  <c r="AC32" i="29"/>
  <c r="X32" i="29"/>
  <c r="AC31" i="29"/>
  <c r="X31" i="29"/>
  <c r="AC30" i="29"/>
  <c r="X30" i="29"/>
  <c r="AC28" i="29"/>
  <c r="X28" i="29"/>
  <c r="AC27" i="29"/>
  <c r="X27" i="29"/>
  <c r="AC26" i="29"/>
  <c r="X26" i="29"/>
  <c r="AC25" i="29"/>
  <c r="X25" i="29"/>
  <c r="AC24" i="29"/>
  <c r="X24" i="29"/>
  <c r="AC23" i="29"/>
  <c r="X23" i="29"/>
  <c r="AC22" i="29"/>
  <c r="X22" i="29"/>
  <c r="AC21" i="29"/>
  <c r="X21" i="29"/>
  <c r="AC20" i="29"/>
  <c r="X20" i="29"/>
  <c r="AC19" i="29"/>
  <c r="X19" i="29"/>
  <c r="AC18" i="29"/>
  <c r="X18" i="29"/>
  <c r="AC17" i="29"/>
  <c r="X17" i="29"/>
  <c r="AC16" i="29"/>
  <c r="X16" i="29"/>
  <c r="AC15" i="29"/>
  <c r="X15" i="29"/>
  <c r="AC14" i="29"/>
  <c r="X14" i="29"/>
  <c r="AC13" i="29"/>
  <c r="X13" i="29"/>
  <c r="AC12" i="29"/>
  <c r="X12" i="29"/>
  <c r="AC11" i="29"/>
  <c r="X11" i="29"/>
  <c r="AC10" i="29"/>
  <c r="X10" i="29"/>
  <c r="AC9" i="29"/>
  <c r="X9" i="29"/>
  <c r="AC8" i="29"/>
  <c r="X8" i="29"/>
  <c r="X7" i="29"/>
  <c r="AC6" i="29"/>
  <c r="X6" i="29"/>
  <c r="X5" i="29"/>
  <c r="X4" i="29"/>
  <c r="X3" i="29"/>
  <c r="X2" i="29"/>
  <c r="B146" i="28"/>
  <c r="U146" i="28" s="1"/>
  <c r="B145" i="28"/>
  <c r="U145" i="28" s="1"/>
  <c r="B144" i="28"/>
  <c r="B143" i="28"/>
  <c r="U143" i="28" s="1"/>
  <c r="B142" i="28"/>
  <c r="U142" i="28" s="1"/>
  <c r="U141" i="28"/>
  <c r="B141" i="28"/>
  <c r="B140" i="28"/>
  <c r="U140" i="28" s="1"/>
  <c r="U139" i="28"/>
  <c r="B139" i="28"/>
  <c r="B138" i="28"/>
  <c r="O136" i="28"/>
  <c r="M136" i="28"/>
  <c r="M135" i="28"/>
  <c r="K134" i="28"/>
  <c r="J134" i="28"/>
  <c r="I134" i="28"/>
  <c r="H134" i="28"/>
  <c r="G134" i="28"/>
  <c r="F134" i="28"/>
  <c r="E134" i="28"/>
  <c r="D134" i="28"/>
  <c r="C134" i="28"/>
  <c r="B134" i="28"/>
  <c r="A134" i="28"/>
  <c r="U147" i="28" s="1"/>
  <c r="AC132" i="28"/>
  <c r="X132" i="28"/>
  <c r="AC131" i="28"/>
  <c r="X131" i="28"/>
  <c r="AC130" i="28"/>
  <c r="X130" i="28"/>
  <c r="AC129" i="28"/>
  <c r="X129" i="28"/>
  <c r="AC128" i="28"/>
  <c r="X128" i="28"/>
  <c r="AC127" i="28"/>
  <c r="X127" i="28"/>
  <c r="AC126" i="28"/>
  <c r="X126" i="28"/>
  <c r="AC125" i="28"/>
  <c r="X125" i="28"/>
  <c r="AC124" i="28"/>
  <c r="X124" i="28"/>
  <c r="AC123" i="28"/>
  <c r="X123" i="28"/>
  <c r="AC122" i="28"/>
  <c r="X122" i="28"/>
  <c r="AC121" i="28"/>
  <c r="X121" i="28"/>
  <c r="AC120" i="28"/>
  <c r="X120" i="28"/>
  <c r="AC119" i="28"/>
  <c r="X119" i="28"/>
  <c r="AC118" i="28"/>
  <c r="X118" i="28"/>
  <c r="AC117" i="28"/>
  <c r="X117" i="28"/>
  <c r="X116" i="28"/>
  <c r="AC115" i="28"/>
  <c r="X115" i="28"/>
  <c r="AC114" i="28"/>
  <c r="X114" i="28"/>
  <c r="AC113" i="28"/>
  <c r="X113" i="28"/>
  <c r="AC112" i="28"/>
  <c r="X112" i="28"/>
  <c r="X111" i="28"/>
  <c r="AC110" i="28"/>
  <c r="X110" i="28"/>
  <c r="AC109" i="28"/>
  <c r="X109" i="28"/>
  <c r="AC108" i="28"/>
  <c r="X108" i="28"/>
  <c r="AC107" i="28"/>
  <c r="X107" i="28"/>
  <c r="AC106" i="28"/>
  <c r="X106" i="28"/>
  <c r="AC105" i="28"/>
  <c r="X105" i="28"/>
  <c r="AC104" i="28"/>
  <c r="X104" i="28"/>
  <c r="AC103" i="28"/>
  <c r="X103" i="28"/>
  <c r="AC102" i="28"/>
  <c r="X102" i="28"/>
  <c r="AC101" i="28"/>
  <c r="X101" i="28"/>
  <c r="AC100" i="28"/>
  <c r="X100" i="28"/>
  <c r="X99" i="28"/>
  <c r="AC98" i="28"/>
  <c r="X98" i="28"/>
  <c r="AC97" i="28"/>
  <c r="X97" i="28"/>
  <c r="AC96" i="28"/>
  <c r="X96" i="28"/>
  <c r="AC95" i="28"/>
  <c r="X95" i="28"/>
  <c r="AC94" i="28"/>
  <c r="X94" i="28"/>
  <c r="AC93" i="28"/>
  <c r="X93" i="28"/>
  <c r="AC92" i="28"/>
  <c r="X92" i="28"/>
  <c r="AC91" i="28"/>
  <c r="X91" i="28"/>
  <c r="AC90" i="28"/>
  <c r="X90" i="28"/>
  <c r="AC89" i="28"/>
  <c r="X89" i="28"/>
  <c r="AC88" i="28"/>
  <c r="X88" i="28"/>
  <c r="AC87" i="28"/>
  <c r="X87" i="28"/>
  <c r="AC86" i="28"/>
  <c r="X86" i="28"/>
  <c r="AC85" i="28"/>
  <c r="X85" i="28"/>
  <c r="X84" i="28"/>
  <c r="AC83" i="28"/>
  <c r="X83" i="28"/>
  <c r="AC82" i="28"/>
  <c r="X82" i="28"/>
  <c r="AC81" i="28"/>
  <c r="X81" i="28"/>
  <c r="AC80" i="28"/>
  <c r="X80" i="28"/>
  <c r="AC79" i="28"/>
  <c r="X79" i="28"/>
  <c r="AC78" i="28"/>
  <c r="X78" i="28"/>
  <c r="AC77" i="28"/>
  <c r="X77" i="28"/>
  <c r="AC76" i="28"/>
  <c r="X76" i="28"/>
  <c r="AC75" i="28"/>
  <c r="X75" i="28"/>
  <c r="AC74" i="28"/>
  <c r="X74" i="28"/>
  <c r="AC73" i="28"/>
  <c r="X73" i="28"/>
  <c r="AC72" i="28"/>
  <c r="X72" i="28"/>
  <c r="AC71" i="28"/>
  <c r="X71" i="28"/>
  <c r="AC70" i="28"/>
  <c r="X70" i="28"/>
  <c r="AC69" i="28"/>
  <c r="X69" i="28"/>
  <c r="AC68" i="28"/>
  <c r="X68" i="28"/>
  <c r="AC67" i="28"/>
  <c r="X67" i="28"/>
  <c r="AC66" i="28"/>
  <c r="X66" i="28"/>
  <c r="AC65" i="28"/>
  <c r="X65" i="28"/>
  <c r="AC64" i="28"/>
  <c r="X64" i="28"/>
  <c r="AC63" i="28"/>
  <c r="X63" i="28"/>
  <c r="X62" i="28"/>
  <c r="AC61" i="28"/>
  <c r="X61" i="28"/>
  <c r="AC60" i="28"/>
  <c r="X60" i="28"/>
  <c r="AC59" i="28"/>
  <c r="X59" i="28"/>
  <c r="AC58" i="28"/>
  <c r="X58" i="28"/>
  <c r="AC57" i="28"/>
  <c r="X57" i="28"/>
  <c r="AC56" i="28"/>
  <c r="X56" i="28"/>
  <c r="AC55" i="28"/>
  <c r="X55" i="28"/>
  <c r="AC54" i="28"/>
  <c r="X54" i="28"/>
  <c r="AC53" i="28"/>
  <c r="X53" i="28"/>
  <c r="AC52" i="28"/>
  <c r="X52" i="28"/>
  <c r="AC51" i="28"/>
  <c r="X51" i="28"/>
  <c r="AC50" i="28"/>
  <c r="X50" i="28"/>
  <c r="AC49" i="28"/>
  <c r="X49" i="28"/>
  <c r="AC48" i="28"/>
  <c r="X48" i="28"/>
  <c r="AC47" i="28"/>
  <c r="X47" i="28"/>
  <c r="AC46" i="28"/>
  <c r="X46" i="28"/>
  <c r="AC45" i="28"/>
  <c r="X45" i="28"/>
  <c r="AC44" i="28"/>
  <c r="X44" i="28"/>
  <c r="AC43" i="28"/>
  <c r="X43" i="28"/>
  <c r="AC42" i="28"/>
  <c r="X42" i="28"/>
  <c r="AC41" i="28"/>
  <c r="X41" i="28"/>
  <c r="AC40" i="28"/>
  <c r="X40" i="28"/>
  <c r="AC39" i="28"/>
  <c r="X39" i="28"/>
  <c r="AC38" i="28"/>
  <c r="X38" i="28"/>
  <c r="AC37" i="28"/>
  <c r="X37" i="28"/>
  <c r="AC36" i="28"/>
  <c r="X36" i="28"/>
  <c r="AC35" i="28"/>
  <c r="X35" i="28"/>
  <c r="AC34" i="28"/>
  <c r="X34" i="28"/>
  <c r="X33" i="28"/>
  <c r="AC32" i="28"/>
  <c r="X32" i="28"/>
  <c r="AC31" i="28"/>
  <c r="X31" i="28"/>
  <c r="AC30" i="28"/>
  <c r="X30" i="28"/>
  <c r="AC29" i="28"/>
  <c r="X29" i="28"/>
  <c r="AC28" i="28"/>
  <c r="X28" i="28"/>
  <c r="AC27" i="28"/>
  <c r="X27" i="28"/>
  <c r="AC26" i="28"/>
  <c r="X26" i="28"/>
  <c r="AC25" i="28"/>
  <c r="X25" i="28"/>
  <c r="AC24" i="28"/>
  <c r="X24" i="28"/>
  <c r="AC23" i="28"/>
  <c r="X23" i="28"/>
  <c r="AC22" i="28"/>
  <c r="X22" i="28"/>
  <c r="AC21" i="28"/>
  <c r="X21" i="28"/>
  <c r="AC20" i="28"/>
  <c r="X20" i="28"/>
  <c r="AC19" i="28"/>
  <c r="X19" i="28"/>
  <c r="AC18" i="28"/>
  <c r="X18" i="28"/>
  <c r="AC17" i="28"/>
  <c r="X17" i="28"/>
  <c r="AC16" i="28"/>
  <c r="X16" i="28"/>
  <c r="AC15" i="28"/>
  <c r="X15" i="28"/>
  <c r="AC14" i="28"/>
  <c r="X14" i="28"/>
  <c r="X13" i="28"/>
  <c r="AC12" i="28"/>
  <c r="X12" i="28"/>
  <c r="AC11" i="28"/>
  <c r="X11" i="28"/>
  <c r="AC10" i="28"/>
  <c r="X10" i="28"/>
  <c r="AC9" i="28"/>
  <c r="X9" i="28"/>
  <c r="AC8" i="28"/>
  <c r="X8" i="28"/>
  <c r="X7" i="28"/>
  <c r="AC6" i="28"/>
  <c r="X6" i="28"/>
  <c r="X5" i="28"/>
  <c r="X4" i="28"/>
  <c r="X3" i="28"/>
  <c r="X2" i="28"/>
  <c r="B62" i="27"/>
  <c r="U62" i="27" s="1"/>
  <c r="B61" i="27"/>
  <c r="B60" i="27"/>
  <c r="U59" i="27"/>
  <c r="B59" i="27"/>
  <c r="B58" i="27"/>
  <c r="AC57" i="27"/>
  <c r="B57" i="27"/>
  <c r="B56" i="27"/>
  <c r="U56" i="27" s="1"/>
  <c r="B55" i="27"/>
  <c r="U55" i="27" s="1"/>
  <c r="B54" i="27"/>
  <c r="O52" i="27"/>
  <c r="M52" i="27"/>
  <c r="M63" i="27" s="1"/>
  <c r="P63" i="27" s="1"/>
  <c r="M51" i="27"/>
  <c r="K50" i="27"/>
  <c r="J50" i="27"/>
  <c r="I50" i="27"/>
  <c r="H50" i="27"/>
  <c r="G50" i="27"/>
  <c r="F50" i="27"/>
  <c r="E50" i="27"/>
  <c r="D50" i="27"/>
  <c r="C50" i="27"/>
  <c r="B50" i="27"/>
  <c r="A50" i="27"/>
  <c r="AC48" i="27"/>
  <c r="X48" i="27"/>
  <c r="AC47" i="27"/>
  <c r="X47" i="27"/>
  <c r="AC46" i="27"/>
  <c r="X46" i="27"/>
  <c r="AC45" i="27"/>
  <c r="X45" i="27"/>
  <c r="AC44" i="27"/>
  <c r="X44" i="27"/>
  <c r="AC43" i="27"/>
  <c r="X43" i="27"/>
  <c r="AC42" i="27"/>
  <c r="X42" i="27"/>
  <c r="AC41" i="27"/>
  <c r="X41" i="27"/>
  <c r="AC40" i="27"/>
  <c r="X40" i="27"/>
  <c r="AC39" i="27"/>
  <c r="X39" i="27"/>
  <c r="AC38" i="27"/>
  <c r="X38" i="27"/>
  <c r="AC37" i="27"/>
  <c r="X37" i="27"/>
  <c r="AC36" i="27"/>
  <c r="X36" i="27"/>
  <c r="AC35" i="27"/>
  <c r="X35" i="27"/>
  <c r="AC34" i="27"/>
  <c r="X34" i="27"/>
  <c r="AC33" i="27"/>
  <c r="X33" i="27"/>
  <c r="AC32" i="27"/>
  <c r="X32" i="27"/>
  <c r="AC31" i="27"/>
  <c r="X31" i="27"/>
  <c r="X30" i="27"/>
  <c r="AC29" i="27"/>
  <c r="X29" i="27"/>
  <c r="AC28" i="27"/>
  <c r="X28" i="27"/>
  <c r="AC27" i="27"/>
  <c r="X27" i="27"/>
  <c r="X26" i="27"/>
  <c r="AC25" i="27"/>
  <c r="X25" i="27"/>
  <c r="AC24" i="27"/>
  <c r="X24" i="27"/>
  <c r="X23" i="27"/>
  <c r="AC22" i="27"/>
  <c r="X22" i="27"/>
  <c r="AC21" i="27"/>
  <c r="X21" i="27"/>
  <c r="AC20" i="27"/>
  <c r="X20" i="27"/>
  <c r="AC19" i="27"/>
  <c r="X19" i="27"/>
  <c r="X18" i="27"/>
  <c r="AC17" i="27"/>
  <c r="X17" i="27"/>
  <c r="AC16" i="27"/>
  <c r="X16" i="27"/>
  <c r="AC15" i="27"/>
  <c r="X15" i="27"/>
  <c r="X14" i="27"/>
  <c r="AC13" i="27"/>
  <c r="X13" i="27"/>
  <c r="AC12" i="27"/>
  <c r="X12" i="27"/>
  <c r="AC11" i="27"/>
  <c r="X11" i="27"/>
  <c r="AC10" i="27"/>
  <c r="X10" i="27"/>
  <c r="AC9" i="27"/>
  <c r="X9" i="27"/>
  <c r="AC8" i="27"/>
  <c r="X8" i="27"/>
  <c r="X7" i="27"/>
  <c r="AC6" i="27"/>
  <c r="X6" i="27"/>
  <c r="X5" i="27"/>
  <c r="X4" i="27"/>
  <c r="X3" i="27"/>
  <c r="X2" i="27"/>
  <c r="U84" i="26"/>
  <c r="M84" i="26"/>
  <c r="P84" i="26" s="1"/>
  <c r="B83" i="26"/>
  <c r="M82" i="26"/>
  <c r="P82" i="26" s="1"/>
  <c r="B82" i="26"/>
  <c r="U82" i="26" s="1"/>
  <c r="B81" i="26"/>
  <c r="U80" i="26"/>
  <c r="B80" i="26"/>
  <c r="U79" i="26"/>
  <c r="M79" i="26"/>
  <c r="P79" i="26" s="1"/>
  <c r="B79" i="26"/>
  <c r="U78" i="26"/>
  <c r="M78" i="26"/>
  <c r="P78" i="26" s="1"/>
  <c r="B78" i="26"/>
  <c r="U77" i="26"/>
  <c r="M77" i="26"/>
  <c r="P77" i="26" s="1"/>
  <c r="W77" i="26" s="1"/>
  <c r="B77" i="26"/>
  <c r="M76" i="26"/>
  <c r="P76" i="26" s="1"/>
  <c r="B76" i="26"/>
  <c r="M75" i="26"/>
  <c r="P75" i="26" s="1"/>
  <c r="B75" i="26"/>
  <c r="U75" i="26" s="1"/>
  <c r="W75" i="26" s="1"/>
  <c r="O73" i="26"/>
  <c r="M73" i="26"/>
  <c r="M72" i="26"/>
  <c r="M81" i="26" s="1"/>
  <c r="P81" i="26" s="1"/>
  <c r="K71" i="26"/>
  <c r="J71" i="26"/>
  <c r="I71" i="26"/>
  <c r="H71" i="26"/>
  <c r="G71" i="26"/>
  <c r="F71" i="26"/>
  <c r="E71" i="26"/>
  <c r="D71" i="26"/>
  <c r="C71" i="26"/>
  <c r="B71" i="26"/>
  <c r="A71" i="26"/>
  <c r="AC69" i="26"/>
  <c r="AC68" i="26"/>
  <c r="X68" i="26"/>
  <c r="AC67" i="26"/>
  <c r="X67" i="26"/>
  <c r="AC66" i="26"/>
  <c r="X66" i="26"/>
  <c r="AC65" i="26"/>
  <c r="X65" i="26"/>
  <c r="AC64" i="26"/>
  <c r="X64" i="26"/>
  <c r="AC63" i="26"/>
  <c r="X63" i="26"/>
  <c r="AC62" i="26"/>
  <c r="X62" i="26"/>
  <c r="AC61" i="26"/>
  <c r="X61" i="26"/>
  <c r="AC60" i="26"/>
  <c r="X60" i="26"/>
  <c r="AC59" i="26"/>
  <c r="X59" i="26"/>
  <c r="AC58" i="26"/>
  <c r="X58" i="26"/>
  <c r="AC57" i="26"/>
  <c r="X57" i="26"/>
  <c r="AC56" i="26"/>
  <c r="X56" i="26"/>
  <c r="AC55" i="26"/>
  <c r="X55" i="26"/>
  <c r="X54" i="26"/>
  <c r="AC53" i="26"/>
  <c r="X53" i="26"/>
  <c r="AC52" i="26"/>
  <c r="X52" i="26"/>
  <c r="AC51" i="26"/>
  <c r="X51" i="26"/>
  <c r="AC50" i="26"/>
  <c r="X50" i="26"/>
  <c r="AC49" i="26"/>
  <c r="X49" i="26"/>
  <c r="AC48" i="26"/>
  <c r="X48" i="26"/>
  <c r="AC47" i="26"/>
  <c r="X47" i="26"/>
  <c r="AC46" i="26"/>
  <c r="X46" i="26"/>
  <c r="AC45" i="26"/>
  <c r="X45" i="26"/>
  <c r="X44" i="26"/>
  <c r="AC43" i="26"/>
  <c r="X43" i="26"/>
  <c r="AC42" i="26"/>
  <c r="X42" i="26"/>
  <c r="AC41" i="26"/>
  <c r="X41" i="26"/>
  <c r="AC40" i="26"/>
  <c r="X40" i="26"/>
  <c r="AC39" i="26"/>
  <c r="X39" i="26"/>
  <c r="X38" i="26"/>
  <c r="AC37" i="26"/>
  <c r="X37" i="26"/>
  <c r="AC36" i="26"/>
  <c r="X36" i="26"/>
  <c r="AC35" i="26"/>
  <c r="X35" i="26"/>
  <c r="AC34" i="26"/>
  <c r="X34" i="26"/>
  <c r="AC33" i="26"/>
  <c r="X33" i="26"/>
  <c r="AC32" i="26"/>
  <c r="X32" i="26"/>
  <c r="AC31" i="26"/>
  <c r="X31" i="26"/>
  <c r="AC30" i="26"/>
  <c r="X30" i="26"/>
  <c r="AC29" i="26"/>
  <c r="X29" i="26"/>
  <c r="AC28" i="26"/>
  <c r="X28" i="26"/>
  <c r="AC27" i="26"/>
  <c r="X27" i="26"/>
  <c r="X26" i="26"/>
  <c r="AC25" i="26"/>
  <c r="X25" i="26"/>
  <c r="AC24" i="26"/>
  <c r="X24" i="26"/>
  <c r="AC23" i="26"/>
  <c r="X23" i="26"/>
  <c r="AC22" i="26"/>
  <c r="X22" i="26"/>
  <c r="AC21" i="26"/>
  <c r="X21" i="26"/>
  <c r="AC20" i="26"/>
  <c r="X20" i="26"/>
  <c r="AC19" i="26"/>
  <c r="X19" i="26"/>
  <c r="X18" i="26"/>
  <c r="AC17" i="26"/>
  <c r="X17" i="26"/>
  <c r="AC16" i="26"/>
  <c r="X16" i="26"/>
  <c r="AC15" i="26"/>
  <c r="X15" i="26"/>
  <c r="AC14" i="26"/>
  <c r="X14" i="26"/>
  <c r="AC13" i="26"/>
  <c r="X13" i="26"/>
  <c r="AC12" i="26"/>
  <c r="X12" i="26"/>
  <c r="AC11" i="26"/>
  <c r="X11" i="26"/>
  <c r="AC10" i="26"/>
  <c r="X10" i="26"/>
  <c r="AC9" i="26"/>
  <c r="X9" i="26"/>
  <c r="AC8" i="26"/>
  <c r="X8" i="26"/>
  <c r="X7" i="26"/>
  <c r="AC6" i="26"/>
  <c r="X6" i="26"/>
  <c r="X5" i="26"/>
  <c r="X4" i="26"/>
  <c r="X3" i="26"/>
  <c r="X2" i="26"/>
  <c r="U134" i="25"/>
  <c r="M134" i="25"/>
  <c r="U133" i="25"/>
  <c r="B133" i="25"/>
  <c r="M132" i="25"/>
  <c r="P132" i="25" s="1"/>
  <c r="W132" i="25" s="1"/>
  <c r="B132" i="25"/>
  <c r="U132" i="25" s="1"/>
  <c r="M131" i="25"/>
  <c r="B131" i="25"/>
  <c r="U130" i="25"/>
  <c r="B130" i="25"/>
  <c r="B129" i="25"/>
  <c r="M128" i="25"/>
  <c r="P128" i="25" s="1"/>
  <c r="B128" i="25"/>
  <c r="U128" i="25" s="1"/>
  <c r="U127" i="25"/>
  <c r="B127" i="25"/>
  <c r="M126" i="25"/>
  <c r="P126" i="25" s="1"/>
  <c r="B126" i="25"/>
  <c r="M125" i="25"/>
  <c r="B125" i="25"/>
  <c r="U125" i="25" s="1"/>
  <c r="O123" i="25"/>
  <c r="M123" i="25"/>
  <c r="M122" i="25"/>
  <c r="M129" i="25" s="1"/>
  <c r="P129" i="25" s="1"/>
  <c r="K121" i="25"/>
  <c r="J121" i="25"/>
  <c r="I121" i="25"/>
  <c r="H121" i="25"/>
  <c r="U131" i="25" s="1"/>
  <c r="G121" i="25"/>
  <c r="F121" i="25"/>
  <c r="U129" i="25" s="1"/>
  <c r="E121" i="25"/>
  <c r="D121" i="25"/>
  <c r="C121" i="25"/>
  <c r="B121" i="25"/>
  <c r="A121" i="25"/>
  <c r="AC119" i="25"/>
  <c r="X119" i="25"/>
  <c r="AC118" i="25"/>
  <c r="X118" i="25"/>
  <c r="AC117" i="25"/>
  <c r="X117" i="25"/>
  <c r="AC116" i="25"/>
  <c r="X116" i="25"/>
  <c r="AC115" i="25"/>
  <c r="X115" i="25"/>
  <c r="AC114" i="25"/>
  <c r="X114" i="25"/>
  <c r="AC113" i="25"/>
  <c r="X113" i="25"/>
  <c r="AC112" i="25"/>
  <c r="X112" i="25"/>
  <c r="AC111" i="25"/>
  <c r="X111" i="25"/>
  <c r="AC110" i="25"/>
  <c r="X110" i="25"/>
  <c r="AC109" i="25"/>
  <c r="X109" i="25"/>
  <c r="AC108" i="25"/>
  <c r="X108" i="25"/>
  <c r="AC107" i="25"/>
  <c r="X107" i="25"/>
  <c r="X106" i="25"/>
  <c r="AC105" i="25"/>
  <c r="X105" i="25"/>
  <c r="AC104" i="25"/>
  <c r="X104" i="25"/>
  <c r="X103" i="25"/>
  <c r="AC102" i="25"/>
  <c r="X102" i="25"/>
  <c r="AC101" i="25"/>
  <c r="X101" i="25"/>
  <c r="AC100" i="25"/>
  <c r="X100" i="25"/>
  <c r="AC99" i="25"/>
  <c r="X99" i="25"/>
  <c r="AC98" i="25"/>
  <c r="X98" i="25"/>
  <c r="AC97" i="25"/>
  <c r="X97" i="25"/>
  <c r="AC96" i="25"/>
  <c r="X96" i="25"/>
  <c r="AC95" i="25"/>
  <c r="X95" i="25"/>
  <c r="AC94" i="25"/>
  <c r="X94" i="25"/>
  <c r="AC93" i="25"/>
  <c r="X93" i="25"/>
  <c r="AC92" i="25"/>
  <c r="X92" i="25"/>
  <c r="AC91" i="25"/>
  <c r="X91" i="25"/>
  <c r="AC90" i="25"/>
  <c r="X90" i="25"/>
  <c r="AC89" i="25"/>
  <c r="X89" i="25"/>
  <c r="AC88" i="25"/>
  <c r="X88" i="25"/>
  <c r="AC87" i="25"/>
  <c r="X87" i="25"/>
  <c r="AC86" i="25"/>
  <c r="X86" i="25"/>
  <c r="AC85" i="25"/>
  <c r="X85" i="25"/>
  <c r="AC84" i="25"/>
  <c r="X84" i="25"/>
  <c r="AC83" i="25"/>
  <c r="X83" i="25"/>
  <c r="AC82" i="25"/>
  <c r="X82" i="25"/>
  <c r="AC81" i="25"/>
  <c r="X81" i="25"/>
  <c r="AC80" i="25"/>
  <c r="X80" i="25"/>
  <c r="AC79" i="25"/>
  <c r="X79" i="25"/>
  <c r="AC78" i="25"/>
  <c r="X78" i="25"/>
  <c r="AC77" i="25"/>
  <c r="X77" i="25"/>
  <c r="AC76" i="25"/>
  <c r="X76" i="25"/>
  <c r="AC75" i="25"/>
  <c r="X75" i="25"/>
  <c r="AC74" i="25"/>
  <c r="X74" i="25"/>
  <c r="AC73" i="25"/>
  <c r="X73" i="25"/>
  <c r="AC72" i="25"/>
  <c r="X72" i="25"/>
  <c r="AC71" i="25"/>
  <c r="X71" i="25"/>
  <c r="AC70" i="25"/>
  <c r="X70" i="25"/>
  <c r="AC69" i="25"/>
  <c r="X69" i="25"/>
  <c r="AC68" i="25"/>
  <c r="X68" i="25"/>
  <c r="AC67" i="25"/>
  <c r="X67" i="25"/>
  <c r="AC66" i="25"/>
  <c r="X66" i="25"/>
  <c r="AC65" i="25"/>
  <c r="X65" i="25"/>
  <c r="AC64" i="25"/>
  <c r="X64" i="25"/>
  <c r="AC63" i="25"/>
  <c r="X63" i="25"/>
  <c r="AC62" i="25"/>
  <c r="X62" i="25"/>
  <c r="AC61" i="25"/>
  <c r="X61" i="25"/>
  <c r="AC60" i="25"/>
  <c r="X60" i="25"/>
  <c r="AC59" i="25"/>
  <c r="X59" i="25"/>
  <c r="AC58" i="25"/>
  <c r="X58" i="25"/>
  <c r="AC57" i="25"/>
  <c r="X57" i="25"/>
  <c r="AC56" i="25"/>
  <c r="X56" i="25"/>
  <c r="AC55" i="25"/>
  <c r="X55" i="25"/>
  <c r="AC54" i="25"/>
  <c r="X54" i="25"/>
  <c r="AC53" i="25"/>
  <c r="X53" i="25"/>
  <c r="AC52" i="25"/>
  <c r="X52" i="25"/>
  <c r="AC51" i="25"/>
  <c r="X51" i="25"/>
  <c r="AC50" i="25"/>
  <c r="X50" i="25"/>
  <c r="AC49" i="25"/>
  <c r="X49" i="25"/>
  <c r="AC48" i="25"/>
  <c r="X48" i="25"/>
  <c r="AC47" i="25"/>
  <c r="X47" i="25"/>
  <c r="AC46" i="25"/>
  <c r="X46" i="25"/>
  <c r="AC45" i="25"/>
  <c r="X45" i="25"/>
  <c r="AC44" i="25"/>
  <c r="X44" i="25"/>
  <c r="AC43" i="25"/>
  <c r="X43" i="25"/>
  <c r="AC42" i="25"/>
  <c r="X42" i="25"/>
  <c r="AC41" i="25"/>
  <c r="X41" i="25"/>
  <c r="AC40" i="25"/>
  <c r="X40" i="25"/>
  <c r="AC39" i="25"/>
  <c r="X39" i="25"/>
  <c r="AC38" i="25"/>
  <c r="X38" i="25"/>
  <c r="AC37" i="25"/>
  <c r="X37" i="25"/>
  <c r="AC36" i="25"/>
  <c r="X36" i="25"/>
  <c r="AC35" i="25"/>
  <c r="X35" i="25"/>
  <c r="AC34" i="25"/>
  <c r="X34" i="25"/>
  <c r="AC33" i="25"/>
  <c r="X33" i="25"/>
  <c r="AC32" i="25"/>
  <c r="X32" i="25"/>
  <c r="AC31" i="25"/>
  <c r="X31" i="25"/>
  <c r="AC30" i="25"/>
  <c r="X30" i="25"/>
  <c r="AC29" i="25"/>
  <c r="X29" i="25"/>
  <c r="AC28" i="25"/>
  <c r="X28" i="25"/>
  <c r="AC27" i="25"/>
  <c r="X27" i="25"/>
  <c r="AC26" i="25"/>
  <c r="X26" i="25"/>
  <c r="AC25" i="25"/>
  <c r="X25" i="25"/>
  <c r="AC24" i="25"/>
  <c r="X24" i="25"/>
  <c r="AC23" i="25"/>
  <c r="X23" i="25"/>
  <c r="AC22" i="25"/>
  <c r="X22" i="25"/>
  <c r="AC21" i="25"/>
  <c r="X21" i="25"/>
  <c r="AC20" i="25"/>
  <c r="X20" i="25"/>
  <c r="AC19" i="25"/>
  <c r="X19" i="25"/>
  <c r="AC18" i="25"/>
  <c r="X18" i="25"/>
  <c r="AC17" i="25"/>
  <c r="X17" i="25"/>
  <c r="AC16" i="25"/>
  <c r="X16" i="25"/>
  <c r="AC15" i="25"/>
  <c r="X15" i="25"/>
  <c r="AC14" i="25"/>
  <c r="X14" i="25"/>
  <c r="AC13" i="25"/>
  <c r="X13" i="25"/>
  <c r="AC12" i="25"/>
  <c r="X12" i="25"/>
  <c r="AC11" i="25"/>
  <c r="X11" i="25"/>
  <c r="AC10" i="25"/>
  <c r="X10" i="25"/>
  <c r="AC9" i="25"/>
  <c r="X9" i="25"/>
  <c r="AC8" i="25"/>
  <c r="X8" i="25"/>
  <c r="X7" i="25"/>
  <c r="AC6" i="25"/>
  <c r="X6" i="25"/>
  <c r="X5" i="25"/>
  <c r="X4" i="25"/>
  <c r="X3" i="25"/>
  <c r="X2" i="25"/>
  <c r="U134" i="24"/>
  <c r="B133" i="24"/>
  <c r="U133" i="24" s="1"/>
  <c r="B132" i="24"/>
  <c r="B131" i="24"/>
  <c r="U131" i="24" s="1"/>
  <c r="M130" i="24"/>
  <c r="P130" i="24" s="1"/>
  <c r="B130" i="24"/>
  <c r="U129" i="24"/>
  <c r="B129" i="24"/>
  <c r="M128" i="24"/>
  <c r="P128" i="24" s="1"/>
  <c r="B128" i="24"/>
  <c r="M127" i="24"/>
  <c r="P127" i="24" s="1"/>
  <c r="W127" i="24" s="1"/>
  <c r="B127" i="24"/>
  <c r="U127" i="24" s="1"/>
  <c r="M126" i="24"/>
  <c r="P126" i="24" s="1"/>
  <c r="B126" i="24"/>
  <c r="U126" i="24" s="1"/>
  <c r="B125" i="24"/>
  <c r="U125" i="24" s="1"/>
  <c r="O123" i="24"/>
  <c r="M123" i="24"/>
  <c r="M125" i="24" s="1"/>
  <c r="P125" i="24" s="1"/>
  <c r="M122" i="24"/>
  <c r="K121" i="24"/>
  <c r="J121" i="24"/>
  <c r="I121" i="24"/>
  <c r="U132" i="24" s="1"/>
  <c r="H121" i="24"/>
  <c r="G121" i="24"/>
  <c r="U130" i="24" s="1"/>
  <c r="F121" i="24"/>
  <c r="E121" i="24"/>
  <c r="U128" i="24" s="1"/>
  <c r="D121" i="24"/>
  <c r="C121" i="24"/>
  <c r="B121" i="24"/>
  <c r="A121" i="24"/>
  <c r="AC119" i="24"/>
  <c r="X119" i="24"/>
  <c r="AC118" i="24"/>
  <c r="X118" i="24"/>
  <c r="AC117" i="24"/>
  <c r="X117" i="24"/>
  <c r="AC116" i="24"/>
  <c r="X116" i="24"/>
  <c r="AC115" i="24"/>
  <c r="X115" i="24"/>
  <c r="AC114" i="24"/>
  <c r="X114" i="24"/>
  <c r="AC113" i="24"/>
  <c r="X113" i="24"/>
  <c r="AC112" i="24"/>
  <c r="X112" i="24"/>
  <c r="AC111" i="24"/>
  <c r="X111" i="24"/>
  <c r="AC110" i="24"/>
  <c r="X110" i="24"/>
  <c r="AC109" i="24"/>
  <c r="X109" i="24"/>
  <c r="AC108" i="24"/>
  <c r="X108" i="24"/>
  <c r="AC107" i="24"/>
  <c r="X107" i="24"/>
  <c r="AC106" i="24"/>
  <c r="X106" i="24"/>
  <c r="AC105" i="24"/>
  <c r="X105" i="24"/>
  <c r="AC104" i="24"/>
  <c r="X104" i="24"/>
  <c r="AC103" i="24"/>
  <c r="X103" i="24"/>
  <c r="AC102" i="24"/>
  <c r="X102" i="24"/>
  <c r="AC101" i="24"/>
  <c r="X101" i="24"/>
  <c r="AC100" i="24"/>
  <c r="X100" i="24"/>
  <c r="AC99" i="24"/>
  <c r="X99" i="24"/>
  <c r="AC98" i="24"/>
  <c r="X98" i="24"/>
  <c r="AC97" i="24"/>
  <c r="X97" i="24"/>
  <c r="AC96" i="24"/>
  <c r="X96" i="24"/>
  <c r="AC95" i="24"/>
  <c r="X95" i="24"/>
  <c r="AC94" i="24"/>
  <c r="X94" i="24"/>
  <c r="AC93" i="24"/>
  <c r="X93" i="24"/>
  <c r="AC92" i="24"/>
  <c r="X92" i="24"/>
  <c r="AC91" i="24"/>
  <c r="X91" i="24"/>
  <c r="AC90" i="24"/>
  <c r="X90" i="24"/>
  <c r="AC89" i="24"/>
  <c r="X89" i="24"/>
  <c r="AC88" i="24"/>
  <c r="X88" i="24"/>
  <c r="AC87" i="24"/>
  <c r="X87" i="24"/>
  <c r="AC86" i="24"/>
  <c r="X86" i="24"/>
  <c r="AC85" i="24"/>
  <c r="X85" i="24"/>
  <c r="AC84" i="24"/>
  <c r="X84" i="24"/>
  <c r="AC83" i="24"/>
  <c r="X83" i="24"/>
  <c r="AC82" i="24"/>
  <c r="X82" i="24"/>
  <c r="AC81" i="24"/>
  <c r="X81" i="24"/>
  <c r="AC80" i="24"/>
  <c r="X80" i="24"/>
  <c r="AC79" i="24"/>
  <c r="X79" i="24"/>
  <c r="AC78" i="24"/>
  <c r="X78" i="24"/>
  <c r="AC77" i="24"/>
  <c r="X77" i="24"/>
  <c r="AC76" i="24"/>
  <c r="X76" i="24"/>
  <c r="AC75" i="24"/>
  <c r="X75" i="24"/>
  <c r="AC74" i="24"/>
  <c r="X74" i="24"/>
  <c r="AC73" i="24"/>
  <c r="X73" i="24"/>
  <c r="AC72" i="24"/>
  <c r="X72" i="24"/>
  <c r="AC71" i="24"/>
  <c r="X71" i="24"/>
  <c r="AC70" i="24"/>
  <c r="X70" i="24"/>
  <c r="AC69" i="24"/>
  <c r="X69" i="24"/>
  <c r="AC68" i="24"/>
  <c r="X68" i="24"/>
  <c r="AC67" i="24"/>
  <c r="X67" i="24"/>
  <c r="AC66" i="24"/>
  <c r="X66" i="24"/>
  <c r="AC65" i="24"/>
  <c r="X65" i="24"/>
  <c r="AC64" i="24"/>
  <c r="X64" i="24"/>
  <c r="AC63" i="24"/>
  <c r="X63" i="24"/>
  <c r="AC62" i="24"/>
  <c r="X62" i="24"/>
  <c r="AC61" i="24"/>
  <c r="X61" i="24"/>
  <c r="AC60" i="24"/>
  <c r="X60" i="24"/>
  <c r="AC59" i="24"/>
  <c r="X59" i="24"/>
  <c r="AC58" i="24"/>
  <c r="X58" i="24"/>
  <c r="AC57" i="24"/>
  <c r="X57" i="24"/>
  <c r="AC56" i="24"/>
  <c r="X56" i="24"/>
  <c r="AC55" i="24"/>
  <c r="X55" i="24"/>
  <c r="AC54" i="24"/>
  <c r="X54" i="24"/>
  <c r="AC53" i="24"/>
  <c r="X53" i="24"/>
  <c r="AC52" i="24"/>
  <c r="X52" i="24"/>
  <c r="AC51" i="24"/>
  <c r="X51" i="24"/>
  <c r="AC50" i="24"/>
  <c r="X50" i="24"/>
  <c r="AC49" i="24"/>
  <c r="X49" i="24"/>
  <c r="AC48" i="24"/>
  <c r="X48" i="24"/>
  <c r="AC47" i="24"/>
  <c r="X47" i="24"/>
  <c r="AC46" i="24"/>
  <c r="X46" i="24"/>
  <c r="AC45" i="24"/>
  <c r="X45" i="24"/>
  <c r="AC44" i="24"/>
  <c r="X44" i="24"/>
  <c r="AC43" i="24"/>
  <c r="X43" i="24"/>
  <c r="AC42" i="24"/>
  <c r="X42" i="24"/>
  <c r="AC41" i="24"/>
  <c r="X41" i="24"/>
  <c r="AC40" i="24"/>
  <c r="X40" i="24"/>
  <c r="AC39" i="24"/>
  <c r="X39" i="24"/>
  <c r="AC38" i="24"/>
  <c r="X38" i="24"/>
  <c r="AC37" i="24"/>
  <c r="X37" i="24"/>
  <c r="AC36" i="24"/>
  <c r="X36" i="24"/>
  <c r="AC35" i="24"/>
  <c r="X35" i="24"/>
  <c r="AC34" i="24"/>
  <c r="X34" i="24"/>
  <c r="AC33" i="24"/>
  <c r="X33" i="24"/>
  <c r="AC32" i="24"/>
  <c r="X32" i="24"/>
  <c r="AC31" i="24"/>
  <c r="X31" i="24"/>
  <c r="AC30" i="24"/>
  <c r="X30" i="24"/>
  <c r="AC29" i="24"/>
  <c r="X29" i="24"/>
  <c r="AC28" i="24"/>
  <c r="X28" i="24"/>
  <c r="AC27" i="24"/>
  <c r="X27" i="24"/>
  <c r="AC26" i="24"/>
  <c r="X26" i="24"/>
  <c r="AC25" i="24"/>
  <c r="X25" i="24"/>
  <c r="AC24" i="24"/>
  <c r="X24" i="24"/>
  <c r="AC23" i="24"/>
  <c r="X23" i="24"/>
  <c r="AC22" i="24"/>
  <c r="X22" i="24"/>
  <c r="AC21" i="24"/>
  <c r="X21" i="24"/>
  <c r="AC20" i="24"/>
  <c r="X20" i="24"/>
  <c r="AC19" i="24"/>
  <c r="X19" i="24"/>
  <c r="X18" i="24"/>
  <c r="AC17" i="24"/>
  <c r="X17" i="24"/>
  <c r="AC16" i="24"/>
  <c r="X16" i="24"/>
  <c r="AC15" i="24"/>
  <c r="X15" i="24"/>
  <c r="AC14" i="24"/>
  <c r="X14" i="24"/>
  <c r="AC13" i="24"/>
  <c r="X13" i="24"/>
  <c r="AC12" i="24"/>
  <c r="X12" i="24"/>
  <c r="AC11" i="24"/>
  <c r="X11" i="24"/>
  <c r="AC10" i="24"/>
  <c r="X10" i="24"/>
  <c r="AC9" i="24"/>
  <c r="X9" i="24"/>
  <c r="X8" i="24"/>
  <c r="AC7" i="24"/>
  <c r="X7" i="24"/>
  <c r="AC6" i="24"/>
  <c r="X6" i="24"/>
  <c r="X5" i="24"/>
  <c r="X4" i="24"/>
  <c r="X3" i="24"/>
  <c r="X2" i="24"/>
  <c r="P77" i="23"/>
  <c r="W77" i="23" s="1"/>
  <c r="B77" i="23"/>
  <c r="U77" i="23" s="1"/>
  <c r="B76" i="23"/>
  <c r="U76" i="23" s="1"/>
  <c r="B75" i="23"/>
  <c r="U75" i="23" s="1"/>
  <c r="B74" i="23"/>
  <c r="U74" i="23" s="1"/>
  <c r="B73" i="23"/>
  <c r="U73" i="23" s="1"/>
  <c r="U72" i="23"/>
  <c r="B72" i="23"/>
  <c r="B71" i="23"/>
  <c r="M70" i="23"/>
  <c r="P70" i="23" s="1"/>
  <c r="B70" i="23"/>
  <c r="U70" i="23" s="1"/>
  <c r="M69" i="23"/>
  <c r="P69" i="23" s="1"/>
  <c r="B69" i="23"/>
  <c r="U69" i="23" s="1"/>
  <c r="O67" i="23"/>
  <c r="M67" i="23"/>
  <c r="M74" i="23" s="1"/>
  <c r="P74" i="23" s="1"/>
  <c r="M66" i="23"/>
  <c r="M77" i="23" s="1"/>
  <c r="K65" i="23"/>
  <c r="U78" i="23" s="1"/>
  <c r="J65" i="23"/>
  <c r="I65" i="23"/>
  <c r="H65" i="23"/>
  <c r="G65" i="23"/>
  <c r="F65" i="23"/>
  <c r="E65" i="23"/>
  <c r="D65" i="23"/>
  <c r="U71" i="23" s="1"/>
  <c r="C65" i="23"/>
  <c r="B65" i="23"/>
  <c r="A65" i="23"/>
  <c r="AC63" i="23"/>
  <c r="X63" i="23"/>
  <c r="AC62" i="23"/>
  <c r="X62" i="23"/>
  <c r="AC61" i="23"/>
  <c r="X61" i="23"/>
  <c r="AC60" i="23"/>
  <c r="X60" i="23"/>
  <c r="AC59" i="23"/>
  <c r="X59" i="23"/>
  <c r="AC58" i="23"/>
  <c r="X58" i="23"/>
  <c r="AC57" i="23"/>
  <c r="X57" i="23"/>
  <c r="AC56" i="23"/>
  <c r="X56" i="23"/>
  <c r="AC55" i="23"/>
  <c r="X55" i="23"/>
  <c r="X54" i="23"/>
  <c r="AC53" i="23"/>
  <c r="X53" i="23"/>
  <c r="AC52" i="23"/>
  <c r="X52" i="23"/>
  <c r="X51" i="23"/>
  <c r="AC50" i="23"/>
  <c r="X50" i="23"/>
  <c r="AC49" i="23"/>
  <c r="X49" i="23"/>
  <c r="AC48" i="23"/>
  <c r="X48" i="23"/>
  <c r="X47" i="23"/>
  <c r="AC46" i="23"/>
  <c r="X46" i="23"/>
  <c r="AC45" i="23"/>
  <c r="X45" i="23"/>
  <c r="X44" i="23"/>
  <c r="AC43" i="23"/>
  <c r="X43" i="23"/>
  <c r="AC42" i="23"/>
  <c r="X42" i="23"/>
  <c r="AC41" i="23"/>
  <c r="X41" i="23"/>
  <c r="AC40" i="23"/>
  <c r="X40" i="23"/>
  <c r="AC39" i="23"/>
  <c r="X39" i="23"/>
  <c r="X38" i="23"/>
  <c r="AC37" i="23"/>
  <c r="X37" i="23"/>
  <c r="AC36" i="23"/>
  <c r="X36" i="23"/>
  <c r="AC35" i="23"/>
  <c r="X35" i="23"/>
  <c r="X34" i="23"/>
  <c r="AC33" i="23"/>
  <c r="X33" i="23"/>
  <c r="AC32" i="23"/>
  <c r="X32" i="23"/>
  <c r="AC31" i="23"/>
  <c r="X31" i="23"/>
  <c r="AC30" i="23"/>
  <c r="X30" i="23"/>
  <c r="AC29" i="23"/>
  <c r="X29" i="23"/>
  <c r="AC28" i="23"/>
  <c r="X28" i="23"/>
  <c r="AC27" i="23"/>
  <c r="X27" i="23"/>
  <c r="AC26" i="23"/>
  <c r="X26" i="23"/>
  <c r="AC25" i="23"/>
  <c r="X25" i="23"/>
  <c r="X24" i="23"/>
  <c r="AC23" i="23"/>
  <c r="X23" i="23"/>
  <c r="AC22" i="23"/>
  <c r="X22" i="23"/>
  <c r="AC21" i="23"/>
  <c r="X21" i="23"/>
  <c r="AC20" i="23"/>
  <c r="X20" i="23"/>
  <c r="AC19" i="23"/>
  <c r="X19" i="23"/>
  <c r="AC18" i="23"/>
  <c r="X18" i="23"/>
  <c r="AC17" i="23"/>
  <c r="X17" i="23"/>
  <c r="X16" i="23"/>
  <c r="AC15" i="23"/>
  <c r="X15" i="23"/>
  <c r="AC14" i="23"/>
  <c r="X14" i="23"/>
  <c r="AC13" i="23"/>
  <c r="X13" i="23"/>
  <c r="AC12" i="23"/>
  <c r="X12" i="23"/>
  <c r="AC11" i="23"/>
  <c r="X11" i="23"/>
  <c r="AC10" i="23"/>
  <c r="X10" i="23"/>
  <c r="AC9" i="23"/>
  <c r="X9" i="23"/>
  <c r="AC8" i="23"/>
  <c r="X8" i="23"/>
  <c r="X7" i="23"/>
  <c r="AC6" i="23"/>
  <c r="X6" i="23"/>
  <c r="X5" i="23"/>
  <c r="X4" i="23"/>
  <c r="X3" i="23"/>
  <c r="X2" i="23"/>
  <c r="U134" i="12"/>
  <c r="P134" i="12"/>
  <c r="W134" i="12" s="1"/>
  <c r="W133" i="12"/>
  <c r="U133" i="12"/>
  <c r="M133" i="12"/>
  <c r="P133" i="12" s="1"/>
  <c r="B133" i="12"/>
  <c r="M132" i="12"/>
  <c r="P132" i="12" s="1"/>
  <c r="B132" i="12"/>
  <c r="P131" i="12"/>
  <c r="M131" i="12"/>
  <c r="B131" i="12"/>
  <c r="B130" i="12"/>
  <c r="B129" i="12"/>
  <c r="U129" i="12" s="1"/>
  <c r="U128" i="12"/>
  <c r="M128" i="12"/>
  <c r="P128" i="12" s="1"/>
  <c r="B128" i="12"/>
  <c r="M127" i="12"/>
  <c r="P127" i="12" s="1"/>
  <c r="W127" i="12" s="1"/>
  <c r="B127" i="12"/>
  <c r="U127" i="12" s="1"/>
  <c r="M126" i="12"/>
  <c r="P126" i="12" s="1"/>
  <c r="B126" i="12"/>
  <c r="U126" i="12" s="1"/>
  <c r="U125" i="12"/>
  <c r="P125" i="12"/>
  <c r="B125" i="12"/>
  <c r="O123" i="12"/>
  <c r="M123" i="12"/>
  <c r="M134" i="12" s="1"/>
  <c r="M122" i="12"/>
  <c r="M125" i="12" s="1"/>
  <c r="K121" i="12"/>
  <c r="J121" i="12"/>
  <c r="I121" i="12"/>
  <c r="H121" i="12"/>
  <c r="G121" i="12"/>
  <c r="U130" i="12" s="1"/>
  <c r="F121" i="12"/>
  <c r="E121" i="12"/>
  <c r="D121" i="12"/>
  <c r="C121" i="12"/>
  <c r="B121" i="12"/>
  <c r="A121" i="12"/>
  <c r="AC119" i="12"/>
  <c r="X119" i="12"/>
  <c r="AC118" i="12"/>
  <c r="X118" i="12"/>
  <c r="AC117" i="12"/>
  <c r="X117" i="12"/>
  <c r="AC116" i="12"/>
  <c r="X116" i="12"/>
  <c r="AC115" i="12"/>
  <c r="X115" i="12"/>
  <c r="AC114" i="12"/>
  <c r="X114" i="12"/>
  <c r="AC113" i="12"/>
  <c r="X113" i="12"/>
  <c r="AC112" i="12"/>
  <c r="X112" i="12"/>
  <c r="AC111" i="12"/>
  <c r="X111" i="12"/>
  <c r="AC110" i="12"/>
  <c r="X110" i="12"/>
  <c r="AC109" i="12"/>
  <c r="X109" i="12"/>
  <c r="AC108" i="12"/>
  <c r="X108" i="12"/>
  <c r="AC107" i="12"/>
  <c r="X107" i="12"/>
  <c r="AC106" i="12"/>
  <c r="X106" i="12"/>
  <c r="AC105" i="12"/>
  <c r="X105" i="12"/>
  <c r="AC104" i="12"/>
  <c r="X104" i="12"/>
  <c r="AC103" i="12"/>
  <c r="X103" i="12"/>
  <c r="AC102" i="12"/>
  <c r="X102" i="12"/>
  <c r="AC101" i="12"/>
  <c r="X101" i="12"/>
  <c r="AC100" i="12"/>
  <c r="X100" i="12"/>
  <c r="X99" i="12"/>
  <c r="AC98" i="12"/>
  <c r="X98" i="12"/>
  <c r="AC97" i="12"/>
  <c r="X97" i="12"/>
  <c r="AC96" i="12"/>
  <c r="X96" i="12"/>
  <c r="AC95" i="12"/>
  <c r="X95" i="12"/>
  <c r="AC94" i="12"/>
  <c r="X94" i="12"/>
  <c r="X93" i="12"/>
  <c r="AC92" i="12"/>
  <c r="X92" i="12"/>
  <c r="AC91" i="12"/>
  <c r="X91" i="12"/>
  <c r="AC90" i="12"/>
  <c r="X90" i="12"/>
  <c r="AC89" i="12"/>
  <c r="X89" i="12"/>
  <c r="X88" i="12"/>
  <c r="AC87" i="12"/>
  <c r="X87" i="12"/>
  <c r="AC86" i="12"/>
  <c r="X86" i="12"/>
  <c r="AC85" i="12"/>
  <c r="X85" i="12"/>
  <c r="AC84" i="12"/>
  <c r="X84" i="12"/>
  <c r="AC83" i="12"/>
  <c r="X83" i="12"/>
  <c r="AC82" i="12"/>
  <c r="X82" i="12"/>
  <c r="AC81" i="12"/>
  <c r="X81" i="12"/>
  <c r="AC80" i="12"/>
  <c r="X80" i="12"/>
  <c r="AC79" i="12"/>
  <c r="X79" i="12"/>
  <c r="AC78" i="12"/>
  <c r="X78" i="12"/>
  <c r="AC77" i="12"/>
  <c r="X77" i="12"/>
  <c r="AC76" i="12"/>
  <c r="X76" i="12"/>
  <c r="X75" i="12"/>
  <c r="AC74" i="12"/>
  <c r="X74" i="12"/>
  <c r="AC73" i="12"/>
  <c r="X73" i="12"/>
  <c r="AC72" i="12"/>
  <c r="X72" i="12"/>
  <c r="AC71" i="12"/>
  <c r="X71" i="12"/>
  <c r="AC70" i="12"/>
  <c r="X70" i="12"/>
  <c r="AC69" i="12"/>
  <c r="X69" i="12"/>
  <c r="X68" i="12"/>
  <c r="AC67" i="12"/>
  <c r="X67" i="12"/>
  <c r="AC66" i="12"/>
  <c r="X66" i="12"/>
  <c r="AC65" i="12"/>
  <c r="X65" i="12"/>
  <c r="AC64" i="12"/>
  <c r="X64" i="12"/>
  <c r="AC63" i="12"/>
  <c r="X63" i="12"/>
  <c r="X62" i="12"/>
  <c r="AC61" i="12"/>
  <c r="X61" i="12"/>
  <c r="AC60" i="12"/>
  <c r="X60" i="12"/>
  <c r="AC59" i="12"/>
  <c r="X59" i="12"/>
  <c r="AC58" i="12"/>
  <c r="X58" i="12"/>
  <c r="X57" i="12"/>
  <c r="AC56" i="12"/>
  <c r="X56" i="12"/>
  <c r="AC55" i="12"/>
  <c r="X55" i="12"/>
  <c r="AC54" i="12"/>
  <c r="X54" i="12"/>
  <c r="AC53" i="12"/>
  <c r="X53" i="12"/>
  <c r="AC52" i="12"/>
  <c r="X52" i="12"/>
  <c r="AC51" i="12"/>
  <c r="X51" i="12"/>
  <c r="AC50" i="12"/>
  <c r="X50" i="12"/>
  <c r="AC49" i="12"/>
  <c r="X49" i="12"/>
  <c r="AC48" i="12"/>
  <c r="X48" i="12"/>
  <c r="AC47" i="12"/>
  <c r="X47" i="12"/>
  <c r="AC46" i="12"/>
  <c r="X46" i="12"/>
  <c r="X45" i="12"/>
  <c r="AC44" i="12"/>
  <c r="X44" i="12"/>
  <c r="AC43" i="12"/>
  <c r="X43" i="12"/>
  <c r="AC42" i="12"/>
  <c r="X42" i="12"/>
  <c r="AC41" i="12"/>
  <c r="X41" i="12"/>
  <c r="AC40" i="12"/>
  <c r="X40" i="12"/>
  <c r="AC39" i="12"/>
  <c r="X39" i="12"/>
  <c r="X38" i="12"/>
  <c r="AC37" i="12"/>
  <c r="X37" i="12"/>
  <c r="AC36" i="12"/>
  <c r="X36" i="12"/>
  <c r="AC35" i="12"/>
  <c r="X35" i="12"/>
  <c r="AC34" i="12"/>
  <c r="X34" i="12"/>
  <c r="AC33" i="12"/>
  <c r="X33" i="12"/>
  <c r="AC32" i="12"/>
  <c r="X32" i="12"/>
  <c r="AC31" i="12"/>
  <c r="X31" i="12"/>
  <c r="AC30" i="12"/>
  <c r="X30" i="12"/>
  <c r="AC29" i="12"/>
  <c r="X29" i="12"/>
  <c r="AC28" i="12"/>
  <c r="X28" i="12"/>
  <c r="AC27" i="12"/>
  <c r="X27" i="12"/>
  <c r="AC26" i="12"/>
  <c r="X26" i="12"/>
  <c r="AC25" i="12"/>
  <c r="X25" i="12"/>
  <c r="AC24" i="12"/>
  <c r="X24" i="12"/>
  <c r="AC23" i="12"/>
  <c r="X23" i="12"/>
  <c r="X22" i="12"/>
  <c r="AC21" i="12"/>
  <c r="X21" i="12"/>
  <c r="AC20" i="12"/>
  <c r="X20" i="12"/>
  <c r="AC19" i="12"/>
  <c r="X19" i="12"/>
  <c r="AC18" i="12"/>
  <c r="X18" i="12"/>
  <c r="AC17" i="12"/>
  <c r="X17" i="12"/>
  <c r="AC16" i="12"/>
  <c r="X16" i="12"/>
  <c r="AC15" i="12"/>
  <c r="X15" i="12"/>
  <c r="AC14" i="12"/>
  <c r="X14" i="12"/>
  <c r="AC13" i="12"/>
  <c r="X13" i="12"/>
  <c r="AC12" i="12"/>
  <c r="X12" i="12"/>
  <c r="AC11" i="12"/>
  <c r="X11" i="12"/>
  <c r="AC10" i="12"/>
  <c r="X10" i="12"/>
  <c r="AC9" i="12"/>
  <c r="X9" i="12"/>
  <c r="AC8" i="12"/>
  <c r="X8" i="12"/>
  <c r="X7" i="12"/>
  <c r="AC6" i="12"/>
  <c r="X6" i="12"/>
  <c r="X5" i="12"/>
  <c r="X4" i="12"/>
  <c r="X3" i="12"/>
  <c r="X2" i="12"/>
  <c r="A115" i="40" a="1"/>
  <c r="A140" i="41" a="1"/>
  <c r="A86" i="39" a="1"/>
  <c r="A176" i="31" a="1"/>
  <c r="A118" i="30" a="1"/>
  <c r="A153" i="28" a="1"/>
  <c r="A81" i="29" a="1"/>
  <c r="A69" i="27" a="1"/>
  <c r="A90" i="26" a="1"/>
  <c r="A84" i="23" a="1"/>
  <c r="A140" i="25" a="1"/>
  <c r="A140" i="24" a="1"/>
  <c r="A140" i="12" a="1"/>
  <c r="A149" i="12" l="1"/>
  <c r="A145" i="12"/>
  <c r="A144" i="12"/>
  <c r="A143" i="12"/>
  <c r="A142" i="12"/>
  <c r="A155" i="12"/>
  <c r="A141" i="12"/>
  <c r="A154" i="12"/>
  <c r="A153" i="12"/>
  <c r="A140" i="12"/>
  <c r="A152" i="12"/>
  <c r="A146" i="12"/>
  <c r="A151" i="12"/>
  <c r="A150" i="12"/>
  <c r="A148" i="12"/>
  <c r="A147" i="12"/>
  <c r="A140" i="24"/>
  <c r="A146" i="24"/>
  <c r="A145" i="24"/>
  <c r="A144" i="24"/>
  <c r="A143" i="24"/>
  <c r="A142" i="24"/>
  <c r="A141" i="24"/>
  <c r="A146" i="25"/>
  <c r="A144" i="25"/>
  <c r="A141" i="25"/>
  <c r="A147" i="25"/>
  <c r="A145" i="25"/>
  <c r="A143" i="25"/>
  <c r="A142" i="25"/>
  <c r="A140" i="25"/>
  <c r="A97" i="23"/>
  <c r="A85" i="23"/>
  <c r="A96" i="23"/>
  <c r="A95" i="23"/>
  <c r="A84" i="23"/>
  <c r="A94" i="23"/>
  <c r="A93" i="23"/>
  <c r="A92" i="23"/>
  <c r="A91" i="23"/>
  <c r="A90" i="23"/>
  <c r="A89" i="23"/>
  <c r="A88" i="23"/>
  <c r="A87" i="23"/>
  <c r="A86" i="23"/>
  <c r="A96" i="26"/>
  <c r="A95" i="26"/>
  <c r="A94" i="26"/>
  <c r="A93" i="26"/>
  <c r="A103" i="26"/>
  <c r="A91" i="26"/>
  <c r="A101" i="26"/>
  <c r="A90" i="26"/>
  <c r="A100" i="26"/>
  <c r="A99" i="26"/>
  <c r="A98" i="26"/>
  <c r="A102" i="26"/>
  <c r="A97" i="26"/>
  <c r="A92" i="26"/>
  <c r="A76" i="27"/>
  <c r="A74" i="27"/>
  <c r="A70" i="27"/>
  <c r="A69" i="27"/>
  <c r="A79" i="27"/>
  <c r="A78" i="27"/>
  <c r="A77" i="27"/>
  <c r="A75" i="27"/>
  <c r="A73" i="27"/>
  <c r="A72" i="27"/>
  <c r="A71" i="27"/>
  <c r="A83" i="29"/>
  <c r="A82" i="29"/>
  <c r="A88" i="29"/>
  <c r="A86" i="29"/>
  <c r="A89" i="29"/>
  <c r="A87" i="29"/>
  <c r="A85" i="29"/>
  <c r="A84" i="29"/>
  <c r="A81" i="29"/>
  <c r="A156" i="28"/>
  <c r="A154" i="28"/>
  <c r="A165" i="28"/>
  <c r="A164" i="28"/>
  <c r="A153" i="28"/>
  <c r="A163" i="28"/>
  <c r="A161" i="28"/>
  <c r="A160" i="28"/>
  <c r="A158" i="28"/>
  <c r="A162" i="28"/>
  <c r="A159" i="28"/>
  <c r="A157" i="28"/>
  <c r="A155" i="28"/>
  <c r="A128" i="30"/>
  <c r="A129" i="30"/>
  <c r="A127" i="30"/>
  <c r="A126" i="30"/>
  <c r="A123" i="30"/>
  <c r="A122" i="30"/>
  <c r="A121" i="30"/>
  <c r="A132" i="30"/>
  <c r="A119" i="30"/>
  <c r="A131" i="30"/>
  <c r="A124" i="30"/>
  <c r="A120" i="30"/>
  <c r="A118" i="30"/>
  <c r="A133" i="30"/>
  <c r="A130" i="30"/>
  <c r="A125" i="30"/>
  <c r="A186" i="31"/>
  <c r="A180" i="31"/>
  <c r="A179" i="31"/>
  <c r="A190" i="31"/>
  <c r="A177" i="31"/>
  <c r="A188" i="31"/>
  <c r="A176" i="31"/>
  <c r="A187" i="31"/>
  <c r="A185" i="31"/>
  <c r="A183" i="31"/>
  <c r="A191" i="31"/>
  <c r="A189" i="31"/>
  <c r="A184" i="31"/>
  <c r="A182" i="31"/>
  <c r="A181" i="31"/>
  <c r="A178" i="31"/>
  <c r="A92" i="39"/>
  <c r="A90" i="39"/>
  <c r="A89" i="39"/>
  <c r="A99" i="39"/>
  <c r="A87" i="39"/>
  <c r="A98" i="39"/>
  <c r="A96" i="39"/>
  <c r="A97" i="39"/>
  <c r="A95" i="39"/>
  <c r="A94" i="39"/>
  <c r="A93" i="39"/>
  <c r="A91" i="39"/>
  <c r="A88" i="39"/>
  <c r="A86" i="39"/>
  <c r="A100" i="39"/>
  <c r="A143" i="41"/>
  <c r="A141" i="41"/>
  <c r="A140" i="41"/>
  <c r="A146" i="41"/>
  <c r="A145" i="41"/>
  <c r="A144" i="41"/>
  <c r="A142" i="41"/>
  <c r="A120" i="40"/>
  <c r="A128" i="40"/>
  <c r="A116" i="40"/>
  <c r="A117" i="40"/>
  <c r="A129" i="40"/>
  <c r="A115" i="40"/>
  <c r="A127" i="40"/>
  <c r="A123" i="40"/>
  <c r="A118" i="40"/>
  <c r="A130" i="40"/>
  <c r="A126" i="40"/>
  <c r="A125" i="40"/>
  <c r="A124" i="40"/>
  <c r="A121" i="40"/>
  <c r="A122" i="40"/>
  <c r="A119" i="40"/>
  <c r="W128" i="12"/>
  <c r="U132" i="12"/>
  <c r="W132" i="12"/>
  <c r="A43" i="12"/>
  <c r="A42" i="12"/>
  <c r="W125" i="12"/>
  <c r="U131" i="12"/>
  <c r="W131" i="12" s="1"/>
  <c r="A2" i="12"/>
  <c r="Y2" i="12" s="1"/>
  <c r="W126" i="12"/>
  <c r="M130" i="12"/>
  <c r="P130" i="12" s="1"/>
  <c r="W130" i="12" s="1"/>
  <c r="M129" i="12"/>
  <c r="P129" i="12" s="1"/>
  <c r="P135" i="12" s="1"/>
  <c r="W69" i="23"/>
  <c r="A32" i="23"/>
  <c r="A26" i="23"/>
  <c r="W126" i="24"/>
  <c r="W128" i="25"/>
  <c r="W129" i="25"/>
  <c r="W70" i="23"/>
  <c r="W79" i="26"/>
  <c r="W128" i="24"/>
  <c r="A79" i="24"/>
  <c r="A76" i="24"/>
  <c r="A16" i="24"/>
  <c r="A13" i="24"/>
  <c r="A78" i="24"/>
  <c r="A69" i="24"/>
  <c r="A15" i="24"/>
  <c r="A12" i="24"/>
  <c r="A71" i="24"/>
  <c r="A65" i="24"/>
  <c r="A8" i="24"/>
  <c r="A2" i="24"/>
  <c r="Y2" i="24" s="1"/>
  <c r="W130" i="24"/>
  <c r="W74" i="23"/>
  <c r="A54" i="23"/>
  <c r="W125" i="24"/>
  <c r="M75" i="23"/>
  <c r="P75" i="23" s="1"/>
  <c r="W75" i="23" s="1"/>
  <c r="M133" i="24"/>
  <c r="P133" i="24" s="1"/>
  <c r="W133" i="24" s="1"/>
  <c r="P134" i="25"/>
  <c r="W134" i="25" s="1"/>
  <c r="Y69" i="26"/>
  <c r="M73" i="23"/>
  <c r="P73" i="23" s="1"/>
  <c r="W73" i="23" s="1"/>
  <c r="M78" i="23"/>
  <c r="P78" i="23" s="1"/>
  <c r="W78" i="23" s="1"/>
  <c r="M131" i="24"/>
  <c r="P131" i="24" s="1"/>
  <c r="W131" i="24" s="1"/>
  <c r="P125" i="25"/>
  <c r="U76" i="26"/>
  <c r="W76" i="26" s="1"/>
  <c r="U63" i="27"/>
  <c r="U58" i="27"/>
  <c r="U60" i="27"/>
  <c r="U57" i="27"/>
  <c r="W63" i="27"/>
  <c r="U61" i="27"/>
  <c r="P131" i="25"/>
  <c r="W131" i="25" s="1"/>
  <c r="U81" i="26"/>
  <c r="M71" i="23"/>
  <c r="P71" i="23" s="1"/>
  <c r="A55" i="23" s="1"/>
  <c r="M129" i="24"/>
  <c r="P129" i="24" s="1"/>
  <c r="A58" i="24" s="1"/>
  <c r="M134" i="24"/>
  <c r="P134" i="24" s="1"/>
  <c r="W134" i="24" s="1"/>
  <c r="U54" i="27"/>
  <c r="M76" i="23"/>
  <c r="P76" i="23" s="1"/>
  <c r="W76" i="23" s="1"/>
  <c r="U126" i="25"/>
  <c r="W126" i="25" s="1"/>
  <c r="W82" i="26"/>
  <c r="U83" i="26"/>
  <c r="M132" i="24"/>
  <c r="P132" i="24" s="1"/>
  <c r="W132" i="24" s="1"/>
  <c r="W81" i="26"/>
  <c r="W78" i="26"/>
  <c r="W84" i="26"/>
  <c r="M72" i="23"/>
  <c r="P72" i="23" s="1"/>
  <c r="W72" i="23" s="1"/>
  <c r="M133" i="25"/>
  <c r="P133" i="25" s="1"/>
  <c r="W133" i="25" s="1"/>
  <c r="M130" i="25"/>
  <c r="P130" i="25" s="1"/>
  <c r="W130" i="25" s="1"/>
  <c r="M127" i="25"/>
  <c r="P127" i="25" s="1"/>
  <c r="W127" i="25" s="1"/>
  <c r="M55" i="27"/>
  <c r="P55" i="27" s="1"/>
  <c r="W55" i="27" s="1"/>
  <c r="M62" i="27"/>
  <c r="P62" i="27" s="1"/>
  <c r="W62" i="27" s="1"/>
  <c r="M80" i="26"/>
  <c r="P80" i="26" s="1"/>
  <c r="M60" i="27"/>
  <c r="P60" i="27" s="1"/>
  <c r="W60" i="27" s="1"/>
  <c r="M58" i="27"/>
  <c r="P58" i="27" s="1"/>
  <c r="W58" i="27" s="1"/>
  <c r="M141" i="28"/>
  <c r="P141" i="28" s="1"/>
  <c r="W141" i="28" s="1"/>
  <c r="M145" i="28"/>
  <c r="P145" i="28" s="1"/>
  <c r="W145" i="28" s="1"/>
  <c r="M140" i="28"/>
  <c r="P140" i="28" s="1"/>
  <c r="W140" i="28" s="1"/>
  <c r="W71" i="29"/>
  <c r="M83" i="26"/>
  <c r="P83" i="26" s="1"/>
  <c r="A46" i="26" s="1"/>
  <c r="M56" i="27"/>
  <c r="P56" i="27" s="1"/>
  <c r="W56" i="27" s="1"/>
  <c r="M144" i="28"/>
  <c r="P144" i="28" s="1"/>
  <c r="W144" i="28" s="1"/>
  <c r="M54" i="27"/>
  <c r="P54" i="27" s="1"/>
  <c r="M61" i="27"/>
  <c r="P61" i="27" s="1"/>
  <c r="U138" i="28"/>
  <c r="U144" i="28"/>
  <c r="M138" i="28"/>
  <c r="P138" i="28" s="1"/>
  <c r="M59" i="27"/>
  <c r="P59" i="27" s="1"/>
  <c r="W59" i="27" s="1"/>
  <c r="M57" i="27"/>
  <c r="P57" i="27" s="1"/>
  <c r="W57" i="27" s="1"/>
  <c r="M139" i="28"/>
  <c r="P139" i="28" s="1"/>
  <c r="W139" i="28" s="1"/>
  <c r="M142" i="28"/>
  <c r="P142" i="28" s="1"/>
  <c r="W142" i="28" s="1"/>
  <c r="M147" i="28"/>
  <c r="P147" i="28" s="1"/>
  <c r="W147" i="28" s="1"/>
  <c r="U70" i="29"/>
  <c r="U105" i="30"/>
  <c r="W105" i="30" s="1"/>
  <c r="Y19" i="31"/>
  <c r="Y22" i="31"/>
  <c r="Y20" i="31"/>
  <c r="M143" i="28"/>
  <c r="P143" i="28" s="1"/>
  <c r="W143" i="28" s="1"/>
  <c r="U112" i="30"/>
  <c r="U107" i="30"/>
  <c r="U111" i="30"/>
  <c r="W111" i="30" s="1"/>
  <c r="U108" i="30"/>
  <c r="U103" i="30"/>
  <c r="M103" i="30"/>
  <c r="P103" i="30" s="1"/>
  <c r="M110" i="30"/>
  <c r="P110" i="30" s="1"/>
  <c r="W110" i="30" s="1"/>
  <c r="M109" i="30"/>
  <c r="P109" i="30" s="1"/>
  <c r="W109" i="30" s="1"/>
  <c r="M104" i="30"/>
  <c r="P104" i="30" s="1"/>
  <c r="W104" i="30" s="1"/>
  <c r="M106" i="30"/>
  <c r="P106" i="30" s="1"/>
  <c r="W106" i="30" s="1"/>
  <c r="M107" i="30"/>
  <c r="P107" i="30" s="1"/>
  <c r="M112" i="30"/>
  <c r="P112" i="30" s="1"/>
  <c r="W112" i="30" s="1"/>
  <c r="M67" i="29"/>
  <c r="P67" i="29" s="1"/>
  <c r="W67" i="29" s="1"/>
  <c r="M74" i="29"/>
  <c r="P74" i="29" s="1"/>
  <c r="W74" i="29" s="1"/>
  <c r="M68" i="29"/>
  <c r="P68" i="29" s="1"/>
  <c r="W68" i="29" s="1"/>
  <c r="M75" i="29"/>
  <c r="P75" i="29" s="1"/>
  <c r="W75" i="29" s="1"/>
  <c r="M70" i="29"/>
  <c r="P70" i="29" s="1"/>
  <c r="W70" i="29" s="1"/>
  <c r="M146" i="28"/>
  <c r="P146" i="28" s="1"/>
  <c r="W146" i="28" s="1"/>
  <c r="M72" i="29"/>
  <c r="P72" i="29" s="1"/>
  <c r="U69" i="29"/>
  <c r="P108" i="30"/>
  <c r="W108" i="30" s="1"/>
  <c r="M66" i="29"/>
  <c r="P66" i="29" s="1"/>
  <c r="M69" i="29"/>
  <c r="P69" i="29" s="1"/>
  <c r="U104" i="30"/>
  <c r="U72" i="29"/>
  <c r="P163" i="31"/>
  <c r="W163" i="31" s="1"/>
  <c r="P162" i="31"/>
  <c r="W162" i="31" s="1"/>
  <c r="U164" i="31"/>
  <c r="M167" i="31"/>
  <c r="P167" i="31" s="1"/>
  <c r="W167" i="31" s="1"/>
  <c r="M165" i="31"/>
  <c r="P165" i="31" s="1"/>
  <c r="W165" i="31" s="1"/>
  <c r="M169" i="31"/>
  <c r="P169" i="31" s="1"/>
  <c r="W169" i="31" s="1"/>
  <c r="M170" i="31"/>
  <c r="P170" i="31" s="1"/>
  <c r="W170" i="31" s="1"/>
  <c r="M166" i="31"/>
  <c r="P166" i="31" s="1"/>
  <c r="W166" i="31" s="1"/>
  <c r="M168" i="31"/>
  <c r="P168" i="31" s="1"/>
  <c r="W168" i="31" s="1"/>
  <c r="M161" i="31"/>
  <c r="P161" i="31" s="1"/>
  <c r="M164" i="31"/>
  <c r="P164" i="31" s="1"/>
  <c r="W164" i="31" s="1"/>
  <c r="U76" i="39"/>
  <c r="U79" i="39"/>
  <c r="U72" i="39"/>
  <c r="M73" i="39"/>
  <c r="P73" i="39" s="1"/>
  <c r="W73" i="39" s="1"/>
  <c r="M77" i="39"/>
  <c r="P77" i="39" s="1"/>
  <c r="W77" i="39" s="1"/>
  <c r="M79" i="39"/>
  <c r="P79" i="39" s="1"/>
  <c r="W79" i="39" s="1"/>
  <c r="M72" i="39"/>
  <c r="P72" i="39" s="1"/>
  <c r="M76" i="39"/>
  <c r="P76" i="39" s="1"/>
  <c r="W76" i="39" s="1"/>
  <c r="U74" i="39"/>
  <c r="M78" i="39"/>
  <c r="P78" i="39" s="1"/>
  <c r="W78" i="39" s="1"/>
  <c r="M74" i="39"/>
  <c r="P74" i="39" s="1"/>
  <c r="W74" i="39" s="1"/>
  <c r="U71" i="39"/>
  <c r="P105" i="40"/>
  <c r="W105" i="40" s="1"/>
  <c r="M71" i="39"/>
  <c r="P71" i="39" s="1"/>
  <c r="P107" i="40"/>
  <c r="W107" i="40" s="1"/>
  <c r="U100" i="40"/>
  <c r="W100" i="40" s="1"/>
  <c r="U134" i="41"/>
  <c r="U130" i="41"/>
  <c r="U126" i="41"/>
  <c r="U132" i="41"/>
  <c r="U128" i="41"/>
  <c r="M131" i="41"/>
  <c r="P131" i="41" s="1"/>
  <c r="M133" i="41"/>
  <c r="P133" i="41" s="1"/>
  <c r="M125" i="41"/>
  <c r="P125" i="41" s="1"/>
  <c r="M127" i="41"/>
  <c r="P127" i="41" s="1"/>
  <c r="M134" i="41"/>
  <c r="P134" i="41" s="1"/>
  <c r="W134" i="41" s="1"/>
  <c r="M130" i="41"/>
  <c r="P130" i="41" s="1"/>
  <c r="W130" i="41" s="1"/>
  <c r="M126" i="41"/>
  <c r="P126" i="41" s="1"/>
  <c r="M129" i="41"/>
  <c r="P129" i="41" s="1"/>
  <c r="M132" i="41"/>
  <c r="P132" i="41" s="1"/>
  <c r="U131" i="41"/>
  <c r="P101" i="40"/>
  <c r="A47" i="40" s="1"/>
  <c r="M128" i="41"/>
  <c r="P128" i="41" s="1"/>
  <c r="U125" i="41"/>
  <c r="M103" i="40"/>
  <c r="P103" i="40" s="1"/>
  <c r="W103" i="40" s="1"/>
  <c r="M106" i="40"/>
  <c r="P106" i="40" s="1"/>
  <c r="W106" i="40" s="1"/>
  <c r="U129" i="41"/>
  <c r="U133" i="41"/>
  <c r="U127" i="41"/>
  <c r="M109" i="40"/>
  <c r="P109" i="40" s="1"/>
  <c r="W109" i="40" s="1"/>
  <c r="M104" i="40"/>
  <c r="P104" i="40" s="1"/>
  <c r="W104" i="40" s="1"/>
  <c r="M108" i="40"/>
  <c r="P108" i="40" s="1"/>
  <c r="W108" i="40" s="1"/>
  <c r="M102" i="40"/>
  <c r="P102" i="40" s="1"/>
  <c r="W102" i="40" s="1"/>
  <c r="P135" i="41" l="1"/>
  <c r="A119" i="41"/>
  <c r="A116" i="41"/>
  <c r="A113" i="41"/>
  <c r="A110" i="41"/>
  <c r="A107" i="41"/>
  <c r="A104" i="41"/>
  <c r="A101" i="41"/>
  <c r="A98" i="41"/>
  <c r="A95" i="41"/>
  <c r="A92" i="41"/>
  <c r="A89" i="41"/>
  <c r="A86" i="41"/>
  <c r="A83" i="41"/>
  <c r="A80" i="41"/>
  <c r="A77" i="41"/>
  <c r="A74" i="41"/>
  <c r="A71" i="41"/>
  <c r="A68" i="41"/>
  <c r="A65" i="41"/>
  <c r="A62" i="41"/>
  <c r="A59" i="41"/>
  <c r="A56" i="41"/>
  <c r="A53" i="41"/>
  <c r="A50" i="41"/>
  <c r="A47" i="41"/>
  <c r="A44" i="41"/>
  <c r="A41" i="41"/>
  <c r="A38" i="41"/>
  <c r="A35" i="41"/>
  <c r="A32" i="41"/>
  <c r="A29" i="41"/>
  <c r="A26" i="41"/>
  <c r="A23" i="41"/>
  <c r="A20" i="41"/>
  <c r="A17" i="41"/>
  <c r="A14" i="41"/>
  <c r="A11" i="41"/>
  <c r="A8" i="41"/>
  <c r="W125" i="41"/>
  <c r="A118" i="41"/>
  <c r="A115" i="41"/>
  <c r="A112" i="41"/>
  <c r="A109" i="41"/>
  <c r="A106" i="41"/>
  <c r="A103" i="41"/>
  <c r="A100" i="41"/>
  <c r="A97" i="41"/>
  <c r="A94" i="41"/>
  <c r="A91" i="41"/>
  <c r="A88" i="41"/>
  <c r="A85" i="41"/>
  <c r="A82" i="41"/>
  <c r="A79" i="41"/>
  <c r="A76" i="41"/>
  <c r="A73" i="41"/>
  <c r="A70" i="41"/>
  <c r="A67" i="41"/>
  <c r="A64" i="41"/>
  <c r="A61" i="41"/>
  <c r="A58" i="41"/>
  <c r="A55" i="41"/>
  <c r="A52" i="41"/>
  <c r="A49" i="41"/>
  <c r="A46" i="41"/>
  <c r="A43" i="41"/>
  <c r="A40" i="41"/>
  <c r="A37" i="41"/>
  <c r="A34" i="41"/>
  <c r="A31" i="41"/>
  <c r="A28" i="41"/>
  <c r="A25" i="41"/>
  <c r="A22" i="41"/>
  <c r="A3" i="41"/>
  <c r="Y3" i="41" s="1"/>
  <c r="AC3" i="41" s="1"/>
  <c r="A108" i="41"/>
  <c r="A99" i="41"/>
  <c r="A15" i="41"/>
  <c r="A7" i="41"/>
  <c r="A90" i="41"/>
  <c r="A78" i="41"/>
  <c r="A66" i="41"/>
  <c r="A54" i="41"/>
  <c r="A42" i="41"/>
  <c r="A30" i="41"/>
  <c r="A117" i="41"/>
  <c r="A18" i="41"/>
  <c r="A6" i="41"/>
  <c r="A2" i="41"/>
  <c r="Y2" i="41" s="1"/>
  <c r="A111" i="41"/>
  <c r="A102" i="41"/>
  <c r="A93" i="41"/>
  <c r="A81" i="41"/>
  <c r="A69" i="41"/>
  <c r="A57" i="41"/>
  <c r="A45" i="41"/>
  <c r="A33" i="41"/>
  <c r="A21" i="41"/>
  <c r="A10" i="41"/>
  <c r="A13" i="41"/>
  <c r="A84" i="41"/>
  <c r="A72" i="41"/>
  <c r="A60" i="41"/>
  <c r="A48" i="41"/>
  <c r="A36" i="41"/>
  <c r="A24" i="41"/>
  <c r="A5" i="41"/>
  <c r="A105" i="41"/>
  <c r="A96" i="41"/>
  <c r="A114" i="41"/>
  <c r="A4" i="41"/>
  <c r="Y4" i="41" s="1"/>
  <c r="AC4" i="41" s="1"/>
  <c r="A39" i="41"/>
  <c r="A12" i="41"/>
  <c r="A27" i="41"/>
  <c r="A16" i="41"/>
  <c r="A19" i="41"/>
  <c r="A9" i="41"/>
  <c r="A87" i="41"/>
  <c r="A75" i="41"/>
  <c r="A63" i="41"/>
  <c r="A51" i="41"/>
  <c r="A67" i="40"/>
  <c r="A22" i="40"/>
  <c r="A46" i="40"/>
  <c r="A85" i="40"/>
  <c r="W133" i="41"/>
  <c r="A4" i="40"/>
  <c r="Y4" i="40" s="1"/>
  <c r="AC4" i="40" s="1"/>
  <c r="A50" i="40"/>
  <c r="A20" i="26"/>
  <c r="W131" i="41"/>
  <c r="A9" i="40"/>
  <c r="A7" i="40"/>
  <c r="A33" i="40"/>
  <c r="W54" i="27"/>
  <c r="A47" i="27"/>
  <c r="A44" i="27"/>
  <c r="A41" i="27"/>
  <c r="A38" i="27"/>
  <c r="A35" i="27"/>
  <c r="A32" i="27"/>
  <c r="A29" i="27"/>
  <c r="A26" i="27"/>
  <c r="A23" i="27"/>
  <c r="A20" i="27"/>
  <c r="A17" i="27"/>
  <c r="A14" i="27"/>
  <c r="A11" i="27"/>
  <c r="A8" i="27"/>
  <c r="A5" i="27"/>
  <c r="A2" i="27"/>
  <c r="Y2" i="27" s="1"/>
  <c r="P64" i="27"/>
  <c r="A48" i="27"/>
  <c r="A45" i="27"/>
  <c r="A42" i="27"/>
  <c r="A39" i="27"/>
  <c r="A36" i="27"/>
  <c r="A33" i="27"/>
  <c r="A30" i="27"/>
  <c r="A27" i="27"/>
  <c r="A24" i="27"/>
  <c r="A21" i="27"/>
  <c r="A18" i="27"/>
  <c r="A15" i="27"/>
  <c r="A12" i="27"/>
  <c r="A9" i="27"/>
  <c r="A6" i="27"/>
  <c r="A3" i="27"/>
  <c r="Y3" i="27" s="1"/>
  <c r="AC3" i="27" s="1"/>
  <c r="A43" i="27"/>
  <c r="A34" i="27"/>
  <c r="A10" i="27"/>
  <c r="A28" i="27"/>
  <c r="A19" i="27"/>
  <c r="A46" i="27"/>
  <c r="A37" i="27"/>
  <c r="A4" i="27"/>
  <c r="Y4" i="27" s="1"/>
  <c r="AC4" i="27" s="1"/>
  <c r="A13" i="27"/>
  <c r="A22" i="27"/>
  <c r="A40" i="27"/>
  <c r="A31" i="27"/>
  <c r="A7" i="27"/>
  <c r="A16" i="27"/>
  <c r="A25" i="27"/>
  <c r="A65" i="26"/>
  <c r="A10" i="40"/>
  <c r="A66" i="40"/>
  <c r="A79" i="40"/>
  <c r="A73" i="40"/>
  <c r="A16" i="40"/>
  <c r="A82" i="40"/>
  <c r="A59" i="40"/>
  <c r="A19" i="40"/>
  <c r="A94" i="40"/>
  <c r="W132" i="41"/>
  <c r="A78" i="40"/>
  <c r="A41" i="40"/>
  <c r="A32" i="40"/>
  <c r="A86" i="40"/>
  <c r="A25" i="26"/>
  <c r="W129" i="41"/>
  <c r="A52" i="40"/>
  <c r="A53" i="40"/>
  <c r="A90" i="40"/>
  <c r="W83" i="26"/>
  <c r="A6" i="26"/>
  <c r="A21" i="26"/>
  <c r="A42" i="26"/>
  <c r="A51" i="26"/>
  <c r="A49" i="26"/>
  <c r="A4" i="26"/>
  <c r="Y4" i="26" s="1"/>
  <c r="AC4" i="26" s="1"/>
  <c r="A23" i="26"/>
  <c r="A69" i="26"/>
  <c r="W128" i="41"/>
  <c r="W126" i="41"/>
  <c r="A5" i="40"/>
  <c r="A56" i="40"/>
  <c r="A69" i="40"/>
  <c r="AC2" i="24"/>
  <c r="W101" i="40"/>
  <c r="W110" i="40" s="1"/>
  <c r="A31" i="40"/>
  <c r="A21" i="40"/>
  <c r="A17" i="40"/>
  <c r="A25" i="40"/>
  <c r="A20" i="40"/>
  <c r="A12" i="40"/>
  <c r="A45" i="40"/>
  <c r="A30" i="40"/>
  <c r="A8" i="40"/>
  <c r="A44" i="40"/>
  <c r="A39" i="40"/>
  <c r="A34" i="40"/>
  <c r="A29" i="40"/>
  <c r="A24" i="40"/>
  <c r="A15" i="40"/>
  <c r="A3" i="40"/>
  <c r="Y3" i="40" s="1"/>
  <c r="AC3" i="40" s="1"/>
  <c r="A91" i="40"/>
  <c r="A77" i="40"/>
  <c r="A11" i="40"/>
  <c r="A71" i="40"/>
  <c r="A63" i="40"/>
  <c r="A55" i="40"/>
  <c r="A38" i="40"/>
  <c r="A18" i="40"/>
  <c r="A83" i="40"/>
  <c r="A48" i="40"/>
  <c r="A43" i="40"/>
  <c r="A75" i="40"/>
  <c r="A14" i="40"/>
  <c r="A6" i="40"/>
  <c r="A2" i="40"/>
  <c r="Y2" i="40" s="1"/>
  <c r="A37" i="40"/>
  <c r="A80" i="40"/>
  <c r="A62" i="40"/>
  <c r="A65" i="40"/>
  <c r="A76" i="40"/>
  <c r="A28" i="40"/>
  <c r="A70" i="40"/>
  <c r="A58" i="40"/>
  <c r="A61" i="40"/>
  <c r="A49" i="40"/>
  <c r="A51" i="40"/>
  <c r="A54" i="40"/>
  <c r="A57" i="40"/>
  <c r="A35" i="40"/>
  <c r="A40" i="40"/>
  <c r="A23" i="40"/>
  <c r="A42" i="40"/>
  <c r="A88" i="40"/>
  <c r="A27" i="40"/>
  <c r="A72" i="40"/>
  <c r="P110" i="40"/>
  <c r="A26" i="40"/>
  <c r="A13" i="40"/>
  <c r="A60" i="40"/>
  <c r="A87" i="40"/>
  <c r="A64" i="40"/>
  <c r="A93" i="40"/>
  <c r="W72" i="39"/>
  <c r="A92" i="40"/>
  <c r="A89" i="40"/>
  <c r="A68" i="40"/>
  <c r="W127" i="41"/>
  <c r="A65" i="39"/>
  <c r="A62" i="39"/>
  <c r="A59" i="39"/>
  <c r="A56" i="39"/>
  <c r="A53" i="39"/>
  <c r="A50" i="39"/>
  <c r="A47" i="39"/>
  <c r="A44" i="39"/>
  <c r="A41" i="39"/>
  <c r="A38" i="39"/>
  <c r="A35" i="39"/>
  <c r="A32" i="39"/>
  <c r="A29" i="39"/>
  <c r="A26" i="39"/>
  <c r="A23" i="39"/>
  <c r="A20" i="39"/>
  <c r="A17" i="39"/>
  <c r="A14" i="39"/>
  <c r="A11" i="39"/>
  <c r="A8" i="39"/>
  <c r="A5" i="39"/>
  <c r="A2" i="39"/>
  <c r="Y2" i="39" s="1"/>
  <c r="A52" i="39"/>
  <c r="A18" i="39"/>
  <c r="A63" i="39"/>
  <c r="A48" i="39"/>
  <c r="A40" i="39"/>
  <c r="A33" i="39"/>
  <c r="A25" i="39"/>
  <c r="A7" i="39"/>
  <c r="A55" i="39"/>
  <c r="A43" i="39"/>
  <c r="A36" i="39"/>
  <c r="A21" i="39"/>
  <c r="A10" i="39"/>
  <c r="A3" i="39"/>
  <c r="Y3" i="39" s="1"/>
  <c r="AC3" i="39" s="1"/>
  <c r="A51" i="39"/>
  <c r="A28" i="39"/>
  <c r="A58" i="39"/>
  <c r="A39" i="39"/>
  <c r="A24" i="39"/>
  <c r="A13" i="39"/>
  <c r="A6" i="39"/>
  <c r="A46" i="39"/>
  <c r="A31" i="39"/>
  <c r="A16" i="39"/>
  <c r="P81" i="39"/>
  <c r="A61" i="39"/>
  <c r="A54" i="39"/>
  <c r="A42" i="39"/>
  <c r="A9" i="39"/>
  <c r="A27" i="39"/>
  <c r="A19" i="39"/>
  <c r="A64" i="39"/>
  <c r="A57" i="39"/>
  <c r="A49" i="39"/>
  <c r="A34" i="39"/>
  <c r="A12" i="39"/>
  <c r="W71" i="39"/>
  <c r="A45" i="39"/>
  <c r="A30" i="39"/>
  <c r="A15" i="39"/>
  <c r="A37" i="39"/>
  <c r="A60" i="39"/>
  <c r="A4" i="39"/>
  <c r="Y4" i="39" s="1"/>
  <c r="AC4" i="39" s="1"/>
  <c r="A22" i="39"/>
  <c r="A74" i="40"/>
  <c r="A84" i="40"/>
  <c r="A36" i="40"/>
  <c r="A81" i="40"/>
  <c r="A117" i="25"/>
  <c r="A114" i="25"/>
  <c r="A111" i="25"/>
  <c r="A108" i="25"/>
  <c r="A105" i="25"/>
  <c r="A102" i="25"/>
  <c r="A99" i="25"/>
  <c r="A96" i="25"/>
  <c r="A93" i="25"/>
  <c r="A90" i="25"/>
  <c r="A87" i="25"/>
  <c r="A84" i="25"/>
  <c r="A81" i="25"/>
  <c r="A78" i="25"/>
  <c r="A75" i="25"/>
  <c r="A72" i="25"/>
  <c r="A69" i="25"/>
  <c r="A66" i="25"/>
  <c r="A63" i="25"/>
  <c r="A118" i="25"/>
  <c r="A115" i="25"/>
  <c r="A112" i="25"/>
  <c r="A109" i="25"/>
  <c r="A106" i="25"/>
  <c r="A103" i="25"/>
  <c r="A92" i="25"/>
  <c r="A79" i="25"/>
  <c r="A116" i="25"/>
  <c r="A95" i="25"/>
  <c r="A82" i="25"/>
  <c r="A98" i="25"/>
  <c r="A85" i="25"/>
  <c r="A62" i="25"/>
  <c r="A59" i="25"/>
  <c r="A56" i="25"/>
  <c r="A53" i="25"/>
  <c r="A50" i="25"/>
  <c r="A47" i="25"/>
  <c r="A44" i="25"/>
  <c r="A41" i="25"/>
  <c r="A38" i="25"/>
  <c r="A35" i="25"/>
  <c r="A32" i="25"/>
  <c r="A29" i="25"/>
  <c r="A26" i="25"/>
  <c r="A23" i="25"/>
  <c r="A20" i="25"/>
  <c r="A17" i="25"/>
  <c r="A14" i="25"/>
  <c r="A11" i="25"/>
  <c r="A8" i="25"/>
  <c r="A5" i="25"/>
  <c r="A2" i="25"/>
  <c r="Y2" i="25" s="1"/>
  <c r="A119" i="25"/>
  <c r="A101" i="25"/>
  <c r="A88" i="25"/>
  <c r="A65" i="25"/>
  <c r="A91" i="25"/>
  <c r="A68" i="25"/>
  <c r="A104" i="25"/>
  <c r="A94" i="25"/>
  <c r="A71" i="25"/>
  <c r="W125" i="25"/>
  <c r="W135" i="25" s="1"/>
  <c r="A97" i="25"/>
  <c r="A74" i="25"/>
  <c r="A61" i="25"/>
  <c r="A58" i="25"/>
  <c r="A55" i="25"/>
  <c r="A52" i="25"/>
  <c r="A49" i="25"/>
  <c r="A46" i="25"/>
  <c r="A43" i="25"/>
  <c r="A40" i="25"/>
  <c r="A37" i="25"/>
  <c r="A34" i="25"/>
  <c r="A31" i="25"/>
  <c r="A28" i="25"/>
  <c r="A25" i="25"/>
  <c r="A22" i="25"/>
  <c r="A19" i="25"/>
  <c r="A16" i="25"/>
  <c r="A13" i="25"/>
  <c r="A10" i="25"/>
  <c r="A7" i="25"/>
  <c r="A4" i="25"/>
  <c r="Y4" i="25" s="1"/>
  <c r="AC4" i="25" s="1"/>
  <c r="P135" i="25"/>
  <c r="A107" i="25"/>
  <c r="A100" i="25"/>
  <c r="A77" i="25"/>
  <c r="A64" i="25"/>
  <c r="A80" i="25"/>
  <c r="A67" i="25"/>
  <c r="A110" i="25"/>
  <c r="A83" i="25"/>
  <c r="A70" i="25"/>
  <c r="A86" i="25"/>
  <c r="A73" i="25"/>
  <c r="A60" i="25"/>
  <c r="A57" i="25"/>
  <c r="A54" i="25"/>
  <c r="A51" i="25"/>
  <c r="A48" i="25"/>
  <c r="A45" i="25"/>
  <c r="A42" i="25"/>
  <c r="A39" i="25"/>
  <c r="A36" i="25"/>
  <c r="A33" i="25"/>
  <c r="A30" i="25"/>
  <c r="A27" i="25"/>
  <c r="A24" i="25"/>
  <c r="A21" i="25"/>
  <c r="A18" i="25"/>
  <c r="A15" i="25"/>
  <c r="A12" i="25"/>
  <c r="A9" i="25"/>
  <c r="A6" i="25"/>
  <c r="A3" i="25"/>
  <c r="Y3" i="25" s="1"/>
  <c r="AC3" i="25" s="1"/>
  <c r="A113" i="25"/>
  <c r="A89" i="25"/>
  <c r="A76" i="25"/>
  <c r="A26" i="26"/>
  <c r="A7" i="26"/>
  <c r="A58" i="26"/>
  <c r="A17" i="24"/>
  <c r="A74" i="24"/>
  <c r="A18" i="24"/>
  <c r="A84" i="24"/>
  <c r="A22" i="24"/>
  <c r="A85" i="24"/>
  <c r="A62" i="23"/>
  <c r="A106" i="31"/>
  <c r="A103" i="31"/>
  <c r="A100" i="31"/>
  <c r="A97" i="31"/>
  <c r="A94" i="31"/>
  <c r="A85" i="31"/>
  <c r="A82" i="31"/>
  <c r="A79" i="31"/>
  <c r="A75" i="31"/>
  <c r="A64" i="31"/>
  <c r="A155" i="31"/>
  <c r="A144" i="31"/>
  <c r="A141" i="31"/>
  <c r="A138" i="31"/>
  <c r="A135" i="31"/>
  <c r="A132" i="31"/>
  <c r="A129" i="31"/>
  <c r="W161" i="31"/>
  <c r="W171" i="31" s="1"/>
  <c r="A121" i="31"/>
  <c r="A118" i="31"/>
  <c r="A115" i="31"/>
  <c r="A112" i="31"/>
  <c r="A109" i="31"/>
  <c r="P171" i="31"/>
  <c r="A127" i="31"/>
  <c r="A124" i="31"/>
  <c r="A91" i="31"/>
  <c r="A88" i="31"/>
  <c r="A72" i="31"/>
  <c r="A18" i="31"/>
  <c r="A15" i="31"/>
  <c r="Y15" i="31" s="1"/>
  <c r="AC15" i="31" s="1"/>
  <c r="A12" i="31"/>
  <c r="Y12" i="31" s="1"/>
  <c r="AC12" i="31" s="1"/>
  <c r="A9" i="31"/>
  <c r="Y9" i="31" s="1"/>
  <c r="AC9" i="31" s="1"/>
  <c r="A6" i="31"/>
  <c r="A3" i="31"/>
  <c r="Y3" i="31" s="1"/>
  <c r="AC3" i="31" s="1"/>
  <c r="A123" i="31"/>
  <c r="A120" i="31"/>
  <c r="A117" i="31"/>
  <c r="A114" i="31"/>
  <c r="A111" i="31"/>
  <c r="A145" i="31"/>
  <c r="A142" i="31"/>
  <c r="A139" i="31"/>
  <c r="A136" i="31"/>
  <c r="A133" i="31"/>
  <c r="A130" i="31"/>
  <c r="A154" i="31"/>
  <c r="A137" i="31"/>
  <c r="A107" i="31"/>
  <c r="A92" i="31"/>
  <c r="A67" i="31"/>
  <c r="A61" i="31"/>
  <c r="A48" i="31"/>
  <c r="A44" i="31"/>
  <c r="A40" i="31"/>
  <c r="A36" i="31"/>
  <c r="A32" i="31"/>
  <c r="A28" i="31"/>
  <c r="A24" i="31"/>
  <c r="A20" i="31"/>
  <c r="A10" i="31"/>
  <c r="Y10" i="31" s="1"/>
  <c r="AC10" i="31" s="1"/>
  <c r="A96" i="31"/>
  <c r="A73" i="31"/>
  <c r="A52" i="31"/>
  <c r="A13" i="31"/>
  <c r="A122" i="31"/>
  <c r="A87" i="31"/>
  <c r="A66" i="31"/>
  <c r="A56" i="31"/>
  <c r="A16" i="31"/>
  <c r="Y16" i="31" s="1"/>
  <c r="AC16" i="31" s="1"/>
  <c r="A140" i="31"/>
  <c r="A131" i="31"/>
  <c r="A95" i="31"/>
  <c r="A90" i="31"/>
  <c r="A126" i="31"/>
  <c r="A110" i="31"/>
  <c r="A102" i="31"/>
  <c r="A81" i="31"/>
  <c r="A71" i="31"/>
  <c r="A55" i="31"/>
  <c r="A2" i="31"/>
  <c r="Y2" i="31" s="1"/>
  <c r="A98" i="31"/>
  <c r="A77" i="31"/>
  <c r="A59" i="31"/>
  <c r="A46" i="31"/>
  <c r="A42" i="31"/>
  <c r="A38" i="31"/>
  <c r="A34" i="31"/>
  <c r="A30" i="31"/>
  <c r="A26" i="31"/>
  <c r="A22" i="31"/>
  <c r="A5" i="31"/>
  <c r="Y5" i="31" s="1"/>
  <c r="AC5" i="31" s="1"/>
  <c r="A113" i="31"/>
  <c r="A105" i="31"/>
  <c r="A89" i="31"/>
  <c r="A84" i="31"/>
  <c r="A70" i="31"/>
  <c r="A63" i="31"/>
  <c r="A50" i="31"/>
  <c r="A8" i="31"/>
  <c r="Y8" i="31" s="1"/>
  <c r="AC8" i="31" s="1"/>
  <c r="A143" i="31"/>
  <c r="A134" i="31"/>
  <c r="A116" i="31"/>
  <c r="A108" i="31"/>
  <c r="A58" i="31"/>
  <c r="A49" i="31"/>
  <c r="A45" i="31"/>
  <c r="A41" i="31"/>
  <c r="A37" i="31"/>
  <c r="A33" i="31"/>
  <c r="A29" i="31"/>
  <c r="A25" i="31"/>
  <c r="A21" i="31"/>
  <c r="A14" i="31"/>
  <c r="A128" i="31"/>
  <c r="A104" i="31"/>
  <c r="A83" i="31"/>
  <c r="A68" i="31"/>
  <c r="A62" i="31"/>
  <c r="A53" i="31"/>
  <c r="A17" i="31"/>
  <c r="A4" i="31"/>
  <c r="Y4" i="31" s="1"/>
  <c r="AC4" i="31" s="1"/>
  <c r="A76" i="31"/>
  <c r="A60" i="31"/>
  <c r="A74" i="31"/>
  <c r="A31" i="31"/>
  <c r="A51" i="31"/>
  <c r="A23" i="31"/>
  <c r="A11" i="31"/>
  <c r="Y11" i="31" s="1"/>
  <c r="AC11" i="31" s="1"/>
  <c r="A99" i="31"/>
  <c r="A86" i="31"/>
  <c r="A80" i="31"/>
  <c r="A69" i="31"/>
  <c r="A43" i="31"/>
  <c r="A93" i="31"/>
  <c r="A57" i="31"/>
  <c r="A35" i="31"/>
  <c r="A65" i="31"/>
  <c r="A27" i="31"/>
  <c r="A78" i="31"/>
  <c r="A47" i="31"/>
  <c r="A119" i="31"/>
  <c r="A54" i="31"/>
  <c r="A19" i="31"/>
  <c r="A7" i="31"/>
  <c r="A125" i="31"/>
  <c r="A39" i="31"/>
  <c r="A101" i="31"/>
  <c r="A29" i="26"/>
  <c r="A10" i="26"/>
  <c r="A61" i="26"/>
  <c r="A23" i="24"/>
  <c r="A80" i="24"/>
  <c r="A24" i="24"/>
  <c r="A87" i="24"/>
  <c r="A31" i="24"/>
  <c r="A88" i="24"/>
  <c r="W107" i="30"/>
  <c r="A35" i="26"/>
  <c r="A13" i="26"/>
  <c r="A64" i="26"/>
  <c r="A26" i="24"/>
  <c r="A89" i="24"/>
  <c r="A27" i="24"/>
  <c r="A90" i="24"/>
  <c r="A37" i="24"/>
  <c r="A94" i="24"/>
  <c r="AC2" i="12"/>
  <c r="A9" i="26"/>
  <c r="A38" i="26"/>
  <c r="A22" i="26"/>
  <c r="A67" i="26"/>
  <c r="A29" i="24"/>
  <c r="A95" i="24"/>
  <c r="A33" i="24"/>
  <c r="A96" i="24"/>
  <c r="A40" i="24"/>
  <c r="A103" i="24"/>
  <c r="A63" i="26"/>
  <c r="A41" i="26"/>
  <c r="A35" i="24"/>
  <c r="A98" i="24"/>
  <c r="A42" i="24"/>
  <c r="A99" i="24"/>
  <c r="A43" i="24"/>
  <c r="A109" i="24"/>
  <c r="W69" i="29"/>
  <c r="W80" i="26"/>
  <c r="W85" i="26" s="1"/>
  <c r="A66" i="26"/>
  <c r="A39" i="26"/>
  <c r="A57" i="26"/>
  <c r="A45" i="26"/>
  <c r="A24" i="26"/>
  <c r="A12" i="26"/>
  <c r="A55" i="26"/>
  <c r="A19" i="26"/>
  <c r="A50" i="26"/>
  <c r="A14" i="26"/>
  <c r="A60" i="26"/>
  <c r="A3" i="26"/>
  <c r="Y3" i="26" s="1"/>
  <c r="AC3" i="26" s="1"/>
  <c r="A52" i="26"/>
  <c r="A16" i="26"/>
  <c r="A47" i="26"/>
  <c r="A11" i="26"/>
  <c r="A15" i="26"/>
  <c r="A48" i="26"/>
  <c r="A27" i="26"/>
  <c r="A37" i="26"/>
  <c r="A68" i="26"/>
  <c r="A32" i="26"/>
  <c r="A33" i="26"/>
  <c r="P85" i="26"/>
  <c r="A44" i="26"/>
  <c r="A28" i="26"/>
  <c r="A38" i="24"/>
  <c r="A101" i="24"/>
  <c r="A48" i="24"/>
  <c r="A105" i="24"/>
  <c r="A49" i="24"/>
  <c r="A115" i="24"/>
  <c r="A63" i="23"/>
  <c r="A54" i="26"/>
  <c r="A60" i="29"/>
  <c r="A57" i="29"/>
  <c r="A54" i="29"/>
  <c r="A51" i="29"/>
  <c r="A48" i="29"/>
  <c r="A45" i="29"/>
  <c r="A42" i="29"/>
  <c r="A39" i="29"/>
  <c r="A36" i="29"/>
  <c r="A33" i="29"/>
  <c r="A30" i="29"/>
  <c r="A26" i="29"/>
  <c r="A23" i="29"/>
  <c r="A20" i="29"/>
  <c r="A17" i="29"/>
  <c r="A58" i="29"/>
  <c r="A55" i="29"/>
  <c r="A52" i="29"/>
  <c r="A49" i="29"/>
  <c r="A41" i="29"/>
  <c r="A27" i="29"/>
  <c r="A14" i="29"/>
  <c r="A11" i="29"/>
  <c r="A8" i="29"/>
  <c r="A5" i="29"/>
  <c r="A2" i="29"/>
  <c r="Y2" i="29" s="1"/>
  <c r="P76" i="29"/>
  <c r="A47" i="29"/>
  <c r="A34" i="29"/>
  <c r="A37" i="29"/>
  <c r="A50" i="29"/>
  <c r="A40" i="29"/>
  <c r="A16" i="29"/>
  <c r="A13" i="29"/>
  <c r="A10" i="29"/>
  <c r="A7" i="29"/>
  <c r="A4" i="29"/>
  <c r="Y4" i="29" s="1"/>
  <c r="AC4" i="29" s="1"/>
  <c r="A43" i="29"/>
  <c r="A19" i="29"/>
  <c r="A25" i="29"/>
  <c r="A56" i="29"/>
  <c r="A28" i="29"/>
  <c r="A15" i="29"/>
  <c r="A12" i="29"/>
  <c r="A9" i="29"/>
  <c r="A6" i="29"/>
  <c r="A3" i="29"/>
  <c r="Y3" i="29" s="1"/>
  <c r="AC3" i="29" s="1"/>
  <c r="W66" i="29"/>
  <c r="A59" i="29"/>
  <c r="A35" i="29"/>
  <c r="A21" i="29"/>
  <c r="A38" i="29"/>
  <c r="A32" i="29"/>
  <c r="A22" i="29"/>
  <c r="A46" i="29"/>
  <c r="A31" i="29"/>
  <c r="A24" i="29"/>
  <c r="A44" i="29"/>
  <c r="A53" i="29"/>
  <c r="A18" i="29"/>
  <c r="A132" i="28"/>
  <c r="A129" i="28"/>
  <c r="A126" i="28"/>
  <c r="A123" i="28"/>
  <c r="A120" i="28"/>
  <c r="A117" i="28"/>
  <c r="A114" i="28"/>
  <c r="A111" i="28"/>
  <c r="A108" i="28"/>
  <c r="A105" i="28"/>
  <c r="A102" i="28"/>
  <c r="A99" i="28"/>
  <c r="A96" i="28"/>
  <c r="A93" i="28"/>
  <c r="A90" i="28"/>
  <c r="A87" i="28"/>
  <c r="A84" i="28"/>
  <c r="A81" i="28"/>
  <c r="A78" i="28"/>
  <c r="A75" i="28"/>
  <c r="A72" i="28"/>
  <c r="A69" i="28"/>
  <c r="A66" i="28"/>
  <c r="A63" i="28"/>
  <c r="A60" i="28"/>
  <c r="A57" i="28"/>
  <c r="A54" i="28"/>
  <c r="A51" i="28"/>
  <c r="A48" i="28"/>
  <c r="A45" i="28"/>
  <c r="A42" i="28"/>
  <c r="A39" i="28"/>
  <c r="A36" i="28"/>
  <c r="A33" i="28"/>
  <c r="A30" i="28"/>
  <c r="A27" i="28"/>
  <c r="A24" i="28"/>
  <c r="A21" i="28"/>
  <c r="A18" i="28"/>
  <c r="A15" i="28"/>
  <c r="A12" i="28"/>
  <c r="A9" i="28"/>
  <c r="A6" i="28"/>
  <c r="A3" i="28"/>
  <c r="Y3" i="28" s="1"/>
  <c r="AC3" i="28" s="1"/>
  <c r="W138" i="28"/>
  <c r="W148" i="28" s="1"/>
  <c r="A130" i="28"/>
  <c r="A127" i="28"/>
  <c r="A124" i="28"/>
  <c r="A121" i="28"/>
  <c r="A118" i="28"/>
  <c r="A115" i="28"/>
  <c r="A112" i="28"/>
  <c r="A109" i="28"/>
  <c r="A106" i="28"/>
  <c r="A103" i="28"/>
  <c r="A100" i="28"/>
  <c r="A97" i="28"/>
  <c r="A94" i="28"/>
  <c r="A91" i="28"/>
  <c r="A88" i="28"/>
  <c r="A85" i="28"/>
  <c r="A82" i="28"/>
  <c r="A79" i="28"/>
  <c r="A76" i="28"/>
  <c r="A73" i="28"/>
  <c r="A70" i="28"/>
  <c r="A67" i="28"/>
  <c r="A64" i="28"/>
  <c r="A61" i="28"/>
  <c r="A58" i="28"/>
  <c r="A55" i="28"/>
  <c r="A52" i="28"/>
  <c r="A49" i="28"/>
  <c r="A46" i="28"/>
  <c r="A43" i="28"/>
  <c r="A40" i="28"/>
  <c r="A37" i="28"/>
  <c r="A34" i="28"/>
  <c r="A31" i="28"/>
  <c r="A28" i="28"/>
  <c r="A25" i="28"/>
  <c r="A22" i="28"/>
  <c r="A19" i="28"/>
  <c r="A16" i="28"/>
  <c r="A13" i="28"/>
  <c r="A125" i="28"/>
  <c r="A89" i="28"/>
  <c r="A53" i="28"/>
  <c r="A10" i="28"/>
  <c r="A104" i="28"/>
  <c r="A68" i="28"/>
  <c r="A119" i="28"/>
  <c r="A83" i="28"/>
  <c r="A47" i="28"/>
  <c r="A38" i="28"/>
  <c r="A29" i="28"/>
  <c r="A17" i="28"/>
  <c r="A2" i="28"/>
  <c r="Y2" i="28" s="1"/>
  <c r="A98" i="28"/>
  <c r="A62" i="28"/>
  <c r="A113" i="28"/>
  <c r="A77" i="28"/>
  <c r="A5" i="28"/>
  <c r="A128" i="28"/>
  <c r="A92" i="28"/>
  <c r="A56" i="28"/>
  <c r="A20" i="28"/>
  <c r="P148" i="28"/>
  <c r="A107" i="28"/>
  <c r="A71" i="28"/>
  <c r="A41" i="28"/>
  <c r="A32" i="28"/>
  <c r="A8" i="28"/>
  <c r="A122" i="28"/>
  <c r="A86" i="28"/>
  <c r="A50" i="28"/>
  <c r="A101" i="28"/>
  <c r="A65" i="28"/>
  <c r="A23" i="28"/>
  <c r="A11" i="28"/>
  <c r="A4" i="28"/>
  <c r="Y4" i="28" s="1"/>
  <c r="AC4" i="28" s="1"/>
  <c r="A116" i="28"/>
  <c r="A80" i="28"/>
  <c r="A131" i="28"/>
  <c r="A95" i="28"/>
  <c r="A59" i="28"/>
  <c r="A44" i="28"/>
  <c r="A35" i="28"/>
  <c r="A7" i="28"/>
  <c r="A26" i="28"/>
  <c r="A110" i="28"/>
  <c r="A74" i="28"/>
  <c r="A14" i="28"/>
  <c r="A36" i="26"/>
  <c r="A2" i="26"/>
  <c r="Y2" i="26" s="1"/>
  <c r="A53" i="26"/>
  <c r="A31" i="26"/>
  <c r="A48" i="23"/>
  <c r="A44" i="24"/>
  <c r="A107" i="24"/>
  <c r="A51" i="24"/>
  <c r="A114" i="24"/>
  <c r="A52" i="24"/>
  <c r="A30" i="26"/>
  <c r="A19" i="23"/>
  <c r="P113" i="30"/>
  <c r="A97" i="30"/>
  <c r="A94" i="30"/>
  <c r="A91" i="30"/>
  <c r="A88" i="30"/>
  <c r="A85" i="30"/>
  <c r="A82" i="30"/>
  <c r="A79" i="30"/>
  <c r="A76" i="30"/>
  <c r="A73" i="30"/>
  <c r="A70" i="30"/>
  <c r="A67" i="30"/>
  <c r="A64" i="30"/>
  <c r="A61" i="30"/>
  <c r="A58" i="30"/>
  <c r="A55" i="30"/>
  <c r="A52" i="30"/>
  <c r="A49" i="30"/>
  <c r="A46" i="30"/>
  <c r="A43" i="30"/>
  <c r="A40" i="30"/>
  <c r="A37" i="30"/>
  <c r="A34" i="30"/>
  <c r="A31" i="30"/>
  <c r="A28" i="30"/>
  <c r="A25" i="30"/>
  <c r="A22" i="30"/>
  <c r="A19" i="30"/>
  <c r="A16" i="30"/>
  <c r="A13" i="30"/>
  <c r="A10" i="30"/>
  <c r="A7" i="30"/>
  <c r="A4" i="30"/>
  <c r="Y4" i="30" s="1"/>
  <c r="AC4" i="30" s="1"/>
  <c r="W103" i="30"/>
  <c r="W113" i="30" s="1"/>
  <c r="A95" i="30"/>
  <c r="A81" i="30"/>
  <c r="A32" i="30"/>
  <c r="A24" i="30"/>
  <c r="A20" i="30"/>
  <c r="A90" i="30"/>
  <c r="A44" i="30"/>
  <c r="A36" i="30"/>
  <c r="A3" i="30"/>
  <c r="Y3" i="30" s="1"/>
  <c r="AC3" i="30" s="1"/>
  <c r="A80" i="30"/>
  <c r="A72" i="30"/>
  <c r="A68" i="30"/>
  <c r="A60" i="30"/>
  <c r="A56" i="30"/>
  <c r="A48" i="30"/>
  <c r="A11" i="30"/>
  <c r="A27" i="30"/>
  <c r="A23" i="30"/>
  <c r="A15" i="30"/>
  <c r="A2" i="30"/>
  <c r="Y2" i="30" s="1"/>
  <c r="A89" i="30"/>
  <c r="A84" i="30"/>
  <c r="A39" i="30"/>
  <c r="A35" i="30"/>
  <c r="A93" i="30"/>
  <c r="A75" i="30"/>
  <c r="A71" i="30"/>
  <c r="A63" i="30"/>
  <c r="A59" i="30"/>
  <c r="A51" i="30"/>
  <c r="A47" i="30"/>
  <c r="A14" i="30"/>
  <c r="A6" i="30"/>
  <c r="A30" i="30"/>
  <c r="A26" i="30"/>
  <c r="A18" i="30"/>
  <c r="A83" i="30"/>
  <c r="A42" i="30"/>
  <c r="A38" i="30"/>
  <c r="A5" i="30"/>
  <c r="A92" i="30"/>
  <c r="A78" i="30"/>
  <c r="A74" i="30"/>
  <c r="A66" i="30"/>
  <c r="A62" i="30"/>
  <c r="A54" i="30"/>
  <c r="A50" i="30"/>
  <c r="A9" i="30"/>
  <c r="A96" i="30"/>
  <c r="A87" i="30"/>
  <c r="A29" i="30"/>
  <c r="A21" i="30"/>
  <c r="A17" i="30"/>
  <c r="A41" i="30"/>
  <c r="A33" i="30"/>
  <c r="A69" i="30"/>
  <c r="A57" i="30"/>
  <c r="A86" i="30"/>
  <c r="A45" i="30"/>
  <c r="A8" i="30"/>
  <c r="A12" i="30"/>
  <c r="A77" i="30"/>
  <c r="A65" i="30"/>
  <c r="A53" i="30"/>
  <c r="A18" i="26"/>
  <c r="A5" i="26"/>
  <c r="A56" i="26"/>
  <c r="A34" i="26"/>
  <c r="A42" i="23"/>
  <c r="A53" i="24"/>
  <c r="A110" i="24"/>
  <c r="A54" i="24"/>
  <c r="P135" i="24"/>
  <c r="A15" i="23"/>
  <c r="A25" i="23"/>
  <c r="W129" i="24"/>
  <c r="A106" i="24"/>
  <c r="A70" i="24"/>
  <c r="A34" i="24"/>
  <c r="A117" i="24"/>
  <c r="A81" i="24"/>
  <c r="A45" i="24"/>
  <c r="A9" i="24"/>
  <c r="Y14" i="24" s="1"/>
  <c r="A92" i="24"/>
  <c r="A56" i="24"/>
  <c r="A20" i="24"/>
  <c r="A100" i="24"/>
  <c r="A64" i="24"/>
  <c r="A28" i="24"/>
  <c r="A111" i="24"/>
  <c r="A75" i="24"/>
  <c r="A39" i="24"/>
  <c r="A3" i="24"/>
  <c r="Y3" i="24" s="1"/>
  <c r="AC3" i="24" s="1"/>
  <c r="A86" i="24"/>
  <c r="A50" i="24"/>
  <c r="A14" i="24"/>
  <c r="A97" i="24"/>
  <c r="A61" i="24"/>
  <c r="A25" i="24"/>
  <c r="A108" i="24"/>
  <c r="A72" i="24"/>
  <c r="A36" i="24"/>
  <c r="A119" i="24"/>
  <c r="A83" i="24"/>
  <c r="A47" i="24"/>
  <c r="A11" i="24"/>
  <c r="A91" i="24"/>
  <c r="A55" i="24"/>
  <c r="A19" i="24"/>
  <c r="A102" i="24"/>
  <c r="A66" i="24"/>
  <c r="A30" i="24"/>
  <c r="A113" i="24"/>
  <c r="A77" i="24"/>
  <c r="A41" i="24"/>
  <c r="A5" i="24"/>
  <c r="A118" i="24"/>
  <c r="A82" i="24"/>
  <c r="A46" i="24"/>
  <c r="A10" i="24"/>
  <c r="Y12" i="24" s="1"/>
  <c r="A93" i="24"/>
  <c r="A57" i="24"/>
  <c r="A21" i="24"/>
  <c r="A104" i="24"/>
  <c r="A68" i="24"/>
  <c r="A32" i="24"/>
  <c r="A112" i="24"/>
  <c r="A8" i="26"/>
  <c r="A59" i="26"/>
  <c r="A40" i="26"/>
  <c r="A59" i="24"/>
  <c r="A116" i="24"/>
  <c r="A60" i="24"/>
  <c r="A4" i="24"/>
  <c r="Y4" i="24" s="1"/>
  <c r="AC4" i="24" s="1"/>
  <c r="A67" i="24"/>
  <c r="W72" i="29"/>
  <c r="W61" i="27"/>
  <c r="W71" i="23"/>
  <c r="W79" i="23" s="1"/>
  <c r="A21" i="23"/>
  <c r="A9" i="23"/>
  <c r="A33" i="23"/>
  <c r="A60" i="23"/>
  <c r="A59" i="23"/>
  <c r="A23" i="23"/>
  <c r="A52" i="23"/>
  <c r="A16" i="23"/>
  <c r="A51" i="23"/>
  <c r="A3" i="23"/>
  <c r="Y3" i="23" s="1"/>
  <c r="AC3" i="23" s="1"/>
  <c r="A56" i="23"/>
  <c r="Y58" i="23" s="1"/>
  <c r="A20" i="23"/>
  <c r="A49" i="23"/>
  <c r="A13" i="23"/>
  <c r="A6" i="23"/>
  <c r="A57" i="23"/>
  <c r="A53" i="23"/>
  <c r="A17" i="23"/>
  <c r="A46" i="23"/>
  <c r="A10" i="23"/>
  <c r="A18" i="23"/>
  <c r="A27" i="23"/>
  <c r="A12" i="23"/>
  <c r="A50" i="23"/>
  <c r="A14" i="23"/>
  <c r="A43" i="23"/>
  <c r="A7" i="23"/>
  <c r="A30" i="23"/>
  <c r="A24" i="23"/>
  <c r="A47" i="23"/>
  <c r="A11" i="23"/>
  <c r="A40" i="23"/>
  <c r="A4" i="23"/>
  <c r="Y4" i="23" s="1"/>
  <c r="AC4" i="23" s="1"/>
  <c r="A39" i="23"/>
  <c r="A45" i="23"/>
  <c r="A44" i="23"/>
  <c r="A8" i="23"/>
  <c r="A37" i="23"/>
  <c r="A41" i="23"/>
  <c r="A5" i="23"/>
  <c r="A34" i="23"/>
  <c r="A38" i="23"/>
  <c r="A2" i="23"/>
  <c r="Y2" i="23" s="1"/>
  <c r="A31" i="23"/>
  <c r="A35" i="23"/>
  <c r="P79" i="23"/>
  <c r="A28" i="23"/>
  <c r="A29" i="23"/>
  <c r="A58" i="23"/>
  <c r="A22" i="23"/>
  <c r="A17" i="26"/>
  <c r="A62" i="26"/>
  <c r="A43" i="26"/>
  <c r="A62" i="24"/>
  <c r="A6" i="24"/>
  <c r="A63" i="24"/>
  <c r="A7" i="24"/>
  <c r="A73" i="24"/>
  <c r="A36" i="23"/>
  <c r="A61" i="23"/>
  <c r="A118" i="12"/>
  <c r="A38" i="12"/>
  <c r="A51" i="12"/>
  <c r="A52" i="12"/>
  <c r="A112" i="12"/>
  <c r="A17" i="12"/>
  <c r="A109" i="12"/>
  <c r="A11" i="12"/>
  <c r="A54" i="12"/>
  <c r="A55" i="12"/>
  <c r="W135" i="24"/>
  <c r="A62" i="12"/>
  <c r="A69" i="12"/>
  <c r="A70" i="12"/>
  <c r="A78" i="12"/>
  <c r="A79" i="12"/>
  <c r="A74" i="12"/>
  <c r="A97" i="12"/>
  <c r="A98" i="12"/>
  <c r="A56" i="12"/>
  <c r="A110" i="12"/>
  <c r="A87" i="12"/>
  <c r="A100" i="12"/>
  <c r="A88" i="12"/>
  <c r="A102" i="12"/>
  <c r="A23" i="12"/>
  <c r="A44" i="12"/>
  <c r="A6" i="12"/>
  <c r="A7" i="12"/>
  <c r="A111" i="12"/>
  <c r="A15" i="12"/>
  <c r="A16" i="12"/>
  <c r="W129" i="12"/>
  <c r="W135" i="12" s="1"/>
  <c r="A50" i="12"/>
  <c r="A41" i="12"/>
  <c r="A80" i="12"/>
  <c r="A117" i="12"/>
  <c r="A85" i="12"/>
  <c r="A49" i="12"/>
  <c r="A13" i="12"/>
  <c r="A84" i="12"/>
  <c r="A48" i="12"/>
  <c r="A12" i="12"/>
  <c r="A53" i="12"/>
  <c r="A89" i="12"/>
  <c r="A114" i="12"/>
  <c r="A82" i="12"/>
  <c r="A46" i="12"/>
  <c r="A10" i="12"/>
  <c r="A81" i="12"/>
  <c r="A45" i="12"/>
  <c r="A9" i="12"/>
  <c r="A119" i="12"/>
  <c r="A115" i="12"/>
  <c r="A83" i="12"/>
  <c r="A108" i="12"/>
  <c r="A76" i="12"/>
  <c r="A40" i="12"/>
  <c r="A4" i="12"/>
  <c r="Y4" i="12" s="1"/>
  <c r="AC4" i="12" s="1"/>
  <c r="A75" i="12"/>
  <c r="A39" i="12"/>
  <c r="A3" i="12"/>
  <c r="Y3" i="12" s="1"/>
  <c r="AC3" i="12" s="1"/>
  <c r="A20" i="12"/>
  <c r="A106" i="12"/>
  <c r="A92" i="12"/>
  <c r="A14" i="12"/>
  <c r="A105" i="12"/>
  <c r="A73" i="12"/>
  <c r="A37" i="12"/>
  <c r="A101" i="12"/>
  <c r="A72" i="12"/>
  <c r="A36" i="12"/>
  <c r="A113" i="12"/>
  <c r="A29" i="12"/>
  <c r="A95" i="12"/>
  <c r="A86" i="12"/>
  <c r="A59" i="12"/>
  <c r="A26" i="12"/>
  <c r="A32" i="12"/>
  <c r="A99" i="12"/>
  <c r="A67" i="12"/>
  <c r="A31" i="12"/>
  <c r="A104" i="12"/>
  <c r="A66" i="12"/>
  <c r="A30" i="12"/>
  <c r="A116" i="12"/>
  <c r="A68" i="12"/>
  <c r="A5" i="12"/>
  <c r="A96" i="12"/>
  <c r="A64" i="12"/>
  <c r="A28" i="12"/>
  <c r="A91" i="12"/>
  <c r="A63" i="12"/>
  <c r="A27" i="12"/>
  <c r="A103" i="12"/>
  <c r="A8" i="12"/>
  <c r="A93" i="12"/>
  <c r="A61" i="12"/>
  <c r="A25" i="12"/>
  <c r="A107" i="12"/>
  <c r="A60" i="12"/>
  <c r="A24" i="12"/>
  <c r="A35" i="12"/>
  <c r="A65" i="12"/>
  <c r="A47" i="12"/>
  <c r="A71" i="12"/>
  <c r="A90" i="12"/>
  <c r="A58" i="12"/>
  <c r="A22" i="12"/>
  <c r="A94" i="12"/>
  <c r="A57" i="12"/>
  <c r="A21" i="12"/>
  <c r="A77" i="12"/>
  <c r="A18" i="12"/>
  <c r="A19" i="12"/>
  <c r="A33" i="12"/>
  <c r="A34" i="12"/>
  <c r="Y5" i="30" l="1"/>
  <c r="AC5" i="30" s="1"/>
  <c r="Y6" i="30"/>
  <c r="Y64" i="30"/>
  <c r="Y65" i="30"/>
  <c r="Y69" i="30"/>
  <c r="Y63" i="30"/>
  <c r="AC63" i="30" s="1"/>
  <c r="Y68" i="30"/>
  <c r="Y67" i="30"/>
  <c r="Y72" i="30"/>
  <c r="Y66" i="30"/>
  <c r="Y71" i="30"/>
  <c r="Y70" i="30"/>
  <c r="Y28" i="30"/>
  <c r="Y26" i="30"/>
  <c r="Y30" i="30"/>
  <c r="Y27" i="30"/>
  <c r="Y24" i="30"/>
  <c r="AC24" i="30" s="1"/>
  <c r="Y31" i="30"/>
  <c r="Y29" i="30"/>
  <c r="Y25" i="30"/>
  <c r="Y98" i="28"/>
  <c r="Y89" i="28"/>
  <c r="Y91" i="28"/>
  <c r="Y86" i="28"/>
  <c r="Y96" i="28"/>
  <c r="Y97" i="28"/>
  <c r="Y85" i="28"/>
  <c r="Y90" i="28"/>
  <c r="Y95" i="28"/>
  <c r="Y94" i="28"/>
  <c r="Y84" i="28"/>
  <c r="AC84" i="28" s="1"/>
  <c r="Y87" i="28"/>
  <c r="Y88" i="28"/>
  <c r="Y93" i="28"/>
  <c r="Y92" i="28"/>
  <c r="Y57" i="29"/>
  <c r="Y58" i="29"/>
  <c r="Y55" i="29"/>
  <c r="AC55" i="29" s="1"/>
  <c r="Y56" i="29"/>
  <c r="Y60" i="29"/>
  <c r="Y59" i="29"/>
  <c r="Y34" i="26"/>
  <c r="Y37" i="26"/>
  <c r="Y35" i="26"/>
  <c r="Y36" i="26"/>
  <c r="Y33" i="26"/>
  <c r="Y5" i="25"/>
  <c r="AC5" i="25" s="1"/>
  <c r="Y6" i="25"/>
  <c r="Y9" i="24"/>
  <c r="Y54" i="23"/>
  <c r="AC54" i="23" s="1"/>
  <c r="Y23" i="39"/>
  <c r="Y21" i="39"/>
  <c r="Y20" i="39"/>
  <c r="Y24" i="39"/>
  <c r="Y22" i="39"/>
  <c r="Y19" i="39"/>
  <c r="AC19" i="39" s="1"/>
  <c r="Y25" i="39"/>
  <c r="AC25" i="39" s="1"/>
  <c r="Y30" i="39"/>
  <c r="Y26" i="39"/>
  <c r="Y27" i="39"/>
  <c r="Y28" i="39"/>
  <c r="Y29" i="39"/>
  <c r="Y60" i="39"/>
  <c r="Y61" i="39"/>
  <c r="Y58" i="39"/>
  <c r="Y63" i="39"/>
  <c r="Y56" i="39"/>
  <c r="Y54" i="39"/>
  <c r="Y65" i="39"/>
  <c r="Y57" i="39"/>
  <c r="Y64" i="39"/>
  <c r="Y55" i="39"/>
  <c r="Y62" i="39"/>
  <c r="Y59" i="39"/>
  <c r="Y53" i="39"/>
  <c r="AC53" i="39" s="1"/>
  <c r="Y72" i="40"/>
  <c r="AC72" i="40" s="1"/>
  <c r="Y71" i="40"/>
  <c r="Y73" i="40"/>
  <c r="AC73" i="40" s="1"/>
  <c r="Y74" i="40"/>
  <c r="AC74" i="40" s="1"/>
  <c r="Y75" i="40"/>
  <c r="AC75" i="40" s="1"/>
  <c r="Y70" i="40"/>
  <c r="AC70" i="40" s="1"/>
  <c r="Y76" i="40"/>
  <c r="AC76" i="40" s="1"/>
  <c r="Y46" i="27"/>
  <c r="Y37" i="27"/>
  <c r="Y40" i="27"/>
  <c r="Y31" i="27"/>
  <c r="Y43" i="27"/>
  <c r="Y34" i="27"/>
  <c r="Y30" i="27"/>
  <c r="AC30" i="27" s="1"/>
  <c r="Y45" i="27"/>
  <c r="Y32" i="27"/>
  <c r="Y41" i="27"/>
  <c r="Y33" i="27"/>
  <c r="Y35" i="27"/>
  <c r="Y42" i="27"/>
  <c r="Y44" i="27"/>
  <c r="Y39" i="27"/>
  <c r="Y48" i="27"/>
  <c r="Y38" i="27"/>
  <c r="Y47" i="27"/>
  <c r="Y36" i="27"/>
  <c r="Y16" i="27"/>
  <c r="Y14" i="27"/>
  <c r="AC14" i="27" s="1"/>
  <c r="Y15" i="27"/>
  <c r="Y17" i="27"/>
  <c r="W64" i="27"/>
  <c r="AC2" i="41"/>
  <c r="W135" i="41"/>
  <c r="Y44" i="23"/>
  <c r="AC44" i="23" s="1"/>
  <c r="Y45" i="23"/>
  <c r="Y46" i="23"/>
  <c r="Y7" i="24"/>
  <c r="Y5" i="24"/>
  <c r="AC5" i="24" s="1"/>
  <c r="Y6" i="24"/>
  <c r="Y34" i="30"/>
  <c r="Y36" i="30"/>
  <c r="Y32" i="30"/>
  <c r="AC32" i="30" s="1"/>
  <c r="Y35" i="30"/>
  <c r="Y33" i="30"/>
  <c r="Y78" i="28"/>
  <c r="Y76" i="28"/>
  <c r="Y67" i="28"/>
  <c r="Y83" i="28"/>
  <c r="Y65" i="28"/>
  <c r="Y81" i="28"/>
  <c r="Y66" i="28"/>
  <c r="Y72" i="28"/>
  <c r="Y64" i="28"/>
  <c r="Y71" i="28"/>
  <c r="Y77" i="28"/>
  <c r="Y79" i="28"/>
  <c r="Y69" i="28"/>
  <c r="Y74" i="28"/>
  <c r="Y63" i="28"/>
  <c r="Y68" i="28"/>
  <c r="Y70" i="28"/>
  <c r="Y75" i="28"/>
  <c r="Y82" i="28"/>
  <c r="Y62" i="28"/>
  <c r="AC62" i="28" s="1"/>
  <c r="Y80" i="28"/>
  <c r="Y73" i="28"/>
  <c r="Y45" i="31"/>
  <c r="Y24" i="31"/>
  <c r="Y37" i="31"/>
  <c r="Y36" i="31"/>
  <c r="Y29" i="31"/>
  <c r="Y28" i="31"/>
  <c r="Y41" i="31"/>
  <c r="Y40" i="31"/>
  <c r="Y33" i="31"/>
  <c r="Y32" i="31"/>
  <c r="Y25" i="31"/>
  <c r="Y34" i="31"/>
  <c r="Y30" i="31"/>
  <c r="Y26" i="31"/>
  <c r="Y43" i="31"/>
  <c r="Y39" i="31"/>
  <c r="Y35" i="31"/>
  <c r="Y44" i="31"/>
  <c r="Y31" i="31"/>
  <c r="Y6" i="31"/>
  <c r="AC6" i="31" s="1"/>
  <c r="Y27" i="31"/>
  <c r="Y23" i="31"/>
  <c r="Y46" i="31"/>
  <c r="Y42" i="31"/>
  <c r="Y38" i="31"/>
  <c r="Y17" i="24"/>
  <c r="Y57" i="23"/>
  <c r="Y39" i="39"/>
  <c r="AC39" i="39" s="1"/>
  <c r="Y40" i="39"/>
  <c r="Y41" i="39"/>
  <c r="Y43" i="39"/>
  <c r="Y42" i="39"/>
  <c r="Y90" i="40"/>
  <c r="AC90" i="40" s="1"/>
  <c r="Y93" i="40"/>
  <c r="AC93" i="40" s="1"/>
  <c r="Y84" i="40"/>
  <c r="Y94" i="40"/>
  <c r="Y88" i="40"/>
  <c r="AC88" i="40" s="1"/>
  <c r="Y91" i="40"/>
  <c r="AC91" i="40" s="1"/>
  <c r="Y86" i="40"/>
  <c r="AC86" i="40" s="1"/>
  <c r="Y92" i="40"/>
  <c r="AC92" i="40" s="1"/>
  <c r="Y87" i="40"/>
  <c r="AC87" i="40" s="1"/>
  <c r="Y89" i="40"/>
  <c r="AC89" i="40" s="1"/>
  <c r="Y83" i="40"/>
  <c r="AC83" i="40" s="1"/>
  <c r="Y85" i="40"/>
  <c r="AC85" i="40" s="1"/>
  <c r="Y88" i="12"/>
  <c r="AC88" i="12" s="1"/>
  <c r="Y91" i="12"/>
  <c r="Y90" i="12"/>
  <c r="Y89" i="12"/>
  <c r="Y92" i="12"/>
  <c r="AC2" i="26"/>
  <c r="AC2" i="31"/>
  <c r="Y10" i="26"/>
  <c r="Y11" i="26"/>
  <c r="Y7" i="26"/>
  <c r="AC7" i="26" s="1"/>
  <c r="Y9" i="26"/>
  <c r="Y12" i="26"/>
  <c r="Y8" i="26"/>
  <c r="Y13" i="24"/>
  <c r="Y56" i="23"/>
  <c r="Y24" i="40"/>
  <c r="AC24" i="40" s="1"/>
  <c r="Y21" i="40"/>
  <c r="AC21" i="40" s="1"/>
  <c r="Y22" i="40"/>
  <c r="AC22" i="40" s="1"/>
  <c r="Y20" i="40"/>
  <c r="Y19" i="40"/>
  <c r="Y23" i="40"/>
  <c r="AC23" i="40" s="1"/>
  <c r="Y18" i="40"/>
  <c r="AC18" i="40" s="1"/>
  <c r="Y6" i="40"/>
  <c r="Y5" i="40"/>
  <c r="AC5" i="40" s="1"/>
  <c r="Y10" i="27"/>
  <c r="Y13" i="27"/>
  <c r="Y7" i="27"/>
  <c r="AC7" i="27" s="1"/>
  <c r="Y9" i="27"/>
  <c r="Y11" i="27"/>
  <c r="Y12" i="27"/>
  <c r="Y8" i="27"/>
  <c r="Y53" i="40"/>
  <c r="AC53" i="40" s="1"/>
  <c r="Y57" i="40"/>
  <c r="AC57" i="40" s="1"/>
  <c r="Y55" i="40"/>
  <c r="AC55" i="40" s="1"/>
  <c r="Y54" i="40"/>
  <c r="AC54" i="40" s="1"/>
  <c r="Y52" i="40"/>
  <c r="AC52" i="40" s="1"/>
  <c r="Y50" i="40"/>
  <c r="AC50" i="40" s="1"/>
  <c r="Y51" i="40"/>
  <c r="Y56" i="40"/>
  <c r="AC56" i="40" s="1"/>
  <c r="Y12" i="41"/>
  <c r="Y108" i="41"/>
  <c r="Y67" i="41"/>
  <c r="Y104" i="41"/>
  <c r="Y24" i="41"/>
  <c r="Y82" i="41"/>
  <c r="Y28" i="41"/>
  <c r="Y34" i="41"/>
  <c r="Y55" i="41"/>
  <c r="Y70" i="41"/>
  <c r="Y105" i="41"/>
  <c r="Y43" i="41"/>
  <c r="Y22" i="41"/>
  <c r="Y45" i="41"/>
  <c r="Y46" i="41"/>
  <c r="Y91" i="41"/>
  <c r="Y19" i="41"/>
  <c r="Y58" i="41"/>
  <c r="Y93" i="41"/>
  <c r="Y72" i="41"/>
  <c r="Y68" i="41"/>
  <c r="Y109" i="41"/>
  <c r="Y62" i="41"/>
  <c r="Y18" i="41"/>
  <c r="Y81" i="41"/>
  <c r="Y13" i="41"/>
  <c r="Y95" i="41"/>
  <c r="Y23" i="41"/>
  <c r="Y80" i="41"/>
  <c r="Y106" i="41"/>
  <c r="Y74" i="41"/>
  <c r="Y16" i="41"/>
  <c r="Y37" i="41"/>
  <c r="Y35" i="41"/>
  <c r="Y92" i="41"/>
  <c r="Y17" i="41"/>
  <c r="Y103" i="41"/>
  <c r="Y86" i="41"/>
  <c r="Y87" i="41"/>
  <c r="Y30" i="41"/>
  <c r="Y54" i="41"/>
  <c r="Y47" i="41"/>
  <c r="Y101" i="41"/>
  <c r="Y119" i="41"/>
  <c r="Y100" i="41"/>
  <c r="Y79" i="41"/>
  <c r="Y36" i="41"/>
  <c r="Y60" i="41"/>
  <c r="Y21" i="41"/>
  <c r="Y59" i="41"/>
  <c r="Y29" i="41"/>
  <c r="Y116" i="41"/>
  <c r="Y97" i="41"/>
  <c r="Y40" i="41"/>
  <c r="Y75" i="41"/>
  <c r="Y76" i="41"/>
  <c r="Y73" i="41"/>
  <c r="Y71" i="41"/>
  <c r="Y41" i="41"/>
  <c r="Y113" i="41"/>
  <c r="Y94" i="41"/>
  <c r="Y57" i="41"/>
  <c r="Y69" i="41"/>
  <c r="Y63" i="41"/>
  <c r="Y99" i="41"/>
  <c r="Y90" i="41"/>
  <c r="Y83" i="41"/>
  <c r="Y53" i="41"/>
  <c r="Y110" i="41"/>
  <c r="Y117" i="41"/>
  <c r="Y51" i="41"/>
  <c r="Y25" i="41"/>
  <c r="Y96" i="41"/>
  <c r="Y65" i="41"/>
  <c r="Y107" i="41"/>
  <c r="Y39" i="41"/>
  <c r="Y42" i="41"/>
  <c r="Y61" i="41"/>
  <c r="Y114" i="41"/>
  <c r="Y20" i="41"/>
  <c r="Y77" i="41"/>
  <c r="Y14" i="41"/>
  <c r="Y11" i="41"/>
  <c r="AC11" i="41" s="1"/>
  <c r="Y31" i="41"/>
  <c r="Y48" i="41"/>
  <c r="Y15" i="41"/>
  <c r="Y78" i="41"/>
  <c r="Y33" i="41"/>
  <c r="Y32" i="41"/>
  <c r="Y89" i="41"/>
  <c r="Y118" i="41"/>
  <c r="Y98" i="41"/>
  <c r="Y26" i="41"/>
  <c r="Y27" i="41"/>
  <c r="Y88" i="41"/>
  <c r="Y49" i="41"/>
  <c r="Y84" i="41"/>
  <c r="Y85" i="41"/>
  <c r="Y44" i="41"/>
  <c r="Y111" i="41"/>
  <c r="Y115" i="41"/>
  <c r="Y38" i="41"/>
  <c r="Y52" i="41"/>
  <c r="Y64" i="41"/>
  <c r="Y66" i="41"/>
  <c r="Y102" i="41"/>
  <c r="Y56" i="41"/>
  <c r="Y112" i="41"/>
  <c r="Y50" i="41"/>
  <c r="Y5" i="12"/>
  <c r="AC5" i="12" s="1"/>
  <c r="AC1" i="12" s="1"/>
  <c r="AC124" i="12" s="1"/>
  <c r="Y6" i="12"/>
  <c r="Y118" i="28"/>
  <c r="Y116" i="28"/>
  <c r="AC116" i="28" s="1"/>
  <c r="Y123" i="28"/>
  <c r="Y124" i="28"/>
  <c r="Y128" i="28"/>
  <c r="Y129" i="28"/>
  <c r="Y120" i="28"/>
  <c r="Y119" i="28"/>
  <c r="Y117" i="28"/>
  <c r="Y127" i="28"/>
  <c r="Y122" i="28"/>
  <c r="Y125" i="28"/>
  <c r="Y132" i="28"/>
  <c r="Y121" i="28"/>
  <c r="Y126" i="28"/>
  <c r="Y131" i="28"/>
  <c r="Y130" i="28"/>
  <c r="AC2" i="28"/>
  <c r="Y35" i="29"/>
  <c r="AC35" i="29" s="1"/>
  <c r="Y37" i="29"/>
  <c r="Y36" i="29"/>
  <c r="Y39" i="29"/>
  <c r="Y40" i="29"/>
  <c r="Y38" i="29"/>
  <c r="Y42" i="29"/>
  <c r="Y41" i="29"/>
  <c r="Y51" i="29"/>
  <c r="Y54" i="29"/>
  <c r="Y48" i="29"/>
  <c r="Y43" i="29"/>
  <c r="AC43" i="29" s="1"/>
  <c r="Y45" i="29"/>
  <c r="Y44" i="29"/>
  <c r="Y50" i="29"/>
  <c r="Y53" i="29"/>
  <c r="Y49" i="29"/>
  <c r="Y46" i="29"/>
  <c r="Y47" i="29"/>
  <c r="Y52" i="29"/>
  <c r="AC2" i="29"/>
  <c r="Y26" i="26"/>
  <c r="AC26" i="26" s="1"/>
  <c r="Y29" i="26"/>
  <c r="Y31" i="26"/>
  <c r="Y30" i="26"/>
  <c r="Y28" i="26"/>
  <c r="Y32" i="26"/>
  <c r="Y27" i="26"/>
  <c r="Y104" i="25"/>
  <c r="Y103" i="25"/>
  <c r="AC103" i="25" s="1"/>
  <c r="Y105" i="25"/>
  <c r="Y10" i="24"/>
  <c r="Y68" i="40"/>
  <c r="AC68" i="40" s="1"/>
  <c r="Y69" i="40"/>
  <c r="AC69" i="40" s="1"/>
  <c r="Y66" i="40"/>
  <c r="Y67" i="40"/>
  <c r="AC67" i="40" s="1"/>
  <c r="Y65" i="40"/>
  <c r="AC65" i="40" s="1"/>
  <c r="Y25" i="27"/>
  <c r="Y24" i="27"/>
  <c r="Y23" i="27"/>
  <c r="AC23" i="27" s="1"/>
  <c r="Y70" i="12"/>
  <c r="Y73" i="12"/>
  <c r="Y71" i="12"/>
  <c r="Y68" i="12"/>
  <c r="AC68" i="12" s="1"/>
  <c r="Y72" i="12"/>
  <c r="Y74" i="12"/>
  <c r="Y69" i="12"/>
  <c r="Y53" i="23"/>
  <c r="Y51" i="23"/>
  <c r="AC51" i="23" s="1"/>
  <c r="Y52" i="23"/>
  <c r="Y38" i="30"/>
  <c r="Y42" i="30"/>
  <c r="Y40" i="30"/>
  <c r="Y39" i="30"/>
  <c r="Y43" i="30"/>
  <c r="Y37" i="30"/>
  <c r="AC37" i="30" s="1"/>
  <c r="Y41" i="30"/>
  <c r="Y76" i="30"/>
  <c r="Y79" i="30"/>
  <c r="Y77" i="30"/>
  <c r="Y75" i="30"/>
  <c r="Y74" i="30"/>
  <c r="Y78" i="30"/>
  <c r="Y73" i="30"/>
  <c r="AC73" i="30" s="1"/>
  <c r="Y17" i="28"/>
  <c r="Y18" i="28"/>
  <c r="Y30" i="28"/>
  <c r="Y24" i="28"/>
  <c r="Y25" i="28"/>
  <c r="Y13" i="28"/>
  <c r="AC13" i="28" s="1"/>
  <c r="Y14" i="28"/>
  <c r="Y28" i="28"/>
  <c r="Y20" i="28"/>
  <c r="Y16" i="28"/>
  <c r="Y32" i="28"/>
  <c r="Y23" i="28"/>
  <c r="Y29" i="28"/>
  <c r="Y22" i="28"/>
  <c r="Y31" i="28"/>
  <c r="Y15" i="28"/>
  <c r="Y21" i="28"/>
  <c r="Y19" i="28"/>
  <c r="Y26" i="28"/>
  <c r="Y27" i="28"/>
  <c r="Y6" i="29"/>
  <c r="Y5" i="29"/>
  <c r="AC5" i="29" s="1"/>
  <c r="Y82" i="25"/>
  <c r="Y69" i="25"/>
  <c r="Y95" i="25"/>
  <c r="Y8" i="25"/>
  <c r="Y96" i="25"/>
  <c r="Y87" i="25"/>
  <c r="Y35" i="25"/>
  <c r="Y24" i="25"/>
  <c r="Y14" i="25"/>
  <c r="Y9" i="25"/>
  <c r="Y20" i="25"/>
  <c r="Y15" i="25"/>
  <c r="Y86" i="25"/>
  <c r="Y47" i="25"/>
  <c r="Y36" i="25"/>
  <c r="Y72" i="25"/>
  <c r="Y67" i="25"/>
  <c r="Y13" i="25"/>
  <c r="Y49" i="25"/>
  <c r="Y26" i="25"/>
  <c r="Y21" i="25"/>
  <c r="Y53" i="25"/>
  <c r="Y42" i="25"/>
  <c r="Y83" i="25"/>
  <c r="Y32" i="25"/>
  <c r="Y27" i="25"/>
  <c r="Y38" i="25"/>
  <c r="Y33" i="25"/>
  <c r="Y76" i="25"/>
  <c r="Y54" i="25"/>
  <c r="Y44" i="25"/>
  <c r="Y39" i="25"/>
  <c r="Y50" i="25"/>
  <c r="Y45" i="25"/>
  <c r="Y56" i="25"/>
  <c r="Y51" i="25"/>
  <c r="Y11" i="25"/>
  <c r="Y71" i="25"/>
  <c r="Y77" i="25"/>
  <c r="Y73" i="25"/>
  <c r="Y79" i="25"/>
  <c r="Y63" i="25"/>
  <c r="Y81" i="25"/>
  <c r="Y23" i="25"/>
  <c r="Y64" i="25"/>
  <c r="Y93" i="25"/>
  <c r="Y10" i="25"/>
  <c r="Y52" i="25"/>
  <c r="Y91" i="25"/>
  <c r="Y92" i="25"/>
  <c r="Y99" i="25"/>
  <c r="Y16" i="25"/>
  <c r="Y55" i="25"/>
  <c r="Y19" i="25"/>
  <c r="Y58" i="25"/>
  <c r="Y80" i="25"/>
  <c r="Y22" i="25"/>
  <c r="Y61" i="25"/>
  <c r="Y85" i="25"/>
  <c r="Y57" i="25"/>
  <c r="Y90" i="25"/>
  <c r="Y25" i="25"/>
  <c r="Y74" i="25"/>
  <c r="Y12" i="25"/>
  <c r="Y28" i="25"/>
  <c r="Y84" i="25"/>
  <c r="Y62" i="25"/>
  <c r="Y70" i="25"/>
  <c r="Y18" i="25"/>
  <c r="Y89" i="25"/>
  <c r="Y31" i="25"/>
  <c r="Y97" i="25"/>
  <c r="Y98" i="25"/>
  <c r="Y30" i="25"/>
  <c r="Y34" i="25"/>
  <c r="Y65" i="25"/>
  <c r="Y17" i="25"/>
  <c r="Y48" i="25"/>
  <c r="Y37" i="25"/>
  <c r="Y75" i="25"/>
  <c r="Y29" i="25"/>
  <c r="Y60" i="25"/>
  <c r="Y100" i="25"/>
  <c r="Y40" i="25"/>
  <c r="Y88" i="25"/>
  <c r="Y41" i="25"/>
  <c r="Y66" i="25"/>
  <c r="Y43" i="25"/>
  <c r="Y68" i="25"/>
  <c r="Y101" i="25"/>
  <c r="Y59" i="25"/>
  <c r="Y78" i="25"/>
  <c r="Y7" i="25"/>
  <c r="AC7" i="25" s="1"/>
  <c r="Y46" i="25"/>
  <c r="Y94" i="25"/>
  <c r="Y16" i="24"/>
  <c r="Y42" i="40"/>
  <c r="AC42" i="40" s="1"/>
  <c r="Y49" i="40"/>
  <c r="AC49" i="40" s="1"/>
  <c r="Y44" i="40"/>
  <c r="AC44" i="40" s="1"/>
  <c r="Y47" i="40"/>
  <c r="AC47" i="40" s="1"/>
  <c r="Y40" i="40"/>
  <c r="AC40" i="40" s="1"/>
  <c r="Y41" i="40"/>
  <c r="Y46" i="40"/>
  <c r="AC46" i="40" s="1"/>
  <c r="Y43" i="40"/>
  <c r="AC43" i="40" s="1"/>
  <c r="Y48" i="40"/>
  <c r="AC48" i="40" s="1"/>
  <c r="Y45" i="40"/>
  <c r="AC45" i="40" s="1"/>
  <c r="Y28" i="27"/>
  <c r="Y29" i="27"/>
  <c r="Y27" i="27"/>
  <c r="Y26" i="27"/>
  <c r="AC26" i="27" s="1"/>
  <c r="Y11" i="40"/>
  <c r="Y9" i="40"/>
  <c r="Y10" i="40"/>
  <c r="Y8" i="40"/>
  <c r="Y7" i="40"/>
  <c r="AC7" i="40" s="1"/>
  <c r="Y20" i="23"/>
  <c r="Y23" i="23"/>
  <c r="Y18" i="23"/>
  <c r="Y21" i="23"/>
  <c r="Y17" i="23"/>
  <c r="Y19" i="23"/>
  <c r="Y22" i="23"/>
  <c r="Y16" i="23"/>
  <c r="AC16" i="23" s="1"/>
  <c r="Y109" i="28"/>
  <c r="Y103" i="28"/>
  <c r="Y101" i="28"/>
  <c r="Y102" i="28"/>
  <c r="Y108" i="28"/>
  <c r="Y100" i="28"/>
  <c r="Y107" i="28"/>
  <c r="Y105" i="28"/>
  <c r="Y110" i="28"/>
  <c r="Y99" i="28"/>
  <c r="AC99" i="28" s="1"/>
  <c r="Y104" i="28"/>
  <c r="Y106" i="28"/>
  <c r="W76" i="29"/>
  <c r="Y28" i="29"/>
  <c r="Y15" i="29"/>
  <c r="Y18" i="29"/>
  <c r="Y20" i="29"/>
  <c r="Y24" i="29"/>
  <c r="Y9" i="29"/>
  <c r="Y11" i="29"/>
  <c r="Y30" i="29"/>
  <c r="Y27" i="29"/>
  <c r="Y8" i="29"/>
  <c r="Y34" i="29"/>
  <c r="Y16" i="29"/>
  <c r="Y26" i="29"/>
  <c r="Y19" i="29"/>
  <c r="Y21" i="29"/>
  <c r="Y7" i="29"/>
  <c r="AC7" i="29" s="1"/>
  <c r="Y25" i="29"/>
  <c r="Y12" i="29"/>
  <c r="Y17" i="29"/>
  <c r="Y33" i="29"/>
  <c r="Y13" i="29"/>
  <c r="Y22" i="29"/>
  <c r="Y23" i="29"/>
  <c r="Y31" i="29"/>
  <c r="Y10" i="29"/>
  <c r="Y14" i="29"/>
  <c r="Y32" i="29"/>
  <c r="Y11" i="24"/>
  <c r="Y63" i="23"/>
  <c r="Y61" i="12"/>
  <c r="Y59" i="12"/>
  <c r="Y57" i="12"/>
  <c r="AC57" i="12" s="1"/>
  <c r="Y60" i="12"/>
  <c r="Y58" i="12"/>
  <c r="Y52" i="12"/>
  <c r="Y45" i="12"/>
  <c r="AC45" i="12" s="1"/>
  <c r="Y48" i="12"/>
  <c r="Y53" i="12"/>
  <c r="Y50" i="12"/>
  <c r="Y47" i="12"/>
  <c r="Y56" i="12"/>
  <c r="Y46" i="12"/>
  <c r="Y49" i="12"/>
  <c r="Y55" i="12"/>
  <c r="Y54" i="12"/>
  <c r="Y51" i="12"/>
  <c r="Y36" i="12"/>
  <c r="Y25" i="12"/>
  <c r="Y37" i="12"/>
  <c r="Y24" i="12"/>
  <c r="Y22" i="12"/>
  <c r="AC22" i="12" s="1"/>
  <c r="Y31" i="12"/>
  <c r="Y26" i="12"/>
  <c r="Y28" i="12"/>
  <c r="Y35" i="12"/>
  <c r="Y34" i="12"/>
  <c r="Y23" i="12"/>
  <c r="Y33" i="12"/>
  <c r="Y30" i="12"/>
  <c r="Y27" i="12"/>
  <c r="Y29" i="12"/>
  <c r="Y32" i="12"/>
  <c r="Y94" i="12"/>
  <c r="Y96" i="12"/>
  <c r="Y95" i="12"/>
  <c r="Y97" i="12"/>
  <c r="Y93" i="12"/>
  <c r="AC93" i="12" s="1"/>
  <c r="Y98" i="12"/>
  <c r="AC2" i="23"/>
  <c r="Y95" i="30"/>
  <c r="Y94" i="30"/>
  <c r="Y86" i="30"/>
  <c r="AC86" i="30" s="1"/>
  <c r="Y88" i="30"/>
  <c r="Y91" i="30"/>
  <c r="Y97" i="30"/>
  <c r="Y93" i="30"/>
  <c r="Y90" i="30"/>
  <c r="Y87" i="30"/>
  <c r="Y92" i="30"/>
  <c r="Y89" i="30"/>
  <c r="Y96" i="30"/>
  <c r="Y82" i="30"/>
  <c r="Y83" i="30"/>
  <c r="Y80" i="30"/>
  <c r="AC80" i="30" s="1"/>
  <c r="Y85" i="30"/>
  <c r="Y84" i="30"/>
  <c r="Y81" i="30"/>
  <c r="Y9" i="30"/>
  <c r="Y13" i="30"/>
  <c r="Y8" i="30"/>
  <c r="Y10" i="30"/>
  <c r="Y7" i="30"/>
  <c r="AC7" i="30" s="1"/>
  <c r="Y12" i="30"/>
  <c r="Y11" i="30"/>
  <c r="Y40" i="26"/>
  <c r="Y39" i="26"/>
  <c r="Y38" i="26"/>
  <c r="AC38" i="26" s="1"/>
  <c r="Y43" i="26"/>
  <c r="Y42" i="26"/>
  <c r="Y41" i="26"/>
  <c r="Y14" i="31"/>
  <c r="Y13" i="31"/>
  <c r="AC13" i="31" s="1"/>
  <c r="Y60" i="23"/>
  <c r="W81" i="39"/>
  <c r="Y11" i="39"/>
  <c r="Y14" i="39"/>
  <c r="Y15" i="39"/>
  <c r="Y17" i="39"/>
  <c r="Y10" i="39"/>
  <c r="AC10" i="39" s="1"/>
  <c r="Y12" i="39"/>
  <c r="Y16" i="39"/>
  <c r="Y18" i="39"/>
  <c r="Y13" i="39"/>
  <c r="Y5" i="41"/>
  <c r="AC5" i="41" s="1"/>
  <c r="Y6" i="41"/>
  <c r="Y78" i="12"/>
  <c r="Y84" i="12"/>
  <c r="Y76" i="12"/>
  <c r="Y87" i="12"/>
  <c r="Y79" i="12"/>
  <c r="Y83" i="12"/>
  <c r="Y81" i="12"/>
  <c r="Y85" i="12"/>
  <c r="Y82" i="12"/>
  <c r="Y80" i="12"/>
  <c r="Y77" i="12"/>
  <c r="Y86" i="12"/>
  <c r="Y75" i="12"/>
  <c r="AC75" i="12" s="1"/>
  <c r="Y7" i="12"/>
  <c r="AC7" i="12" s="1"/>
  <c r="Y13" i="12"/>
  <c r="Y15" i="12"/>
  <c r="Y8" i="12"/>
  <c r="Y10" i="12"/>
  <c r="Y19" i="12"/>
  <c r="Y17" i="12"/>
  <c r="Y16" i="12"/>
  <c r="Y9" i="12"/>
  <c r="Y14" i="12"/>
  <c r="Y11" i="12"/>
  <c r="Y18" i="12"/>
  <c r="Y20" i="12"/>
  <c r="Y12" i="12"/>
  <c r="Y21" i="12"/>
  <c r="Y41" i="23"/>
  <c r="Y38" i="23"/>
  <c r="AC38" i="23" s="1"/>
  <c r="Y42" i="23"/>
  <c r="Y39" i="23"/>
  <c r="Y40" i="23"/>
  <c r="Y43" i="23"/>
  <c r="Y50" i="23"/>
  <c r="Y47" i="23"/>
  <c r="AC47" i="23" s="1"/>
  <c r="Y48" i="23"/>
  <c r="Y49" i="23"/>
  <c r="Y55" i="28"/>
  <c r="Y50" i="28"/>
  <c r="Y35" i="28"/>
  <c r="Y60" i="28"/>
  <c r="Y61" i="28"/>
  <c r="Y53" i="28"/>
  <c r="Y39" i="28"/>
  <c r="Y49" i="28"/>
  <c r="Y34" i="28"/>
  <c r="Y54" i="28"/>
  <c r="Y43" i="28"/>
  <c r="Y38" i="28"/>
  <c r="Y59" i="28"/>
  <c r="Y37" i="28"/>
  <c r="Y58" i="28"/>
  <c r="Y44" i="28"/>
  <c r="Y41" i="28"/>
  <c r="Y33" i="28"/>
  <c r="AC33" i="28" s="1"/>
  <c r="Y46" i="28"/>
  <c r="Y42" i="28"/>
  <c r="Y48" i="28"/>
  <c r="Y40" i="28"/>
  <c r="Y51" i="28"/>
  <c r="Y52" i="28"/>
  <c r="Y56" i="28"/>
  <c r="Y57" i="28"/>
  <c r="Y36" i="28"/>
  <c r="Y47" i="28"/>
  <c r="Y45" i="28"/>
  <c r="Y55" i="23"/>
  <c r="AC2" i="39"/>
  <c r="AC2" i="40"/>
  <c r="Y36" i="23"/>
  <c r="Y35" i="23"/>
  <c r="Y37" i="23"/>
  <c r="Y34" i="23"/>
  <c r="AC34" i="23" s="1"/>
  <c r="Y32" i="23"/>
  <c r="Y27" i="23"/>
  <c r="Y30" i="23"/>
  <c r="Y26" i="23"/>
  <c r="Y33" i="23"/>
  <c r="Y29" i="23"/>
  <c r="Y24" i="23"/>
  <c r="AC24" i="23" s="1"/>
  <c r="Y25" i="23"/>
  <c r="Y31" i="23"/>
  <c r="Y28" i="23"/>
  <c r="Y16" i="30"/>
  <c r="Y22" i="30"/>
  <c r="Y18" i="30"/>
  <c r="Y15" i="30"/>
  <c r="Y23" i="30"/>
  <c r="Y20" i="30"/>
  <c r="Y17" i="30"/>
  <c r="Y19" i="30"/>
  <c r="Y21" i="30"/>
  <c r="Y14" i="30"/>
  <c r="AC14" i="30" s="1"/>
  <c r="AC2" i="30"/>
  <c r="Y8" i="28"/>
  <c r="Y11" i="28"/>
  <c r="Y12" i="28"/>
  <c r="Y9" i="28"/>
  <c r="Y10" i="28"/>
  <c r="Y7" i="28"/>
  <c r="AC7" i="28" s="1"/>
  <c r="Y47" i="26"/>
  <c r="Y44" i="26"/>
  <c r="AC44" i="26" s="1"/>
  <c r="Y45" i="26"/>
  <c r="Y46" i="26"/>
  <c r="Y48" i="26"/>
  <c r="Y59" i="23"/>
  <c r="Y33" i="39"/>
  <c r="Y31" i="39"/>
  <c r="AC31" i="39" s="1"/>
  <c r="Y32" i="39"/>
  <c r="Y38" i="39"/>
  <c r="Y34" i="39"/>
  <c r="Y36" i="39"/>
  <c r="Y35" i="39"/>
  <c r="Y37" i="39"/>
  <c r="Y5" i="39"/>
  <c r="AC5" i="39" s="1"/>
  <c r="Y6" i="39"/>
  <c r="Y81" i="40"/>
  <c r="AC81" i="40" s="1"/>
  <c r="Y82" i="40"/>
  <c r="AC82" i="40" s="1"/>
  <c r="Y77" i="40"/>
  <c r="AC77" i="40" s="1"/>
  <c r="Y79" i="40"/>
  <c r="AC79" i="40" s="1"/>
  <c r="Y78" i="40"/>
  <c r="Y80" i="40"/>
  <c r="AC80" i="40" s="1"/>
  <c r="Y15" i="40"/>
  <c r="Y17" i="40"/>
  <c r="Y12" i="40"/>
  <c r="AC12" i="40" s="1"/>
  <c r="Y13" i="40"/>
  <c r="Y16" i="40"/>
  <c r="Y14" i="40"/>
  <c r="Y19" i="27"/>
  <c r="Y22" i="27"/>
  <c r="Y20" i="27"/>
  <c r="Y21" i="27"/>
  <c r="Y18" i="27"/>
  <c r="AC18" i="27" s="1"/>
  <c r="AC2" i="27"/>
  <c r="Y65" i="12"/>
  <c r="Y64" i="12"/>
  <c r="Y67" i="12"/>
  <c r="Y66" i="12"/>
  <c r="Y63" i="12"/>
  <c r="Y62" i="12"/>
  <c r="AC62" i="12" s="1"/>
  <c r="Y6" i="23"/>
  <c r="Y5" i="23"/>
  <c r="AC5" i="23" s="1"/>
  <c r="Y45" i="30"/>
  <c r="Y47" i="30"/>
  <c r="Y48" i="30"/>
  <c r="Y53" i="30"/>
  <c r="Y51" i="30"/>
  <c r="Y52" i="30"/>
  <c r="Y46" i="30"/>
  <c r="Y50" i="30"/>
  <c r="Y54" i="30"/>
  <c r="Y44" i="30"/>
  <c r="AC44" i="30" s="1"/>
  <c r="Y49" i="30"/>
  <c r="Y111" i="28"/>
  <c r="AC111" i="28" s="1"/>
  <c r="Y114" i="28"/>
  <c r="Y112" i="28"/>
  <c r="Y113" i="28"/>
  <c r="Y115" i="28"/>
  <c r="Y85" i="24"/>
  <c r="Y49" i="24"/>
  <c r="Y100" i="24"/>
  <c r="Y64" i="24"/>
  <c r="Y28" i="24"/>
  <c r="Y115" i="24"/>
  <c r="Y79" i="24"/>
  <c r="Y43" i="24"/>
  <c r="Y94" i="24"/>
  <c r="Y58" i="24"/>
  <c r="Y22" i="24"/>
  <c r="Y109" i="24"/>
  <c r="Y73" i="24"/>
  <c r="Y37" i="24"/>
  <c r="Y88" i="24"/>
  <c r="Y52" i="24"/>
  <c r="Y103" i="24"/>
  <c r="Y67" i="24"/>
  <c r="Y31" i="24"/>
  <c r="Y118" i="24"/>
  <c r="Y82" i="24"/>
  <c r="Y46" i="24"/>
  <c r="Y97" i="24"/>
  <c r="Y61" i="24"/>
  <c r="Y25" i="24"/>
  <c r="Y112" i="24"/>
  <c r="Y76" i="24"/>
  <c r="Y40" i="24"/>
  <c r="Y91" i="24"/>
  <c r="Y55" i="24"/>
  <c r="Y19" i="24"/>
  <c r="Y106" i="24"/>
  <c r="Y70" i="24"/>
  <c r="Y34" i="24"/>
  <c r="Y92" i="24"/>
  <c r="Y113" i="24"/>
  <c r="Y95" i="24"/>
  <c r="Y21" i="24"/>
  <c r="Y27" i="24"/>
  <c r="Y39" i="24"/>
  <c r="Y26" i="24"/>
  <c r="Y32" i="24"/>
  <c r="Y33" i="24"/>
  <c r="Y44" i="24"/>
  <c r="Y57" i="24"/>
  <c r="Y30" i="24"/>
  <c r="Y62" i="24"/>
  <c r="Y47" i="24"/>
  <c r="Y68" i="24"/>
  <c r="Y53" i="24"/>
  <c r="Y69" i="24"/>
  <c r="Y45" i="24"/>
  <c r="Y35" i="24"/>
  <c r="Y93" i="24"/>
  <c r="Y78" i="24"/>
  <c r="Y99" i="24"/>
  <c r="Y29" i="24"/>
  <c r="Y24" i="24"/>
  <c r="Y50" i="24"/>
  <c r="Y66" i="24"/>
  <c r="Y36" i="24"/>
  <c r="Y101" i="24"/>
  <c r="Y60" i="24"/>
  <c r="Y81" i="24"/>
  <c r="Y71" i="24"/>
  <c r="Y20" i="24"/>
  <c r="Y41" i="24"/>
  <c r="Y114" i="24"/>
  <c r="Y110" i="24"/>
  <c r="Y23" i="24"/>
  <c r="Y117" i="24"/>
  <c r="Y107" i="24"/>
  <c r="Y56" i="24"/>
  <c r="Y77" i="24"/>
  <c r="Y72" i="24"/>
  <c r="Y18" i="24"/>
  <c r="AC18" i="24" s="1"/>
  <c r="Y108" i="24"/>
  <c r="Y48" i="24"/>
  <c r="Y38" i="24"/>
  <c r="Y75" i="24"/>
  <c r="Y51" i="24"/>
  <c r="Y84" i="24"/>
  <c r="Y74" i="24"/>
  <c r="Y80" i="24"/>
  <c r="Y102" i="24"/>
  <c r="Y87" i="24"/>
  <c r="Y42" i="24"/>
  <c r="Y89" i="24"/>
  <c r="Y105" i="24"/>
  <c r="Y111" i="24"/>
  <c r="Y86" i="24"/>
  <c r="Y83" i="24"/>
  <c r="Y116" i="24"/>
  <c r="Y119" i="24"/>
  <c r="Y54" i="24"/>
  <c r="Y63" i="24"/>
  <c r="Y59" i="24"/>
  <c r="Y96" i="24"/>
  <c r="Y104" i="24"/>
  <c r="Y90" i="24"/>
  <c r="Y65" i="24"/>
  <c r="Y98" i="24"/>
  <c r="Y15" i="24"/>
  <c r="Y62" i="23"/>
  <c r="Y44" i="39"/>
  <c r="AC44" i="39" s="1"/>
  <c r="Y45" i="39"/>
  <c r="Y46" i="39"/>
  <c r="Y52" i="26"/>
  <c r="Y50" i="26"/>
  <c r="Y51" i="26"/>
  <c r="Y49" i="26"/>
  <c r="Y53" i="26"/>
  <c r="Y6" i="27"/>
  <c r="Y5" i="27"/>
  <c r="AC5" i="27" s="1"/>
  <c r="Y44" i="12"/>
  <c r="Y41" i="12"/>
  <c r="Y42" i="12"/>
  <c r="Y43" i="12"/>
  <c r="Y38" i="12"/>
  <c r="AC38" i="12" s="1"/>
  <c r="Y40" i="12"/>
  <c r="Y39" i="12"/>
  <c r="Y8" i="23"/>
  <c r="Y15" i="23"/>
  <c r="Y11" i="23"/>
  <c r="Y14" i="23"/>
  <c r="Y9" i="23"/>
  <c r="Y12" i="23"/>
  <c r="Y13" i="23"/>
  <c r="Y10" i="23"/>
  <c r="Y7" i="23"/>
  <c r="AC7" i="23" s="1"/>
  <c r="Y5" i="26"/>
  <c r="AC5" i="26" s="1"/>
  <c r="Y6" i="26"/>
  <c r="Y57" i="30"/>
  <c r="Y55" i="30"/>
  <c r="AC55" i="30" s="1"/>
  <c r="Y56" i="30"/>
  <c r="Y59" i="30"/>
  <c r="Y60" i="30"/>
  <c r="Y62" i="30"/>
  <c r="Y58" i="30"/>
  <c r="Y61" i="30"/>
  <c r="Y6" i="28"/>
  <c r="Y5" i="28"/>
  <c r="AC5" i="28" s="1"/>
  <c r="Y14" i="26"/>
  <c r="Y16" i="26"/>
  <c r="Y13" i="26"/>
  <c r="Y17" i="26"/>
  <c r="Y15" i="26"/>
  <c r="Y71" i="31"/>
  <c r="Y58" i="31"/>
  <c r="Y65" i="31"/>
  <c r="Y48" i="31"/>
  <c r="Y69" i="31"/>
  <c r="Y54" i="31"/>
  <c r="Y7" i="31"/>
  <c r="AC7" i="31" s="1"/>
  <c r="Y72" i="31"/>
  <c r="Y60" i="31"/>
  <c r="Y47" i="31"/>
  <c r="Y75" i="31"/>
  <c r="Y68" i="31"/>
  <c r="Y66" i="31"/>
  <c r="Y73" i="31"/>
  <c r="Y70" i="31"/>
  <c r="Y62" i="31"/>
  <c r="Y67" i="31"/>
  <c r="Y61" i="31"/>
  <c r="Y52" i="31"/>
  <c r="Y64" i="31"/>
  <c r="Y63" i="31"/>
  <c r="Y74" i="31"/>
  <c r="Y51" i="31"/>
  <c r="Y57" i="31"/>
  <c r="Y59" i="31"/>
  <c r="Y50" i="31"/>
  <c r="Y53" i="31"/>
  <c r="Y55" i="31"/>
  <c r="Y49" i="31"/>
  <c r="Y76" i="31"/>
  <c r="Y56" i="31"/>
  <c r="Y96" i="31"/>
  <c r="Y132" i="31"/>
  <c r="Y114" i="31"/>
  <c r="Y110" i="31"/>
  <c r="Y109" i="31"/>
  <c r="Y112" i="31"/>
  <c r="Y137" i="31"/>
  <c r="Y77" i="31"/>
  <c r="Y122" i="31"/>
  <c r="Y106" i="31"/>
  <c r="Y107" i="31"/>
  <c r="Y127" i="31"/>
  <c r="Y144" i="31"/>
  <c r="Y155" i="31"/>
  <c r="Y124" i="31"/>
  <c r="Y102" i="31"/>
  <c r="Y104" i="31"/>
  <c r="Y111" i="31"/>
  <c r="Y135" i="31"/>
  <c r="Y138" i="31"/>
  <c r="Y89" i="31"/>
  <c r="Y90" i="31"/>
  <c r="Y101" i="31"/>
  <c r="Y103" i="31"/>
  <c r="Y117" i="31"/>
  <c r="Y129" i="31"/>
  <c r="Y119" i="31"/>
  <c r="Y80" i="31"/>
  <c r="Y130" i="31"/>
  <c r="Y136" i="31"/>
  <c r="Y98" i="31"/>
  <c r="Y87" i="31"/>
  <c r="Y113" i="31"/>
  <c r="Y18" i="31"/>
  <c r="Y133" i="31"/>
  <c r="Y83" i="31"/>
  <c r="Y125" i="31"/>
  <c r="Y139" i="31"/>
  <c r="Y145" i="31"/>
  <c r="Y95" i="31"/>
  <c r="Y82" i="31"/>
  <c r="Y105" i="31"/>
  <c r="Y142" i="31"/>
  <c r="Y134" i="31"/>
  <c r="Y84" i="31"/>
  <c r="Y143" i="31"/>
  <c r="Y121" i="31"/>
  <c r="Y79" i="31"/>
  <c r="Y115" i="31"/>
  <c r="Y17" i="31"/>
  <c r="AC17" i="31" s="1"/>
  <c r="Y131" i="31"/>
  <c r="Y99" i="31"/>
  <c r="Y120" i="31"/>
  <c r="Y78" i="31"/>
  <c r="Y154" i="31"/>
  <c r="Y94" i="31"/>
  <c r="Y88" i="31"/>
  <c r="Y81" i="31"/>
  <c r="Y140" i="31"/>
  <c r="Y97" i="31"/>
  <c r="Y92" i="31"/>
  <c r="Y141" i="31"/>
  <c r="Y100" i="31"/>
  <c r="Y116" i="31"/>
  <c r="Y126" i="31"/>
  <c r="Y118" i="31"/>
  <c r="Y102" i="25"/>
  <c r="Y110" i="25"/>
  <c r="Y106" i="25"/>
  <c r="AC106" i="25" s="1"/>
  <c r="Y113" i="25"/>
  <c r="Y115" i="25"/>
  <c r="Y116" i="25"/>
  <c r="Y117" i="25"/>
  <c r="Y119" i="25"/>
  <c r="Y108" i="25"/>
  <c r="Y109" i="25"/>
  <c r="Y114" i="25"/>
  <c r="Y118" i="25"/>
  <c r="Y111" i="25"/>
  <c r="Y107" i="25"/>
  <c r="Y112" i="25"/>
  <c r="Y8" i="24"/>
  <c r="AC8" i="24" s="1"/>
  <c r="AC1" i="24" s="1"/>
  <c r="Y61" i="23"/>
  <c r="Y48" i="39"/>
  <c r="Y49" i="39"/>
  <c r="Y47" i="39"/>
  <c r="AC47" i="39" s="1"/>
  <c r="Y34" i="40"/>
  <c r="AC34" i="40" s="1"/>
  <c r="Y27" i="40"/>
  <c r="AC27" i="40" s="1"/>
  <c r="Y31" i="40"/>
  <c r="AC31" i="40" s="1"/>
  <c r="Y37" i="40"/>
  <c r="AC37" i="40" s="1"/>
  <c r="Y29" i="40"/>
  <c r="AC29" i="40" s="1"/>
  <c r="Y32" i="40"/>
  <c r="AC32" i="40" s="1"/>
  <c r="Y39" i="40"/>
  <c r="AC39" i="40" s="1"/>
  <c r="Y36" i="40"/>
  <c r="AC36" i="40" s="1"/>
  <c r="Y38" i="40"/>
  <c r="AC38" i="40" s="1"/>
  <c r="Y30" i="40"/>
  <c r="AC30" i="40" s="1"/>
  <c r="Y28" i="40"/>
  <c r="AC28" i="40" s="1"/>
  <c r="Y25" i="40"/>
  <c r="AC25" i="40" s="1"/>
  <c r="Y35" i="40"/>
  <c r="AC35" i="40" s="1"/>
  <c r="Y33" i="40"/>
  <c r="AC33" i="40" s="1"/>
  <c r="Y26" i="40"/>
  <c r="Y9" i="41"/>
  <c r="Y8" i="41"/>
  <c r="Y7" i="41"/>
  <c r="AC7" i="41" s="1"/>
  <c r="Y10" i="41"/>
  <c r="Y107" i="12"/>
  <c r="Y108" i="12"/>
  <c r="Y102" i="12"/>
  <c r="Y113" i="12"/>
  <c r="Y103" i="12"/>
  <c r="Y100" i="12"/>
  <c r="Y115" i="12"/>
  <c r="Y111" i="12"/>
  <c r="Y105" i="12"/>
  <c r="Y116" i="12"/>
  <c r="Y119" i="12"/>
  <c r="Y106" i="12"/>
  <c r="Y101" i="12"/>
  <c r="Y110" i="12"/>
  <c r="Y99" i="12"/>
  <c r="AC99" i="12" s="1"/>
  <c r="Y118" i="12"/>
  <c r="Y109" i="12"/>
  <c r="Y117" i="12"/>
  <c r="Y112" i="12"/>
  <c r="Y114" i="12"/>
  <c r="Y104" i="12"/>
  <c r="Y22" i="26"/>
  <c r="Y19" i="26"/>
  <c r="Y23" i="26"/>
  <c r="Y18" i="26"/>
  <c r="AC18" i="26" s="1"/>
  <c r="Y21" i="26"/>
  <c r="Y25" i="26"/>
  <c r="Y24" i="26"/>
  <c r="Y20" i="26"/>
  <c r="Y67" i="26"/>
  <c r="Y62" i="26"/>
  <c r="Y58" i="26"/>
  <c r="Y66" i="26"/>
  <c r="Y63" i="26"/>
  <c r="Y56" i="26"/>
  <c r="Y65" i="26"/>
  <c r="Y61" i="26"/>
  <c r="Y57" i="26"/>
  <c r="Y55" i="26"/>
  <c r="Y54" i="26"/>
  <c r="AC54" i="26" s="1"/>
  <c r="Y64" i="26"/>
  <c r="Y60" i="26"/>
  <c r="Y59" i="26"/>
  <c r="Y68" i="26"/>
  <c r="Y1" i="25"/>
  <c r="AC2" i="25"/>
  <c r="AC1" i="25" s="1"/>
  <c r="Y7" i="39"/>
  <c r="AC7" i="39" s="1"/>
  <c r="Y9" i="39"/>
  <c r="Y8" i="39"/>
  <c r="Y52" i="39"/>
  <c r="Y51" i="39"/>
  <c r="Y50" i="39"/>
  <c r="AC50" i="39" s="1"/>
  <c r="Y60" i="40"/>
  <c r="AC60" i="40" s="1"/>
  <c r="Y64" i="40"/>
  <c r="AC64" i="40" s="1"/>
  <c r="Y63" i="40"/>
  <c r="AC63" i="40" s="1"/>
  <c r="Y62" i="40"/>
  <c r="AC62" i="40" s="1"/>
  <c r="Y58" i="40"/>
  <c r="AC58" i="40" s="1"/>
  <c r="Y61" i="40"/>
  <c r="AC61" i="40" s="1"/>
  <c r="Y59" i="40"/>
  <c r="Y1" i="27" l="1"/>
  <c r="Y1" i="41"/>
  <c r="AC1" i="27"/>
  <c r="Y1" i="24"/>
  <c r="Y1" i="23"/>
  <c r="Y1" i="30"/>
  <c r="AC1" i="40"/>
  <c r="AC1" i="23"/>
  <c r="Y1" i="12"/>
  <c r="AC1" i="30"/>
  <c r="Y1" i="40"/>
  <c r="AC1" i="28"/>
  <c r="AC136" i="28" s="1"/>
  <c r="Y1" i="31"/>
  <c r="Y1" i="39"/>
  <c r="Y1" i="28"/>
  <c r="AC1" i="31"/>
  <c r="AC1" i="39"/>
  <c r="AC74" i="39" s="1"/>
  <c r="AC1" i="29"/>
  <c r="AC63" i="29" s="1"/>
  <c r="Y1" i="29"/>
  <c r="Y1" i="26"/>
  <c r="AC1" i="26"/>
  <c r="AC72" i="26" s="1"/>
  <c r="AC1" i="41"/>
</calcChain>
</file>

<file path=xl/comments1.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I122" authorId="0" shapeId="0">
      <text>
        <r>
          <rPr>
            <sz val="10"/>
            <color rgb="FF000000"/>
            <rFont val="Arial"/>
            <scheme val="minor"/>
          </rPr>
          <t>Valor mensual por persona</t>
        </r>
      </text>
    </comment>
    <comment ref="M122" authorId="0" shapeId="0">
      <text>
        <r>
          <rPr>
            <sz val="10"/>
            <color rgb="FF000000"/>
            <rFont val="Arial"/>
            <scheme val="minor"/>
          </rPr>
          <t>Espacio de trabajo + Computador</t>
        </r>
      </text>
    </comment>
    <comment ref="E123" authorId="0" shapeId="0">
      <text>
        <r>
          <rPr>
            <sz val="10"/>
            <color rgb="FF000000"/>
            <rFont val="Arial"/>
            <scheme val="minor"/>
          </rPr>
          <t>Salario minimo legal vigente</t>
        </r>
      </text>
    </comment>
    <comment ref="G123" authorId="0" shapeId="0">
      <text>
        <r>
          <rPr>
            <sz val="10"/>
            <color rgb="FF000000"/>
            <rFont val="Arial"/>
            <scheme val="minor"/>
          </rPr>
          <t>Auxilio de transporte</t>
        </r>
      </text>
    </comment>
    <comment ref="J123" authorId="0" shapeId="0">
      <text>
        <r>
          <rPr>
            <sz val="10"/>
            <color rgb="FF000000"/>
            <rFont val="Arial"/>
            <scheme val="minor"/>
          </rPr>
          <t>12% pensión
4% caja
0,5% ARL
13% adicional si fueran +10 salarios</t>
        </r>
      </text>
    </comment>
    <comment ref="M123" authorId="0" shapeId="0">
      <text>
        <r>
          <rPr>
            <sz val="10"/>
            <color rgb="FF000000"/>
            <rFont val="Arial"/>
            <scheme val="minor"/>
          </rPr>
          <t>1 primas
1 cesantías
0,5 vacaciones
1% intereses censantías + aux</t>
        </r>
      </text>
    </comment>
    <comment ref="O123" authorId="0" shapeId="0">
      <text>
        <r>
          <rPr>
            <sz val="10"/>
            <color rgb="FF000000"/>
            <rFont val="Arial"/>
            <scheme val="minor"/>
          </rPr>
          <t>40 semanales
x 4,2 semanas al mes
x días festivos del año / total hábiles</t>
        </r>
      </text>
    </comment>
    <comment ref="I130" authorId="0" shapeId="0">
      <text>
        <r>
          <rPr>
            <sz val="10"/>
            <color rgb="FF000000"/>
            <rFont val="Arial"/>
            <scheme val="minor"/>
          </rPr>
          <t>Equipos mobile para test</t>
        </r>
      </text>
    </comment>
    <comment ref="I132" authorId="0" shapeId="0">
      <text>
        <r>
          <rPr>
            <sz val="10"/>
            <color rgb="FF000000"/>
            <rFont val="Arial"/>
            <scheme val="minor"/>
          </rPr>
          <t>Equipo MAC para despliegue</t>
        </r>
      </text>
    </comment>
    <comment ref="I133" authorId="0" shapeId="0">
      <text>
        <r>
          <rPr>
            <sz val="10"/>
            <color rgb="FF000000"/>
            <rFont val="Arial"/>
            <scheme val="minor"/>
          </rPr>
          <t>Equipo MAC para despliegue</t>
        </r>
      </text>
    </comment>
  </commentList>
</comments>
</file>

<file path=xl/comments2.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W9" authorId="0" shapeId="0">
      <text>
        <r>
          <rPr>
            <sz val="10"/>
            <color rgb="FF000000"/>
            <rFont val="Arial"/>
            <scheme val="minor"/>
          </rPr>
          <t xml:space="preserve">El Flujo conversacional se define a detalle con el cliente en reuniones de requerimientos especificas, no aumenta el valor pero si define la estructura correcta del flujo </t>
        </r>
      </text>
    </comment>
    <comment ref="W11" authorId="0" shapeId="0">
      <text>
        <r>
          <rPr>
            <sz val="10"/>
            <color rgb="FF000000"/>
            <rFont val="Arial"/>
            <scheme val="minor"/>
          </rPr>
          <t xml:space="preserve">Es importante definir cuando esto es escalable a una atención manual y no de la IA 
</t>
        </r>
      </text>
    </comment>
    <comment ref="W14" authorId="0" shapeId="0">
      <text>
        <r>
          <rPr>
            <sz val="10"/>
            <color rgb="FF000000"/>
            <rFont val="Arial"/>
            <scheme val="minor"/>
          </rPr>
          <t xml:space="preserve">La ficha basica del paciente es algo especifico ? Se recopila desde la IA y tambien se puede gestionar manual ? </t>
        </r>
      </text>
    </comment>
    <comment ref="W15" authorId="0" shapeId="0">
      <text>
        <r>
          <rPr>
            <sz val="10"/>
            <color rgb="FF000000"/>
            <rFont val="Arial"/>
            <scheme val="minor"/>
          </rPr>
          <t xml:space="preserve">Se deben definir los parametros para clasificar por ejemplo, recurrentes, pacientes que agendan más de una vez en el mes o x veces en el año </t>
        </r>
      </text>
    </comment>
    <comment ref="W26" authorId="0" shapeId="0">
      <text>
        <r>
          <rPr>
            <sz val="10"/>
            <color rgb="FF000000"/>
            <rFont val="Arial"/>
            <scheme val="minor"/>
          </rPr>
          <t xml:space="preserve">Para esto se debe establecer desde el flujo cuando le saldrá la opción al usuario. y tambien se debe integrar con Google Calendar </t>
        </r>
      </text>
    </comment>
    <comment ref="I66" authorId="0" shapeId="0">
      <text>
        <r>
          <rPr>
            <sz val="10"/>
            <color rgb="FF000000"/>
            <rFont val="Arial"/>
            <scheme val="minor"/>
          </rPr>
          <t>Valor mensual por persona</t>
        </r>
      </text>
    </comment>
    <comment ref="M66" authorId="0" shapeId="0">
      <text>
        <r>
          <rPr>
            <sz val="10"/>
            <color rgb="FF000000"/>
            <rFont val="Arial"/>
            <scheme val="minor"/>
          </rPr>
          <t>Espacio de trabajo + Computador</t>
        </r>
      </text>
    </comment>
    <comment ref="E67" authorId="0" shapeId="0">
      <text>
        <r>
          <rPr>
            <sz val="10"/>
            <color rgb="FF000000"/>
            <rFont val="Arial"/>
            <scheme val="minor"/>
          </rPr>
          <t>Salario minimo legal vigente</t>
        </r>
      </text>
    </comment>
    <comment ref="G67" authorId="0" shapeId="0">
      <text>
        <r>
          <rPr>
            <sz val="10"/>
            <color rgb="FF000000"/>
            <rFont val="Arial"/>
            <scheme val="minor"/>
          </rPr>
          <t>Auxilio de transporte</t>
        </r>
      </text>
    </comment>
    <comment ref="J67" authorId="0" shapeId="0">
      <text>
        <r>
          <rPr>
            <sz val="10"/>
            <color rgb="FF000000"/>
            <rFont val="Arial"/>
            <scheme val="minor"/>
          </rPr>
          <t>12% pensión
4% caja
0,5% ARL
13% adicional si fueran +10 salarios</t>
        </r>
      </text>
    </comment>
    <comment ref="M67" authorId="0" shapeId="0">
      <text>
        <r>
          <rPr>
            <sz val="10"/>
            <color rgb="FF000000"/>
            <rFont val="Arial"/>
            <scheme val="minor"/>
          </rPr>
          <t>1 primas
1 cesantías
0,5 vacaciones
1% intereses censantías + aux</t>
        </r>
      </text>
    </comment>
    <comment ref="O67" authorId="0" shapeId="0">
      <text>
        <r>
          <rPr>
            <sz val="10"/>
            <color rgb="FF000000"/>
            <rFont val="Arial"/>
            <scheme val="minor"/>
          </rPr>
          <t>40 semanales
x 4,2 semanas al mes
x días festivos del año / total hábiles</t>
        </r>
      </text>
    </comment>
    <comment ref="I74" authorId="0" shapeId="0">
      <text>
        <r>
          <rPr>
            <sz val="10"/>
            <color rgb="FF000000"/>
            <rFont val="Arial"/>
            <scheme val="minor"/>
          </rPr>
          <t>Equipos mobile para test</t>
        </r>
      </text>
    </comment>
    <comment ref="I76" authorId="0" shapeId="0">
      <text>
        <r>
          <rPr>
            <sz val="10"/>
            <color rgb="FF000000"/>
            <rFont val="Arial"/>
            <scheme val="minor"/>
          </rPr>
          <t>Equipo MAC para despliegue</t>
        </r>
      </text>
    </comment>
    <comment ref="I77" authorId="0" shapeId="0">
      <text>
        <r>
          <rPr>
            <sz val="10"/>
            <color rgb="FF000000"/>
            <rFont val="Arial"/>
            <scheme val="minor"/>
          </rPr>
          <t>Equipo MAC para despliegue</t>
        </r>
      </text>
    </comment>
    <comment ref="A84" authorId="0" shapeId="0">
      <text>
        <r>
          <rPr>
            <sz val="10"/>
            <color rgb="FF000000"/>
            <rFont val="Arial"/>
            <scheme val="minor"/>
          </rPr>
          <t>Cronograma de entrega 
2 Meses de desarrollo despues de la toma de requerimientos 
En el mes 3 la implementación y entrega del sistema</t>
        </r>
      </text>
    </comment>
  </commentList>
</comments>
</file>

<file path=xl/comments3.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I122" authorId="0" shapeId="0">
      <text>
        <r>
          <rPr>
            <sz val="10"/>
            <color rgb="FF000000"/>
            <rFont val="Arial"/>
            <scheme val="minor"/>
          </rPr>
          <t>Valor mensual por persona</t>
        </r>
      </text>
    </comment>
    <comment ref="M122" authorId="0" shapeId="0">
      <text>
        <r>
          <rPr>
            <sz val="10"/>
            <color rgb="FF000000"/>
            <rFont val="Arial"/>
            <scheme val="minor"/>
          </rPr>
          <t>Espacio de trabajo + Computador</t>
        </r>
      </text>
    </comment>
    <comment ref="E123" authorId="0" shapeId="0">
      <text>
        <r>
          <rPr>
            <sz val="10"/>
            <color rgb="FF000000"/>
            <rFont val="Arial"/>
            <scheme val="minor"/>
          </rPr>
          <t>Salario minimo legal vigente</t>
        </r>
      </text>
    </comment>
    <comment ref="G123" authorId="0" shapeId="0">
      <text>
        <r>
          <rPr>
            <sz val="10"/>
            <color rgb="FF000000"/>
            <rFont val="Arial"/>
            <scheme val="minor"/>
          </rPr>
          <t>Auxilio de transporte</t>
        </r>
      </text>
    </comment>
    <comment ref="J123" authorId="0" shapeId="0">
      <text>
        <r>
          <rPr>
            <sz val="10"/>
            <color rgb="FF000000"/>
            <rFont val="Arial"/>
            <scheme val="minor"/>
          </rPr>
          <t>12% pensión
4% caja
0,5% ARL
13% adicional si fueran +10 salarios</t>
        </r>
      </text>
    </comment>
    <comment ref="M123" authorId="0" shapeId="0">
      <text>
        <r>
          <rPr>
            <sz val="10"/>
            <color rgb="FF000000"/>
            <rFont val="Arial"/>
            <scheme val="minor"/>
          </rPr>
          <t>1 primas
1 cesantías
0,5 vacaciones
1% intereses censantías + aux</t>
        </r>
      </text>
    </comment>
    <comment ref="O123" authorId="0" shapeId="0">
      <text>
        <r>
          <rPr>
            <sz val="10"/>
            <color rgb="FF000000"/>
            <rFont val="Arial"/>
            <scheme val="minor"/>
          </rPr>
          <t>40 semanales
x 4,2 semanas al mes
x días festivos del año / total hábiles</t>
        </r>
      </text>
    </comment>
    <comment ref="I130" authorId="0" shapeId="0">
      <text>
        <r>
          <rPr>
            <sz val="10"/>
            <color rgb="FF000000"/>
            <rFont val="Arial"/>
            <scheme val="minor"/>
          </rPr>
          <t>Equipos mobile para test</t>
        </r>
      </text>
    </comment>
    <comment ref="I132" authorId="0" shapeId="0">
      <text>
        <r>
          <rPr>
            <sz val="10"/>
            <color rgb="FF000000"/>
            <rFont val="Arial"/>
            <scheme val="minor"/>
          </rPr>
          <t>Equipo MAC para despliegue</t>
        </r>
      </text>
    </comment>
    <comment ref="I133" authorId="0" shapeId="0">
      <text>
        <r>
          <rPr>
            <sz val="10"/>
            <color rgb="FF000000"/>
            <rFont val="Arial"/>
            <scheme val="minor"/>
          </rPr>
          <t>Equipo MAC para despliegue</t>
        </r>
      </text>
    </comment>
  </commentList>
</comments>
</file>

<file path=xl/comments4.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I122" authorId="0" shapeId="0">
      <text>
        <r>
          <rPr>
            <sz val="10"/>
            <color rgb="FF000000"/>
            <rFont val="Arial"/>
            <scheme val="minor"/>
          </rPr>
          <t>Valor mensual por persona</t>
        </r>
      </text>
    </comment>
    <comment ref="M122" authorId="0" shapeId="0">
      <text>
        <r>
          <rPr>
            <sz val="10"/>
            <color rgb="FF000000"/>
            <rFont val="Arial"/>
            <scheme val="minor"/>
          </rPr>
          <t>Espacio de trabajo + Computador</t>
        </r>
      </text>
    </comment>
    <comment ref="E123" authorId="0" shapeId="0">
      <text>
        <r>
          <rPr>
            <sz val="10"/>
            <color rgb="FF000000"/>
            <rFont val="Arial"/>
            <scheme val="minor"/>
          </rPr>
          <t>Salario minimo legal vigente</t>
        </r>
      </text>
    </comment>
    <comment ref="G123" authorId="0" shapeId="0">
      <text>
        <r>
          <rPr>
            <sz val="10"/>
            <color rgb="FF000000"/>
            <rFont val="Arial"/>
            <scheme val="minor"/>
          </rPr>
          <t>Auxilio de transporte</t>
        </r>
      </text>
    </comment>
    <comment ref="J123" authorId="0" shapeId="0">
      <text>
        <r>
          <rPr>
            <sz val="10"/>
            <color rgb="FF000000"/>
            <rFont val="Arial"/>
            <scheme val="minor"/>
          </rPr>
          <t>12% pensión
4% caja
0,5% ARL
13% adicional si fueran +10 salarios</t>
        </r>
      </text>
    </comment>
    <comment ref="M123" authorId="0" shapeId="0">
      <text>
        <r>
          <rPr>
            <sz val="10"/>
            <color rgb="FF000000"/>
            <rFont val="Arial"/>
            <scheme val="minor"/>
          </rPr>
          <t>1 primas
1 cesantías
0,5 vacaciones
1% intereses censantías + aux</t>
        </r>
      </text>
    </comment>
    <comment ref="O123" authorId="0" shapeId="0">
      <text>
        <r>
          <rPr>
            <sz val="10"/>
            <color rgb="FF000000"/>
            <rFont val="Arial"/>
            <scheme val="minor"/>
          </rPr>
          <t>40 semanales
x 4,2 semanas al mes
x días festivos del año / total hábiles</t>
        </r>
      </text>
    </comment>
    <comment ref="I130" authorId="0" shapeId="0">
      <text>
        <r>
          <rPr>
            <sz val="10"/>
            <color rgb="FF000000"/>
            <rFont val="Arial"/>
            <scheme val="minor"/>
          </rPr>
          <t>Equipos mobile para test</t>
        </r>
      </text>
    </comment>
    <comment ref="I132" authorId="0" shapeId="0">
      <text>
        <r>
          <rPr>
            <sz val="10"/>
            <color rgb="FF000000"/>
            <rFont val="Arial"/>
            <scheme val="minor"/>
          </rPr>
          <t>Equipo MAC para despliegue</t>
        </r>
      </text>
    </comment>
    <comment ref="I133" authorId="0" shapeId="0">
      <text>
        <r>
          <rPr>
            <sz val="10"/>
            <color rgb="FF000000"/>
            <rFont val="Arial"/>
            <scheme val="minor"/>
          </rPr>
          <t>Equipo MAC para despliegue</t>
        </r>
      </text>
    </comment>
  </commentList>
</comments>
</file>

<file path=xl/comments5.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W8" authorId="0" shapeId="0">
      <text>
        <r>
          <rPr>
            <sz val="10"/>
            <color rgb="FF000000"/>
            <rFont val="Arial"/>
            <scheme val="minor"/>
          </rPr>
          <t>Si es sincronización es trabajo con Licencias, se cotiza bajo la premisa que existe la licencia y se paga la licencia para realizarla en 
Microsoft Power Automate (parte de la Power Platform)</t>
        </r>
      </text>
    </comment>
    <comment ref="W13" authorId="0" shapeId="0">
      <text>
        <r>
          <rPr>
            <sz val="10"/>
            <color rgb="FF000000"/>
            <rFont val="Arial"/>
            <scheme val="minor"/>
          </rPr>
          <t xml:space="preserve">Todas estas variables No están definidas a detalle, una vez se tome un requerimiento especifico el valor puede cambiar. </t>
        </r>
      </text>
    </comment>
    <comment ref="W18" authorId="0" shapeId="0">
      <text>
        <r>
          <rPr>
            <sz val="10"/>
            <color rgb="FF000000"/>
            <rFont val="Arial"/>
            <scheme val="minor"/>
          </rPr>
          <t xml:space="preserve">Esto tambien es calculado sobre supuestos, no está definido el calculo de cada caso si tiene formulas especificas. En el requerimiento especifico el valor puede cambiar </t>
        </r>
      </text>
    </comment>
    <comment ref="W33" authorId="0" shapeId="0">
      <text>
        <r>
          <rPr>
            <sz val="10"/>
            <color rgb="FF000000"/>
            <rFont val="Arial"/>
            <scheme val="minor"/>
          </rPr>
          <t xml:space="preserve">Se necesita mayor aclaración de validación de datos obligatorios, porque se supone que es consolidación de PQRS que ya llegan entonces esa validación no se entiende a que hace referencia. 
o esto es lo mismo de validación y normalización de encuestas que son aparentemente explicación al cliente, se debe validar mejor 
</t>
        </r>
      </text>
    </comment>
    <comment ref="W38" authorId="0" shapeId="0">
      <text>
        <r>
          <rPr>
            <sz val="10"/>
            <color rgb="FF000000"/>
            <rFont val="Arial"/>
            <scheme val="minor"/>
          </rPr>
          <t xml:space="preserve">Falta definir los calculos de las metricas o si son estandar del mercado, cosas de logica de negocio, posterior toma de requerimientos </t>
        </r>
      </text>
    </comment>
    <comment ref="W49" authorId="0" shapeId="0">
      <text>
        <r>
          <rPr>
            <sz val="10"/>
            <color rgb="FF000000"/>
            <rFont val="Arial"/>
            <scheme val="minor"/>
          </rPr>
          <t xml:space="preserve">Esto se requiere ver en una sección adicional ?? Si no re requiere ver en una sección adicional se plantea mejor en una grafica en la visualziación de tableros y se ahorran esta sección.. 
Solo el Analisis del impacto, lo otro va interno en el codigo, son parametros a tomar en cuenta. </t>
        </r>
      </text>
    </comment>
    <comment ref="W63" authorId="0" shapeId="0">
      <text>
        <r>
          <rPr>
            <sz val="10"/>
            <color rgb="FF000000"/>
            <rFont val="Arial"/>
            <scheme val="minor"/>
          </rPr>
          <t xml:space="preserve">Esto no se cotiza, es aparentemente un mensaje para el cliente 
</t>
        </r>
      </text>
    </comment>
    <comment ref="I72" authorId="0" shapeId="0">
      <text>
        <r>
          <rPr>
            <sz val="10"/>
            <color rgb="FF000000"/>
            <rFont val="Arial"/>
            <scheme val="minor"/>
          </rPr>
          <t>Valor mensual por persona</t>
        </r>
      </text>
    </comment>
    <comment ref="M72" authorId="0" shapeId="0">
      <text>
        <r>
          <rPr>
            <sz val="10"/>
            <color rgb="FF000000"/>
            <rFont val="Arial"/>
            <scheme val="minor"/>
          </rPr>
          <t>Espacio de trabajo + Computador</t>
        </r>
      </text>
    </comment>
    <comment ref="E73" authorId="0" shapeId="0">
      <text>
        <r>
          <rPr>
            <sz val="10"/>
            <color rgb="FF000000"/>
            <rFont val="Arial"/>
            <scheme val="minor"/>
          </rPr>
          <t>Salario minimo legal vigente</t>
        </r>
      </text>
    </comment>
    <comment ref="G73" authorId="0" shapeId="0">
      <text>
        <r>
          <rPr>
            <sz val="10"/>
            <color rgb="FF000000"/>
            <rFont val="Arial"/>
            <scheme val="minor"/>
          </rPr>
          <t>Auxilio de transporte</t>
        </r>
      </text>
    </comment>
    <comment ref="J73" authorId="0" shapeId="0">
      <text>
        <r>
          <rPr>
            <sz val="10"/>
            <color rgb="FF000000"/>
            <rFont val="Arial"/>
            <scheme val="minor"/>
          </rPr>
          <t>12% pensión
4% caja
0,5% ARL
13% adicional si fueran +10 salarios</t>
        </r>
      </text>
    </comment>
    <comment ref="M73" authorId="0" shapeId="0">
      <text>
        <r>
          <rPr>
            <sz val="10"/>
            <color rgb="FF000000"/>
            <rFont val="Arial"/>
            <scheme val="minor"/>
          </rPr>
          <t>1 primas
1 cesantías
0,5 vacaciones
1% intereses censantías + aux</t>
        </r>
      </text>
    </comment>
    <comment ref="O73" authorId="0" shapeId="0">
      <text>
        <r>
          <rPr>
            <sz val="10"/>
            <color rgb="FF000000"/>
            <rFont val="Arial"/>
            <scheme val="minor"/>
          </rPr>
          <t>40 semanales
x 4,2 semanas al mes
x días festivos del año / total hábiles</t>
        </r>
      </text>
    </comment>
    <comment ref="I80" authorId="0" shapeId="0">
      <text>
        <r>
          <rPr>
            <sz val="10"/>
            <color rgb="FF000000"/>
            <rFont val="Arial"/>
            <scheme val="minor"/>
          </rPr>
          <t>Equipos mobile para test</t>
        </r>
      </text>
    </comment>
    <comment ref="I82" authorId="0" shapeId="0">
      <text>
        <r>
          <rPr>
            <sz val="10"/>
            <color rgb="FF000000"/>
            <rFont val="Arial"/>
            <scheme val="minor"/>
          </rPr>
          <t>Equipo MAC para despliegue</t>
        </r>
      </text>
    </comment>
    <comment ref="I83" authorId="0" shapeId="0">
      <text>
        <r>
          <rPr>
            <sz val="10"/>
            <color rgb="FF000000"/>
            <rFont val="Arial"/>
            <scheme val="minor"/>
          </rPr>
          <t>Equipo MAC para despliegue</t>
        </r>
      </text>
    </comment>
    <comment ref="A90" authorId="0" shapeId="0">
      <text>
        <r>
          <rPr>
            <sz val="10"/>
            <color rgb="FF000000"/>
            <rFont val="Arial"/>
            <scheme val="minor"/>
          </rPr>
          <t>Cronograma de entrega 
3 Meses de desarrollo despues de la toma de requerimientos 
En el mes 4 la entrega del sistema</t>
        </r>
      </text>
    </comment>
  </commentList>
</comments>
</file>

<file path=xl/comments6.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I51" authorId="0" shapeId="0">
      <text>
        <r>
          <rPr>
            <sz val="10"/>
            <color rgb="FF000000"/>
            <rFont val="Arial"/>
            <scheme val="minor"/>
          </rPr>
          <t>Valor mensual por persona</t>
        </r>
      </text>
    </comment>
    <comment ref="M51" authorId="0" shapeId="0">
      <text>
        <r>
          <rPr>
            <sz val="10"/>
            <color rgb="FF000000"/>
            <rFont val="Arial"/>
            <scheme val="minor"/>
          </rPr>
          <t>Espacio de trabajo + Computador</t>
        </r>
      </text>
    </comment>
    <comment ref="E52" authorId="0" shapeId="0">
      <text>
        <r>
          <rPr>
            <sz val="10"/>
            <color rgb="FF000000"/>
            <rFont val="Arial"/>
            <scheme val="minor"/>
          </rPr>
          <t>Salario minimo legal vigente</t>
        </r>
      </text>
    </comment>
    <comment ref="G52" authorId="0" shapeId="0">
      <text>
        <r>
          <rPr>
            <sz val="10"/>
            <color rgb="FF000000"/>
            <rFont val="Arial"/>
            <scheme val="minor"/>
          </rPr>
          <t>Auxilio de transporte</t>
        </r>
      </text>
    </comment>
    <comment ref="J52" authorId="0" shapeId="0">
      <text>
        <r>
          <rPr>
            <sz val="10"/>
            <color rgb="FF000000"/>
            <rFont val="Arial"/>
            <scheme val="minor"/>
          </rPr>
          <t>12% pensión
4% caja
0,5% ARL
13% adicional si fueran +10 salarios</t>
        </r>
      </text>
    </comment>
    <comment ref="M52" authorId="0" shapeId="0">
      <text>
        <r>
          <rPr>
            <sz val="10"/>
            <color rgb="FF000000"/>
            <rFont val="Arial"/>
            <scheme val="minor"/>
          </rPr>
          <t>1 primas
1 cesantías
0,5 vacaciones
1% intereses censantías + aux</t>
        </r>
      </text>
    </comment>
    <comment ref="O52" authorId="0" shapeId="0">
      <text>
        <r>
          <rPr>
            <sz val="10"/>
            <color rgb="FF000000"/>
            <rFont val="Arial"/>
            <scheme val="minor"/>
          </rPr>
          <t>40 semanales
x 4,2 semanas al mes
x días festivos del año / total hábiles</t>
        </r>
      </text>
    </comment>
    <comment ref="I59" authorId="0" shapeId="0">
      <text>
        <r>
          <rPr>
            <sz val="10"/>
            <color rgb="FF000000"/>
            <rFont val="Arial"/>
            <scheme val="minor"/>
          </rPr>
          <t>Equipos mobile para test</t>
        </r>
      </text>
    </comment>
    <comment ref="I61" authorId="0" shapeId="0">
      <text>
        <r>
          <rPr>
            <sz val="10"/>
            <color rgb="FF000000"/>
            <rFont val="Arial"/>
            <scheme val="minor"/>
          </rPr>
          <t>Equipo MAC para despliegue</t>
        </r>
      </text>
    </comment>
    <comment ref="I62" authorId="0" shapeId="0">
      <text>
        <r>
          <rPr>
            <sz val="10"/>
            <color rgb="FF000000"/>
            <rFont val="Arial"/>
            <scheme val="minor"/>
          </rPr>
          <t>Equipo MAC para despliegue</t>
        </r>
      </text>
    </comment>
    <comment ref="A69" authorId="0" shapeId="0">
      <text>
        <r>
          <rPr>
            <sz val="10"/>
            <color rgb="FF000000"/>
            <rFont val="Arial"/>
            <scheme val="minor"/>
          </rPr>
          <t>Cronograma de entrega 
2 Meses de desarrollo despues de la toma de requerimientos 
En el mes 3 la implementación y entrega del sistema</t>
        </r>
      </text>
    </comment>
  </commentList>
</comments>
</file>

<file path=xl/comments7.xml><?xml version="1.0" encoding="utf-8"?>
<comments xmlns="http://schemas.openxmlformats.org/spreadsheetml/2006/main">
  <authors>
    <author/>
    <author>tc={aa01286f-7858-48b3-8c63-7ee7105e14d6}</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W6" authorId="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Este es particular porque podemos usar un proyecto base que ya exista y usar funcionalidades pero toca hacer todo el flujo de agente enfocado a linea de negocio especifica con productos, por eso la gestión de cliente y gestión de contenido es más costosa
</t>
        </r>
      </text>
    </comment>
    <comment ref="I135" authorId="0" shapeId="0">
      <text>
        <r>
          <rPr>
            <sz val="10"/>
            <color rgb="FF000000"/>
            <rFont val="Arial"/>
            <scheme val="minor"/>
          </rPr>
          <t>Valor mensual por persona</t>
        </r>
      </text>
    </comment>
    <comment ref="M135" authorId="0" shapeId="0">
      <text>
        <r>
          <rPr>
            <sz val="10"/>
            <color rgb="FF000000"/>
            <rFont val="Arial"/>
            <scheme val="minor"/>
          </rPr>
          <t>Espacio de trabajo + Computador</t>
        </r>
      </text>
    </comment>
    <comment ref="E136" authorId="0" shapeId="0">
      <text>
        <r>
          <rPr>
            <sz val="10"/>
            <color rgb="FF000000"/>
            <rFont val="Arial"/>
            <scheme val="minor"/>
          </rPr>
          <t>Salario minimo legal vigente</t>
        </r>
      </text>
    </comment>
    <comment ref="G136" authorId="0" shapeId="0">
      <text>
        <r>
          <rPr>
            <sz val="10"/>
            <color rgb="FF000000"/>
            <rFont val="Arial"/>
            <scheme val="minor"/>
          </rPr>
          <t>Auxilio de transporte</t>
        </r>
      </text>
    </comment>
    <comment ref="J136" authorId="0" shapeId="0">
      <text>
        <r>
          <rPr>
            <sz val="10"/>
            <color rgb="FF000000"/>
            <rFont val="Arial"/>
            <scheme val="minor"/>
          </rPr>
          <t>12% pensión
4% caja
0,5% ARL
13% adicional si fueran +10 salarios</t>
        </r>
      </text>
    </comment>
    <comment ref="M136" authorId="0" shapeId="0">
      <text>
        <r>
          <rPr>
            <sz val="10"/>
            <color rgb="FF000000"/>
            <rFont val="Arial"/>
            <scheme val="minor"/>
          </rPr>
          <t>1 primas
1 cesantías
0,5 vacaciones
1% intereses censantías + aux</t>
        </r>
      </text>
    </comment>
    <comment ref="O136" authorId="0" shapeId="0">
      <text>
        <r>
          <rPr>
            <sz val="10"/>
            <color rgb="FF000000"/>
            <rFont val="Arial"/>
            <scheme val="minor"/>
          </rPr>
          <t>40 semanales
x 4,2 semanas al mes
x días festivos del año / total hábiles</t>
        </r>
      </text>
    </comment>
    <comment ref="I143" authorId="0" shapeId="0">
      <text>
        <r>
          <rPr>
            <sz val="10"/>
            <color rgb="FF000000"/>
            <rFont val="Arial"/>
            <scheme val="minor"/>
          </rPr>
          <t>Equipos mobile para test</t>
        </r>
      </text>
    </comment>
    <comment ref="I145" authorId="0" shapeId="0">
      <text>
        <r>
          <rPr>
            <sz val="10"/>
            <color rgb="FF000000"/>
            <rFont val="Arial"/>
            <scheme val="minor"/>
          </rPr>
          <t>Equipo MAC para despliegue</t>
        </r>
      </text>
    </comment>
    <comment ref="I146" authorId="0" shapeId="0">
      <text>
        <r>
          <rPr>
            <sz val="10"/>
            <color rgb="FF000000"/>
            <rFont val="Arial"/>
            <scheme val="minor"/>
          </rPr>
          <t>Equipo MAC para despliegue</t>
        </r>
      </text>
    </comment>
  </commentList>
</comments>
</file>

<file path=xl/comments8.xml><?xml version="1.0" encoding="utf-8"?>
<comments xmlns="http://schemas.openxmlformats.org/spreadsheetml/2006/main">
  <authors>
    <author/>
    <author>tc={6a5cb495-bc72-4bc7-b9ec-6ede8bc9e861}</author>
    <author>tc={cf508771-1007-48cc-9ea5-37898578a574}</author>
    <author>tc={d269de64-122d-4d6b-a81f-600d0f417f00}</author>
    <author>tc={948ec130-2205-45d6-a08c-314a77460a32}</author>
    <author>tc={bedcb8a2-b902-4991-9889-66679483810a}</author>
    <author>tc={476a35a8-b88f-4100-a89a-367c7fde6c7b}</author>
    <author>tc={37554ce1-3b41-4fef-a86c-768556ccbdb0}</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W11" authorId="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Esto no lo entiendo, control por usuario autenticado a que hace referencia ? Debe tener proceso de autenticación con algún tipo de inicio de sesión ? como google para la autenticación ? 
AL igual Gestión de sesión a que hace referencia ? Se deja un dato de cotización minimo entendiendo que solo es incio de sesión y autenticación por Google, si es algo diferente aclarar para revisar
</t>
        </r>
      </text>
    </comment>
    <comment ref="W28" authorId="2"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Acá es importante que la IA puede adoptar esa metodología de SOAP, pero entregará tal cual la información dada en el audio organizada según la metodología, sin embargo no se inventará información, hay que dejar claros los alcances
</t>
        </r>
      </text>
    </comment>
    <comment ref="W30" authorId="3"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El formato SOAP es una forma estándar de escribir una historia clínica en 4 secciones, para que quede ordenada y fácil de revisar:
S – Subjetivo: lo que cuenta el propietario y el motivo de consulta (síntomas “percibidos”, antecedentes).
O – Objetivo: lo que el veterinario mide/observa (examen físico, hallazgos, signos, resultados).
A – Análisis: interpretación clínica (diagnóstico presuntivo, diferenciales, conclusiones).
P – Plan: qué se hará (tratamiento, exámenes, indicaciones, controles y seguimiento).
</t>
        </r>
      </text>
    </comment>
    <comment ref="W31" authorId="4"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Se debe entrenar la estructura del LLM que según el SOAP es algo así: 
Output: Nota SOAP:
S: Dolor abdominal 3 días, náuseas, sin fiebre, antecedente de gastritis…
O: TA 120/80, FC 78, abdomen blando, dolor a palpación epigastrio…
A: Dispepsia vs gastritis aguda; descartar úlcera…
P: Omeprazol 20 mg/día 14 días, dieta, signos de alarma, control en 7 días…
</t>
        </r>
      </text>
    </comment>
    <comment ref="W34" authorId="5"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Todo se reduce a uno solo, Listar las versiones SOAP y ya, internamente se entiende que se almacena
</t>
        </r>
      </text>
    </comment>
    <comment ref="W46" authorId="6"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Que significa Gestión de sesión ?
</t>
        </r>
      </text>
    </comment>
    <comment ref="W50" authorId="7"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De donde obtengo la infromación de Mora en la suscripción 
?? como consulto las transacción y eventos de pasarela ? .. referencias - fechas estados ?? es una integración ? se gestiona manual desde el portal ? Sin esto no se puede terminar de cotizar
Reply:
	Se hicieron cambios en suscripción y pagos para  resolver la duda
Reply:
	Eliza, esto quiere decir que el usuario paga por Wompi la suscripción, se debe hacer integración Wompi para tomar los pagos
1 reacción en total
Elizabeth Perez ha reaccionado con 👍 a las 2026-03-13 12:57 PM UTC
</t>
        </r>
      </text>
    </comment>
    <comment ref="I63" authorId="0" shapeId="0">
      <text>
        <r>
          <rPr>
            <sz val="10"/>
            <color rgb="FF000000"/>
            <rFont val="Arial"/>
            <scheme val="minor"/>
          </rPr>
          <t>Valor mensual por persona</t>
        </r>
      </text>
    </comment>
    <comment ref="M63" authorId="0" shapeId="0">
      <text>
        <r>
          <rPr>
            <sz val="10"/>
            <color rgb="FF000000"/>
            <rFont val="Arial"/>
            <scheme val="minor"/>
          </rPr>
          <t>Espacio de trabajo + Computador</t>
        </r>
      </text>
    </comment>
    <comment ref="E64" authorId="0" shapeId="0">
      <text>
        <r>
          <rPr>
            <sz val="10"/>
            <color rgb="FF000000"/>
            <rFont val="Arial"/>
            <scheme val="minor"/>
          </rPr>
          <t>Salario minimo legal vigente</t>
        </r>
      </text>
    </comment>
    <comment ref="G64" authorId="0" shapeId="0">
      <text>
        <r>
          <rPr>
            <sz val="10"/>
            <color rgb="FF000000"/>
            <rFont val="Arial"/>
            <scheme val="minor"/>
          </rPr>
          <t>Auxilio de transporte</t>
        </r>
      </text>
    </comment>
    <comment ref="J64" authorId="0" shapeId="0">
      <text>
        <r>
          <rPr>
            <sz val="10"/>
            <color rgb="FF000000"/>
            <rFont val="Arial"/>
            <scheme val="minor"/>
          </rPr>
          <t>12% pensión
4% caja
0,5% ARL
13% adicional si fueran +10 salarios</t>
        </r>
      </text>
    </comment>
    <comment ref="M64" authorId="0" shapeId="0">
      <text>
        <r>
          <rPr>
            <sz val="10"/>
            <color rgb="FF000000"/>
            <rFont val="Arial"/>
            <scheme val="minor"/>
          </rPr>
          <t>1 primas
1 cesantías
0,5 vacaciones
1% intereses censantías + aux</t>
        </r>
      </text>
    </comment>
    <comment ref="O64" authorId="0" shapeId="0">
      <text>
        <r>
          <rPr>
            <sz val="10"/>
            <color rgb="FF000000"/>
            <rFont val="Arial"/>
            <scheme val="minor"/>
          </rPr>
          <t>40 semanales
x 4,2 semanas al mes
x días festivos del año / total hábiles</t>
        </r>
      </text>
    </comment>
    <comment ref="I71" authorId="0" shapeId="0">
      <text>
        <r>
          <rPr>
            <sz val="10"/>
            <color rgb="FF000000"/>
            <rFont val="Arial"/>
            <scheme val="minor"/>
          </rPr>
          <t>Equipos mobile para test</t>
        </r>
      </text>
    </comment>
    <comment ref="I73" authorId="0" shapeId="0">
      <text>
        <r>
          <rPr>
            <sz val="10"/>
            <color rgb="FF000000"/>
            <rFont val="Arial"/>
            <scheme val="minor"/>
          </rPr>
          <t>Equipo MAC para despliegue</t>
        </r>
      </text>
    </comment>
    <comment ref="I74" authorId="0" shapeId="0">
      <text>
        <r>
          <rPr>
            <sz val="10"/>
            <color rgb="FF000000"/>
            <rFont val="Arial"/>
            <scheme val="minor"/>
          </rPr>
          <t>Equipo MAC para despliegue</t>
        </r>
      </text>
    </comment>
  </commentList>
</comments>
</file>

<file path=xl/comments9.xml><?xml version="1.0" encoding="utf-8"?>
<comments xmlns="http://schemas.openxmlformats.org/spreadsheetml/2006/main">
  <authors>
    <author/>
    <author>tc={fd75ba58-f0ce-411d-90c2-603c46f43f53}</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W6" authorId="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1. No hay descripción general del proyecto, por ende no sé de que se trata 
2. No tienen orden logico los alcances inicia con configurar de guias de coordinadora o de asignación automatica de centro logistico y no se sabe que es centro logistico si no hasta ir más abajo en los textos 
3. Dice configuración ALEGRA pero no aclara si es integración  o a que hace referencia 
4. Es una integración con coordinadora tambien ? 
5. No separen los datos así : 
Nombre 
cedula 
fecha 
Se pierde la información para cotizar se hace muy extensa 
6. Organizar bien la información por módulos y los configurar de ultimos porque ya se tiene la información de todos los módulos Así como está Marval puede ser 
7. Darle un flujo logico a los módulos a cotizar porque así se tiene que adivinar cada cosa ..
Reply:
	Ya hicimos los cambios
</t>
        </r>
      </text>
    </comment>
    <comment ref="I100" authorId="0" shapeId="0">
      <text>
        <r>
          <rPr>
            <sz val="10"/>
            <color rgb="FF000000"/>
            <rFont val="Arial"/>
            <scheme val="minor"/>
          </rPr>
          <t>Valor mensual por persona</t>
        </r>
      </text>
    </comment>
    <comment ref="M100" authorId="0" shapeId="0">
      <text>
        <r>
          <rPr>
            <sz val="10"/>
            <color rgb="FF000000"/>
            <rFont val="Arial"/>
            <scheme val="minor"/>
          </rPr>
          <t>Espacio de trabajo + Computador</t>
        </r>
      </text>
    </comment>
    <comment ref="E101" authorId="0" shapeId="0">
      <text>
        <r>
          <rPr>
            <sz val="10"/>
            <color rgb="FF000000"/>
            <rFont val="Arial"/>
            <scheme val="minor"/>
          </rPr>
          <t>Salario minimo legal vigente</t>
        </r>
      </text>
    </comment>
    <comment ref="G101" authorId="0" shapeId="0">
      <text>
        <r>
          <rPr>
            <sz val="10"/>
            <color rgb="FF000000"/>
            <rFont val="Arial"/>
            <scheme val="minor"/>
          </rPr>
          <t>Auxilio de transporte</t>
        </r>
      </text>
    </comment>
    <comment ref="J101" authorId="0" shapeId="0">
      <text>
        <r>
          <rPr>
            <sz val="10"/>
            <color rgb="FF000000"/>
            <rFont val="Arial"/>
            <scheme val="minor"/>
          </rPr>
          <t>12% pensión
4% caja
0,5% ARL
13% adicional si fueran +10 salarios</t>
        </r>
      </text>
    </comment>
    <comment ref="M101" authorId="0" shapeId="0">
      <text>
        <r>
          <rPr>
            <sz val="10"/>
            <color rgb="FF000000"/>
            <rFont val="Arial"/>
            <scheme val="minor"/>
          </rPr>
          <t>1 primas
1 cesantías
0,5 vacaciones
1% intereses censantías + aux</t>
        </r>
      </text>
    </comment>
    <comment ref="O101" authorId="0" shapeId="0">
      <text>
        <r>
          <rPr>
            <sz val="10"/>
            <color rgb="FF000000"/>
            <rFont val="Arial"/>
            <scheme val="minor"/>
          </rPr>
          <t>40 semanales
x 4,2 semanas al mes
x días festivos del año / total hábiles</t>
        </r>
      </text>
    </comment>
    <comment ref="I108" authorId="0" shapeId="0">
      <text>
        <r>
          <rPr>
            <sz val="10"/>
            <color rgb="FF000000"/>
            <rFont val="Arial"/>
            <scheme val="minor"/>
          </rPr>
          <t>Equipos mobile para test</t>
        </r>
      </text>
    </comment>
    <comment ref="I110" authorId="0" shapeId="0">
      <text>
        <r>
          <rPr>
            <sz val="10"/>
            <color rgb="FF000000"/>
            <rFont val="Arial"/>
            <scheme val="minor"/>
          </rPr>
          <t>Equipo MAC para despliegue</t>
        </r>
      </text>
    </comment>
    <comment ref="I111" authorId="0" shapeId="0">
      <text>
        <r>
          <rPr>
            <sz val="10"/>
            <color rgb="FF000000"/>
            <rFont val="Arial"/>
            <scheme val="minor"/>
          </rPr>
          <t>Equipo MAC para despliegue</t>
        </r>
      </text>
    </comment>
  </commentList>
</comments>
</file>

<file path=xl/comments10.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I158" authorId="0" shapeId="0">
      <text>
        <r>
          <rPr>
            <sz val="10"/>
            <color rgb="FF000000"/>
            <rFont val="Arial"/>
            <scheme val="minor"/>
          </rPr>
          <t>Valor mensual por persona</t>
        </r>
      </text>
    </comment>
    <comment ref="M158" authorId="0" shapeId="0">
      <text>
        <r>
          <rPr>
            <sz val="10"/>
            <color rgb="FF000000"/>
            <rFont val="Arial"/>
            <scheme val="minor"/>
          </rPr>
          <t>Espacio de trabajo + Computador</t>
        </r>
      </text>
    </comment>
    <comment ref="E159" authorId="0" shapeId="0">
      <text>
        <r>
          <rPr>
            <sz val="10"/>
            <color rgb="FF000000"/>
            <rFont val="Arial"/>
            <scheme val="minor"/>
          </rPr>
          <t>Salario minimo legal vigente</t>
        </r>
      </text>
    </comment>
    <comment ref="G159" authorId="0" shapeId="0">
      <text>
        <r>
          <rPr>
            <sz val="10"/>
            <color rgb="FF000000"/>
            <rFont val="Arial"/>
            <scheme val="minor"/>
          </rPr>
          <t>Auxilio de transporte</t>
        </r>
      </text>
    </comment>
    <comment ref="J159" authorId="0" shapeId="0">
      <text>
        <r>
          <rPr>
            <sz val="10"/>
            <color rgb="FF000000"/>
            <rFont val="Arial"/>
            <scheme val="minor"/>
          </rPr>
          <t>12% pensión
4% caja
0,5% ARL
13% adicional si fueran +10 salarios</t>
        </r>
      </text>
    </comment>
    <comment ref="M159" authorId="0" shapeId="0">
      <text>
        <r>
          <rPr>
            <sz val="10"/>
            <color rgb="FF000000"/>
            <rFont val="Arial"/>
            <scheme val="minor"/>
          </rPr>
          <t>1 primas
1 cesantías
0,5 vacaciones
1% intereses censantías + aux</t>
        </r>
      </text>
    </comment>
    <comment ref="O159" authorId="0" shapeId="0">
      <text>
        <r>
          <rPr>
            <sz val="10"/>
            <color rgb="FF000000"/>
            <rFont val="Arial"/>
            <scheme val="minor"/>
          </rPr>
          <t>40 semanales
x 4,2 semanas al mes
x días festivos del año / total hábiles</t>
        </r>
      </text>
    </comment>
    <comment ref="I166" authorId="0" shapeId="0">
      <text>
        <r>
          <rPr>
            <sz val="10"/>
            <color rgb="FF000000"/>
            <rFont val="Arial"/>
            <scheme val="minor"/>
          </rPr>
          <t>Equipos mobile para test</t>
        </r>
      </text>
    </comment>
    <comment ref="I168" authorId="0" shapeId="0">
      <text>
        <r>
          <rPr>
            <sz val="10"/>
            <color rgb="FF000000"/>
            <rFont val="Arial"/>
            <scheme val="minor"/>
          </rPr>
          <t>Equipo MAC para despliegue</t>
        </r>
      </text>
    </comment>
    <comment ref="I169" authorId="0" shapeId="0">
      <text>
        <r>
          <rPr>
            <sz val="10"/>
            <color rgb="FF000000"/>
            <rFont val="Arial"/>
            <scheme val="minor"/>
          </rPr>
          <t>Equipo MAC para despliegue</t>
        </r>
      </text>
    </comment>
  </commentList>
</comments>
</file>

<file path=xl/comments11.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W10" authorId="0" shapeId="0">
      <text>
        <r>
          <rPr>
            <sz val="10"/>
            <color rgb="FF000000"/>
            <rFont val="Arial"/>
            <scheme val="minor"/>
          </rPr>
          <t xml:space="preserve">El flujo conversacional se define con el cliente y sobre ese se trabaja, cada punto de acción no es un modulo es un global .. es decir en esta sección se uden los puntos: 
- Identificación de intención 
- Identificación Proyecto de interes 
- Perfilamiento del cliente 
- Clasificación Lead 
- Ajuste de Propuesta 
- Escalamiento Asesor Comercial </t>
        </r>
      </text>
    </comment>
    <comment ref="W14" authorId="0" shapeId="0">
      <text>
        <r>
          <rPr>
            <sz val="10"/>
            <color rgb="FF000000"/>
            <rFont val="Arial"/>
            <scheme val="minor"/>
          </rPr>
          <t xml:space="preserve">Esto se debe definir mejor para aterrizar el alcance, escalar se refiere a : -- Automatico a un asesor ? - Etiqueta al chat cuando escriben cartera, tramites ? en el escalamiento la IA Entrega y no continua ningun flujo </t>
        </r>
      </text>
    </comment>
    <comment ref="W19" authorId="0" shapeId="0">
      <text>
        <r>
          <rPr>
            <sz val="10"/>
            <color rgb="FF000000"/>
            <rFont val="Arial"/>
            <scheme val="minor"/>
          </rPr>
          <t>Esta simulación no viene del CRM ? 
Se va a cotizar que se calcula desde el sistema del Agente, pero se debe definir que datos se consultan del Crm Zoho para dejar claro</t>
        </r>
      </text>
    </comment>
    <comment ref="W25" authorId="0" shapeId="0">
      <text>
        <r>
          <rPr>
            <sz val="10"/>
            <color rgb="FF000000"/>
            <rFont val="Arial"/>
            <scheme val="minor"/>
          </rPr>
          <t xml:space="preserve">Se debe revisar el API que tiene CRM Zoho y definir exactamente que datos se van a consultar y si se deben crear cuales se deben crear esto define si la integración es poca o mucha .. el valor es un dato Aproximado </t>
        </r>
      </text>
    </comment>
    <comment ref="W36" authorId="0" shapeId="0">
      <text>
        <r>
          <rPr>
            <sz val="10"/>
            <color rgb="FF000000"/>
            <rFont val="Arial"/>
            <scheme val="minor"/>
          </rPr>
          <t xml:space="preserve">El estado del credito es manual ? O viene de CRM Forza, no cambia el valor pero se debe definir para los requerimientos </t>
        </r>
      </text>
    </comment>
    <comment ref="W47" authorId="0" shapeId="0">
      <text>
        <r>
          <rPr>
            <sz val="10"/>
            <color rgb="FF000000"/>
            <rFont val="Arial"/>
            <scheme val="minor"/>
          </rPr>
          <t xml:space="preserve">Se dejan configurables los tipos de clasificación de leads y el tipo de cliente, 
Sin embargo se puede quitar y dejar fijos sin acciones configurables solo que esto hace que esas clasificaciones dependan del programador </t>
        </r>
      </text>
    </comment>
    <comment ref="W50" authorId="0" shapeId="0">
      <text>
        <r>
          <rPr>
            <sz val="10"/>
            <color rgb="FF000000"/>
            <rFont val="Arial"/>
            <scheme val="minor"/>
          </rPr>
          <t xml:space="preserve">Esta sección la tienen todos los agentes es para alimentar conocimiento al agente IA por si el usuario consulta información adicional, por ejemplo información de otras areas como cartera, horarios de atención, sedes, .. entre otras </t>
        </r>
      </text>
    </comment>
    <comment ref="I68" authorId="0" shapeId="0">
      <text>
        <r>
          <rPr>
            <sz val="10"/>
            <color rgb="FF000000"/>
            <rFont val="Arial"/>
            <scheme val="minor"/>
          </rPr>
          <t>Valor mensual por persona</t>
        </r>
      </text>
    </comment>
    <comment ref="M68" authorId="0" shapeId="0">
      <text>
        <r>
          <rPr>
            <sz val="10"/>
            <color rgb="FF000000"/>
            <rFont val="Arial"/>
            <scheme val="minor"/>
          </rPr>
          <t>Espacio de trabajo + Computador</t>
        </r>
      </text>
    </comment>
    <comment ref="E69" authorId="0" shapeId="0">
      <text>
        <r>
          <rPr>
            <sz val="10"/>
            <color rgb="FF000000"/>
            <rFont val="Arial"/>
            <scheme val="minor"/>
          </rPr>
          <t>Salario minimo legal vigente</t>
        </r>
      </text>
    </comment>
    <comment ref="G69" authorId="0" shapeId="0">
      <text>
        <r>
          <rPr>
            <sz val="10"/>
            <color rgb="FF000000"/>
            <rFont val="Arial"/>
            <scheme val="minor"/>
          </rPr>
          <t>Auxilio de transporte</t>
        </r>
      </text>
    </comment>
    <comment ref="J69" authorId="0" shapeId="0">
      <text>
        <r>
          <rPr>
            <sz val="10"/>
            <color rgb="FF000000"/>
            <rFont val="Arial"/>
            <scheme val="minor"/>
          </rPr>
          <t>12% pensión
4% caja
0,5% ARL
13% adicional si fueran +10 salarios</t>
        </r>
      </text>
    </comment>
    <comment ref="M69" authorId="0" shapeId="0">
      <text>
        <r>
          <rPr>
            <sz val="10"/>
            <color rgb="FF000000"/>
            <rFont val="Arial"/>
            <scheme val="minor"/>
          </rPr>
          <t>1 primas
1 cesantías
0,5 vacaciones
1% intereses censantías + aux</t>
        </r>
      </text>
    </comment>
    <comment ref="O69" authorId="0" shapeId="0">
      <text>
        <r>
          <rPr>
            <sz val="10"/>
            <color rgb="FF000000"/>
            <rFont val="Arial"/>
            <scheme val="minor"/>
          </rPr>
          <t>40 semanales
x 4,2 semanas al mes
x días festivos del año / total hábiles</t>
        </r>
      </text>
    </comment>
    <comment ref="I76" authorId="0" shapeId="0">
      <text>
        <r>
          <rPr>
            <sz val="10"/>
            <color rgb="FF000000"/>
            <rFont val="Arial"/>
            <scheme val="minor"/>
          </rPr>
          <t>Equipos mobile para test</t>
        </r>
      </text>
    </comment>
    <comment ref="I78" authorId="0" shapeId="0">
      <text>
        <r>
          <rPr>
            <sz val="10"/>
            <color rgb="FF000000"/>
            <rFont val="Arial"/>
            <scheme val="minor"/>
          </rPr>
          <t>Equipo MAC para despliegue</t>
        </r>
      </text>
    </comment>
    <comment ref="I79" authorId="0" shapeId="0">
      <text>
        <r>
          <rPr>
            <sz val="10"/>
            <color rgb="FF000000"/>
            <rFont val="Arial"/>
            <scheme val="minor"/>
          </rPr>
          <t>Equipo MAC para despliegue</t>
        </r>
      </text>
    </comment>
    <comment ref="A86" authorId="0" shapeId="0">
      <text>
        <r>
          <rPr>
            <sz val="10"/>
            <color rgb="FF000000"/>
            <rFont val="Arial"/>
            <scheme val="minor"/>
          </rPr>
          <t>Cronograma de entrega 
2 Meses de desarrollo despues de la toma de requerimientos 
En el mes 3 la entrega del sistema</t>
        </r>
      </text>
    </comment>
  </commentList>
</comments>
</file>

<file path=xl/comments12.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I97" authorId="0" shapeId="0">
      <text>
        <r>
          <rPr>
            <sz val="10"/>
            <color rgb="FF000000"/>
            <rFont val="Arial"/>
            <scheme val="minor"/>
          </rPr>
          <t>Valor mensual por persona</t>
        </r>
      </text>
    </comment>
    <comment ref="M97" authorId="0" shapeId="0">
      <text>
        <r>
          <rPr>
            <sz val="10"/>
            <color rgb="FF000000"/>
            <rFont val="Arial"/>
            <scheme val="minor"/>
          </rPr>
          <t>Espacio de trabajo + Computador</t>
        </r>
      </text>
    </comment>
    <comment ref="E98" authorId="0" shapeId="0">
      <text>
        <r>
          <rPr>
            <sz val="10"/>
            <color rgb="FF000000"/>
            <rFont val="Arial"/>
            <scheme val="minor"/>
          </rPr>
          <t>Salario minimo legal vigente</t>
        </r>
      </text>
    </comment>
    <comment ref="G98" authorId="0" shapeId="0">
      <text>
        <r>
          <rPr>
            <sz val="10"/>
            <color rgb="FF000000"/>
            <rFont val="Arial"/>
            <scheme val="minor"/>
          </rPr>
          <t>Auxilio de transporte</t>
        </r>
      </text>
    </comment>
    <comment ref="J98" authorId="0" shapeId="0">
      <text>
        <r>
          <rPr>
            <sz val="10"/>
            <color rgb="FF000000"/>
            <rFont val="Arial"/>
            <scheme val="minor"/>
          </rPr>
          <t>12% pensión
4% caja
0,5% ARL
13% adicional si fueran +10 salarios</t>
        </r>
      </text>
    </comment>
    <comment ref="M98" authorId="0" shapeId="0">
      <text>
        <r>
          <rPr>
            <sz val="10"/>
            <color rgb="FF000000"/>
            <rFont val="Arial"/>
            <scheme val="minor"/>
          </rPr>
          <t>1 primas
1 cesantías
0,5 vacaciones
1% intereses censantías + aux</t>
        </r>
      </text>
    </comment>
    <comment ref="O98" authorId="0" shapeId="0">
      <text>
        <r>
          <rPr>
            <sz val="10"/>
            <color rgb="FF000000"/>
            <rFont val="Arial"/>
            <scheme val="minor"/>
          </rPr>
          <t>40 semanales
x 4,2 semanas al mes
x días festivos del año / total hábiles</t>
        </r>
      </text>
    </comment>
    <comment ref="I105" authorId="0" shapeId="0">
      <text>
        <r>
          <rPr>
            <sz val="10"/>
            <color rgb="FF000000"/>
            <rFont val="Arial"/>
            <scheme val="minor"/>
          </rPr>
          <t>Equipos mobile para test</t>
        </r>
      </text>
    </comment>
    <comment ref="I107" authorId="0" shapeId="0">
      <text>
        <r>
          <rPr>
            <sz val="10"/>
            <color rgb="FF000000"/>
            <rFont val="Arial"/>
            <scheme val="minor"/>
          </rPr>
          <t>Equipo MAC para despliegue</t>
        </r>
      </text>
    </comment>
    <comment ref="I108" authorId="0" shapeId="0">
      <text>
        <r>
          <rPr>
            <sz val="10"/>
            <color rgb="FF000000"/>
            <rFont val="Arial"/>
            <scheme val="minor"/>
          </rPr>
          <t>Equipo MAC para despliegue</t>
        </r>
      </text>
    </comment>
  </commentList>
</comments>
</file>

<file path=xl/comments13.xml><?xml version="1.0" encoding="utf-8"?>
<comments xmlns="http://schemas.openxmlformats.org/spreadsheetml/2006/main">
  <authors>
    <author/>
  </authors>
  <commentList>
    <comment ref="B1" authorId="0" shapeId="0">
      <text>
        <r>
          <rPr>
            <sz val="10"/>
            <color rgb="FF000000"/>
            <rFont val="Arial"/>
            <scheme val="minor"/>
          </rPr>
          <t>Bases de datos
Estructura Proyecto
Líder equipo, creación actividad
Taskman</t>
        </r>
      </text>
    </comment>
    <comment ref="C1" authorId="0" shapeId="0">
      <text>
        <r>
          <rPr>
            <sz val="10"/>
            <color rgb="FF000000"/>
            <rFont val="Arial"/>
            <scheme val="minor"/>
          </rPr>
          <t>Diseño interfaz</t>
        </r>
      </text>
    </comment>
    <comment ref="D1" authorId="0" shapeId="0">
      <text>
        <r>
          <rPr>
            <sz val="10"/>
            <color rgb="FF000000"/>
            <rFont val="Arial"/>
            <scheme val="minor"/>
          </rPr>
          <t>Frontend Medium</t>
        </r>
      </text>
    </comment>
    <comment ref="E1" authorId="0" shapeId="0">
      <text>
        <r>
          <rPr>
            <sz val="10"/>
            <color rgb="FF000000"/>
            <rFont val="Arial"/>
            <scheme val="minor"/>
          </rPr>
          <t>Backend Senior</t>
        </r>
      </text>
    </comment>
    <comment ref="F1" authorId="0" shapeId="0">
      <text>
        <r>
          <rPr>
            <sz val="10"/>
            <color rgb="FF000000"/>
            <rFont val="Arial"/>
            <scheme val="minor"/>
          </rPr>
          <t>Backend Medium</t>
        </r>
      </text>
    </comment>
    <comment ref="G1" authorId="0" shapeId="0">
      <text>
        <r>
          <rPr>
            <sz val="10"/>
            <color rgb="FF000000"/>
            <rFont val="Arial"/>
            <scheme val="minor"/>
          </rPr>
          <t>QA, Test</t>
        </r>
      </text>
    </comment>
    <comment ref="H1" authorId="0" shapeId="0">
      <text>
        <r>
          <rPr>
            <sz val="10"/>
            <color rgb="FF000000"/>
            <rFont val="Arial"/>
            <scheme val="minor"/>
          </rPr>
          <t>Implementación, capacitación, entrega</t>
        </r>
      </text>
    </comment>
    <comment ref="I1" authorId="0" shapeId="0">
      <text>
        <r>
          <rPr>
            <sz val="10"/>
            <color rgb="FF000000"/>
            <rFont val="Arial"/>
            <scheme val="minor"/>
          </rPr>
          <t>Mobile Semi-senior</t>
        </r>
      </text>
    </comment>
    <comment ref="J1" authorId="0" shapeId="0">
      <text>
        <r>
          <rPr>
            <sz val="10"/>
            <color rgb="FF000000"/>
            <rFont val="Arial"/>
            <scheme val="minor"/>
          </rPr>
          <t>Mobile Medium</t>
        </r>
      </text>
    </comment>
    <comment ref="K1" authorId="0" shapeId="0">
      <text>
        <r>
          <rPr>
            <sz val="10"/>
            <color rgb="FF000000"/>
            <rFont val="Arial"/>
            <scheme val="minor"/>
          </rPr>
          <t xml:space="preserve">Desarrollador Back -Skill IA 
</t>
        </r>
      </text>
    </comment>
    <comment ref="O1" authorId="0" shapeId="0">
      <text>
        <r>
          <rPr>
            <sz val="10"/>
            <color rgb="FF000000"/>
            <rFont val="Arial"/>
            <scheme val="minor"/>
          </rPr>
          <t xml:space="preserve">Resumen del Proyecto 
</t>
        </r>
      </text>
    </comment>
    <comment ref="W1" authorId="0" shapeId="0">
      <text>
        <r>
          <rPr>
            <sz val="10"/>
            <color rgb="FF000000"/>
            <rFont val="Arial"/>
            <scheme val="minor"/>
          </rPr>
          <t>Fecha de actualización</t>
        </r>
      </text>
    </comment>
    <comment ref="Y1" authorId="0" shapeId="0">
      <text>
        <r>
          <rPr>
            <sz val="10"/>
            <color rgb="FF000000"/>
            <rFont val="Arial"/>
            <scheme val="minor"/>
          </rPr>
          <t>COSTO con todos los alcances</t>
        </r>
      </text>
    </comment>
    <comment ref="Z1" authorId="0" shapeId="0">
      <text>
        <r>
          <rPr>
            <sz val="10"/>
            <color rgb="FF000000"/>
            <rFont val="Arial"/>
            <scheme val="minor"/>
          </rPr>
          <t>Alcances que se consideran importantes para el cliente, son Plus o hacen parte esencial de la oferta de valor</t>
        </r>
      </text>
    </comment>
    <comment ref="AA1" authorId="0" shapeId="0">
      <text>
        <r>
          <rPr>
            <sz val="10"/>
            <color rgb="FF000000"/>
            <rFont val="Arial"/>
            <scheme val="minor"/>
          </rPr>
          <t>Ítems o funcionalidades que No son criticas o prioritarias en el sistema y sería posible eliminarlas</t>
        </r>
      </text>
    </comment>
    <comment ref="AB1" authorId="0" shapeId="0">
      <text>
        <r>
          <rPr>
            <sz val="10"/>
            <color rgb="FF000000"/>
            <rFont val="Arial"/>
            <scheme val="minor"/>
          </rPr>
          <t>Selección de alcances, para creación de 2da versión de la oferta</t>
        </r>
      </text>
    </comment>
    <comment ref="I122" authorId="0" shapeId="0">
      <text>
        <r>
          <rPr>
            <sz val="10"/>
            <color rgb="FF000000"/>
            <rFont val="Arial"/>
            <scheme val="minor"/>
          </rPr>
          <t>Valor mensual por persona</t>
        </r>
      </text>
    </comment>
    <comment ref="M122" authorId="0" shapeId="0">
      <text>
        <r>
          <rPr>
            <sz val="10"/>
            <color rgb="FF000000"/>
            <rFont val="Arial"/>
            <scheme val="minor"/>
          </rPr>
          <t>Espacio de trabajo + Computador</t>
        </r>
      </text>
    </comment>
    <comment ref="E123" authorId="0" shapeId="0">
      <text>
        <r>
          <rPr>
            <sz val="10"/>
            <color rgb="FF000000"/>
            <rFont val="Arial"/>
            <scheme val="minor"/>
          </rPr>
          <t>Salario minimo legal vigente</t>
        </r>
      </text>
    </comment>
    <comment ref="G123" authorId="0" shapeId="0">
      <text>
        <r>
          <rPr>
            <sz val="10"/>
            <color rgb="FF000000"/>
            <rFont val="Arial"/>
            <scheme val="minor"/>
          </rPr>
          <t>Auxilio de transporte</t>
        </r>
      </text>
    </comment>
    <comment ref="J123" authorId="0" shapeId="0">
      <text>
        <r>
          <rPr>
            <sz val="10"/>
            <color rgb="FF000000"/>
            <rFont val="Arial"/>
            <scheme val="minor"/>
          </rPr>
          <t>12% pensión
4% caja
0,5% ARL
13% adicional si fueran +10 salarios</t>
        </r>
      </text>
    </comment>
    <comment ref="M123" authorId="0" shapeId="0">
      <text>
        <r>
          <rPr>
            <sz val="10"/>
            <color rgb="FF000000"/>
            <rFont val="Arial"/>
            <scheme val="minor"/>
          </rPr>
          <t>1 primas
1 cesantías
0,5 vacaciones
1% intereses censantías + aux</t>
        </r>
      </text>
    </comment>
    <comment ref="O123" authorId="0" shapeId="0">
      <text>
        <r>
          <rPr>
            <sz val="10"/>
            <color rgb="FF000000"/>
            <rFont val="Arial"/>
            <scheme val="minor"/>
          </rPr>
          <t>40 semanales
x 4,2 semanas al mes
x días festivos del año / total hábiles</t>
        </r>
      </text>
    </comment>
    <comment ref="I130" authorId="0" shapeId="0">
      <text>
        <r>
          <rPr>
            <sz val="10"/>
            <color rgb="FF000000"/>
            <rFont val="Arial"/>
            <scheme val="minor"/>
          </rPr>
          <t>Equipos mobile para test</t>
        </r>
      </text>
    </comment>
    <comment ref="I132" authorId="0" shapeId="0">
      <text>
        <r>
          <rPr>
            <sz val="10"/>
            <color rgb="FF000000"/>
            <rFont val="Arial"/>
            <scheme val="minor"/>
          </rPr>
          <t>Equipo MAC para despliegue</t>
        </r>
      </text>
    </comment>
    <comment ref="I133" authorId="0" shapeId="0">
      <text>
        <r>
          <rPr>
            <sz val="10"/>
            <color rgb="FF000000"/>
            <rFont val="Arial"/>
            <scheme val="minor"/>
          </rPr>
          <t>Equipo MAC para despliegue</t>
        </r>
      </text>
    </comment>
  </commentList>
</comments>
</file>

<file path=xl/sharedStrings.xml><?xml version="1.0" encoding="utf-8"?>
<sst xmlns="http://schemas.openxmlformats.org/spreadsheetml/2006/main" count="1784" uniqueCount="921">
  <si>
    <t>Días de Trabajo por especialidad</t>
  </si>
  <si>
    <t>DB</t>
  </si>
  <si>
    <t>UX</t>
  </si>
  <si>
    <t>FM</t>
  </si>
  <si>
    <t>BS</t>
  </si>
  <si>
    <t>BM</t>
  </si>
  <si>
    <t>QA</t>
  </si>
  <si>
    <t>IM</t>
  </si>
  <si>
    <t>MS</t>
  </si>
  <si>
    <t>MM</t>
  </si>
  <si>
    <t xml:space="preserve">IA </t>
  </si>
  <si>
    <t>Resumen</t>
  </si>
  <si>
    <t>Escribe acá una breve descripción del proyecto</t>
  </si>
  <si>
    <t>Plus</t>
  </si>
  <si>
    <t>Quitar</t>
  </si>
  <si>
    <t>2da Ver</t>
  </si>
  <si>
    <t>Estructura del proyecto</t>
  </si>
  <si>
    <t>UX y esquema del proyecto</t>
  </si>
  <si>
    <t>Implementación y entrega del sistema</t>
  </si>
  <si>
    <t xml:space="preserve">Estructura del agente IA </t>
  </si>
  <si>
    <t>No borrar</t>
  </si>
  <si>
    <t>Costos Fijos -&gt;</t>
  </si>
  <si>
    <t>Min</t>
  </si>
  <si>
    <t>Aux</t>
  </si>
  <si>
    <t>SS</t>
  </si>
  <si>
    <t>Prov</t>
  </si>
  <si>
    <t>Horas</t>
  </si>
  <si>
    <t>AIU</t>
  </si>
  <si>
    <t>Horas Rango</t>
  </si>
  <si>
    <t>Básico</t>
  </si>
  <si>
    <t>Bono</t>
  </si>
  <si>
    <t>Otros</t>
  </si>
  <si>
    <t>TOTAL</t>
  </si>
  <si>
    <t>Valor Hora</t>
  </si>
  <si>
    <t>Valor Proyecto</t>
  </si>
  <si>
    <t>DB, Líder, Arquitecto, Scrum</t>
  </si>
  <si>
    <t>Diseño UI/UX</t>
  </si>
  <si>
    <t>FrontEnd Medium</t>
  </si>
  <si>
    <t>BackEnd Senior</t>
  </si>
  <si>
    <t>BackEnd Semi-Senior</t>
  </si>
  <si>
    <t>QA, Test</t>
  </si>
  <si>
    <t>Implementación, Capacitación</t>
  </si>
  <si>
    <t>Mobile Semi-Senior</t>
  </si>
  <si>
    <t>Mobile Medium</t>
  </si>
  <si>
    <t xml:space="preserve">BackEnd IA </t>
  </si>
  <si>
    <t>M1</t>
  </si>
  <si>
    <t>M2</t>
  </si>
  <si>
    <t>M3</t>
  </si>
  <si>
    <t>M4</t>
  </si>
  <si>
    <t>M5</t>
  </si>
  <si>
    <t>M6</t>
  </si>
  <si>
    <t>M7</t>
  </si>
  <si>
    <t>M8</t>
  </si>
  <si>
    <t>M9</t>
  </si>
  <si>
    <t>M10</t>
  </si>
  <si>
    <t xml:space="preserve"> </t>
  </si>
  <si>
    <t>Roles y permisos</t>
  </si>
  <si>
    <t>Usuarios y Roles</t>
  </si>
  <si>
    <t>Agente de IA</t>
  </si>
  <si>
    <t>Configuración General</t>
  </si>
  <si>
    <t>Configuración del agente de voz</t>
  </si>
  <si>
    <t>Configuración del agente WhatsApp</t>
  </si>
  <si>
    <t>Configuración de horarios de atención (24/7)</t>
  </si>
  <si>
    <t>Mensajes y respuestas predeterminadas</t>
  </si>
  <si>
    <t>Flujos Conversacionales</t>
  </si>
  <si>
    <t>Builder / editor de flujos</t>
  </si>
  <si>
    <t>Base de conocimiento (entrenar al agente)</t>
  </si>
  <si>
    <t>Reglas de clasificación automática de casos</t>
  </si>
  <si>
    <t>Reglas de escalamiento</t>
  </si>
  <si>
    <t>Canales</t>
  </si>
  <si>
    <t>Recepción por WhatsApp (texto + fotos + docs)</t>
  </si>
  <si>
    <t>Recepción por llamada telefónica (voz)</t>
  </si>
  <si>
    <t>Respuesta automática al cliente</t>
  </si>
  <si>
    <t>Gestión de Casos</t>
  </si>
  <si>
    <t>Listado y Visualización</t>
  </si>
  <si>
    <t>Listado de casos (tabla con paginación)</t>
  </si>
  <si>
    <t>Filtros (por tipo, estado, fecha, cliente, responsable, producto)</t>
  </si>
  <si>
    <t>Búsqueda general</t>
  </si>
  <si>
    <t>Vista detalle del caso</t>
  </si>
  <si>
    <t>Gestión del Caso</t>
  </si>
  <si>
    <t>Crear caso manual</t>
  </si>
  <si>
    <t>Editar caso</t>
  </si>
  <si>
    <t>Cambio de estado (flujo configurable)</t>
  </si>
  <si>
    <t>Historial de actividad / timeline</t>
  </si>
  <si>
    <t>Comunicación</t>
  </si>
  <si>
    <t>Ver conversación (transcripción llamada / chat WA)</t>
  </si>
  <si>
    <t>Adjuntos y evidencias (fotos, docs)</t>
  </si>
  <si>
    <t>Comentarios internos del equipo</t>
  </si>
  <si>
    <t>Respuesta al cliente desde la plataforma</t>
  </si>
  <si>
    <t>Tipificación de Casos</t>
  </si>
  <si>
    <t>Tipos de caso (Petición, Queja, Reclamo, Solicitud, Felicitación, Sugerencia, Devolución)</t>
  </si>
  <si>
    <t>Subtipos por cada tipo (CRUD)</t>
  </si>
  <si>
    <t>Motivos asociados por subtipo</t>
  </si>
  <si>
    <t>Categorías de producto vinculadas</t>
  </si>
  <si>
    <t>Motivos de cierre por tipo</t>
  </si>
  <si>
    <t>Prioridad automática por tipo de caso</t>
  </si>
  <si>
    <t>Asignación y Escalamiento</t>
  </si>
  <si>
    <t>Asignación</t>
  </si>
  <si>
    <t>Asignación manual de responsable</t>
  </si>
  <si>
    <t>Asignación automática por reglas (tipo → departamento)</t>
  </si>
  <si>
    <t>Reasignación de caso</t>
  </si>
  <si>
    <t>Escalamiento</t>
  </si>
  <si>
    <t>Escalamiento automático por tiempo sin respuesta</t>
  </si>
  <si>
    <t>Escalamiento por reincidencia del cliente</t>
  </si>
  <si>
    <t>Escalamiento por tipo de caso</t>
  </si>
  <si>
    <t>Notificaciones</t>
  </si>
  <si>
    <t>Notificaciones en plataforma (caso nuevo, asignado, escalado)</t>
  </si>
  <si>
    <t>Notificaciones por correo electrónico</t>
  </si>
  <si>
    <t>Departamentos / Áreas</t>
  </si>
  <si>
    <t>Departamentos - Listado</t>
  </si>
  <si>
    <t>Departamentos - Crear / Editar</t>
  </si>
  <si>
    <t>Asignar usuarios a departamentos</t>
  </si>
  <si>
    <t>Reglas de ruteo (tipo de caso → departamento)</t>
  </si>
  <si>
    <t>Clientes</t>
  </si>
  <si>
    <t>Clientes - Listado</t>
  </si>
  <si>
    <t>Clientes - Crear / Editar</t>
  </si>
  <si>
    <t>Clientes - Detalle (historial de casos, contacto)</t>
  </si>
  <si>
    <t>Segmentación (VIP, exportación, nacional, mayorista)</t>
  </si>
  <si>
    <t>Importar clientes desde BD existente</t>
  </si>
  <si>
    <t>Encuestas de Satisfacción</t>
  </si>
  <si>
    <t>Configuración de encuesta (preguntas, escala numérica)</t>
  </si>
  <si>
    <t>Campo de comentarios abiertos</t>
  </si>
  <si>
    <t>Envío automático post-cierre de caso</t>
  </si>
  <si>
    <t>Envío manual / masivo</t>
  </si>
  <si>
    <t>Resultados por caso</t>
  </si>
  <si>
    <t>Resultados agregados (promedios, tendencias)</t>
  </si>
  <si>
    <t>Dashboard y Reportes</t>
  </si>
  <si>
    <t>Dashboard</t>
  </si>
  <si>
    <t>Dashboard general (KPIs principales)</t>
  </si>
  <si>
    <t>Casos abiertos vs cerrados</t>
  </si>
  <si>
    <t xml:space="preserve">Tiempo promedio de resolución
</t>
  </si>
  <si>
    <t>Casos por tipo</t>
  </si>
  <si>
    <t>Casos por departamento / responsable</t>
  </si>
  <si>
    <t>Satisfacción promedio</t>
  </si>
  <si>
    <t>Reportes</t>
  </si>
  <si>
    <t>Reporte por tipo de caso</t>
  </si>
  <si>
    <t>Reporte por tiempos de resolución</t>
  </si>
  <si>
    <t>Reporte por cliente</t>
  </si>
  <si>
    <t>Exportar reportes (PDF / Excel)</t>
  </si>
  <si>
    <t>Usuarios - Listado</t>
  </si>
  <si>
    <t>Usuarios - Crear / Editar</t>
  </si>
  <si>
    <t>Asignación de roles a usuarios</t>
  </si>
  <si>
    <t>Integraciones</t>
  </si>
  <si>
    <t>Integración WhatsApp Business API</t>
  </si>
  <si>
    <t>Integración telefonía / agente de voz</t>
  </si>
  <si>
    <t>Integración ERP / sistema de pedidos (consulta estados)</t>
  </si>
  <si>
    <t>Integración correo electrónico</t>
  </si>
  <si>
    <t>API propia / Webhooks</t>
  </si>
  <si>
    <t>Configuración de SLAs (tiempos máximos por tipo)</t>
  </si>
  <si>
    <t>Configuración de notificaciones</t>
  </si>
  <si>
    <t>Logs del sistema / auditoría</t>
  </si>
  <si>
    <t>Personalización (logo, colores, nombre empresa)</t>
  </si>
  <si>
    <t>DASHBOARD</t>
  </si>
  <si>
    <t>Visualización en gráficos (barras y circulares)</t>
  </si>
  <si>
    <t>CONFIGURACIÓN DEL SISTEMA</t>
  </si>
  <si>
    <t>Crear / editar / activar / desactivar usuarios</t>
  </si>
  <si>
    <t>x</t>
  </si>
  <si>
    <t>Desarrollo e implementación de una plataforma digital en la nube para la Clínica Bairós que automatiza la atención inicial por WhatsApp y el agendamiento de citas odontológicas, integrándose con Google Calendar. El sistema permite registrar y gestionar información básica del paciente, enviar recordatorios, controlar asistencia y visualizar métricas operativas, con el objetivo de llevar al paciente de forma eficiente desde el primer contacto hasta la cita.</t>
  </si>
  <si>
    <t xml:space="preserve">Atención automatizada por WhatsApp - Módulo de Chat </t>
  </si>
  <si>
    <t xml:space="preserve">Configuraciones generales con API WhatsApp Business </t>
  </si>
  <si>
    <t xml:space="preserve">Flujo agente atención a pacientes </t>
  </si>
  <si>
    <t xml:space="preserve">Identifica pacientes Nuevos y Existentes y guarda la información </t>
  </si>
  <si>
    <t xml:space="preserve">Servicios : Agendar cita - Solicitar info - Escalar a atencion humana </t>
  </si>
  <si>
    <t xml:space="preserve">Guardar Historial de conversación Chat / Recopila la información del paciente </t>
  </si>
  <si>
    <t xml:space="preserve">Asociar a Motivo de consulta manera automatica </t>
  </si>
  <si>
    <t xml:space="preserve">Ficha basica del paciente </t>
  </si>
  <si>
    <t>Realizar clasificación automatica del paciente (Nievo,recurrente,activo,antiguo,consultas No agenda)</t>
  </si>
  <si>
    <t xml:space="preserve">Integración con Google Calendar </t>
  </si>
  <si>
    <t>El sistema deberá integrarse con Google Calendar</t>
  </si>
  <si>
    <t>Mostrar horarios disponibles</t>
  </si>
  <si>
    <t xml:space="preserve">Permitir la seleción del horario para la consulta al paciente </t>
  </si>
  <si>
    <t xml:space="preserve">Crear agenda automatica en google calendar </t>
  </si>
  <si>
    <t xml:space="preserve">Enviar el motivo de consulta en el campo que permita Google Calendar </t>
  </si>
  <si>
    <t xml:space="preserve">Configuración  general de API Google Calendar </t>
  </si>
  <si>
    <t xml:space="preserve">Confirmación del agendamiento </t>
  </si>
  <si>
    <t xml:space="preserve">Recordatorios automaticos - Reprogramación </t>
  </si>
  <si>
    <t xml:space="preserve">Envio automatico de recordatorios - 24 h - el mismo día ... </t>
  </si>
  <si>
    <t xml:space="preserve">Opción de Reprogramar - Cancelar la cita </t>
  </si>
  <si>
    <t>Consultar su cita agendada</t>
  </si>
  <si>
    <t>Elegir nueva fecha/hora</t>
  </si>
  <si>
    <t>Actualizar el evento en Google Calendar</t>
  </si>
  <si>
    <t>Enviar confirmación actualizada</t>
  </si>
  <si>
    <t>Cancelación, Confirmar que desea cancelar</t>
  </si>
  <si>
    <t>Eliminar el evento de Google Calendar</t>
  </si>
  <si>
    <t xml:space="preserve">Enviar confirmación de cancelación </t>
  </si>
  <si>
    <t xml:space="preserve">Panel administrativo de citas </t>
  </si>
  <si>
    <t>Ver información de citas en general  en tabla (La finalizadas con filtros de estados)</t>
  </si>
  <si>
    <t>Información de agenda de citas (Tipo Tablero - Calendario)</t>
  </si>
  <si>
    <t>Cambios de estados manual de estados cita (Asistió - No asistió -- ...)</t>
  </si>
  <si>
    <t xml:space="preserve">Modulo de Pacientes </t>
  </si>
  <si>
    <t xml:space="preserve">Tabla de información general de los pacientes </t>
  </si>
  <si>
    <t xml:space="preserve">Nombre - #Tel - Utimo Motivo consulta - Otros datos importantes </t>
  </si>
  <si>
    <t>Etiqueta de clasificación automatica (Nuevo, recurrente .. )</t>
  </si>
  <si>
    <t xml:space="preserve">Crear y actualizar ficha basica paciente </t>
  </si>
  <si>
    <t xml:space="preserve">Historial de chat conversacional </t>
  </si>
  <si>
    <t xml:space="preserve">Módulo Creación de usuarios </t>
  </si>
  <si>
    <t xml:space="preserve">Crear usuarios tipo Administrador o Comercial </t>
  </si>
  <si>
    <t xml:space="preserve">El tipo Comercial solo gestiona los chats asociados a el </t>
  </si>
  <si>
    <t xml:space="preserve">Modulo Configuración General </t>
  </si>
  <si>
    <t xml:space="preserve">Configurar tipos de asistencia citas </t>
  </si>
  <si>
    <t xml:space="preserve">Configurar periocidad de recordatorios </t>
  </si>
  <si>
    <t xml:space="preserve">Configurar tipos de pacientes </t>
  </si>
  <si>
    <t xml:space="preserve">Módulo Gestión del conocimiento </t>
  </si>
  <si>
    <t xml:space="preserve">Crear Gestión del conocimiento para alimentar agente </t>
  </si>
  <si>
    <t xml:space="preserve">Info Adicional de la empresa </t>
  </si>
  <si>
    <t xml:space="preserve">Módulo Dashboard - Reportes </t>
  </si>
  <si>
    <t xml:space="preserve">Cantidad de pacientes atendidos </t>
  </si>
  <si>
    <t xml:space="preserve">Cantidad de Citas odontologicas agendadas por x tiempo </t>
  </si>
  <si>
    <t xml:space="preserve">Cantidad de Citas por estados  ASISTIO -  NO ASISTIERON - CANCELADS....  </t>
  </si>
  <si>
    <t xml:space="preserve">Cantidad de citas Reprogramadas </t>
  </si>
  <si>
    <t xml:space="preserve">Citas por motivos de consulta </t>
  </si>
  <si>
    <t xml:space="preserve">Total Citas Programadas vrs Citas asistieron -- </t>
  </si>
  <si>
    <t xml:space="preserve">Meses </t>
  </si>
  <si>
    <t>X</t>
  </si>
  <si>
    <t xml:space="preserve">Hooy - Nuevos cambios </t>
  </si>
  <si>
    <t xml:space="preserve">Ocultar opciones de pasarela de pagos y TC </t>
  </si>
  <si>
    <t>En perfil ocultar metodos de pagos</t>
  </si>
  <si>
    <t xml:space="preserve">En el Checkout ocultar pasarela y Pagos con tarjeta </t>
  </si>
  <si>
    <t xml:space="preserve">Agregar un campo en Admin Restaurante para # de cel WhatsApp </t>
  </si>
  <si>
    <t xml:space="preserve">En el detalle del pedido agregar un botón de WhatsApp para hablar con el restaurante </t>
  </si>
  <si>
    <t xml:space="preserve">Redirecciona al # de wsp agregado en restaurante </t>
  </si>
  <si>
    <t xml:space="preserve">En Administrador de Rest y Com Agregar redirección al # de cel de cada usuario </t>
  </si>
  <si>
    <t xml:space="preserve">Esto sería en Ordenes, la redirección al wsp web </t>
  </si>
  <si>
    <t xml:space="preserve">Hooy - Copias </t>
  </si>
  <si>
    <t xml:space="preserve">Copia Administrador Restaurante + Comercios + Manager </t>
  </si>
  <si>
    <t xml:space="preserve">Configuración Servidor - Configuraciones generales </t>
  </si>
  <si>
    <t xml:space="preserve">Hooy debe otorgar un Dominio para cada copia </t>
  </si>
  <si>
    <t xml:space="preserve">Copia de Aplicación Móvil </t>
  </si>
  <si>
    <t xml:space="preserve">Copia Back </t>
  </si>
  <si>
    <t xml:space="preserve">Despliegue en tiendas App Store y PLay Store </t>
  </si>
  <si>
    <t xml:space="preserve">Esperar por aprobación </t>
  </si>
  <si>
    <t xml:space="preserve">Configurar despliegue </t>
  </si>
  <si>
    <t xml:space="preserve">Aplicación Administrador </t>
  </si>
  <si>
    <t xml:space="preserve">login Acceso / administradores </t>
  </si>
  <si>
    <t>Crea conductor</t>
  </si>
  <si>
    <t>Nombre</t>
  </si>
  <si>
    <t xml:space="preserve">Foto </t>
  </si>
  <si>
    <t>Acciones activar e inactivar</t>
  </si>
  <si>
    <t>Datos ARL</t>
  </si>
  <si>
    <t xml:space="preserve">EPS </t>
  </si>
  <si>
    <t xml:space="preserve">Licencia </t>
  </si>
  <si>
    <t xml:space="preserve">Cedula </t>
  </si>
  <si>
    <t>Otros datos...</t>
  </si>
  <si>
    <t xml:space="preserve">Información estadística conductor </t>
  </si>
  <si>
    <t>Cantidad viajes</t>
  </si>
  <si>
    <t xml:space="preserve">Otra info </t>
  </si>
  <si>
    <t>Crea Vehiculos</t>
  </si>
  <si>
    <t>Tipo de vehiculo (SI es para servicio especial o servicio de carga)</t>
  </si>
  <si>
    <t>Placa</t>
  </si>
  <si>
    <t xml:space="preserve">Capacidad Pasajeros o capacidad de carga Documentos vehiculo </t>
  </si>
  <si>
    <t xml:space="preserve">Listado de vehículos </t>
  </si>
  <si>
    <t>Conductores asociados</t>
  </si>
  <si>
    <t>Información estadística vehiculo</t>
  </si>
  <si>
    <t xml:space="preserve">Cantidad viajes  </t>
  </si>
  <si>
    <t xml:space="preserve">Fecha ultimo viaje . </t>
  </si>
  <si>
    <t>Crea Viajes</t>
  </si>
  <si>
    <t xml:space="preserve">Punto inicio </t>
  </si>
  <si>
    <t>Destino</t>
  </si>
  <si>
    <t xml:space="preserve">Fecha </t>
  </si>
  <si>
    <t xml:space="preserve">Vehiculo asociado </t>
  </si>
  <si>
    <t xml:space="preserve">Conductor asociado </t>
  </si>
  <si>
    <t xml:space="preserve"> Cantidad de pasajeros</t>
  </si>
  <si>
    <t xml:space="preserve">Información detallada de pasajeros </t>
  </si>
  <si>
    <t xml:space="preserve">Crear </t>
  </si>
  <si>
    <t xml:space="preserve">Puesto asociado </t>
  </si>
  <si>
    <t xml:space="preserve">Nombre pasajero </t>
  </si>
  <si>
    <t xml:space="preserve">Documento de identidad </t>
  </si>
  <si>
    <t>Edad</t>
  </si>
  <si>
    <t xml:space="preserve">Ver información del viaje en tiempo real </t>
  </si>
  <si>
    <t>Falta CONEXIÓN GPS --- NO SABEMOS AUN COMO Y CON QUE SE HACE LA CONEXIÓN</t>
  </si>
  <si>
    <t xml:space="preserve">De la conexión con Gps se extrae  </t>
  </si>
  <si>
    <t>Mapa tiempo real</t>
  </si>
  <si>
    <t>Llegada del viaje</t>
  </si>
  <si>
    <t xml:space="preserve">Cantidad de paradas </t>
  </si>
  <si>
    <t>Crea Viajes CARGA</t>
  </si>
  <si>
    <t>Punto inicio</t>
  </si>
  <si>
    <t xml:space="preserve">Destino </t>
  </si>
  <si>
    <t xml:space="preserve">Conductor asociado 
</t>
  </si>
  <si>
    <t>Carga</t>
  </si>
  <si>
    <t>Información de la carga (Stiven debe levantar esta información) ----- FALTA</t>
  </si>
  <si>
    <t>Puesto asociado</t>
  </si>
  <si>
    <t>Nombre pasajero</t>
  </si>
  <si>
    <t xml:space="preserve">De la conexión con Gps se extrae </t>
  </si>
  <si>
    <t>Velocidad del viaje</t>
  </si>
  <si>
    <t xml:space="preserve">Mapa tiempo real </t>
  </si>
  <si>
    <t xml:space="preserve">Llegada del viaje </t>
  </si>
  <si>
    <t>Cantidad de paradas</t>
  </si>
  <si>
    <t xml:space="preserve">SECCIÓN PARA SERVICIO DE TAXI  - AMPLIAR MÁS </t>
  </si>
  <si>
    <t xml:space="preserve">SECCIÓN PARA SERVICIO DE MENSAJERIA  - AMPLIAR MÁS </t>
  </si>
  <si>
    <t>Aplicación CLIENTE</t>
  </si>
  <si>
    <t xml:space="preserve">Ingreso / Registro por cada cliente </t>
  </si>
  <si>
    <t xml:space="preserve">Ver la información  solo que le corresponde al pasajero con # de documento y el viaje </t>
  </si>
  <si>
    <t>Ve el monitorio de su viaje</t>
  </si>
  <si>
    <t>CONEXIÓN GPS</t>
  </si>
  <si>
    <t xml:space="preserve">Tiempo REAL </t>
  </si>
  <si>
    <t xml:space="preserve">Velocidad </t>
  </si>
  <si>
    <t>Mapa</t>
  </si>
  <si>
    <t>Paradas</t>
  </si>
  <si>
    <t xml:space="preserve">Punto de llegada </t>
  </si>
  <si>
    <t>Ve la información del conductor</t>
  </si>
  <si>
    <t>Documentos</t>
  </si>
  <si>
    <t>Toda la info posible</t>
  </si>
  <si>
    <t>Ve la información del vehiculo</t>
  </si>
  <si>
    <t>SI PIDE CARGA</t>
  </si>
  <si>
    <t xml:space="preserve">Ve la información de la carga que solicito </t>
  </si>
  <si>
    <t xml:space="preserve">Ve el monitorio de su viaje </t>
  </si>
  <si>
    <t>SOLICITA SERVICIO DE TAXI</t>
  </si>
  <si>
    <t xml:space="preserve">SOLICITA SERVICIO DE MENSAJERIA </t>
  </si>
  <si>
    <t xml:space="preserve">SERVICIO DE TAXIS  - AMPLIAR LA INFO  </t>
  </si>
  <si>
    <t>Aplicación  móvil conductor Taxista</t>
  </si>
  <si>
    <t>Conexión GPS</t>
  </si>
  <si>
    <t xml:space="preserve">SERVICIO DE MENSAJERIA  - AMPLIAR LA INFO </t>
  </si>
  <si>
    <t xml:space="preserve">Aplicación  móvil mensjaero </t>
  </si>
  <si>
    <t>Plataforma web interna que centraliza información de encuestas de experiencia del cliente y PQRSF en una base de datos unificada, permitiendo análisis en tiempo casi real por unidad, subunidad y sede.</t>
  </si>
  <si>
    <t>RECEPCIÓN DE ENCUESTAS DE EXPERIENCIA DEL CLIENTE</t>
  </si>
  <si>
    <t>Sincronización automática de encuestas desde Microsoft Forms.</t>
  </si>
  <si>
    <t>Recepción de calificaciones cuantitativas (CSAT, NPS, CES).</t>
  </si>
  <si>
    <t>Recepción de comentarios cualitativos.</t>
  </si>
  <si>
    <t>Captura de metadatos:</t>
  </si>
  <si>
    <t>Unidad./ línea de servicio - Sede - Fechas Forms y servicio</t>
  </si>
  <si>
    <t>VALIDACIÓN DE CONSISTENCIA DE ENCUESTAS</t>
  </si>
  <si>
    <t>Comparación entre fecha del servicio y fecha de diligenciamiento.</t>
  </si>
  <si>
    <t>Aplicación de reglas para marcar o excluir registros inconsistentes.</t>
  </si>
  <si>
    <t>Control de posibles registros tardíos o manipulados.</t>
  </si>
  <si>
    <t>Garantía de confiabilidad de los indicadores calculados.</t>
  </si>
  <si>
    <t xml:space="preserve">?? </t>
  </si>
  <si>
    <t>CÁLCULO DE INDICADORES DE EXPERIENCIA</t>
  </si>
  <si>
    <t>Cálculo del índice de satisfacción (CSAT).</t>
  </si>
  <si>
    <t>Cálculo del índice neto de promotores (NPS).</t>
  </si>
  <si>
    <t>Cálculo del índice de esfuerzo del cliente (CES).</t>
  </si>
  <si>
    <t>Homologación de todos los indicadores a escala 0–100.</t>
  </si>
  <si>
    <t>Separación de resultados:</t>
  </si>
  <si>
    <t>Información cuantitativa.</t>
  </si>
  <si>
    <t>Información cualitativa (insights y comentarios).</t>
  </si>
  <si>
    <t>RECEPCIÓN Y CONSOLIDACIÓN DE PQRSF</t>
  </si>
  <si>
    <t>Carga manual de archivo Excel con PQRSF.</t>
  </si>
  <si>
    <t>Validación de estructura del archivo cargado.</t>
  </si>
  <si>
    <t>Consolidación histórica de registros de PQRSF.</t>
  </si>
  <si>
    <t>Captura de información clave:</t>
  </si>
  <si>
    <t>Radicado. -Fechas de radicación y cierre. -Estado del caso. -Canal de ingreso.</t>
  </si>
  <si>
    <t>Tipo (P, Q, R, S, F). -Texto del afiliado. -Respuesta dada.-Unidad, subunidad y sede.</t>
  </si>
  <si>
    <t>VALIDACIÓN Y NORMALIZACIÓN DE PQRSF</t>
  </si>
  <si>
    <t>Validación de campos obligatorios.</t>
  </si>
  <si>
    <t>Identificación de duplicados.</t>
  </si>
  <si>
    <t>Normalización de fechas y estados.</t>
  </si>
  <si>
    <t>Preparación de datos para análisis y métricas.</t>
  </si>
  <si>
    <t>CÁLCULO DE INDICADORES DE PQRSF</t>
  </si>
  <si>
    <t>Cálculo del índice de cierre eficaz (ICE-PQRSF).</t>
  </si>
  <si>
    <t>Medición de oportunidad de cierre según reglas de Cajasan.</t>
  </si>
  <si>
    <t>Identificación de casos fuera de tiempo.</t>
  </si>
  <si>
    <t>Análisis de volumen de PQRSF por unidad, sede y canal.</t>
  </si>
  <si>
    <t>Identificación de tendencias y comportamientos recurrentes.</t>
  </si>
  <si>
    <t>CLASIFICACIÓN POR CAUSAS Y REPETITIVIDAD</t>
  </si>
  <si>
    <t>Gestión de catálogo de causas y subcausas por unidad.</t>
  </si>
  <si>
    <t>Asociación de PQRSF a una causa definida.</t>
  </si>
  <si>
    <t>Identificación de causas repetitivas.</t>
  </si>
  <si>
    <t>Priorización de problemáticas por unidad o sede.</t>
  </si>
  <si>
    <t>CRUCE DE INFORMACIÓN ENCUESTAS – PQRSF</t>
  </si>
  <si>
    <t>Cruce de información usando:</t>
  </si>
  <si>
    <t xml:space="preserve">Documento del afiliado. -Unidad. - Sede </t>
  </si>
  <si>
    <t>Identificación de relación entre PQRSF y resultados de experiencia.</t>
  </si>
  <si>
    <t>Análisis del impacto de PQRSF en la satisfacción del cliente.</t>
  </si>
  <si>
    <t>VISUALIZACIÓN Y TABLEROS</t>
  </si>
  <si>
    <t>Tablero corporativo con visión general de indicadores.</t>
  </si>
  <si>
    <t>Tableros por unidad, subunidad y sede.</t>
  </si>
  <si>
    <t>Visualización de:</t>
  </si>
  <si>
    <t>Indicadores actuales.</t>
  </si>
  <si>
    <t>Tendencias históricas.</t>
  </si>
  <si>
    <t>Comentarios positivos y negativos.</t>
  </si>
  <si>
    <t>Causas más frecuentes.</t>
  </si>
  <si>
    <t>Filtros por periodo, unidad y sede.</t>
  </si>
  <si>
    <t>USO OPERATIVO DEL SISTEMA</t>
  </si>
  <si>
    <t>Consulta diaria del estado de los indicadores.</t>
  </si>
  <si>
    <t>Identificación de alertas tempranas.</t>
  </si>
  <si>
    <t>Soporte a la toma de decisiones en tiempo casi real.</t>
  </si>
  <si>
    <t>Eliminación de análisis manual y tardío.</t>
  </si>
  <si>
    <t>Desarrollo e implementación de una plataforma digital en la nube para la Clínica Bairós integrándose con Google Calendar. El sistema permite registrar y gestionar información básica del paciente, enviar recordatorios, controlar asistencia y visualizar métricas operativas, con el objetivo de llevar al paciente de forma eficiente desde el primer contacto hasta la cita.</t>
  </si>
  <si>
    <t>GoogleCalendarService</t>
  </si>
  <si>
    <t>Agendar</t>
  </si>
  <si>
    <t>Etiqueta de clasificación (Nuevo, recurrente .. )</t>
  </si>
  <si>
    <t>Conversaciones activas / pendientes</t>
  </si>
  <si>
    <t>Chats sin respuesta por ventana de tiempo</t>
  </si>
  <si>
    <t>Priorización por “urgencia</t>
  </si>
  <si>
    <t>Segmentación por canal / línea de negocio</t>
  </si>
  <si>
    <t>PANEL TÉCNICO</t>
  </si>
  <si>
    <t>Chats</t>
  </si>
  <si>
    <t>Bandeja de chats activa</t>
  </si>
  <si>
    <t>Búsqueda de conversaciones</t>
  </si>
  <si>
    <t>Historial completo</t>
  </si>
  <si>
    <t>Respuestas automáticas por IA</t>
  </si>
  <si>
    <t>Activar / desactivar IA por conversación</t>
  </si>
  <si>
    <t>Bloqueo de envío manual cuando la IA esté activa</t>
  </si>
  <si>
    <t>Identificación de mensajes enviados por IA</t>
  </si>
  <si>
    <t>Pedidos (Captura y registro)</t>
  </si>
  <si>
    <t>Captura estructurada de información mínima:</t>
  </si>
  <si>
    <t>Canal de origen</t>
  </si>
  <si>
    <t>Ciudad / ubicación</t>
  </si>
  <si>
    <t>o Producto</t>
  </si>
  <si>
    <t xml:space="preserve">Blanco/Rojo/Tamaño/Jumbo/Referencia </t>
  </si>
  <si>
    <t>Cantidad aproximada</t>
  </si>
  <si>
    <t>Intención de entrega</t>
  </si>
  <si>
    <t xml:space="preserve">Domicilio </t>
  </si>
  <si>
    <t>Recoger</t>
  </si>
  <si>
    <t>Despacho por ciudad</t>
  </si>
  <si>
    <t>CLIENTES</t>
  </si>
  <si>
    <t>Registro y consulta de clientes</t>
  </si>
  <si>
    <t xml:space="preserve"> Nombre</t>
  </si>
  <si>
    <t>Teléfono</t>
  </si>
  <si>
    <t>Ciudad / zona / sucursal</t>
  </si>
  <si>
    <t>Última interacción</t>
  </si>
  <si>
    <t>Línea de negocio (automática / editable)</t>
  </si>
  <si>
    <t>Responsable asignado</t>
  </si>
  <si>
    <t>Prioridad / urgencia</t>
  </si>
  <si>
    <t>Búsqueda y gestión</t>
  </si>
  <si>
    <t>Búsqueda por nombre</t>
  </si>
  <si>
    <t>Búsqueda por teléfono</t>
  </si>
  <si>
    <t>Filtros por:</t>
  </si>
  <si>
    <t>Ciudad</t>
  </si>
  <si>
    <t>Comercial</t>
  </si>
  <si>
    <t>Prioridad</t>
  </si>
  <si>
    <t>Fechas</t>
  </si>
  <si>
    <t>Edición directa de clientes</t>
  </si>
  <si>
    <t>Listado paginado</t>
  </si>
  <si>
    <t>Perfilamiento automático</t>
  </si>
  <si>
    <t>Clasificación dinámica basada en:</t>
  </si>
  <si>
    <t>Línea de negocio</t>
  </si>
  <si>
    <t>Ciudad / destino</t>
  </si>
  <si>
    <t>Cantidad solicitada</t>
  </si>
  <si>
    <t>Tipo de producto</t>
  </si>
  <si>
    <t>Modalidad de entrega</t>
  </si>
  <si>
    <t>Asignación automática de prioridad</t>
  </si>
  <si>
    <t>Asignación de responsable</t>
  </si>
  <si>
    <t>Actualización dinámica del perfil</t>
  </si>
  <si>
    <t>GESTIÓN DE CONTENIDO</t>
  </si>
  <si>
    <t>Productos</t>
  </si>
  <si>
    <t>Cear productos</t>
  </si>
  <si>
    <t>Editar productos</t>
  </si>
  <si>
    <t>Desactivar productos</t>
  </si>
  <si>
    <t>Atributos:</t>
  </si>
  <si>
    <t>Presentación</t>
  </si>
  <si>
    <t>Unidad</t>
  </si>
  <si>
    <t>Disponibilidad</t>
  </si>
  <si>
    <t>Precio base (opcional)</t>
  </si>
  <si>
    <t>Categorías de productos</t>
  </si>
  <si>
    <t>Crear categorías</t>
  </si>
  <si>
    <t>Editar categorías</t>
  </si>
  <si>
    <t>Asociación categoría ↔ productos</t>
  </si>
  <si>
    <t>Zonas de cobertura</t>
  </si>
  <si>
    <t>Crear zonas de atención</t>
  </si>
  <si>
    <t>Editar zonas de atención</t>
  </si>
  <si>
    <t>Asociación de sucursales / puntos de venta a zonas</t>
  </si>
  <si>
    <t>Productos por sucursal</t>
  </si>
  <si>
    <t>Definir portafolio por sucursal</t>
  </si>
  <si>
    <t>Configurar disponibilidad por sucursal</t>
  </si>
  <si>
    <t>WHATSAPP Y MENSAJERÍA</t>
  </si>
  <si>
    <t>Crear plantillas</t>
  </si>
  <si>
    <t>Editar plantillas</t>
  </si>
  <si>
    <t>Eliminar plantillas</t>
  </si>
  <si>
    <t>Estado</t>
  </si>
  <si>
    <t>Pendiente</t>
  </si>
  <si>
    <t>Aprobado</t>
  </si>
  <si>
    <t>Incluye</t>
  </si>
  <si>
    <t>Filtrado</t>
  </si>
  <si>
    <t>Búsqueda</t>
  </si>
  <si>
    <t>Uso en mensajería masiva</t>
  </si>
  <si>
    <t>Mensajes masivos</t>
  </si>
  <si>
    <t>Selección de plantillas aprobadas</t>
  </si>
  <si>
    <t>Envío masivo a clientes registrados</t>
  </si>
  <si>
    <t>Preparación para segmentación por filtros</t>
  </si>
  <si>
    <t>CONOCIMIENTOS (IA)</t>
  </si>
  <si>
    <t>Categorías de conocimiento</t>
  </si>
  <si>
    <t>Gestión de documentos</t>
  </si>
  <si>
    <t>Carga de documentos</t>
  </si>
  <si>
    <t>Edición de documentos</t>
  </si>
  <si>
    <t>Eliminación de documentos</t>
  </si>
  <si>
    <t>Activación / desactivación</t>
  </si>
  <si>
    <t>Asociación a la IA</t>
  </si>
  <si>
    <t>Asociación de conocimientos al agente IA</t>
  </si>
  <si>
    <t>Control de disponibilidad del conocimiento</t>
  </si>
  <si>
    <t>GESTIÓN DE DOCUMENTOS</t>
  </si>
  <si>
    <t>Organización por tipo</t>
  </si>
  <si>
    <t>Organización por categoría</t>
  </si>
  <si>
    <t>Consulta de documentos</t>
  </si>
  <si>
    <t>Usuarios</t>
  </si>
  <si>
    <t>Crear usuarios</t>
  </si>
  <si>
    <t>Editar usuarios</t>
  </si>
  <si>
    <t>Activar usuarios</t>
  </si>
  <si>
    <t>Desactivar usuarios</t>
  </si>
  <si>
    <t>Tipos:</t>
  </si>
  <si>
    <t>Administrador</t>
  </si>
  <si>
    <t>Prioridades</t>
  </si>
  <si>
    <t>Crear prioridades</t>
  </si>
  <si>
    <t>Editar prioridades</t>
  </si>
  <si>
    <t>Activar prioridades</t>
  </si>
  <si>
    <t>Desactivar prioridades</t>
  </si>
  <si>
    <t>Eliminar prioridades</t>
  </si>
  <si>
    <t>Asignación de prioridades a clientes</t>
  </si>
  <si>
    <t>VetIA es un SaaS para clínicas veterinarias que funciona como un “copiloto clínico”: el veterinario graba la consulta desde el portal, la plataforma transcribe el audio y genera automáticamente una Historia Clínica estructurada en formato SOAP, editable y lista para guardarse, reduciendo tiempo administrativo y minimizando omisiones. Incluye gestión de pacientes, control de acceso por usuario y suscripción recurrente con bloqueo automático por mora.</t>
  </si>
  <si>
    <t>Portal Veterinarios</t>
  </si>
  <si>
    <t>Login / Seguridad</t>
  </si>
  <si>
    <t>Login con Google</t>
  </si>
  <si>
    <t>Gestión de sesión (mantener sesión, expiración, cierre de sesión)</t>
  </si>
  <si>
    <t>Control de acceso a información clínica por usuario (roles/permisos)</t>
  </si>
  <si>
    <t>Perfil de Usuario</t>
  </si>
  <si>
    <t>Visualización y edición de datos básicos del veterinario</t>
  </si>
  <si>
    <t>Cambio de contraseña</t>
  </si>
  <si>
    <t>Gestión de Pacientes</t>
  </si>
  <si>
    <t>Directorio / listado de pacientes</t>
  </si>
  <si>
    <t>Crear / editar paciente</t>
  </si>
  <si>
    <t>Ficha clínica del paciente:</t>
  </si>
  <si>
    <t>Especie, raza, edad, sexo, estado reproductivo</t>
  </si>
  <si>
    <t>Consulta de historial clínico por paciente</t>
  </si>
  <si>
    <t>Consulta / Captura de Audio</t>
  </si>
  <si>
    <t>Selección de paciente</t>
  </si>
  <si>
    <t>Botón “Grabar” para captura de audio (dictado o conversación ambiental)</t>
  </si>
  <si>
    <t>Envío del audio para procesamiento</t>
  </si>
  <si>
    <t>Estados del proceso: grabando / subiendo / procesando / resultado / error</t>
  </si>
  <si>
    <t>Procesamiento IA</t>
  </si>
  <si>
    <t>Transcripción de audio a texto (Whisper)</t>
  </si>
  <si>
    <t>Estructuración automática para generación de Historia Clínica en formato SOAP (LLM)</t>
  </si>
  <si>
    <t>Organización únicamente con la información presente en el audio/transcripción (sin agregar, suponer o completar datos no mencionados)</t>
  </si>
  <si>
    <t>Generador de Historia Clínica (SOAP)</t>
  </si>
  <si>
    <t>Generación automática del SOAP:</t>
  </si>
  <si>
    <t>Subjetivo, Objetivo, Análisis, Plan</t>
  </si>
  <si>
    <t>Edición manual del SOAP antes de confirmación</t>
  </si>
  <si>
    <t xml:space="preserve">Listar versiones SOAP - Borrador - Final Aprobada en Texto </t>
  </si>
  <si>
    <t>Suscripción y Pagos</t>
  </si>
  <si>
    <t xml:space="preserve">INTEGRACIÓN WOMPI - PASARELA PAGOS </t>
  </si>
  <si>
    <t>Flujo de pago de suscripción mensual/anual mediante Wompi</t>
  </si>
  <si>
    <t>Registro de referencia de la operación y vinculación al usuario/plan.</t>
  </si>
  <si>
    <t>Recepción de notificaciones de Wompi</t>
  </si>
  <si>
    <t>Consulta de transacciones en Wompi por referencia/ID</t>
  </si>
  <si>
    <t>Estados de transacción usados para el control</t>
  </si>
  <si>
    <t>Estado de suscripción</t>
  </si>
  <si>
    <t>Bloqueo automático por mora</t>
  </si>
  <si>
    <t>Portal Administración</t>
  </si>
  <si>
    <t>Acceso Administrador</t>
  </si>
  <si>
    <t>Login de administrador</t>
  </si>
  <si>
    <t>Gestión de sesión: expiración por inactividad/tiempo, cierre de sesión y reautenticación al vencimiento.</t>
  </si>
  <si>
    <t>Gestión de Usuarios (Veterinarios)</t>
  </si>
  <si>
    <t>Restablecer contraseña (soporte)</t>
  </si>
  <si>
    <t>Gestión de Suscripciones</t>
  </si>
  <si>
    <t>Consulta de estado por usuario (activa / vencida / morosa)</t>
  </si>
  <si>
    <t>Consulta de transacciones y eventos de la pasarela (referencias, fechas, estado)</t>
  </si>
  <si>
    <t>Bloqueo / desbloqueo</t>
  </si>
  <si>
    <t>z</t>
  </si>
  <si>
    <t>Consulta de eventos recibidos desde Wompi</t>
  </si>
  <si>
    <t>Consideraciones Técnicas Transversales</t>
  </si>
  <si>
    <t>Diseño Responsivo</t>
  </si>
  <si>
    <t>Interfaz web responsiva para uso fluido en smartphone y escritorio</t>
  </si>
  <si>
    <t>El proyecto consiste en el desarrollo de una plataforma centralizadora de operaciones para la gestión de ventas y logística. Que integra el E-commerce (VTEX), el ERP Contable (Alegra) y la Transportadora (Coordinadora).</t>
  </si>
  <si>
    <t>Acceso y Seguridad</t>
  </si>
  <si>
    <t>Login de usuarios internos.</t>
  </si>
  <si>
    <t>Recuperar contraseña.</t>
  </si>
  <si>
    <t>Gestión de roles</t>
  </si>
  <si>
    <t xml:space="preserve">Administrador/Vendedor / Gerencia </t>
  </si>
  <si>
    <t>Control de permisos por módulo</t>
  </si>
  <si>
    <t>Permisos para Ruta o Acción - Ver o  hacer (Generar doc-anular -reintentar)</t>
  </si>
  <si>
    <t>Pedidos – Centralización (Integra el API de VTEX)</t>
  </si>
  <si>
    <t>Consumo de pedidos desde VTEX y centralización en bandeja interna</t>
  </si>
  <si>
    <t>Captura de datos del pedido:</t>
  </si>
  <si>
    <t>Identificador (ej. MKT-…)</t>
  </si>
  <si>
    <t>Cliente y entrega: documento, teléfono, dirección, ciudad/departamento, observaciones</t>
  </si>
  <si>
    <t>Ítems: SKU/referencia, cantidades, valor pagado</t>
  </si>
  <si>
    <t>Origen (mktaddi / MKT)</t>
  </si>
  <si>
    <t>Gestión de estados operativos internos del pedido:</t>
  </si>
  <si>
    <t>Nuevo, En gestión, Pendiente datos, Facturado, Pendiente guía/soporte, Despachado, Entregado, Error</t>
  </si>
  <si>
    <t>Registro de trazabilidad de sincronización (fecha/hora, resultado, errores)</t>
  </si>
  <si>
    <t>Pedidos – Gestión por Vendedor</t>
  </si>
  <si>
    <t>Bandeja de pedidos asignados por vendedor y/o sede</t>
  </si>
  <si>
    <t>Edición/enriquecimiento del pedido:</t>
  </si>
  <si>
    <t>Confirmación de datos de entrega</t>
  </si>
  <si>
    <t>Observaciones internas</t>
  </si>
  <si>
    <t>Selección del tipo de entrega: Local (misma ciudad) / Nacional (otra ciudad)</t>
  </si>
  <si>
    <t>Registro de datos de paquete: dimensiones, peso, valor declarado</t>
  </si>
  <si>
    <t>Carga de evidencias/fotos desde el pedido: foto de caja / etiqueta / serial</t>
  </si>
  <si>
    <t>OCR – Lectura de Serial/IMEI desde Imagen</t>
  </si>
  <si>
    <t>Carga de imagen desde el pedido (foto de caja o etiqueta)</t>
  </si>
  <si>
    <t>Extracción OCR orientada a serial/IMEI</t>
  </si>
  <si>
    <t>Autocompletado del campo Serial/IMEI con opción de edición manual</t>
  </si>
  <si>
    <t>Registro histórico del serial/IMEI final utilizado por pedido</t>
  </si>
  <si>
    <t>Facturación Electrónica (Integrac el API Alegra)</t>
  </si>
  <si>
    <t>Generación de factura desde la plataforma con:</t>
  </si>
  <si>
    <t>Productos exactos del pedido</t>
  </si>
  <si>
    <t>Ajuste/validación de valores vs valor pagado</t>
  </si>
  <si>
    <t>Asociación de factura al pedido: número de factura e ID / PDF</t>
  </si>
  <si>
    <t>Estado de facturación: pendiente / facturado / error</t>
  </si>
  <si>
    <t>Visualización y descarga del PDF de factura desde el pedido</t>
  </si>
  <si>
    <t>Envío Nacional (Integración API Coordinadora)</t>
  </si>
  <si>
    <t>Generación automática de guía para pedidos con entrega “otra ciudad”</t>
  </si>
  <si>
    <t>Envío de información a Coordinadora:</t>
  </si>
  <si>
    <t>Remitente (según sede/centro logístico)</t>
  </si>
  <si>
    <t>Destinatario/dirección, ciudad destino</t>
  </si>
  <si>
    <t>Dimensiones/peso/valor declarado</t>
  </si>
  <si>
    <t>Observaciones operativas</t>
  </si>
  <si>
    <t>Obtención y almacenamiento:</t>
  </si>
  <si>
    <t>Número de guía/rastreo</t>
  </si>
  <si>
    <t>PDF de guía</t>
  </si>
  <si>
    <t>Consulta de estado de envío y actualización del estado interno del pedido</t>
  </si>
  <si>
    <t>Entrega Local – Soporte de Entrega (Misma Ciudad)</t>
  </si>
  <si>
    <t>Generación automática de Soporte de Entrega en PDF con:</t>
  </si>
  <si>
    <t>Datos cliente/entrega</t>
  </si>
  <si>
    <t>Número de orden y fecha</t>
  </si>
  <si>
    <t>Productos entregados</t>
  </si>
  <si>
    <t>Datos de quien recibe y firma</t>
  </si>
  <si>
    <t>Registro y asociación de evidencias (fotos) al soporte y al pedido</t>
  </si>
  <si>
    <t>Estados operativos de entrega local: alistamiento / en ruta / entregado / fallido</t>
  </si>
  <si>
    <t>Logística por Sede</t>
  </si>
  <si>
    <t>Bandeja logística por sede con filtros:</t>
  </si>
  <si>
    <t>Tipo de entrega (local/nacional)</t>
  </si>
  <si>
    <t>Estado (pendiente facturar / pendiente guía / pendiente soporte / despachado / entregado)</t>
  </si>
  <si>
    <t>Vista del pedido con documentos:</t>
  </si>
  <si>
    <t>Factura (PDF)</t>
  </si>
  <si>
    <t>Guía Coordinadora (PDF) o Soporte de entrega (PDF)</t>
  </si>
  <si>
    <t>Gestión de despacho: alistado / despachado / entregado</t>
  </si>
  <si>
    <t>Registro de usuario responsable por operación logística</t>
  </si>
  <si>
    <t>Trazabilidad (Actualización en VTEX – Integración API)</t>
  </si>
  <si>
    <t>Registro en VTEX de:</t>
  </si>
  <si>
    <t>Número de factura (Alegra)</t>
  </si>
  <si>
    <t>Transportadora Coordinadora y número de guía (si aplica)</t>
  </si>
  <si>
    <t>Para entrega local:</t>
  </si>
  <si>
    <t>Asociación del soporte generado para consulta</t>
  </si>
  <si>
    <t>Registro de entrega completada</t>
  </si>
  <si>
    <t>Dashboard / Reportes</t>
  </si>
  <si>
    <t>Pedidos por día / por sede / por ciudad</t>
  </si>
  <si>
    <t>Pedidos por tipo de entrega (local vs nacional)</t>
  </si>
  <si>
    <t>Pendientes operativos:</t>
  </si>
  <si>
    <t>Por facturar / por guía / por soporte / por despacho</t>
  </si>
  <si>
    <t>Resumen de pedidos con fallas de integración (VTEX/Alegra/Coordinadora)</t>
  </si>
  <si>
    <t>Administración / Configuración</t>
  </si>
  <si>
    <t>Parametrización de sedes: crear/editar/listar (ej. Pasto, Medellín, Pereira, Armenia)</t>
  </si>
  <si>
    <t>Configuración de centro logístico y reglas de asignación automática por ciudad/destino</t>
  </si>
  <si>
    <t>Parametrización de tipos de entrega:</t>
  </si>
  <si>
    <t>Local → genera soporte</t>
  </si>
  <si>
    <t>Nacional → genera guía Coordinadora</t>
  </si>
  <si>
    <t>Configuración Coordinadora:</t>
  </si>
  <si>
    <t>Parámetros operativos para consumo de API</t>
  </si>
  <si>
    <t>Configuración Alegra:</t>
  </si>
  <si>
    <t xml:space="preserve">Vendedor por defecto, numeración, reglas de facturación </t>
  </si>
  <si>
    <t>Configuración de plantillas PDF:</t>
  </si>
  <si>
    <t>Soporte de Entrega y formato de entrega al cliente</t>
  </si>
  <si>
    <t>Implementación de una plataforma de control de producción para LAVCO que digitaliza la trazabilidad del producto y la gestión diaria de los operarios. El sistema centraliza pedidos, coladas y hojas de trazabilidad, permite registrar el avance por operación en tiempo real (incluyendo PNC), y soporta el cierre de colada con conciliación de cantidades teóricas vs reales. Adicionalmente, automatiza reportes operativos para bodega, calidad y producción, y consolida información para nómina (recargos/horas extra) y pago por pieza cuando aplique. Los operarios podrán realizar registros desde el celular mediante interfaz móvil, reduciendo reprocesos, errores por formatos manuales y mejorando la visibilidad del estado de cada pedido hasta su entrada a bodega.</t>
  </si>
  <si>
    <t>El pedido nace en Excel TAG (comercial).</t>
  </si>
  <si>
    <t>Se crea la colada.</t>
  </si>
  <si>
    <t>De la colada se generan una o varias Hojas de Trazabilidad (HT).</t>
  </si>
  <si>
    <t>La HT recorre las operaciones.</t>
  </si>
  <si>
    <t>Los operarios registran lo que hacen.</t>
  </si>
  <si>
    <t>Se realiza confirmación final (antes “bodega”).</t>
  </si>
  <si>
    <t>Se hace el cierre operativo (sin inventarios).</t>
  </si>
  <si>
    <t>Con la información se generan reportes de calidad y nómina.</t>
  </si>
  <si>
    <t>Crear usuarios por rol: Operario, Producción, Calidad, Bodeg...)</t>
  </si>
  <si>
    <t>Inicio de sesión por usuario (ID: cédula o código interno).</t>
  </si>
  <si>
    <t xml:space="preserve">Permisos por rol </t>
  </si>
  <si>
    <t>ADMIN</t>
  </si>
  <si>
    <t>Rol de control total, auditoría y reportes</t>
  </si>
  <si>
    <t>Puede:</t>
  </si>
  <si>
    <t>Ver toda la información del sistema.</t>
  </si>
  <si>
    <t>Ver y exportar reportes de nómina (informativo):</t>
  </si>
  <si>
    <t>Horas extra</t>
  </si>
  <si>
    <t>Recargos</t>
  </si>
  <si>
    <t>Pago por pieza</t>
  </si>
  <si>
    <t>Productividad</t>
  </si>
  <si>
    <t>Ver y exportar reportes de calidad (PNC).</t>
  </si>
  <si>
    <t>Ver históricos y auditoría (quién hizo qué y cuándo).</t>
  </si>
  <si>
    <t>Crear / activar / inactivar usuarios.</t>
  </si>
  <si>
    <t>(Opcional) editar catálogos base.</t>
  </si>
  <si>
    <t>PROGRAMADOR (Producción / Programación operativa)</t>
  </si>
  <si>
    <t>Rol operativo principal del proceso</t>
  </si>
  <si>
    <t>Crear pedidos a partir del Excel TAG.</t>
  </si>
  <si>
    <t>Crear coladas.</t>
  </si>
  <si>
    <t>Crear Hojas de Trazabilidad (HT).</t>
  </si>
  <si>
    <t>Definir y ajustar rutas (CNC o convencional).</t>
  </si>
  <si>
    <t>Reprogramar producción según PNC.</t>
  </si>
  <si>
    <t>Consultar trazabilidad completa.</t>
  </si>
  <si>
    <t>Cerrar HT y cerrar coladas (cierre operativo).</t>
  </si>
  <si>
    <t>Gestionar catálogos base.</t>
  </si>
  <si>
    <t>OPERARIO</t>
  </si>
  <si>
    <t>Rol de registro operativo</t>
  </si>
  <si>
    <t>Tipos de operario (NO son roles distintos):</t>
  </si>
  <si>
    <t>Operario de máquinas.</t>
  </si>
  <si>
    <t>Operario de lavado / protección / empaque.</t>
  </si>
  <si>
    <t>Operario de confirmación final (antes “bodega”).</t>
  </si>
  <si>
    <t>Registrar avance por operación.</t>
  </si>
  <si>
    <t>Registrar producción diaria.</t>
  </si>
  <si>
    <t>Registrar PNC.</t>
  </si>
  <si>
    <t>Registrar confirmación final / cierre de su etapa.</t>
  </si>
  <si>
    <t>Catálogo de Operaciones (corte, interior, exterior, CNC, bruñido, rectificado/sin centros, lavado-protección-empaque, etc.).</t>
  </si>
  <si>
    <t>Nombre de la operación.</t>
  </si>
  <si>
    <t>Código.</t>
  </si>
  <si>
    <t>Tipo de operación (fundición, línea seca, lavado, etc.).</t>
  </si>
  <si>
    <t>Requiere máquina (Sí/No).</t>
  </si>
  <si>
    <t>Activa/Inactiva.</t>
  </si>
  <si>
    <t>Catálogo de Máquinas (códigos de maquinaria).</t>
  </si>
  <si>
    <t>Código de máquina.</t>
  </si>
  <si>
    <t>Nombre.</t>
  </si>
  <si>
    <t>Tipo de máquina: CNC / Convencional / Especial.</t>
  </si>
  <si>
    <t>Aplica recargo: Sí / No.</t>
  </si>
  <si>
    <t>Este catálogo permite identificar máquinas especiales que generan recargo.</t>
  </si>
  <si>
    <t>Catálogo de Clientes.</t>
  </si>
  <si>
    <t>Identificación (opcional).</t>
  </si>
  <si>
    <t>Activo/Inactivo.</t>
  </si>
  <si>
    <t>Catálogo de Productos/Referencias (sábana de producto).</t>
  </si>
  <si>
    <t>Código de referencia.</t>
  </si>
  <si>
    <t>Descripción.</t>
  </si>
  <si>
    <t>Medidas clave (según sábana actual).</t>
  </si>
  <si>
    <t>Tarifarios de pago por pieza (si aplica).</t>
  </si>
  <si>
    <t>Referencia.</t>
  </si>
  <si>
    <t>Operación.</t>
  </si>
  <si>
    <t>Valor por pieza.</t>
  </si>
  <si>
    <t>Vigencia.</t>
  </si>
  <si>
    <t>Crear pedido manualmente (Programador).</t>
  </si>
  <si>
    <t>Pedido con: cliente, referencia(s), cantidad, observaciones.</t>
  </si>
  <si>
    <t>Listar y consultar pedidos.</t>
  </si>
  <si>
    <t>Crear colada: número, fecha, referencia(s), cantidad de tubos, camisas por tubo, total teórico.</t>
  </si>
  <si>
    <t>Relacionar colada con pedidos / clientes.</t>
  </si>
  <si>
    <t>Asociar hojas de trazabilidad a la colada.</t>
  </si>
  <si>
    <t>Cierre de colada.</t>
  </si>
  <si>
    <t>Comparativo teórico vs real.</t>
  </si>
  <si>
    <t>Crear HT por cliente/pedido/referencia (con código único).</t>
  </si>
  <si>
    <t>Registrar datos base: colada, ruta, cantidades esperadas.</t>
  </si>
  <si>
    <t>Consulta de HT por: cliente, pedido, referencia, colada, código HT.</t>
  </si>
  <si>
    <t>Ver estado actual (en qué operación va).</t>
  </si>
  <si>
    <t>Registro manual por operario:</t>
  </si>
  <si>
    <t>cantidad recibida/procesada/entregada</t>
  </si>
  <si>
    <t>Registrar PNC</t>
  </si>
  <si>
    <t>operario responsable</t>
  </si>
  <si>
    <t>máquina (si aplica)</t>
  </si>
  <si>
    <t>fecha/hora (registro)</t>
  </si>
  <si>
    <t>Visualización del estado actual: “dónde va el lote y en qué operación”.</t>
  </si>
  <si>
    <t>turno</t>
  </si>
  <si>
    <t>hora ingreso/salida</t>
  </si>
  <si>
    <t>operación</t>
  </si>
  <si>
    <t>máquina(s)</t>
  </si>
  <si>
    <t>unidades</t>
  </si>
  <si>
    <t>PNC</t>
  </si>
  <si>
    <t>Fecha</t>
  </si>
  <si>
    <t>HT</t>
  </si>
  <si>
    <t>máquina</t>
  </si>
  <si>
    <t>operario</t>
  </si>
  <si>
    <t>referencia/cliente</t>
  </si>
  <si>
    <t>Bandeja de Calidad para revisión/validación.</t>
  </si>
  <si>
    <t>Reportes de PNC por referencia/cliente/operación.</t>
  </si>
  <si>
    <t>Operaciones con pago por pieza (las definidas por LAVCO).</t>
  </si>
  <si>
    <t>Registro diario por referencia y cálculo automático con tarifario.</t>
  </si>
  <si>
    <t>Consolidado quincenal</t>
  </si>
  <si>
    <t>Vista para operario (transparencia) + validación por jefe.</t>
  </si>
  <si>
    <t>Cálculo de horas extra</t>
  </si>
  <si>
    <t>recargos por máquinas especiales</t>
  </si>
  <si>
    <t>Consolidado quincenal para administración/nómina.</t>
  </si>
  <si>
    <t>Cerrar colada cuando todas las HT estén finalizadas.</t>
  </si>
  <si>
    <t>Reporte final de colada.</t>
  </si>
  <si>
    <t>Información  general( numero de colada, fecha inicio, pedidos asociados, clientes, cantidad de tubos)</t>
  </si>
  <si>
    <t>teórico vs real</t>
  </si>
  <si>
    <t>diferencias por “camisas por tubo” u otros</t>
  </si>
  <si>
    <t>pérdidas por PNC</t>
  </si>
  <si>
    <t>Pedidos por estado (en proceso / listos / despachados).</t>
  </si>
  <si>
    <t>HT por operación actual.</t>
  </si>
  <si>
    <t>Tiempos de ciclo por operación.</t>
  </si>
  <si>
    <t>PNC por operación/máquina/referencia/cliente.</t>
  </si>
  <si>
    <t>Productividad por operario</t>
  </si>
  <si>
    <t>Recargos por máquina especial. (Ejemplo: las maquinas que tienen recargos son las de operacion cnc)</t>
  </si>
  <si>
    <t>Interfaz móvil (PWA o web responsiva) para operarios:</t>
  </si>
  <si>
    <t>registrar avance HT</t>
  </si>
  <si>
    <t>registrar producción diaria</t>
  </si>
  <si>
    <t>registrar PNC</t>
  </si>
  <si>
    <t>Formularios rápidos (pocos campos, validaciones).</t>
  </si>
  <si>
    <t>Soporte de planta (botones grandes, búsqueda simple por código HT).</t>
  </si>
  <si>
    <t xml:space="preserve">Conexión Agente conversacional </t>
  </si>
  <si>
    <t>Configuración de plataforma y conexión con WhatsApp</t>
  </si>
  <si>
    <t>Integración con API oficial de WhatsApp Business.</t>
  </si>
  <si>
    <t xml:space="preserve">Implementación de un agente conversacional orquestador que opera sobre el canal único de WhatsApp de Marval, donde ingresan todos los leads provenientes de distintos canales. El agente realiza el perfilamiento comercial del cliente, consulta proyectos en el CRM, simula la viabilidad financiera según el proyecto seleccionado y escala únicamente los leads viables al asesor humano, registrando el proceso en el CRM.
</t>
  </si>
  <si>
    <t>Desarrollo del flujo conversacional base (Perfilamiento comercial)</t>
  </si>
  <si>
    <t>Flujo principal cotizado: compra de vivienda.</t>
  </si>
  <si>
    <t>Reglas de negocio para perfilamiento.</t>
  </si>
  <si>
    <t xml:space="preserve">  </t>
  </si>
  <si>
    <t>Escalar Procesos:(cartera, trámites, garantías, servicio al cliente).</t>
  </si>
  <si>
    <t>Clasificación del Lead (Apto - condicionado - seguimiento - No apto )</t>
  </si>
  <si>
    <t xml:space="preserve">Casos de Uso - Proyectos no viables </t>
  </si>
  <si>
    <t>Escalamiento Asesor (Cuando es Apto)</t>
  </si>
  <si>
    <t>Asignación Automatica asesor (Reglas pendientes por definir )</t>
  </si>
  <si>
    <t xml:space="preserve">Simulación de cuota inicial y validación Viabilidad </t>
  </si>
  <si>
    <t>Valor aproximado de la cuota inicial del proyecto.</t>
  </si>
  <si>
    <t>Número máximo de meses definidos para el proyecto.</t>
  </si>
  <si>
    <t>Valor mensual aproximado de la cuota inicial.</t>
  </si>
  <si>
    <t xml:space="preserve">Calculo de cuota mensual </t>
  </si>
  <si>
    <t xml:space="preserve">Definir Viabilidad del proyecto </t>
  </si>
  <si>
    <t xml:space="preserve">Integración CRM </t>
  </si>
  <si>
    <t xml:space="preserve">Integración con CRM Zoho </t>
  </si>
  <si>
    <t xml:space="preserve">Consulta de Proyectos (Proyectos - Tipo - Precio - Plazo) </t>
  </si>
  <si>
    <t>Crear cliente en CRM (Por Api Servicio)</t>
  </si>
  <si>
    <t>Crear Oportunidad (Se debe validar la información para crear ops)</t>
  </si>
  <si>
    <t xml:space="preserve">Consultar Asesores comerciales </t>
  </si>
  <si>
    <t xml:space="preserve">Módulo de Leads </t>
  </si>
  <si>
    <t xml:space="preserve">Listado leads información recopila IA </t>
  </si>
  <si>
    <t>Ciudad - Motivo compra - Ingresos - Recursos - cesantias .. )</t>
  </si>
  <si>
    <t xml:space="preserve">Datos Basicos - Nombre - # Celular .. correo x información que se pida </t>
  </si>
  <si>
    <t xml:space="preserve">Tiempo de entrega </t>
  </si>
  <si>
    <t xml:space="preserve">Credito - Estado Credito </t>
  </si>
  <si>
    <t xml:space="preserve">Etiquetas de clasificación del Lead </t>
  </si>
  <si>
    <t xml:space="preserve">Historial de conversación IA </t>
  </si>
  <si>
    <t xml:space="preserve">Modulo de Chat </t>
  </si>
  <si>
    <t xml:space="preserve">Lista global de Leads (Chats) </t>
  </si>
  <si>
    <t xml:space="preserve">Opción de conversación Manual - Para escalamiento </t>
  </si>
  <si>
    <t xml:space="preserve">VIsualización de la clasificacion del Lead y comercial desde chat </t>
  </si>
  <si>
    <t xml:space="preserve">Filtros por etiquetas, Buscar chats </t>
  </si>
  <si>
    <t xml:space="preserve">Crear Clasificación de Leads </t>
  </si>
  <si>
    <t xml:space="preserve">Crear Clasificación de Clientes </t>
  </si>
  <si>
    <t>Módulo Dashboard (Metricas del sistema)</t>
  </si>
  <si>
    <t>Total de leads ingresados por WhatsApp.</t>
  </si>
  <si>
    <t>Leads nuevos por periodo.</t>
  </si>
  <si>
    <t>Leads por ciudad o región.</t>
  </si>
  <si>
    <t>Leads viables vs no viables.</t>
  </si>
  <si>
    <t>Leads descartados por cuota superior al 30 % del ingreso.</t>
  </si>
  <si>
    <t>Leads convertidos en oportunidad.</t>
  </si>
  <si>
    <t>Conversión Lead → Oportunidad.</t>
  </si>
  <si>
    <t>Tiempo promedio de conversación.</t>
  </si>
  <si>
    <t>Porcentaje de leads que completan el perfilamiento.</t>
  </si>
  <si>
    <t xml:space="preserve">Capacitación y entrega sistema </t>
  </si>
  <si>
    <t>PLATAFORMA DE ATENCIÓN Y PERFILAMIENTO COMERCIAL</t>
  </si>
  <si>
    <t>Agente conversacional que opera sobre el WhatsApp único de Marval.</t>
  </si>
  <si>
    <t>Orquesta el flujo de ventas, perfilamiento y clasificación de leads.</t>
  </si>
  <si>
    <t>No reemplaza al asesor comercial.</t>
  </si>
  <si>
    <t>El modelo queda preparado para escalar a otros procesos (cartera, trámites, garantías, servicio al cliente).</t>
  </si>
  <si>
    <t>IDENTIFICACIÓN DE INTENCIÓN</t>
  </si>
  <si>
    <t>Saludo inicial automatizado.</t>
  </si>
  <si>
    <t>Identificación de la intención principal del cliente:</t>
  </si>
  <si>
    <t>Compra de vivienda (flujo activo).</t>
  </si>
  <si>
    <t>Otras intenciones (cartera, trámites, garantías, información general) quedan previstas para fases futuras.</t>
  </si>
  <si>
    <t>En el alcance actual, el flujo continúa únicamente para compra de vivienda.</t>
  </si>
  <si>
    <t>IDENTIFICACIÓN DE PROYECTO DE INTERÉS</t>
  </si>
  <si>
    <t>El agente pregunta si el cliente:</t>
  </si>
  <si>
    <t>Ya tiene un proyecto de Marval en mente, o</t>
  </si>
  <si>
    <t>Está explorando opciones.</t>
  </si>
  <si>
    <t>Si el cliente indica un proyecto específico:</t>
  </si>
  <si>
    <t>Se registra como base del análisis.</t>
  </si>
  <si>
    <t>Tener proyecto definido no elimina el perfilamiento del cliente.</t>
  </si>
  <si>
    <t>PERFILAMIENTO DEL CLIENTE (OBLIGATORIO)</t>
  </si>
  <si>
    <t>El agente recopila información necesaria para evaluar viabilidad:</t>
  </si>
  <si>
    <t>Ciudad donde busca vivienda.</t>
  </si>
  <si>
    <t>Motivo de compra (vivir / inversión).</t>
  </si>
  <si>
    <t>Ingresos mensuales del hogar.</t>
  </si>
  <si>
    <t>Recursos propios:</t>
  </si>
  <si>
    <t>Ahorros.</t>
  </si>
  <si>
    <t>Cesantías.</t>
  </si>
  <si>
    <t>Tiempo de entrega deseado.</t>
  </si>
  <si>
    <t>Estado del crédito:</t>
  </si>
  <si>
    <t>Preaprobado.</t>
  </si>
  <si>
    <t>En proceso.</t>
  </si>
  <si>
    <t>Reportado.</t>
  </si>
  <si>
    <t>Compra de contado.</t>
  </si>
  <si>
    <t>En esta etapa no se descarta al cliente; se recopila información.</t>
  </si>
  <si>
    <t>CONSULTA DE PROYECTOS EN CRM</t>
  </si>
  <si>
    <t>El agente consulta en el CRM (Zoho):</t>
  </si>
  <si>
    <t>El proyecto indicado por el cliente, o</t>
  </si>
  <si>
    <t>Proyectos sugeridos según el perfil.</t>
  </si>
  <si>
    <t>Para cada proyecto se obtiene:</t>
  </si>
  <si>
    <t>Tipo (VIS / No VIS).</t>
  </si>
  <si>
    <t>Precio “desde”.</t>
  </si>
  <si>
    <t>Porcentaje de cuota inicial.</t>
  </si>
  <si>
    <t>Plazo máximo para pago de la cuota inicial.</t>
  </si>
  <si>
    <t>Los valores comunicados son aproximados y en rangos.</t>
  </si>
  <si>
    <t>SIMULACIÓN DE CUOTA INICIAL Y VALIDACIÓN DE VIABILIDAD</t>
  </si>
  <si>
    <t>El agente calcula:</t>
  </si>
  <si>
    <t>Regla de viabilidad:</t>
  </si>
  <si>
    <t>La cuota mensual resultante no debe superar aproximadamente el 30 % del ingreso mensual del cliente.</t>
  </si>
  <si>
    <t>El resultado de la simulación define la viabilidad del proyecto para el perfil del cliente.</t>
  </si>
  <si>
    <t>CLASIFICACIÓN DEL LEAD</t>
  </si>
  <si>
    <t>Con base en el perfilamiento y la simulación, el lead se clasifica como:</t>
  </si>
  <si>
    <t>Apto: se convierte en oportunidad.</t>
  </si>
  <si>
    <t>Apto condicionado: requiere ajustes (ahorros, mayor plazo, co-deudor).</t>
  </si>
  <si>
    <t>Seguimiento: interés real, pero no está listo para avanzar.</t>
  </si>
  <si>
    <t>No apto (por ahora): no viable con el proyecto actual.</t>
  </si>
  <si>
    <t>Se registra siempre el motivo de la clasificación.</t>
  </si>
  <si>
    <t>AJUSTE DE PROPUESTA</t>
  </si>
  <si>
    <t>Si el proyecto no resulta viable:</t>
  </si>
  <si>
    <t>Se ajusta proyecto, tipología o plazo.</t>
  </si>
  <si>
    <t>Se realiza una nueva simulación.</t>
  </si>
  <si>
    <t>El agente presenta máximo 2–3 opciones al cliente.</t>
  </si>
  <si>
    <t>ESCALAMIENTO AL ASESOR COMERCIAL</t>
  </si>
  <si>
    <t>Cuando el lead es clasificado como Apto:</t>
  </si>
  <si>
    <t>Se registra la información en el CRM.</t>
  </si>
  <si>
    <t>Se crea la oportunidad.</t>
  </si>
  <si>
    <t>El asignamiento del lead al asesor lo realiza automáticamente el CRM, según reglas internas de Marval.</t>
  </si>
  <si>
    <t>El agente solo consulta la información de asignación.</t>
  </si>
  <si>
    <t>Los leads clasificados como seguimiento o descartados quedan registrados para futuras acciones.</t>
  </si>
  <si>
    <t>REGISTRO Y TRAZABILIDAD</t>
  </si>
  <si>
    <t>El agente registra en el CRM únicamente:</t>
  </si>
  <si>
    <t>Información de perfilamiento.</t>
  </si>
  <si>
    <t>Clasificación final del lead (oportunidad, seguimiento o descartado).</t>
  </si>
  <si>
    <t>No se gestionan reglas de asignación dentro del agente.</t>
  </si>
  <si>
    <t>Se garantiza trazabilidad completa desde el primer contacto en WhatsApp.</t>
  </si>
  <si>
    <t>MÉTRICAS DEL SISTEMA (MVP)</t>
  </si>
  <si>
    <t xml:space="preserve">Cambio infraestructura General Agente </t>
  </si>
  <si>
    <t xml:space="preserve">Cambiar infraestuctura de codigo </t>
  </si>
  <si>
    <t xml:space="preserve">End points IA </t>
  </si>
  <si>
    <t xml:space="preserve">Cambiar estructrua Base de datos </t>
  </si>
  <si>
    <t xml:space="preserve">Banco conocimiento IA Radiologo </t>
  </si>
  <si>
    <t>Define “lectura efectiva” como métricas medibles</t>
  </si>
  <si>
    <t>Sensibilidad (no perder hallazgos importantes).</t>
  </si>
  <si>
    <t>Especificidad (no inventar hallazgos).</t>
  </si>
  <si>
    <t>AUC/F1 por patología (neumonía, derrame pleural, neumotórax, cardiomegalia, fracturas, etc.).</t>
  </si>
  <si>
    <t>Tasa de “hallazgo crítico” (p. ej. neumotórax a tensión) con recall objetivo alto.</t>
  </si>
  <si>
    <t>Calidad del informe: concordancia con radiólogo (por secciones: hallazgos, impresión).</t>
  </si>
  <si>
    <t>Calibración (que el % de confianza corresponda a probabilidad real).</t>
  </si>
  <si>
    <t xml:space="preserve">Capas para mejorar desempeño </t>
  </si>
  <si>
    <t>Conocimiento “textual” (guías y criterios)</t>
  </si>
  <si>
    <t>Guías (p. ej. ACR, BTS, ATS/IDSA según el caso de uso).</t>
  </si>
  <si>
    <t>Patología, modalidad (Rx tórax), proyección, severidad, población, “red flags”, recomendaciones.</t>
  </si>
  <si>
    <t>Conocimiento “visual” (casos ejemplo anotados)</t>
  </si>
  <si>
    <t>Radiografías (idealmente DICOM) con:</t>
  </si>
  <si>
    <t>Etiquetas multi-label (presente/ausente por hallazgo).</t>
  </si>
  <si>
    <t>Bounding boxes o segmentaciones (si aplica) para explicar “dónde”.</t>
  </si>
  <si>
    <t>Nivel de certeza del experto.</t>
  </si>
  <si>
    <t>Conocimiento “operativo” (errores, excepciones, QA)</t>
  </si>
  <si>
    <t>Catálogo de errores frecuentes del modelo (falsos positivos típicos, confusiones).</t>
  </si>
  <si>
    <t>Reglas de seguridad: “si sospecha neumotórax + baja calidad → pedir repetición/otra vista”.</t>
  </si>
  <si>
    <t>Políticas de abstención: cuándo decir “no estoy seguro”.</t>
  </si>
  <si>
    <t>Indexación: texto + imagen (RAG multimodal)</t>
  </si>
  <si>
    <t>Para que el agente use el banco al leer una radiografía:</t>
  </si>
  <si>
    <t>RAG textual (clásico)</t>
  </si>
  <si>
    <t>Recuperación “por similitud visual”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</si>
</sst>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 mmmm\ yyyy"/>
    <numFmt numFmtId="165" formatCode="&quot;$&quot;#,##0"/>
    <numFmt numFmtId="166" formatCode="#,##0_);[Red]#,##0"/>
    <numFmt numFmtId="167" formatCode="&quot; &quot;mmmm&quot; &quot;"/>
  </numFmts>
  <fonts count="28">
    <font>
      <sz val="10"/>
      <color rgb="FF000000"/>
      <name val="Arial"/>
      <scheme val="minor"/>
    </font>
    <font>
      <b/>
      <sz val="10"/>
      <color theme="1"/>
      <name val="Arial"/>
      <scheme val="minor"/>
    </font>
    <font>
      <b/>
      <sz val="10"/>
      <color rgb="FFFFFFFF"/>
      <name val="Arial"/>
      <scheme val="minor"/>
    </font>
    <font>
      <sz val="10"/>
      <color theme="1"/>
      <name val="Arial"/>
      <scheme val="minor"/>
    </font>
    <font>
      <b/>
      <sz val="12"/>
      <color rgb="FFFFFFFF"/>
      <name val="Arial"/>
      <scheme val="minor"/>
    </font>
    <font>
      <b/>
      <sz val="10"/>
      <color theme="1"/>
      <name val="Arial"/>
      <scheme val="minor"/>
    </font>
    <font>
      <sz val="10"/>
      <color theme="1"/>
      <name val="Arial"/>
    </font>
    <font>
      <b/>
      <sz val="11"/>
      <color theme="1"/>
      <name val="Arial"/>
    </font>
    <font>
      <sz val="14"/>
      <color rgb="FF000000"/>
      <name val="Arial"/>
      <scheme val="minor"/>
    </font>
    <font>
      <b/>
      <sz val="11"/>
      <color theme="1"/>
      <name val="Arial"/>
      <scheme val="minor"/>
    </font>
    <font>
      <sz val="10"/>
      <color rgb="FF000000"/>
      <name val="&quot;Calibri&quot;"/>
    </font>
    <font>
      <sz val="11"/>
      <color rgb="FF000000"/>
      <name val="&quot;Calibri&quot;"/>
    </font>
    <font>
      <b/>
      <sz val="10"/>
      <color rgb="FFFF0000"/>
      <name val="Arial"/>
      <scheme val="minor"/>
    </font>
    <font>
      <sz val="8"/>
      <color theme="1"/>
      <name val="Arial"/>
      <scheme val="minor"/>
    </font>
    <font>
      <sz val="10"/>
      <color rgb="FF686868"/>
      <name val="&quot;Open Sans&quot;"/>
    </font>
    <font>
      <sz val="10"/>
      <name val="Arial"/>
    </font>
    <font>
      <b/>
      <sz val="12"/>
      <color theme="1"/>
      <name val="Arial"/>
      <scheme val="minor"/>
    </font>
    <font>
      <sz val="10"/>
      <color rgb="FFFF0000"/>
      <name val="Arial"/>
      <scheme val="minor"/>
    </font>
    <font>
      <sz val="11"/>
      <color theme="1"/>
      <name val="Arial"/>
      <scheme val="minor"/>
    </font>
    <font>
      <b/>
      <sz val="11"/>
      <color rgb="FFFF0000"/>
      <name val="Arial"/>
      <scheme val="minor"/>
    </font>
    <font>
      <b/>
      <sz val="14"/>
      <color theme="1"/>
      <name val="&quot;Century Gothic&quot;"/>
    </font>
    <font>
      <b/>
      <sz val="12"/>
      <color theme="1"/>
      <name val="&quot;Century Gothic&quot;"/>
    </font>
    <font>
      <b/>
      <sz val="15"/>
      <color theme="1"/>
      <name val="Arial"/>
      <scheme val="minor"/>
    </font>
    <font>
      <b/>
      <sz val="11"/>
      <color theme="1"/>
      <name val="Century Gothic"/>
    </font>
    <font>
      <sz val="11"/>
      <color theme="1"/>
      <name val="Century Gothic"/>
    </font>
    <font>
      <sz val="10"/>
      <color theme="1"/>
      <name val="Century Gothic"/>
    </font>
    <font>
      <sz val="9"/>
      <color theme="1"/>
      <name val="Arial"/>
      <scheme val="minor"/>
    </font>
    <font>
      <b/>
      <sz val="9"/>
      <color theme="1"/>
      <name val="Arial"/>
      <scheme val="minor"/>
    </font>
  </fonts>
  <fills count="21">
    <fill>
      <patternFill patternType="none"/>
    </fill>
    <fill>
      <patternFill patternType="gray125"/>
    </fill>
    <fill>
      <patternFill patternType="solid">
        <fgColor rgb="FF6AA84F"/>
        <bgColor rgb="FF6AA84F"/>
      </patternFill>
    </fill>
    <fill>
      <patternFill patternType="solid">
        <fgColor rgb="FF1155CC"/>
        <bgColor rgb="FF1155CC"/>
      </patternFill>
    </fill>
    <fill>
      <patternFill patternType="solid">
        <fgColor rgb="FF9FC5E8"/>
        <bgColor rgb="FF9FC5E8"/>
      </patternFill>
    </fill>
    <fill>
      <patternFill patternType="solid">
        <fgColor rgb="FFFFFF00"/>
        <bgColor rgb="FFFFFF00"/>
      </patternFill>
    </fill>
    <fill>
      <patternFill patternType="solid">
        <fgColor rgb="FF274E13"/>
        <bgColor rgb="FF274E13"/>
      </patternFill>
    </fill>
    <fill>
      <patternFill patternType="solid">
        <fgColor rgb="FFFFFFFF"/>
        <bgColor rgb="FFFFFFFF"/>
      </patternFill>
    </fill>
    <fill>
      <patternFill patternType="solid">
        <fgColor rgb="FF999999"/>
        <bgColor rgb="FF999999"/>
      </patternFill>
    </fill>
    <fill>
      <patternFill patternType="solid">
        <fgColor rgb="FFFF0000"/>
        <bgColor rgb="FFFF0000"/>
      </patternFill>
    </fill>
    <fill>
      <patternFill patternType="solid">
        <fgColor rgb="FFFFF2CC"/>
        <bgColor rgb="FFFFF2CC"/>
      </patternFill>
    </fill>
    <fill>
      <patternFill patternType="solid">
        <fgColor rgb="FFCFE2F3"/>
        <bgColor rgb="FFCFE2F3"/>
      </patternFill>
    </fill>
    <fill>
      <patternFill patternType="solid">
        <fgColor rgb="FFD9EAD3"/>
        <bgColor rgb="FFD9EAD3"/>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
      <patternFill patternType="solid">
        <fgColor rgb="FFD9D2E9"/>
        <bgColor rgb="FFD9D2E9"/>
      </patternFill>
    </fill>
    <fill>
      <patternFill patternType="solid">
        <fgColor rgb="FFEFEFEF"/>
        <bgColor rgb="FFEFEFEF"/>
      </patternFill>
    </fill>
    <fill>
      <patternFill patternType="solid">
        <fgColor rgb="FFA4C2F4"/>
        <bgColor rgb="FFA4C2F4"/>
      </patternFill>
    </fill>
    <fill>
      <patternFill patternType="solid">
        <fgColor rgb="FFD9D9D9"/>
        <bgColor rgb="FFD9D9D9"/>
      </patternFill>
    </fill>
    <fill>
      <patternFill patternType="solid">
        <fgColor rgb="FFF3F3F3"/>
        <bgColor rgb="FFF3F3F3"/>
      </patternFill>
    </fill>
  </fills>
  <borders count="17">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B7B7B7"/>
      </left>
      <right style="thin">
        <color rgb="FFFFFFFF"/>
      </right>
      <top style="thin">
        <color rgb="FFB7B7B7"/>
      </top>
      <bottom style="thin">
        <color rgb="FFB7B7B7"/>
      </bottom>
      <diagonal/>
    </border>
    <border>
      <left style="thin">
        <color rgb="FFFFFFFF"/>
      </left>
      <right style="thin">
        <color rgb="FFFFFFFF"/>
      </right>
      <top style="thin">
        <color rgb="FFB7B7B7"/>
      </top>
      <bottom style="thin">
        <color rgb="FFB7B7B7"/>
      </bottom>
      <diagonal/>
    </border>
    <border>
      <left style="thin">
        <color rgb="FFFFFFFF"/>
      </left>
      <right style="thin">
        <color rgb="FFB7B7B7"/>
      </right>
      <top style="thin">
        <color rgb="FFB7B7B7"/>
      </top>
      <bottom style="thin">
        <color rgb="FFB7B7B7"/>
      </bottom>
      <diagonal/>
    </border>
    <border>
      <left style="thin">
        <color rgb="FFB7B7B7"/>
      </left>
      <right/>
      <top style="thin">
        <color rgb="FFB7B7B7"/>
      </top>
      <bottom style="thin">
        <color rgb="FFFFFFFF"/>
      </bottom>
      <diagonal/>
    </border>
    <border>
      <left/>
      <right/>
      <top style="thin">
        <color rgb="FFB7B7B7"/>
      </top>
      <bottom style="thin">
        <color rgb="FFFFFFFF"/>
      </bottom>
      <diagonal/>
    </border>
    <border>
      <left/>
      <right style="thin">
        <color rgb="FFFFFFFF"/>
      </right>
      <top style="thin">
        <color rgb="FFB7B7B7"/>
      </top>
      <bottom style="thin">
        <color rgb="FFFFFFFF"/>
      </bottom>
      <diagonal/>
    </border>
  </borders>
  <cellStyleXfs count="1">
    <xf numFmtId="0" fontId="0" fillId="0" borderId="0"/>
  </cellStyleXfs>
  <cellXfs count="135">
    <xf numFmtId="0" fontId="0" fillId="0" borderId="0" xfId="0" applyFont="1" applyAlignment="1"/>
    <xf numFmtId="0" fontId="1" fillId="0" borderId="0" xfId="0" applyFont="1" applyAlignment="1">
      <alignment horizontal="right"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164" fontId="3" fillId="5" borderId="0" xfId="0" applyNumberFormat="1" applyFont="1" applyFill="1" applyAlignment="1">
      <alignment horizontal="center" vertical="center" wrapText="1"/>
    </xf>
    <xf numFmtId="165" fontId="4" fillId="6" borderId="0" xfId="0" applyNumberFormat="1" applyFont="1" applyFill="1" applyAlignment="1">
      <alignment horizontal="center" vertical="center" wrapText="1"/>
    </xf>
    <xf numFmtId="0" fontId="3" fillId="0" borderId="0" xfId="0" applyFont="1" applyAlignment="1">
      <alignment horizontal="center" vertical="center" wrapText="1"/>
    </xf>
    <xf numFmtId="9" fontId="5" fillId="0" borderId="0" xfId="0" applyNumberFormat="1" applyFont="1" applyAlignment="1">
      <alignment horizontal="center" vertical="center" wrapText="1"/>
    </xf>
    <xf numFmtId="0" fontId="5" fillId="0" borderId="0" xfId="0" applyFont="1" applyAlignment="1">
      <alignment horizontal="center" vertical="center" wrapText="1"/>
    </xf>
    <xf numFmtId="165" fontId="4" fillId="3" borderId="0" xfId="0" applyNumberFormat="1" applyFont="1" applyFill="1" applyAlignment="1">
      <alignment horizontal="center" vertical="center" wrapText="1"/>
    </xf>
    <xf numFmtId="3" fontId="3" fillId="0" borderId="0" xfId="0" applyNumberFormat="1" applyFont="1" applyAlignment="1">
      <alignment horizontal="right" vertical="center"/>
    </xf>
    <xf numFmtId="0" fontId="6" fillId="0" borderId="0" xfId="0" applyFont="1" applyAlignment="1">
      <alignment horizontal="center"/>
    </xf>
    <xf numFmtId="0" fontId="6" fillId="0" borderId="0" xfId="0" applyFont="1"/>
    <xf numFmtId="0" fontId="3" fillId="0" borderId="0" xfId="0" applyFont="1" applyAlignment="1">
      <alignment horizontal="center" vertical="center"/>
    </xf>
    <xf numFmtId="0" fontId="7" fillId="0" borderId="1" xfId="0" applyFont="1" applyBorder="1"/>
    <xf numFmtId="0" fontId="8" fillId="0" borderId="0" xfId="0" applyFont="1" applyAlignment="1"/>
    <xf numFmtId="0" fontId="3" fillId="0" borderId="1" xfId="0" applyFont="1" applyBorder="1" applyAlignment="1">
      <alignment horizontal="left" vertical="center"/>
    </xf>
    <xf numFmtId="0" fontId="3" fillId="0" borderId="1" xfId="0" applyFont="1" applyBorder="1" applyAlignment="1">
      <alignment horizontal="left" vertical="center"/>
    </xf>
    <xf numFmtId="3" fontId="3" fillId="7" borderId="1" xfId="0" applyNumberFormat="1" applyFont="1" applyFill="1" applyBorder="1" applyAlignment="1">
      <alignment horizontal="right" vertical="center"/>
    </xf>
    <xf numFmtId="3" fontId="3" fillId="7" borderId="1" xfId="0" applyNumberFormat="1" applyFont="1" applyFill="1" applyBorder="1" applyAlignment="1">
      <alignment horizontal="center" vertical="center"/>
    </xf>
    <xf numFmtId="9" fontId="5" fillId="7" borderId="1" xfId="0" applyNumberFormat="1" applyFont="1" applyFill="1" applyBorder="1" applyAlignment="1">
      <alignment horizontal="center" vertical="center"/>
    </xf>
    <xf numFmtId="0" fontId="3" fillId="0" borderId="1" xfId="0" applyFont="1" applyBorder="1" applyAlignment="1">
      <alignment horizontal="center" vertical="center"/>
    </xf>
    <xf numFmtId="165" fontId="3" fillId="0" borderId="0" xfId="0" applyNumberFormat="1" applyFont="1" applyAlignment="1">
      <alignment horizontal="right" vertical="center"/>
    </xf>
    <xf numFmtId="0" fontId="3" fillId="0" borderId="0" xfId="0" applyFont="1" applyAlignment="1">
      <alignment horizontal="center" vertical="center"/>
    </xf>
    <xf numFmtId="3" fontId="3" fillId="7"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0" fontId="7" fillId="0" borderId="1" xfId="0" applyFont="1" applyBorder="1" applyAlignment="1"/>
    <xf numFmtId="0" fontId="9" fillId="0" borderId="1" xfId="0" applyFont="1" applyBorder="1" applyAlignment="1">
      <alignment horizontal="left" vertical="center"/>
    </xf>
    <xf numFmtId="0" fontId="3" fillId="0" borderId="0" xfId="0" applyFont="1" applyAlignment="1">
      <alignment horizontal="left" vertical="center"/>
    </xf>
    <xf numFmtId="0" fontId="10" fillId="0" borderId="0" xfId="0" applyFont="1" applyAlignment="1"/>
    <xf numFmtId="9" fontId="5" fillId="7" borderId="1" xfId="0" applyNumberFormat="1" applyFont="1" applyFill="1" applyBorder="1" applyAlignment="1">
      <alignment horizontal="center" vertical="center"/>
    </xf>
    <xf numFmtId="0" fontId="11" fillId="0" borderId="0" xfId="0" applyFont="1" applyAlignment="1"/>
    <xf numFmtId="0" fontId="12" fillId="0" borderId="0" xfId="0" applyFont="1" applyAlignment="1">
      <alignment horizontal="center" vertical="center"/>
    </xf>
    <xf numFmtId="0" fontId="3" fillId="8" borderId="0" xfId="0" applyFont="1" applyFill="1" applyAlignment="1">
      <alignment horizontal="center" vertical="center"/>
    </xf>
    <xf numFmtId="0" fontId="3" fillId="8" borderId="0" xfId="0" applyFont="1" applyFill="1" applyAlignment="1">
      <alignment horizontal="left" vertical="center"/>
    </xf>
    <xf numFmtId="0" fontId="2" fillId="8" borderId="0" xfId="0" applyFont="1" applyFill="1" applyAlignment="1">
      <alignment horizontal="left" vertical="center"/>
    </xf>
    <xf numFmtId="0" fontId="2" fillId="9" borderId="0" xfId="0" applyFont="1" applyFill="1" applyAlignment="1">
      <alignment horizontal="center" vertical="center"/>
    </xf>
    <xf numFmtId="165" fontId="3" fillId="0" borderId="0" xfId="0" applyNumberFormat="1" applyFont="1" applyAlignment="1">
      <alignment horizontal="center" vertical="center"/>
    </xf>
    <xf numFmtId="0" fontId="3" fillId="0" borderId="0" xfId="0" applyFont="1" applyAlignment="1">
      <alignment vertical="center"/>
    </xf>
    <xf numFmtId="0" fontId="13" fillId="11" borderId="0" xfId="0" applyFont="1" applyFill="1" applyAlignment="1">
      <alignment vertical="center"/>
    </xf>
    <xf numFmtId="3" fontId="13" fillId="11" borderId="0" xfId="0" applyNumberFormat="1" applyFont="1" applyFill="1" applyAlignment="1">
      <alignment vertical="center"/>
    </xf>
    <xf numFmtId="0" fontId="13" fillId="12" borderId="0" xfId="0" applyFont="1" applyFill="1" applyAlignment="1">
      <alignment vertical="center"/>
    </xf>
    <xf numFmtId="3" fontId="13" fillId="12" borderId="0" xfId="0" applyNumberFormat="1" applyFont="1" applyFill="1" applyAlignment="1">
      <alignment vertical="center"/>
    </xf>
    <xf numFmtId="0" fontId="13" fillId="13" borderId="0" xfId="0" applyFont="1" applyFill="1" applyAlignment="1">
      <alignment vertical="center"/>
    </xf>
    <xf numFmtId="9" fontId="13" fillId="13" borderId="0" xfId="0" applyNumberFormat="1" applyFont="1" applyFill="1" applyAlignment="1">
      <alignment vertical="center"/>
    </xf>
    <xf numFmtId="0" fontId="13" fillId="14" borderId="0" xfId="0" applyFont="1" applyFill="1" applyAlignment="1">
      <alignment vertical="center"/>
    </xf>
    <xf numFmtId="9" fontId="13" fillId="14" borderId="0" xfId="0" applyNumberFormat="1" applyFont="1" applyFill="1" applyAlignment="1">
      <alignment vertical="center"/>
    </xf>
    <xf numFmtId="0" fontId="13" fillId="15" borderId="0" xfId="0" applyFont="1" applyFill="1" applyAlignment="1">
      <alignment vertical="center"/>
    </xf>
    <xf numFmtId="1" fontId="13" fillId="15" borderId="0" xfId="0" applyNumberFormat="1" applyFont="1" applyFill="1" applyAlignment="1">
      <alignment vertical="center"/>
    </xf>
    <xf numFmtId="9" fontId="9" fillId="13" borderId="0" xfId="0" applyNumberFormat="1" applyFont="1" applyFill="1" applyAlignment="1">
      <alignment vertical="center"/>
    </xf>
    <xf numFmtId="0" fontId="13" fillId="16" borderId="0" xfId="0" applyFont="1" applyFill="1" applyAlignment="1">
      <alignment horizontal="center" vertical="center"/>
    </xf>
    <xf numFmtId="0" fontId="13" fillId="16" borderId="0" xfId="0" applyFont="1" applyFill="1" applyAlignment="1">
      <alignment vertical="center"/>
    </xf>
    <xf numFmtId="0" fontId="3" fillId="16" borderId="0" xfId="0" applyFont="1" applyFill="1" applyAlignment="1">
      <alignment vertical="center"/>
    </xf>
    <xf numFmtId="0" fontId="5" fillId="0" borderId="0" xfId="0" applyFont="1" applyAlignment="1">
      <alignment horizontal="center" vertical="center"/>
    </xf>
    <xf numFmtId="0" fontId="3" fillId="0" borderId="0" xfId="0" applyFont="1" applyAlignment="1">
      <alignment horizontal="left" vertical="center"/>
    </xf>
    <xf numFmtId="166" fontId="3" fillId="17" borderId="0" xfId="0" applyNumberFormat="1" applyFont="1" applyFill="1" applyAlignment="1">
      <alignment horizontal="right" vertical="center"/>
    </xf>
    <xf numFmtId="166" fontId="5" fillId="18" borderId="0" xfId="0" applyNumberFormat="1" applyFont="1" applyFill="1" applyAlignment="1">
      <alignment horizontal="right" vertical="center"/>
    </xf>
    <xf numFmtId="0" fontId="14" fillId="7" borderId="0" xfId="0" applyFont="1" applyFill="1" applyAlignment="1">
      <alignment horizontal="center"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0" fontId="9" fillId="0" borderId="8" xfId="0" applyFont="1" applyBorder="1" applyAlignment="1">
      <alignment horizontal="center" vertical="center"/>
    </xf>
    <xf numFmtId="0" fontId="9" fillId="19" borderId="8" xfId="0" applyFont="1" applyFill="1" applyBorder="1" applyAlignment="1">
      <alignment horizontal="center" vertical="center"/>
    </xf>
    <xf numFmtId="0" fontId="3" fillId="0" borderId="9" xfId="0" applyFont="1" applyBorder="1" applyAlignment="1">
      <alignment horizontal="left" vertical="center"/>
    </xf>
    <xf numFmtId="0" fontId="3"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8" xfId="0" applyFont="1" applyBorder="1" applyAlignment="1">
      <alignment horizontal="center" vertical="center"/>
    </xf>
    <xf numFmtId="0" fontId="5" fillId="20" borderId="8" xfId="0" applyFont="1" applyFill="1" applyBorder="1" applyAlignment="1">
      <alignment horizontal="center" vertical="center"/>
    </xf>
    <xf numFmtId="165" fontId="5" fillId="20" borderId="8" xfId="0" applyNumberFormat="1" applyFont="1" applyFill="1" applyBorder="1" applyAlignment="1">
      <alignment horizontal="center" vertical="center"/>
    </xf>
    <xf numFmtId="0" fontId="3" fillId="7" borderId="11" xfId="0" applyFont="1" applyFill="1" applyBorder="1" applyAlignment="1">
      <alignment horizontal="left" vertical="center"/>
    </xf>
    <xf numFmtId="0" fontId="3" fillId="7" borderId="12" xfId="0" applyFont="1" applyFill="1" applyBorder="1" applyAlignment="1">
      <alignment horizontal="center" vertical="center"/>
    </xf>
    <xf numFmtId="0" fontId="3" fillId="7" borderId="12" xfId="0" applyFont="1" applyFill="1" applyBorder="1" applyAlignment="1">
      <alignment horizontal="center" vertical="center"/>
    </xf>
    <xf numFmtId="0" fontId="3" fillId="7" borderId="13" xfId="0" applyFont="1" applyFill="1" applyBorder="1" applyAlignment="1">
      <alignment horizontal="center" vertical="center"/>
    </xf>
    <xf numFmtId="0" fontId="3" fillId="0" borderId="8" xfId="0" applyFont="1" applyBorder="1" applyAlignment="1">
      <alignment horizontal="center" vertical="center"/>
    </xf>
    <xf numFmtId="0" fontId="3" fillId="20" borderId="8" xfId="0" applyFont="1" applyFill="1" applyBorder="1" applyAlignment="1">
      <alignment horizontal="center" vertical="center"/>
    </xf>
    <xf numFmtId="0" fontId="3" fillId="20" borderId="8" xfId="0" applyFont="1" applyFill="1" applyBorder="1" applyAlignment="1">
      <alignment horizontal="center" vertical="center"/>
    </xf>
    <xf numFmtId="0" fontId="3" fillId="0" borderId="8" xfId="0" applyFont="1" applyBorder="1" applyAlignment="1">
      <alignment horizontal="center" vertical="center"/>
    </xf>
    <xf numFmtId="165" fontId="3" fillId="20" borderId="8" xfId="0" applyNumberFormat="1" applyFont="1" applyFill="1" applyBorder="1" applyAlignment="1">
      <alignment horizontal="center" vertical="center"/>
    </xf>
    <xf numFmtId="0" fontId="6" fillId="0" borderId="0" xfId="0" applyFont="1" applyAlignment="1"/>
    <xf numFmtId="0" fontId="6" fillId="0" borderId="1" xfId="0" applyFont="1" applyBorder="1"/>
    <xf numFmtId="0" fontId="3" fillId="0" borderId="4" xfId="0" applyFont="1" applyBorder="1" applyAlignment="1">
      <alignment horizontal="left" vertical="center"/>
    </xf>
    <xf numFmtId="0" fontId="5" fillId="0" borderId="0" xfId="0" applyFont="1" applyAlignment="1"/>
    <xf numFmtId="0" fontId="3" fillId="0" borderId="0" xfId="0" applyFont="1" applyAlignment="1"/>
    <xf numFmtId="0" fontId="6" fillId="0" borderId="0" xfId="0" applyFont="1" applyAlignment="1">
      <alignment horizontal="center"/>
    </xf>
    <xf numFmtId="0" fontId="6" fillId="0" borderId="0" xfId="0" applyFont="1" applyAlignment="1"/>
    <xf numFmtId="0" fontId="5" fillId="0" borderId="1" xfId="0" applyFont="1" applyBorder="1" applyAlignment="1">
      <alignment horizontal="left" vertical="center"/>
    </xf>
    <xf numFmtId="0" fontId="5" fillId="0" borderId="1" xfId="0" applyFont="1" applyBorder="1" applyAlignment="1">
      <alignment horizontal="left" vertical="center"/>
    </xf>
    <xf numFmtId="165" fontId="3" fillId="0" borderId="0" xfId="0" applyNumberFormat="1" applyFont="1" applyAlignment="1">
      <alignment horizontal="center" vertical="center"/>
    </xf>
    <xf numFmtId="0" fontId="16" fillId="0" borderId="0" xfId="0" applyFont="1" applyAlignment="1"/>
    <xf numFmtId="0" fontId="3" fillId="0" borderId="0" xfId="0" applyFont="1"/>
    <xf numFmtId="0" fontId="17" fillId="0" borderId="1" xfId="0" applyFont="1" applyBorder="1" applyAlignment="1">
      <alignment horizontal="left" vertical="center"/>
    </xf>
    <xf numFmtId="0" fontId="17" fillId="0" borderId="1" xfId="0" applyFont="1" applyBorder="1" applyAlignment="1">
      <alignment horizontal="left" vertical="center"/>
    </xf>
    <xf numFmtId="0" fontId="3" fillId="0" borderId="1" xfId="0" applyFont="1" applyBorder="1" applyAlignment="1">
      <alignment horizontal="left" vertical="center"/>
    </xf>
    <xf numFmtId="0" fontId="18" fillId="0" borderId="1" xfId="0" applyFont="1" applyBorder="1" applyAlignment="1">
      <alignment horizontal="left" vertical="center"/>
    </xf>
    <xf numFmtId="0" fontId="12" fillId="0" borderId="0" xfId="0" applyFont="1" applyAlignment="1"/>
    <xf numFmtId="0" fontId="19" fillId="0" borderId="1" xfId="0" applyFont="1" applyBorder="1" applyAlignment="1">
      <alignment horizontal="left" vertical="center"/>
    </xf>
    <xf numFmtId="0" fontId="3" fillId="7" borderId="1" xfId="0" applyFont="1" applyFill="1" applyBorder="1" applyAlignment="1">
      <alignment horizontal="left" vertical="center"/>
    </xf>
    <xf numFmtId="0" fontId="3" fillId="7" borderId="1" xfId="0" applyFont="1" applyFill="1" applyBorder="1" applyAlignment="1">
      <alignment horizontal="center" vertical="center"/>
    </xf>
    <xf numFmtId="165" fontId="3" fillId="0" borderId="0" xfId="0" applyNumberFormat="1" applyFont="1" applyAlignment="1">
      <alignment horizontal="left" vertical="center"/>
    </xf>
    <xf numFmtId="0" fontId="3" fillId="0" borderId="9" xfId="0" applyFont="1" applyBorder="1" applyAlignment="1">
      <alignment horizontal="center" vertical="center"/>
    </xf>
    <xf numFmtId="0" fontId="20" fillId="0" borderId="0" xfId="0" applyFont="1" applyAlignment="1"/>
    <xf numFmtId="0" fontId="21" fillId="0" borderId="0" xfId="0" applyFont="1" applyAlignment="1"/>
    <xf numFmtId="0" fontId="22" fillId="0" borderId="1" xfId="0" applyFont="1" applyBorder="1" applyAlignment="1">
      <alignment horizontal="left" vertical="center"/>
    </xf>
    <xf numFmtId="0" fontId="16" fillId="0" borderId="1" xfId="0" applyFont="1" applyBorder="1" applyAlignment="1">
      <alignment horizontal="left" vertical="center"/>
    </xf>
    <xf numFmtId="0" fontId="23" fillId="0" borderId="1" xfId="0" applyFont="1" applyBorder="1" applyAlignment="1">
      <alignment horizontal="left" vertical="center"/>
    </xf>
    <xf numFmtId="0" fontId="24" fillId="0" borderId="1" xfId="0" applyFont="1" applyBorder="1" applyAlignment="1">
      <alignment horizontal="left" vertical="center"/>
    </xf>
    <xf numFmtId="0" fontId="25" fillId="0" borderId="1" xfId="0" applyFont="1" applyBorder="1" applyAlignment="1">
      <alignment horizontal="left" vertical="center"/>
    </xf>
    <xf numFmtId="0" fontId="24" fillId="0" borderId="1" xfId="0" applyFont="1" applyBorder="1" applyAlignment="1">
      <alignment horizontal="left" vertical="center"/>
    </xf>
    <xf numFmtId="0" fontId="26" fillId="0" borderId="0" xfId="0" applyFont="1" applyAlignment="1">
      <alignment horizontal="center" vertical="center"/>
    </xf>
    <xf numFmtId="0" fontId="26" fillId="0" borderId="1" xfId="0" applyFont="1" applyBorder="1" applyAlignment="1">
      <alignment horizontal="left" vertical="center"/>
    </xf>
    <xf numFmtId="3" fontId="26" fillId="7" borderId="1" xfId="0" applyNumberFormat="1" applyFont="1" applyFill="1" applyBorder="1" applyAlignment="1">
      <alignment horizontal="center" vertical="center"/>
    </xf>
    <xf numFmtId="9" fontId="27" fillId="7" borderId="1" xfId="0" applyNumberFormat="1" applyFont="1" applyFill="1" applyBorder="1" applyAlignment="1">
      <alignment horizontal="center" vertical="center"/>
    </xf>
    <xf numFmtId="0" fontId="26" fillId="0" borderId="1" xfId="0" applyFont="1" applyBorder="1" applyAlignment="1">
      <alignment horizontal="center" vertical="center"/>
    </xf>
    <xf numFmtId="0" fontId="26" fillId="0" borderId="0" xfId="0" applyFont="1" applyAlignment="1">
      <alignment horizontal="left" vertical="center"/>
    </xf>
    <xf numFmtId="0" fontId="7" fillId="0" borderId="9" xfId="0" applyFont="1" applyBorder="1" applyAlignment="1"/>
    <xf numFmtId="165" fontId="3" fillId="4" borderId="0" xfId="0" applyNumberFormat="1" applyFont="1" applyFill="1" applyAlignment="1">
      <alignment horizontal="center" vertical="center"/>
    </xf>
    <xf numFmtId="166" fontId="3" fillId="0" borderId="0" xfId="0" applyNumberFormat="1" applyFont="1" applyAlignment="1">
      <alignment horizontal="right" vertical="center"/>
    </xf>
    <xf numFmtId="0" fontId="0" fillId="0" borderId="0" xfId="0" applyFont="1" applyAlignment="1"/>
    <xf numFmtId="167" fontId="9" fillId="0" borderId="2" xfId="0" applyNumberFormat="1" applyFont="1" applyBorder="1" applyAlignment="1">
      <alignment horizontal="center" vertical="center"/>
    </xf>
    <xf numFmtId="0" fontId="15" fillId="0" borderId="3" xfId="0" applyFont="1" applyBorder="1"/>
    <xf numFmtId="0" fontId="15" fillId="0" borderId="4" xfId="0" applyFont="1" applyBorder="1"/>
    <xf numFmtId="0" fontId="9" fillId="0" borderId="5" xfId="0" applyFont="1" applyBorder="1" applyAlignment="1">
      <alignment horizontal="center" vertical="center"/>
    </xf>
    <xf numFmtId="0" fontId="15" fillId="0" borderId="6" xfId="0" applyFont="1" applyBorder="1"/>
    <xf numFmtId="0" fontId="15" fillId="0" borderId="7" xfId="0" applyFont="1" applyBorder="1"/>
    <xf numFmtId="166" fontId="3" fillId="17" borderId="0" xfId="0" applyNumberFormat="1" applyFont="1" applyFill="1" applyAlignment="1">
      <alignment horizontal="right" vertical="center"/>
    </xf>
    <xf numFmtId="166" fontId="5" fillId="18" borderId="0" xfId="0" applyNumberFormat="1" applyFont="1" applyFill="1" applyAlignment="1">
      <alignment horizontal="right" vertical="center"/>
    </xf>
    <xf numFmtId="0" fontId="9" fillId="19" borderId="5" xfId="0" applyFont="1" applyFill="1" applyBorder="1" applyAlignment="1">
      <alignment horizontal="center" vertical="center"/>
    </xf>
    <xf numFmtId="166" fontId="5" fillId="0" borderId="0" xfId="0" applyNumberFormat="1" applyFont="1" applyAlignment="1">
      <alignment horizontal="center" vertical="center"/>
    </xf>
    <xf numFmtId="0" fontId="2" fillId="3" borderId="0" xfId="0" applyFont="1" applyFill="1" applyAlignment="1">
      <alignment horizontal="left" vertical="center" wrapText="1"/>
    </xf>
    <xf numFmtId="0" fontId="3" fillId="4" borderId="0" xfId="0" applyFont="1" applyFill="1" applyAlignment="1">
      <alignment horizontal="left" vertical="center" wrapText="1"/>
    </xf>
    <xf numFmtId="166" fontId="5" fillId="10" borderId="0" xfId="0" applyNumberFormat="1" applyFont="1" applyFill="1" applyAlignment="1">
      <alignment horizontal="center" vertical="center"/>
    </xf>
    <xf numFmtId="166" fontId="3" fillId="10" borderId="0" xfId="0" applyNumberFormat="1" applyFont="1" applyFill="1" applyAlignment="1">
      <alignment horizontal="right" vertical="center"/>
    </xf>
    <xf numFmtId="0" fontId="9" fillId="0" borderId="14" xfId="0" applyFont="1" applyBorder="1" applyAlignment="1">
      <alignment horizontal="center" vertical="center"/>
    </xf>
    <xf numFmtId="0" fontId="15" fillId="0" borderId="15" xfId="0" applyFont="1" applyBorder="1"/>
    <xf numFmtId="0" fontId="15" fillId="0" borderId="16" xfId="0" applyFont="1" applyBorder="1"/>
  </cellXfs>
  <cellStyles count="1">
    <cellStyle name="Normal" xfId="0" builtinId="0"/>
  </cellStyles>
  <dxfs count="65">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
      <fill>
        <patternFill patternType="solid">
          <fgColor rgb="FFFF0000"/>
          <bgColor rgb="FFFF0000"/>
        </patternFill>
      </fill>
    </dxf>
    <dxf>
      <fill>
        <patternFill patternType="solid">
          <fgColor rgb="FFCCCCCC"/>
          <bgColor rgb="FFCCCCCC"/>
        </patternFill>
      </fill>
    </dxf>
    <dxf>
      <font>
        <b/>
      </font>
      <fill>
        <patternFill patternType="solid">
          <fgColor rgb="FF00FF00"/>
          <bgColor rgb="FF00FF00"/>
        </patternFill>
      </fill>
    </dxf>
    <dxf>
      <font>
        <b/>
      </font>
      <fill>
        <patternFill patternType="solid">
          <fgColor rgb="FFFCE8B2"/>
          <bgColor rgb="FFFCE8B2"/>
        </patternFill>
      </fill>
    </dxf>
    <dxf>
      <font>
        <color rgb="FFFFD966"/>
      </font>
      <fill>
        <patternFill patternType="solid">
          <fgColor rgb="FFFFD966"/>
          <bgColor rgb="FFFFD9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persons/person.xml><?xml version="1.0" encoding="utf-8"?>
<x18tc:personList xmlns:x18tc="http://schemas.microsoft.com/office/spreadsheetml/2018/threadedcomments">
  <x18tc:person displayName="Alejandra Gómez" id="{e70d9b66-e15f-4739-9d1a-e32d528003bf}" providerId="google-sheets"/>
  <x18tc:person displayName="Elizabeth Perez" id="{c74d6d72-3b5c-47cb-9378-b71a0257c29c}"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W6" dT="2026-03-02T23:51:56.00" personId="{e70d9b66-e15f-4739-9d1a-e32d528003bf}" id="{aa01286f-7858-48b3-8c63-7ee7105e14d6}" done="0">
    <x18tc:text xml:space="preserve">Este es particular porque podemos usar un proyecto base que ya exista y usar funcionalidades pero toca hacer todo el flujo de agente enfocado a linea de negocio especifica con productos, por eso la gestión de cliente y gestión de contenido es más costosa</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W31" dT="2026-03-02T23:20:22.00" personId="{e70d9b66-e15f-4739-9d1a-e32d528003bf}" id="{948ec130-2205-45d6-a08c-314a77460a32}" done="0">
    <x18tc:text xml:space="preserve">Se debe entrenar la estructura del LLM que según el SOAP es algo así: 
Output: Nota SOAP:
S: Dolor abdominal 3 días, náuseas, sin fiebre, antecedente de gastritis…
O: TA 120/80, FC 78, abdomen blando, dolor a palpación epigastrio…
A: Dispepsia vs gastritis aguda; descartar úlcera…
P: Omeprazol 20 mg/día 14 días, dieta, signos de alarma, control en 7 días…</x18tc:text>
  </x18tc:threadedComment>
  <x18tc:threadedComment ref="W50" dT="2026-03-02T23:40:40.00" personId="{e70d9b66-e15f-4739-9d1a-e32d528003bf}" id="{37554ce1-3b41-4fef-a86c-768556ccbdb0}" done="0">
    <x18tc:text xml:space="preserve">De donde obtengo la infromación de Mora en la suscripción 
?? como consulto las transacción y eventos de pasarela ? .. referencias - fechas estados ?? es una integración ? se gestiona manual desde el portal ? Sin esto no se puede terminar de cotizar</x18tc:text>
  </x18tc:threadedComment>
  <x18tc:threadedComment ref="W50" dT="2026-03-05T13:17:40.00" personId="{c74d6d72-3b5c-47cb-9378-b71a0257c29c}" id="{92a6085f-3ef0-4a64-a03d-5419c258b9a7}" parentId="{37554ce1-3b41-4fef-a86c-768556ccbdb0}">
    <x18tc:text xml:space="preserve">Se hicieron cambios en suscripción y pagos para  resolver la duda</x18tc:text>
  </x18tc:threadedComment>
  <x18tc:threadedComment ref="W50" dT="2026-03-09T15:36:22.00" personId="{e70d9b66-e15f-4739-9d1a-e32d528003bf}" id="{9e89142f-5ea4-4254-a5db-fcdece03c245}" parentId="{37554ce1-3b41-4fef-a86c-768556ccbdb0}">
    <x18tc:text xml:space="preserve">Eliza, esto quiere decir que el usuario paga por Wompi la suscripción, se debe hacer integración Wompi para tomar los pagos
1 reacción en total
Elizabeth Perez ha reaccionado con 👍 a las 2026-03-13 12:57 PM UTC</x18tc:text>
  </x18tc:threadedComment>
  <x18tc:threadedComment ref="W11" dT="2026-03-02T22:26:20.00" personId="{e70d9b66-e15f-4739-9d1a-e32d528003bf}" id="{6a5cb495-bc72-4bc7-b9ec-6ede8bc9e861}" done="1">
    <x18tc:text xml:space="preserve">Esto no lo entiendo, control por usuario autenticado a que hace referencia ? Debe tener proceso de autenticación con algún tipo de inicio de sesión ? como google para la autenticación ? 
AL igual Gestión de sesión a que hace referencia ? Se deja un dato de cotización minimo entendiendo que solo es incio de sesión y autenticación por Google, si es algo diferente aclarar para revisar</x18tc:text>
  </x18tc:threadedComment>
  <x18tc:threadedComment ref="W30" dT="2026-02-24T17:52:58.00" personId="{c74d6d72-3b5c-47cb-9378-b71a0257c29c}" id="{d269de64-122d-4d6b-a81f-600d0f417f00}" done="1">
    <x18tc:text xml:space="preserve">El formato SOAP es una forma estándar de escribir una historia clínica en 4 secciones, para que quede ordenada y fácil de revisar:
S – Subjetivo: lo que cuenta el propietario y el motivo de consulta (síntomas “percibidos”, antecedentes).
O – Objetivo: lo que el veterinario mide/observa (examen físico, hallazgos, signos, resultados).
A – Análisis: interpretación clínica (diagnóstico presuntivo, diferenciales, conclusiones).
P – Plan: qué se hará (tratamiento, exámenes, indicaciones, controles y seguimiento).</x18tc:text>
  </x18tc:threadedComment>
  <x18tc:threadedComment ref="W46" dT="2026-03-02T23:38:15.00" personId="{e70d9b66-e15f-4739-9d1a-e32d528003bf}" id="{476a35a8-b88f-4100-a89a-367c7fde6c7b}" done="1">
    <x18tc:text xml:space="preserve">Que significa Gestión de sesión ?</x18tc:text>
  </x18tc:threadedComment>
  <x18tc:threadedComment ref="W34" dT="2026-03-02T23:36:46.00" personId="{e70d9b66-e15f-4739-9d1a-e32d528003bf}" id="{bedcb8a2-b902-4991-9889-66679483810a}" done="1">
    <x18tc:text xml:space="preserve">Todo se reduce a uno solo, Listar las versiones SOAP y ya, internamente se entiende que se almacena</x18tc:text>
  </x18tc:threadedComment>
  <x18tc:threadedComment ref="W28" dT="2026-03-02T23:22:29.00" personId="{e70d9b66-e15f-4739-9d1a-e32d528003bf}" id="{cf508771-1007-48cc-9ea5-37898578a574}" done="1">
    <x18tc:text xml:space="preserve">Acá es importante que la IA puede adoptar esa metodología de SOAP, pero entregará tal cual la información dada en el audio organizada según la metodología, sin embargo no se inventará información, hay que dejar claros los alcances</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W6" dT="2026-03-03T00:30:41.00" personId="{e70d9b66-e15f-4739-9d1a-e32d528003bf}" id="{fd75ba58-f0ce-411d-90c2-603c46f43f53}" done="0">
    <x18tc:text xml:space="preserve">1. No hay descripción general del proyecto, por ende no sé de que se trata 
2. No tienen orden logico los alcances inicia con configurar de guias de coordinadora o de asignación automatica de centro logistico y no se sabe que es centro logistico si no hasta ir más abajo en los textos 
3. Dice configuración ALEGRA pero no aclara si es integración  o a que hace referencia 
4. Es una integración con coordinadora tambien ? 
5. No separen los datos así : 
Nombre 
cedula 
fecha 
Se pierde la información para cotizar se hace muy extensa 
6. Organizar bien la información por módulos y los configurar de ultimos porque ya se tiene la información de todos los módulos Así como está Marval puede ser 
7. Darle un flujo logico a los módulos a cotizar porque así se tiene que adivinar cada cosa ..</x18tc:text>
  </x18tc:threadedComment>
  <x18tc:threadedComment ref="W6" dT="2026-03-11T16:47:05.00" personId="{c74d6d72-3b5c-47cb-9378-b71a0257c29c}" id="{f0247f78-77e3-49d6-9c7c-0dc08d75541c}" parentId="{fd75ba58-f0ce-411d-90c2-603c46f43f53}">
    <x18tc:text xml:space="preserve">Ya hicimos los cambios</x18tc:text>
  </x18tc:threadedComment>
</x18tc: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microsoft.com/office/2019/04/relationships/documenttask" Target="../documenttasks/documenttask6.xml"/><Relationship Id="rId2" Type="http://schemas.openxmlformats.org/officeDocument/2006/relationships/comments" Target="../comments7.xml"/><Relationship Id="rId1" Type="http://schemas.openxmlformats.org/officeDocument/2006/relationships/vmlDrawing" Target="../drawings/vmlDrawing7.vml"/><Relationship Id="rId4" Type="http://schemas.microsoft.com/office/2017/10/relationships/threadedComment" Target="../threadedComments/threadedComment6.xml"/></Relationships>
</file>

<file path=xl/worksheets/_rels/sheet8.xml.rels><?xml version="1.0" encoding="UTF-8" standalone="yes"?>
<Relationships xmlns="http://schemas.openxmlformats.org/package/2006/relationships"><Relationship Id="rId3" Type="http://schemas.microsoft.com/office/2019/04/relationships/documenttask" Target="../documenttasks/documenttask7.xml"/><Relationship Id="rId2" Type="http://schemas.openxmlformats.org/officeDocument/2006/relationships/comments" Target="../comments8.xml"/><Relationship Id="rId1" Type="http://schemas.openxmlformats.org/officeDocument/2006/relationships/vmlDrawing" Target="../drawings/vmlDrawing8.vml"/><Relationship Id="rId4" Type="http://schemas.microsoft.com/office/2017/10/relationships/threadedComment" Target="../threadedComments/threadedComment7.xml"/></Relationships>
</file>

<file path=xl/worksheets/_rels/sheet9.xml.rels><?xml version="1.0" encoding="UTF-8" standalone="yes"?>
<Relationships xmlns="http://schemas.openxmlformats.org/package/2006/relationships"><Relationship Id="rId3" Type="http://schemas.microsoft.com/office/2019/04/relationships/documenttask" Target="../documenttasks/documenttask8.xml"/><Relationship Id="rId2" Type="http://schemas.openxmlformats.org/officeDocument/2006/relationships/comments" Target="../comments9.xml"/><Relationship Id="rId1" Type="http://schemas.openxmlformats.org/officeDocument/2006/relationships/vmlDrawing" Target="../drawings/vmlDrawing9.vml"/><Relationship Id="rId4" Type="http://schemas.microsoft.com/office/2017/10/relationships/threadedComment" Target="../threadedComments/threadedComment8.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67"/>
  <sheetViews>
    <sheetView tabSelected="1" workbookViewId="0">
      <pane ySplit="1" topLeftCell="A2" activePane="bottomLeft" state="frozen"/>
      <selection activeCell="B3" sqref="B3"/>
      <selection pane="bottomLeft" activeCell="E34" sqref="E34"/>
    </sheetView>
  </sheetViews>
  <sheetFormatPr baseColWidth="10" defaultColWidth="12.5703125" defaultRowHeight="15.75" customHeight="1"/>
  <cols>
    <col min="1" max="1" width="23.85546875" customWidth="1"/>
    <col min="2" max="4" width="5" customWidth="1"/>
    <col min="5" max="5" width="6.7109375" customWidth="1"/>
    <col min="6" max="8" width="5" customWidth="1"/>
    <col min="9" max="22" width="4.5703125" customWidth="1"/>
    <col min="23" max="23" width="19.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c r="A1" s="1" t="s">
        <v>0</v>
      </c>
      <c r="B1" s="2" t="s">
        <v>1</v>
      </c>
      <c r="C1" s="2" t="s">
        <v>2</v>
      </c>
      <c r="D1" s="2" t="s">
        <v>3</v>
      </c>
      <c r="E1" s="2" t="s">
        <v>4</v>
      </c>
      <c r="F1" s="2" t="s">
        <v>5</v>
      </c>
      <c r="G1" s="2" t="s">
        <v>6</v>
      </c>
      <c r="H1" s="2" t="s">
        <v>7</v>
      </c>
      <c r="I1" s="2" t="s">
        <v>8</v>
      </c>
      <c r="J1" s="2" t="s">
        <v>9</v>
      </c>
      <c r="K1" s="2" t="s">
        <v>10</v>
      </c>
      <c r="L1" s="3"/>
      <c r="M1" s="128" t="s">
        <v>11</v>
      </c>
      <c r="N1" s="117"/>
      <c r="O1" s="129" t="s">
        <v>12</v>
      </c>
      <c r="P1" s="117"/>
      <c r="Q1" s="117"/>
      <c r="R1" s="117"/>
      <c r="S1" s="117"/>
      <c r="T1" s="117"/>
      <c r="U1" s="117"/>
      <c r="V1" s="3"/>
      <c r="W1" s="4">
        <v>46049</v>
      </c>
      <c r="X1" s="3"/>
      <c r="Y1" s="5">
        <f>SUMIFS(Y2:Y120,L2:L120,"&lt;&gt;"&amp;"")</f>
        <v>69997892.335694596</v>
      </c>
      <c r="Z1" s="6" t="s">
        <v>13</v>
      </c>
      <c r="AA1" s="7" t="s">
        <v>14</v>
      </c>
      <c r="AB1" s="8" t="s">
        <v>15</v>
      </c>
      <c r="AC1" s="9">
        <f>SUM(AC2:AC120)</f>
        <v>69997892.335694596</v>
      </c>
      <c r="AD1" s="3"/>
      <c r="AE1" s="3"/>
    </row>
    <row r="2" spans="1:31" ht="15.75" customHeight="1">
      <c r="A2" s="10">
        <f t="shared" ref="A2:A119" si="0">(B2*$P$125+C2*$P$126+D2*$P$127+E2*$P$128+F2*$P$129+G2*$P$130+H2*$P$131+I2*$P$132+J2*$P$133+K2*$P$134)*$T$123</f>
        <v>2482964.1873278241</v>
      </c>
      <c r="B2" s="83">
        <v>3</v>
      </c>
      <c r="C2" s="12"/>
      <c r="D2" s="12"/>
      <c r="E2" s="84">
        <v>2</v>
      </c>
      <c r="F2" s="12"/>
      <c r="G2" s="12"/>
      <c r="H2" s="12"/>
      <c r="I2" s="12"/>
      <c r="J2" s="13"/>
      <c r="K2" s="13"/>
      <c r="L2" s="14" t="s">
        <v>16</v>
      </c>
      <c r="M2" s="15"/>
      <c r="N2" s="16"/>
      <c r="O2" s="17"/>
      <c r="P2" s="17"/>
      <c r="Q2" s="17"/>
      <c r="R2" s="17"/>
      <c r="S2" s="17"/>
      <c r="T2" s="17"/>
      <c r="U2" s="17"/>
      <c r="V2" s="17"/>
      <c r="W2" s="17"/>
      <c r="X2" s="17">
        <f t="shared" ref="X2:X92" si="1">COUNTIF($L$2:L2,"&lt;&gt;"&amp;"")</f>
        <v>1</v>
      </c>
      <c r="Y2" s="18">
        <f t="shared" ref="Y2:Y119" si="2">SUMIF($X$2:$X$120,X2,$A$2:$A$120)</f>
        <v>2482964.1873278241</v>
      </c>
      <c r="Z2" s="19"/>
      <c r="AA2" s="20"/>
      <c r="AB2" s="21" t="b">
        <v>1</v>
      </c>
      <c r="AC2" s="22">
        <f t="shared" ref="AC2:AC119" si="3">IF(L2="",0,IF(AB2=FALSE(),0,Y2))</f>
        <v>2482964.1873278241</v>
      </c>
      <c r="AD2" s="23"/>
      <c r="AE2" s="23"/>
    </row>
    <row r="3" spans="1:31" ht="15.75" customHeight="1">
      <c r="A3" s="10">
        <f t="shared" si="0"/>
        <v>2020948.9964580876</v>
      </c>
      <c r="B3" s="84">
        <v>1.5</v>
      </c>
      <c r="C3" s="83">
        <v>4</v>
      </c>
      <c r="D3" s="11"/>
      <c r="E3" s="12"/>
      <c r="F3" s="12"/>
      <c r="G3" s="12"/>
      <c r="H3" s="12"/>
      <c r="I3" s="12"/>
      <c r="J3" s="13"/>
      <c r="K3" s="13"/>
      <c r="L3" s="14" t="s">
        <v>17</v>
      </c>
      <c r="M3" s="16"/>
      <c r="N3" s="16"/>
      <c r="O3" s="17"/>
      <c r="P3" s="17"/>
      <c r="Q3" s="17"/>
      <c r="R3" s="17"/>
      <c r="S3" s="17"/>
      <c r="T3" s="17"/>
      <c r="U3" s="17"/>
      <c r="V3" s="17"/>
      <c r="W3" s="17"/>
      <c r="X3" s="17">
        <f t="shared" si="1"/>
        <v>2</v>
      </c>
      <c r="Y3" s="18">
        <f t="shared" si="2"/>
        <v>2020948.9964580876</v>
      </c>
      <c r="Z3" s="24"/>
      <c r="AA3" s="20"/>
      <c r="AB3" s="21" t="b">
        <v>1</v>
      </c>
      <c r="AC3" s="22">
        <f t="shared" si="3"/>
        <v>2020948.9964580876</v>
      </c>
      <c r="AD3" s="23"/>
      <c r="AE3" s="23"/>
    </row>
    <row r="4" spans="1:31" ht="15.75" customHeight="1">
      <c r="A4" s="10">
        <f t="shared" si="0"/>
        <v>4587088.6265249904</v>
      </c>
      <c r="B4" s="84">
        <v>2</v>
      </c>
      <c r="C4" s="12"/>
      <c r="D4" s="12"/>
      <c r="E4" s="12"/>
      <c r="F4" s="12"/>
      <c r="G4" s="84">
        <v>10</v>
      </c>
      <c r="H4" s="83">
        <v>2</v>
      </c>
      <c r="I4" s="12"/>
      <c r="J4" s="13"/>
      <c r="K4" s="13"/>
      <c r="L4" s="14" t="s">
        <v>18</v>
      </c>
      <c r="M4" s="16"/>
      <c r="N4" s="16"/>
      <c r="O4" s="17"/>
      <c r="P4" s="17"/>
      <c r="Q4" s="17"/>
      <c r="R4" s="17"/>
      <c r="S4" s="17"/>
      <c r="T4" s="17"/>
      <c r="U4" s="17"/>
      <c r="V4" s="17"/>
      <c r="W4" s="17"/>
      <c r="X4" s="17">
        <f t="shared" si="1"/>
        <v>3</v>
      </c>
      <c r="Y4" s="18">
        <f t="shared" si="2"/>
        <v>4587088.6265249904</v>
      </c>
      <c r="Z4" s="24"/>
      <c r="AA4" s="25"/>
      <c r="AB4" s="21" t="b">
        <v>1</v>
      </c>
      <c r="AC4" s="22">
        <f t="shared" si="3"/>
        <v>4587088.6265249904</v>
      </c>
      <c r="AD4" s="23"/>
      <c r="AE4" s="23"/>
    </row>
    <row r="5" spans="1:31" ht="15.75" customHeight="1">
      <c r="A5" s="10">
        <f t="shared" si="0"/>
        <v>2697655.0177095635</v>
      </c>
      <c r="B5" s="13">
        <v>1</v>
      </c>
      <c r="C5" s="13"/>
      <c r="D5" s="13"/>
      <c r="E5" s="13">
        <v>2</v>
      </c>
      <c r="F5" s="13"/>
      <c r="G5" s="13"/>
      <c r="H5" s="13"/>
      <c r="I5" s="13"/>
      <c r="J5" s="13"/>
      <c r="K5" s="13">
        <v>4</v>
      </c>
      <c r="L5" s="26" t="s">
        <v>19</v>
      </c>
      <c r="M5" s="16"/>
      <c r="N5" s="16"/>
      <c r="O5" s="17"/>
      <c r="P5" s="17"/>
      <c r="Q5" s="17"/>
      <c r="R5" s="17"/>
      <c r="S5" s="17"/>
      <c r="T5" s="17"/>
      <c r="U5" s="17"/>
      <c r="V5" s="17"/>
      <c r="W5" s="17"/>
      <c r="X5" s="17">
        <f t="shared" si="1"/>
        <v>4</v>
      </c>
      <c r="Y5" s="18">
        <f t="shared" si="2"/>
        <v>2697655.0177095635</v>
      </c>
      <c r="Z5" s="24"/>
      <c r="AA5" s="25"/>
      <c r="AB5" s="21" t="b">
        <v>1</v>
      </c>
      <c r="AC5" s="22">
        <f t="shared" si="3"/>
        <v>2697655.0177095635</v>
      </c>
      <c r="AD5" s="23"/>
      <c r="AE5" s="23"/>
    </row>
    <row r="6" spans="1:31">
      <c r="A6" s="10">
        <f t="shared" si="0"/>
        <v>0</v>
      </c>
      <c r="B6" s="13"/>
      <c r="C6" s="13"/>
      <c r="D6" s="13"/>
      <c r="E6" s="13"/>
      <c r="F6" s="13"/>
      <c r="G6" s="13"/>
      <c r="H6" s="13"/>
      <c r="I6" s="13"/>
      <c r="J6" s="13"/>
      <c r="K6" s="13"/>
      <c r="L6" s="17"/>
      <c r="M6" s="17"/>
      <c r="N6" s="17"/>
      <c r="O6" s="17"/>
      <c r="P6" s="17"/>
      <c r="Q6" s="17"/>
      <c r="R6" s="17"/>
      <c r="S6" s="17"/>
      <c r="T6" s="17"/>
      <c r="U6" s="17"/>
      <c r="V6" s="17"/>
      <c r="W6" s="17"/>
      <c r="X6" s="17">
        <f t="shared" si="1"/>
        <v>4</v>
      </c>
      <c r="Y6" s="18">
        <f t="shared" si="2"/>
        <v>2697655.0177095635</v>
      </c>
      <c r="Z6" s="19"/>
      <c r="AA6" s="20"/>
      <c r="AB6" s="21" t="b">
        <v>1</v>
      </c>
      <c r="AC6" s="22">
        <f t="shared" si="3"/>
        <v>0</v>
      </c>
      <c r="AD6" s="23"/>
      <c r="AE6" s="23"/>
    </row>
    <row r="7" spans="1:31" ht="15.75" customHeight="1">
      <c r="A7" s="10">
        <f t="shared" si="0"/>
        <v>0</v>
      </c>
      <c r="B7" s="13"/>
      <c r="C7" s="13"/>
      <c r="D7" s="13"/>
      <c r="E7" s="13"/>
      <c r="F7" s="13"/>
      <c r="G7" s="13"/>
      <c r="H7" s="13"/>
      <c r="I7" s="13"/>
      <c r="J7" s="13"/>
      <c r="K7" s="13"/>
      <c r="L7" s="26" t="s">
        <v>58</v>
      </c>
      <c r="M7" s="17"/>
      <c r="N7" s="17"/>
      <c r="O7" s="17"/>
      <c r="P7" s="17"/>
      <c r="Q7" s="17"/>
      <c r="R7" s="17"/>
      <c r="S7" s="17"/>
      <c r="T7" s="17"/>
      <c r="U7" s="17"/>
      <c r="V7" s="17"/>
      <c r="W7" s="17"/>
      <c r="X7" s="17">
        <f t="shared" si="1"/>
        <v>5</v>
      </c>
      <c r="Y7" s="18">
        <f t="shared" si="2"/>
        <v>12301310.881542701</v>
      </c>
      <c r="Z7" s="24"/>
      <c r="AA7" s="25"/>
      <c r="AB7" s="21" t="b">
        <v>1</v>
      </c>
      <c r="AC7" s="22">
        <f t="shared" si="3"/>
        <v>12301310.881542701</v>
      </c>
      <c r="AD7" s="23"/>
      <c r="AE7" s="23"/>
    </row>
    <row r="8" spans="1:31">
      <c r="A8" s="10">
        <f t="shared" si="0"/>
        <v>0</v>
      </c>
      <c r="B8" s="13"/>
      <c r="C8" s="13"/>
      <c r="D8" s="13"/>
      <c r="E8" s="13"/>
      <c r="F8" s="13"/>
      <c r="G8" s="13"/>
      <c r="H8" s="13"/>
      <c r="I8" s="13"/>
      <c r="J8" s="13"/>
      <c r="K8" s="13"/>
      <c r="L8" s="17"/>
      <c r="M8" s="86" t="s">
        <v>59</v>
      </c>
      <c r="N8" s="17"/>
      <c r="O8" s="17"/>
      <c r="P8" s="17"/>
      <c r="Q8" s="17"/>
      <c r="R8" s="17"/>
      <c r="S8" s="17"/>
      <c r="T8" s="17"/>
      <c r="U8" s="17"/>
      <c r="V8" s="17"/>
      <c r="W8" s="17"/>
      <c r="X8" s="17">
        <f t="shared" si="1"/>
        <v>5</v>
      </c>
      <c r="Y8" s="18">
        <f t="shared" si="2"/>
        <v>12301310.881542701</v>
      </c>
      <c r="Z8" s="24"/>
      <c r="AA8" s="20"/>
      <c r="AB8" s="21" t="b">
        <v>1</v>
      </c>
      <c r="AC8" s="22">
        <f t="shared" si="3"/>
        <v>0</v>
      </c>
      <c r="AD8" s="28"/>
      <c r="AE8" s="28"/>
    </row>
    <row r="9" spans="1:31">
      <c r="A9" s="10">
        <f t="shared" si="0"/>
        <v>982489.19716646988</v>
      </c>
      <c r="B9" s="13"/>
      <c r="C9" s="13"/>
      <c r="D9" s="13"/>
      <c r="E9" s="13"/>
      <c r="F9" s="13"/>
      <c r="G9" s="13"/>
      <c r="H9" s="13"/>
      <c r="I9" s="13"/>
      <c r="J9" s="13"/>
      <c r="K9" s="13">
        <v>3</v>
      </c>
      <c r="L9" s="17"/>
      <c r="M9" s="17"/>
      <c r="N9" s="17" t="s">
        <v>60</v>
      </c>
      <c r="O9" s="17"/>
      <c r="P9" s="17"/>
      <c r="Q9" s="17"/>
      <c r="R9" s="17"/>
      <c r="S9" s="17"/>
      <c r="T9" s="17"/>
      <c r="U9" s="17"/>
      <c r="V9" s="17"/>
      <c r="W9" s="17"/>
      <c r="X9" s="17">
        <f t="shared" si="1"/>
        <v>5</v>
      </c>
      <c r="Y9" s="18">
        <f t="shared" si="2"/>
        <v>12301310.881542701</v>
      </c>
      <c r="Z9" s="24"/>
      <c r="AA9" s="20"/>
      <c r="AB9" s="21" t="b">
        <v>1</v>
      </c>
      <c r="AC9" s="22">
        <f t="shared" si="3"/>
        <v>0</v>
      </c>
      <c r="AD9" s="28"/>
      <c r="AE9" s="28"/>
    </row>
    <row r="10" spans="1:31">
      <c r="A10" s="10">
        <f t="shared" si="0"/>
        <v>654992.79811097996</v>
      </c>
      <c r="B10" s="13"/>
      <c r="C10" s="13"/>
      <c r="D10" s="13"/>
      <c r="E10" s="13"/>
      <c r="F10" s="13"/>
      <c r="G10" s="13"/>
      <c r="H10" s="13"/>
      <c r="I10" s="13"/>
      <c r="J10" s="13"/>
      <c r="K10" s="13">
        <v>2</v>
      </c>
      <c r="L10" s="17"/>
      <c r="M10" s="17"/>
      <c r="N10" s="17" t="s">
        <v>61</v>
      </c>
      <c r="O10" s="17"/>
      <c r="P10" s="17"/>
      <c r="Q10" s="17"/>
      <c r="R10" s="17"/>
      <c r="S10" s="17"/>
      <c r="T10" s="17"/>
      <c r="U10" s="17"/>
      <c r="V10" s="17"/>
      <c r="W10" s="17"/>
      <c r="X10" s="17">
        <f t="shared" si="1"/>
        <v>5</v>
      </c>
      <c r="Y10" s="18">
        <f t="shared" si="2"/>
        <v>12301310.881542701</v>
      </c>
      <c r="Z10" s="24"/>
      <c r="AA10" s="20"/>
      <c r="AB10" s="21" t="b">
        <v>1</v>
      </c>
      <c r="AC10" s="22">
        <f t="shared" si="3"/>
        <v>0</v>
      </c>
      <c r="AD10" s="28"/>
      <c r="AE10" s="28"/>
    </row>
    <row r="11" spans="1:31">
      <c r="A11" s="10">
        <f t="shared" si="0"/>
        <v>326718.88036206219</v>
      </c>
      <c r="B11" s="13"/>
      <c r="C11" s="13"/>
      <c r="D11" s="13">
        <v>0.5</v>
      </c>
      <c r="E11" s="13"/>
      <c r="F11" s="13">
        <v>0.5</v>
      </c>
      <c r="G11" s="13"/>
      <c r="H11" s="13"/>
      <c r="I11" s="13"/>
      <c r="J11" s="13"/>
      <c r="K11" s="13"/>
      <c r="L11" s="17"/>
      <c r="M11" s="17"/>
      <c r="N11" s="17" t="s">
        <v>62</v>
      </c>
      <c r="O11" s="17"/>
      <c r="P11" s="17"/>
      <c r="Q11" s="17"/>
      <c r="R11" s="17"/>
      <c r="S11" s="17"/>
      <c r="T11" s="17"/>
      <c r="U11" s="17"/>
      <c r="V11" s="17"/>
      <c r="W11" s="17"/>
      <c r="X11" s="17">
        <f t="shared" si="1"/>
        <v>5</v>
      </c>
      <c r="Y11" s="18">
        <f t="shared" si="2"/>
        <v>12301310.881542701</v>
      </c>
      <c r="Z11" s="24"/>
      <c r="AA11" s="20"/>
      <c r="AB11" s="21" t="b">
        <v>1</v>
      </c>
      <c r="AC11" s="22">
        <f t="shared" si="3"/>
        <v>0</v>
      </c>
      <c r="AD11" s="28"/>
      <c r="AE11" s="28"/>
    </row>
    <row r="12" spans="1:31">
      <c r="A12" s="10">
        <f t="shared" si="0"/>
        <v>477431.13931523025</v>
      </c>
      <c r="B12" s="13"/>
      <c r="C12" s="13"/>
      <c r="D12" s="13">
        <v>0.5</v>
      </c>
      <c r="E12" s="13"/>
      <c r="F12" s="13"/>
      <c r="G12" s="13"/>
      <c r="H12" s="13"/>
      <c r="I12" s="13"/>
      <c r="J12" s="13"/>
      <c r="K12" s="13">
        <v>1</v>
      </c>
      <c r="L12" s="17"/>
      <c r="M12" s="17"/>
      <c r="N12" s="17" t="s">
        <v>63</v>
      </c>
      <c r="O12" s="17"/>
      <c r="P12" s="17"/>
      <c r="Q12" s="17"/>
      <c r="R12" s="17"/>
      <c r="S12" s="17"/>
      <c r="T12" s="17"/>
      <c r="U12" s="17"/>
      <c r="V12" s="17"/>
      <c r="W12" s="17"/>
      <c r="X12" s="17">
        <f t="shared" si="1"/>
        <v>5</v>
      </c>
      <c r="Y12" s="18">
        <f t="shared" si="2"/>
        <v>12301310.881542701</v>
      </c>
      <c r="Z12" s="24"/>
      <c r="AA12" s="20"/>
      <c r="AB12" s="21" t="b">
        <v>1</v>
      </c>
      <c r="AC12" s="22">
        <f t="shared" si="3"/>
        <v>0</v>
      </c>
      <c r="AD12" s="28"/>
      <c r="AE12" s="28"/>
    </row>
    <row r="13" spans="1:31">
      <c r="A13" s="10">
        <f t="shared" si="0"/>
        <v>0</v>
      </c>
      <c r="B13" s="13"/>
      <c r="C13" s="13"/>
      <c r="D13" s="13"/>
      <c r="E13" s="13"/>
      <c r="F13" s="13"/>
      <c r="G13" s="13"/>
      <c r="H13" s="13"/>
      <c r="I13" s="13"/>
      <c r="J13" s="13"/>
      <c r="K13" s="13"/>
      <c r="L13" s="17"/>
      <c r="M13" s="86" t="s">
        <v>64</v>
      </c>
      <c r="N13" s="17"/>
      <c r="O13" s="17"/>
      <c r="P13" s="17"/>
      <c r="Q13" s="17"/>
      <c r="R13" s="17"/>
      <c r="S13" s="17"/>
      <c r="T13" s="17"/>
      <c r="U13" s="17"/>
      <c r="V13" s="17"/>
      <c r="W13" s="17"/>
      <c r="X13" s="17">
        <f t="shared" si="1"/>
        <v>5</v>
      </c>
      <c r="Y13" s="18">
        <f t="shared" si="2"/>
        <v>12301310.881542701</v>
      </c>
      <c r="Z13" s="24"/>
      <c r="AA13" s="20"/>
      <c r="AB13" s="21" t="b">
        <v>1</v>
      </c>
      <c r="AC13" s="22">
        <f t="shared" si="3"/>
        <v>0</v>
      </c>
      <c r="AD13" s="28"/>
      <c r="AE13" s="28"/>
    </row>
    <row r="14" spans="1:31">
      <c r="A14" s="10">
        <f t="shared" si="0"/>
        <v>2980063.2624950809</v>
      </c>
      <c r="B14" s="13"/>
      <c r="C14" s="13">
        <v>1</v>
      </c>
      <c r="D14" s="13">
        <v>4</v>
      </c>
      <c r="E14" s="13">
        <v>1</v>
      </c>
      <c r="F14" s="13">
        <v>3</v>
      </c>
      <c r="G14" s="13"/>
      <c r="H14" s="13"/>
      <c r="I14" s="13"/>
      <c r="J14" s="13"/>
      <c r="K14" s="13"/>
      <c r="L14" s="17"/>
      <c r="M14" s="17"/>
      <c r="N14" s="17" t="s">
        <v>65</v>
      </c>
      <c r="O14" s="17"/>
      <c r="P14" s="17"/>
      <c r="Q14" s="17"/>
      <c r="R14" s="17"/>
      <c r="S14" s="17"/>
      <c r="T14" s="17"/>
      <c r="U14" s="17"/>
      <c r="V14" s="17"/>
      <c r="W14" s="17"/>
      <c r="X14" s="17">
        <f t="shared" si="1"/>
        <v>5</v>
      </c>
      <c r="Y14" s="18">
        <f t="shared" si="2"/>
        <v>12301310.881542701</v>
      </c>
      <c r="Z14" s="24"/>
      <c r="AA14" s="20"/>
      <c r="AB14" s="21" t="b">
        <v>1</v>
      </c>
      <c r="AC14" s="22">
        <f t="shared" si="3"/>
        <v>0</v>
      </c>
      <c r="AD14" s="28"/>
      <c r="AE14" s="28"/>
    </row>
    <row r="15" spans="1:31">
      <c r="A15" s="10">
        <f t="shared" si="0"/>
        <v>1309985.5962219599</v>
      </c>
      <c r="B15" s="13"/>
      <c r="C15" s="13"/>
      <c r="D15" s="13"/>
      <c r="E15" s="13"/>
      <c r="F15" s="13"/>
      <c r="G15" s="13"/>
      <c r="H15" s="13"/>
      <c r="I15" s="13"/>
      <c r="J15" s="13"/>
      <c r="K15" s="13">
        <v>4</v>
      </c>
      <c r="L15" s="17"/>
      <c r="M15" s="17"/>
      <c r="N15" s="17" t="s">
        <v>66</v>
      </c>
      <c r="O15" s="17"/>
      <c r="P15" s="17"/>
      <c r="Q15" s="17"/>
      <c r="R15" s="17"/>
      <c r="S15" s="17"/>
      <c r="T15" s="17"/>
      <c r="U15" s="17"/>
      <c r="V15" s="17"/>
      <c r="W15" s="17"/>
      <c r="X15" s="17">
        <f t="shared" si="1"/>
        <v>5</v>
      </c>
      <c r="Y15" s="18">
        <f t="shared" si="2"/>
        <v>12301310.881542701</v>
      </c>
      <c r="Z15" s="24"/>
      <c r="AA15" s="20"/>
      <c r="AB15" s="21" t="b">
        <v>1</v>
      </c>
      <c r="AC15" s="22">
        <f t="shared" si="3"/>
        <v>0</v>
      </c>
      <c r="AD15" s="28"/>
      <c r="AE15" s="28"/>
    </row>
    <row r="16" spans="1:31">
      <c r="A16" s="10">
        <f t="shared" si="0"/>
        <v>982489.19716646988</v>
      </c>
      <c r="B16" s="13"/>
      <c r="C16" s="13"/>
      <c r="D16" s="13"/>
      <c r="E16" s="13"/>
      <c r="F16" s="13"/>
      <c r="G16" s="13"/>
      <c r="H16" s="13"/>
      <c r="I16" s="13"/>
      <c r="J16" s="13"/>
      <c r="K16" s="13">
        <v>3</v>
      </c>
      <c r="L16" s="17"/>
      <c r="M16" s="17"/>
      <c r="N16" s="17" t="s">
        <v>67</v>
      </c>
      <c r="O16" s="17"/>
      <c r="P16" s="17"/>
      <c r="Q16" s="17"/>
      <c r="R16" s="17"/>
      <c r="S16" s="17"/>
      <c r="T16" s="17"/>
      <c r="U16" s="17"/>
      <c r="V16" s="17"/>
      <c r="W16" s="17"/>
      <c r="X16" s="17">
        <f t="shared" si="1"/>
        <v>5</v>
      </c>
      <c r="Y16" s="18">
        <f t="shared" si="2"/>
        <v>12301310.881542701</v>
      </c>
      <c r="Z16" s="24"/>
      <c r="AA16" s="20"/>
      <c r="AB16" s="21" t="b">
        <v>1</v>
      </c>
      <c r="AC16" s="22">
        <f t="shared" si="3"/>
        <v>0</v>
      </c>
      <c r="AD16" s="28"/>
      <c r="AE16" s="28"/>
    </row>
    <row r="17" spans="1:31">
      <c r="A17" s="10">
        <f t="shared" si="0"/>
        <v>707136.56040928769</v>
      </c>
      <c r="B17" s="13"/>
      <c r="C17" s="13"/>
      <c r="D17" s="13"/>
      <c r="E17" s="13"/>
      <c r="F17" s="13">
        <v>2</v>
      </c>
      <c r="G17" s="13"/>
      <c r="H17" s="13"/>
      <c r="I17" s="13"/>
      <c r="J17" s="13"/>
      <c r="K17" s="13"/>
      <c r="L17" s="17"/>
      <c r="M17" s="17"/>
      <c r="N17" s="17" t="s">
        <v>68</v>
      </c>
      <c r="O17" s="17"/>
      <c r="P17" s="17"/>
      <c r="Q17" s="17"/>
      <c r="R17" s="17"/>
      <c r="S17" s="17"/>
      <c r="T17" s="17"/>
      <c r="U17" s="17"/>
      <c r="V17" s="17"/>
      <c r="W17" s="17"/>
      <c r="X17" s="17">
        <f t="shared" si="1"/>
        <v>5</v>
      </c>
      <c r="Y17" s="18">
        <f t="shared" si="2"/>
        <v>12301310.881542701</v>
      </c>
      <c r="Z17" s="24"/>
      <c r="AA17" s="20"/>
      <c r="AB17" s="21" t="b">
        <v>1</v>
      </c>
      <c r="AC17" s="22">
        <f t="shared" si="3"/>
        <v>0</v>
      </c>
      <c r="AD17" s="28"/>
      <c r="AE17" s="28"/>
    </row>
    <row r="18" spans="1:31">
      <c r="A18" s="10">
        <f t="shared" si="0"/>
        <v>0</v>
      </c>
      <c r="B18" s="13"/>
      <c r="C18" s="13"/>
      <c r="D18" s="13"/>
      <c r="E18" s="13"/>
      <c r="F18" s="13"/>
      <c r="G18" s="13"/>
      <c r="H18" s="13"/>
      <c r="I18" s="13"/>
      <c r="J18" s="13"/>
      <c r="K18" s="13"/>
      <c r="L18" s="17"/>
      <c r="M18" s="86" t="s">
        <v>69</v>
      </c>
      <c r="N18" s="17"/>
      <c r="O18" s="17"/>
      <c r="P18" s="17"/>
      <c r="Q18" s="17"/>
      <c r="R18" s="17"/>
      <c r="S18" s="17"/>
      <c r="T18" s="17"/>
      <c r="U18" s="17"/>
      <c r="V18" s="17"/>
      <c r="W18" s="17"/>
      <c r="X18" s="17">
        <f t="shared" si="1"/>
        <v>5</v>
      </c>
      <c r="Y18" s="18">
        <f t="shared" si="2"/>
        <v>12301310.881542701</v>
      </c>
      <c r="Z18" s="24"/>
      <c r="AA18" s="20"/>
      <c r="AB18" s="21" t="b">
        <v>1</v>
      </c>
      <c r="AC18" s="22">
        <f t="shared" si="3"/>
        <v>0</v>
      </c>
      <c r="AD18" s="28"/>
      <c r="AE18" s="28"/>
    </row>
    <row r="19" spans="1:31">
      <c r="A19" s="10">
        <f t="shared" si="0"/>
        <v>654992.79811097996</v>
      </c>
      <c r="B19" s="13"/>
      <c r="C19" s="13"/>
      <c r="D19" s="13"/>
      <c r="E19" s="13"/>
      <c r="F19" s="13"/>
      <c r="G19" s="13"/>
      <c r="H19" s="13"/>
      <c r="I19" s="13"/>
      <c r="J19" s="13"/>
      <c r="K19" s="13">
        <v>2</v>
      </c>
      <c r="L19" s="17"/>
      <c r="M19" s="17"/>
      <c r="N19" s="17" t="s">
        <v>70</v>
      </c>
      <c r="O19" s="17"/>
      <c r="P19" s="17"/>
      <c r="Q19" s="17"/>
      <c r="R19" s="17"/>
      <c r="S19" s="17"/>
      <c r="T19" s="17"/>
      <c r="U19" s="17"/>
      <c r="V19" s="17"/>
      <c r="W19" s="17"/>
      <c r="X19" s="17">
        <f t="shared" si="1"/>
        <v>5</v>
      </c>
      <c r="Y19" s="18">
        <f t="shared" si="2"/>
        <v>12301310.881542701</v>
      </c>
      <c r="Z19" s="24"/>
      <c r="AA19" s="20"/>
      <c r="AB19" s="21" t="b">
        <v>1</v>
      </c>
      <c r="AC19" s="22">
        <f t="shared" si="3"/>
        <v>0</v>
      </c>
      <c r="AD19" s="28"/>
      <c r="AE19" s="28"/>
    </row>
    <row r="20" spans="1:31">
      <c r="A20" s="10">
        <f t="shared" si="0"/>
        <v>2570018.6540731993</v>
      </c>
      <c r="B20" s="13"/>
      <c r="C20" s="13"/>
      <c r="D20" s="13"/>
      <c r="E20" s="13">
        <v>3</v>
      </c>
      <c r="F20" s="13"/>
      <c r="G20" s="13"/>
      <c r="H20" s="13"/>
      <c r="I20" s="13"/>
      <c r="J20" s="13"/>
      <c r="K20" s="13">
        <v>4</v>
      </c>
      <c r="L20" s="17"/>
      <c r="M20" s="17"/>
      <c r="N20" s="17" t="s">
        <v>71</v>
      </c>
      <c r="O20" s="17"/>
      <c r="P20" s="17"/>
      <c r="Q20" s="17"/>
      <c r="R20" s="17"/>
      <c r="S20" s="17"/>
      <c r="T20" s="17"/>
      <c r="U20" s="17"/>
      <c r="V20" s="17"/>
      <c r="W20" s="17"/>
      <c r="X20" s="17">
        <f t="shared" si="1"/>
        <v>5</v>
      </c>
      <c r="Y20" s="18">
        <f t="shared" si="2"/>
        <v>12301310.881542701</v>
      </c>
      <c r="Z20" s="19"/>
      <c r="AA20" s="20"/>
      <c r="AB20" s="21" t="b">
        <v>1</v>
      </c>
      <c r="AC20" s="22">
        <f t="shared" si="3"/>
        <v>0</v>
      </c>
      <c r="AD20" s="28"/>
      <c r="AE20" s="28"/>
    </row>
    <row r="21" spans="1:31">
      <c r="A21" s="10">
        <f t="shared" si="0"/>
        <v>654992.79811097996</v>
      </c>
      <c r="B21" s="13"/>
      <c r="C21" s="13"/>
      <c r="D21" s="13"/>
      <c r="E21" s="13"/>
      <c r="F21" s="13"/>
      <c r="G21" s="13"/>
      <c r="H21" s="13"/>
      <c r="I21" s="13"/>
      <c r="J21" s="13"/>
      <c r="K21" s="13">
        <v>2</v>
      </c>
      <c r="L21" s="17"/>
      <c r="M21" s="17"/>
      <c r="N21" s="17" t="s">
        <v>72</v>
      </c>
      <c r="O21" s="17"/>
      <c r="P21" s="17"/>
      <c r="Q21" s="17"/>
      <c r="R21" s="17"/>
      <c r="S21" s="17"/>
      <c r="T21" s="17"/>
      <c r="U21" s="17"/>
      <c r="V21" s="17"/>
      <c r="W21" s="17"/>
      <c r="X21" s="17">
        <f t="shared" si="1"/>
        <v>5</v>
      </c>
      <c r="Y21" s="18">
        <f t="shared" si="2"/>
        <v>12301310.881542701</v>
      </c>
      <c r="Z21" s="24"/>
      <c r="AA21" s="20"/>
      <c r="AB21" s="21" t="b">
        <v>1</v>
      </c>
      <c r="AC21" s="22">
        <f t="shared" si="3"/>
        <v>0</v>
      </c>
      <c r="AD21" s="28"/>
      <c r="AE21" s="28"/>
    </row>
    <row r="22" spans="1:31" ht="15.75" customHeight="1">
      <c r="A22" s="10">
        <f t="shared" si="0"/>
        <v>0</v>
      </c>
      <c r="B22" s="13"/>
      <c r="C22" s="13"/>
      <c r="D22" s="13"/>
      <c r="E22" s="13"/>
      <c r="F22" s="13"/>
      <c r="G22" s="13"/>
      <c r="H22" s="13"/>
      <c r="I22" s="13"/>
      <c r="J22" s="13"/>
      <c r="K22" s="13"/>
      <c r="L22" s="26" t="s">
        <v>73</v>
      </c>
      <c r="M22" s="17"/>
      <c r="N22" s="17"/>
      <c r="O22" s="17"/>
      <c r="P22" s="17"/>
      <c r="Q22" s="17"/>
      <c r="R22" s="17"/>
      <c r="S22" s="17"/>
      <c r="T22" s="17"/>
      <c r="U22" s="17"/>
      <c r="V22" s="17"/>
      <c r="W22" s="17"/>
      <c r="X22" s="17">
        <f t="shared" si="1"/>
        <v>6</v>
      </c>
      <c r="Y22" s="18">
        <f t="shared" si="2"/>
        <v>9964245.0905155428</v>
      </c>
      <c r="Z22" s="24"/>
      <c r="AA22" s="20"/>
      <c r="AB22" s="21" t="b">
        <v>1</v>
      </c>
      <c r="AC22" s="22">
        <f t="shared" si="3"/>
        <v>9964245.0905155428</v>
      </c>
      <c r="AD22" s="28"/>
      <c r="AE22" s="28"/>
    </row>
    <row r="23" spans="1:31">
      <c r="A23" s="10">
        <f t="shared" si="0"/>
        <v>0</v>
      </c>
      <c r="B23" s="13"/>
      <c r="C23" s="13"/>
      <c r="D23" s="13"/>
      <c r="E23" s="13"/>
      <c r="F23" s="13"/>
      <c r="G23" s="13"/>
      <c r="H23" s="13"/>
      <c r="I23" s="13"/>
      <c r="J23" s="13"/>
      <c r="K23" s="13"/>
      <c r="L23" s="17"/>
      <c r="M23" s="86" t="s">
        <v>74</v>
      </c>
      <c r="N23" s="17"/>
      <c r="O23" s="17"/>
      <c r="P23" s="17"/>
      <c r="Q23" s="17"/>
      <c r="R23" s="17"/>
      <c r="S23" s="17"/>
      <c r="T23" s="17"/>
      <c r="U23" s="17"/>
      <c r="V23" s="17"/>
      <c r="W23" s="17"/>
      <c r="X23" s="17">
        <f t="shared" si="1"/>
        <v>6</v>
      </c>
      <c r="Y23" s="18">
        <f t="shared" si="2"/>
        <v>9964245.0905155428</v>
      </c>
      <c r="Z23" s="24"/>
      <c r="AA23" s="20"/>
      <c r="AB23" s="21" t="b">
        <v>1</v>
      </c>
      <c r="AC23" s="22">
        <f t="shared" si="3"/>
        <v>0</v>
      </c>
      <c r="AD23" s="28"/>
      <c r="AE23" s="28"/>
    </row>
    <row r="24" spans="1:31">
      <c r="A24" s="10">
        <f t="shared" si="0"/>
        <v>1130091.3813459268</v>
      </c>
      <c r="B24" s="13"/>
      <c r="C24" s="13"/>
      <c r="D24" s="13">
        <v>2</v>
      </c>
      <c r="E24" s="13"/>
      <c r="F24" s="13">
        <v>1.5</v>
      </c>
      <c r="G24" s="13"/>
      <c r="H24" s="13"/>
      <c r="I24" s="13"/>
      <c r="J24" s="13"/>
      <c r="K24" s="13"/>
      <c r="L24" s="17"/>
      <c r="M24" s="17"/>
      <c r="N24" s="17" t="s">
        <v>75</v>
      </c>
      <c r="O24" s="17"/>
      <c r="P24" s="17"/>
      <c r="Q24" s="17"/>
      <c r="R24" s="17"/>
      <c r="S24" s="17"/>
      <c r="T24" s="17"/>
      <c r="U24" s="17"/>
      <c r="V24" s="17"/>
      <c r="W24" s="17"/>
      <c r="X24" s="17">
        <f t="shared" si="1"/>
        <v>6</v>
      </c>
      <c r="Y24" s="18">
        <f t="shared" si="2"/>
        <v>9964245.0905155428</v>
      </c>
      <c r="Z24" s="19"/>
      <c r="AA24" s="30"/>
      <c r="AB24" s="21" t="b">
        <v>1</v>
      </c>
      <c r="AC24" s="22">
        <f t="shared" si="3"/>
        <v>0</v>
      </c>
      <c r="AD24" s="28"/>
      <c r="AE24" s="28"/>
    </row>
    <row r="25" spans="1:31">
      <c r="A25" s="10">
        <f t="shared" si="0"/>
        <v>803372.50098386465</v>
      </c>
      <c r="B25" s="13"/>
      <c r="C25" s="13"/>
      <c r="D25" s="13">
        <v>1.5</v>
      </c>
      <c r="E25" s="13"/>
      <c r="F25" s="13">
        <v>1</v>
      </c>
      <c r="G25" s="13"/>
      <c r="H25" s="13"/>
      <c r="I25" s="13"/>
      <c r="J25" s="13"/>
      <c r="K25" s="13"/>
      <c r="L25" s="17"/>
      <c r="M25" s="17"/>
      <c r="N25" s="17" t="s">
        <v>76</v>
      </c>
      <c r="O25" s="17"/>
      <c r="P25" s="17"/>
      <c r="Q25" s="17"/>
      <c r="R25" s="17"/>
      <c r="S25" s="17"/>
      <c r="T25" s="17"/>
      <c r="U25" s="17"/>
      <c r="V25" s="17"/>
      <c r="W25" s="17"/>
      <c r="X25" s="17">
        <f t="shared" si="1"/>
        <v>6</v>
      </c>
      <c r="Y25" s="18">
        <f t="shared" si="2"/>
        <v>9964245.0905155428</v>
      </c>
      <c r="Z25" s="24"/>
      <c r="AA25" s="20"/>
      <c r="AB25" s="21" t="b">
        <v>1</v>
      </c>
      <c r="AC25" s="22">
        <f t="shared" si="3"/>
        <v>0</v>
      </c>
      <c r="AD25" s="28"/>
      <c r="AE25" s="28"/>
    </row>
    <row r="26" spans="1:31">
      <c r="A26" s="10">
        <f t="shared" si="0"/>
        <v>803372.50098386465</v>
      </c>
      <c r="B26" s="13"/>
      <c r="C26" s="13"/>
      <c r="D26" s="13">
        <v>1.5</v>
      </c>
      <c r="E26" s="13"/>
      <c r="F26" s="13">
        <v>1</v>
      </c>
      <c r="G26" s="13"/>
      <c r="H26" s="13"/>
      <c r="I26" s="13"/>
      <c r="J26" s="13"/>
      <c r="K26" s="13"/>
      <c r="L26" s="17"/>
      <c r="M26" s="17"/>
      <c r="N26" s="17" t="s">
        <v>77</v>
      </c>
      <c r="O26" s="17"/>
      <c r="P26" s="17"/>
      <c r="Q26" s="17"/>
      <c r="R26" s="17"/>
      <c r="S26" s="17"/>
      <c r="T26" s="17"/>
      <c r="U26" s="17"/>
      <c r="V26" s="17"/>
      <c r="W26" s="17"/>
      <c r="X26" s="17">
        <f t="shared" si="1"/>
        <v>6</v>
      </c>
      <c r="Y26" s="18">
        <f t="shared" si="2"/>
        <v>9964245.0905155428</v>
      </c>
      <c r="Z26" s="24"/>
      <c r="AA26" s="20"/>
      <c r="AB26" s="21" t="b">
        <v>1</v>
      </c>
      <c r="AC26" s="22">
        <f t="shared" si="3"/>
        <v>0</v>
      </c>
      <c r="AD26" s="28"/>
      <c r="AE26" s="28"/>
    </row>
    <row r="27" spans="1:31">
      <c r="A27" s="10">
        <f t="shared" si="0"/>
        <v>953307.24124360492</v>
      </c>
      <c r="B27" s="13"/>
      <c r="C27" s="13"/>
      <c r="D27" s="13">
        <v>2</v>
      </c>
      <c r="E27" s="13"/>
      <c r="F27" s="13">
        <v>1</v>
      </c>
      <c r="G27" s="13"/>
      <c r="H27" s="13"/>
      <c r="I27" s="13"/>
      <c r="J27" s="13"/>
      <c r="K27" s="13"/>
      <c r="L27" s="17"/>
      <c r="M27" s="17"/>
      <c r="N27" s="17" t="s">
        <v>78</v>
      </c>
      <c r="O27" s="17"/>
      <c r="P27" s="17"/>
      <c r="Q27" s="17"/>
      <c r="R27" s="17"/>
      <c r="S27" s="17"/>
      <c r="T27" s="17"/>
      <c r="U27" s="17"/>
      <c r="V27" s="17"/>
      <c r="W27" s="17"/>
      <c r="X27" s="17">
        <f t="shared" si="1"/>
        <v>6</v>
      </c>
      <c r="Y27" s="18">
        <f t="shared" si="2"/>
        <v>9964245.0905155428</v>
      </c>
      <c r="Z27" s="24"/>
      <c r="AA27" s="20"/>
      <c r="AB27" s="21" t="b">
        <v>1</v>
      </c>
      <c r="AC27" s="22">
        <f t="shared" si="3"/>
        <v>0</v>
      </c>
      <c r="AD27" s="28"/>
      <c r="AE27" s="28"/>
    </row>
    <row r="28" spans="1:31">
      <c r="A28" s="10">
        <f t="shared" si="0"/>
        <v>0</v>
      </c>
      <c r="B28" s="13"/>
      <c r="C28" s="13"/>
      <c r="D28" s="13"/>
      <c r="E28" s="13"/>
      <c r="F28" s="13"/>
      <c r="G28" s="13"/>
      <c r="H28" s="13"/>
      <c r="I28" s="13"/>
      <c r="J28" s="13"/>
      <c r="K28" s="13"/>
      <c r="L28" s="17"/>
      <c r="M28" s="86" t="s">
        <v>79</v>
      </c>
      <c r="N28" s="17"/>
      <c r="O28" s="17"/>
      <c r="P28" s="17"/>
      <c r="Q28" s="17"/>
      <c r="R28" s="17"/>
      <c r="S28" s="17"/>
      <c r="T28" s="17"/>
      <c r="U28" s="17"/>
      <c r="V28" s="17"/>
      <c r="W28" s="17"/>
      <c r="X28" s="17">
        <f t="shared" si="1"/>
        <v>6</v>
      </c>
      <c r="Y28" s="18">
        <f t="shared" si="2"/>
        <v>9964245.0905155428</v>
      </c>
      <c r="Z28" s="24"/>
      <c r="AA28" s="20"/>
      <c r="AB28" s="21" t="b">
        <v>1</v>
      </c>
      <c r="AC28" s="22">
        <f t="shared" si="3"/>
        <v>0</v>
      </c>
      <c r="AD28" s="28"/>
      <c r="AE28" s="28"/>
    </row>
    <row r="29" spans="1:31">
      <c r="A29" s="10">
        <f t="shared" si="0"/>
        <v>653437.76072412438</v>
      </c>
      <c r="B29" s="13"/>
      <c r="C29" s="13"/>
      <c r="D29" s="13">
        <v>1</v>
      </c>
      <c r="E29" s="13"/>
      <c r="F29" s="13">
        <v>1</v>
      </c>
      <c r="G29" s="13"/>
      <c r="H29" s="13"/>
      <c r="I29" s="13"/>
      <c r="J29" s="13"/>
      <c r="K29" s="13"/>
      <c r="L29" s="17"/>
      <c r="M29" s="17"/>
      <c r="N29" s="17" t="s">
        <v>80</v>
      </c>
      <c r="O29" s="17"/>
      <c r="P29" s="17"/>
      <c r="Q29" s="17"/>
      <c r="R29" s="17"/>
      <c r="S29" s="17"/>
      <c r="T29" s="17"/>
      <c r="U29" s="17"/>
      <c r="V29" s="17"/>
      <c r="W29" s="17"/>
      <c r="X29" s="17">
        <f t="shared" si="1"/>
        <v>6</v>
      </c>
      <c r="Y29" s="18">
        <f t="shared" si="2"/>
        <v>9964245.0905155428</v>
      </c>
      <c r="Z29" s="24"/>
      <c r="AA29" s="20"/>
      <c r="AB29" s="21" t="b">
        <v>1</v>
      </c>
      <c r="AC29" s="22">
        <f t="shared" si="3"/>
        <v>0</v>
      </c>
      <c r="AD29" s="28"/>
      <c r="AE29" s="28"/>
    </row>
    <row r="30" spans="1:31">
      <c r="A30" s="10">
        <f t="shared" si="0"/>
        <v>653437.76072412438</v>
      </c>
      <c r="B30" s="13"/>
      <c r="C30" s="13"/>
      <c r="D30" s="13">
        <v>1</v>
      </c>
      <c r="E30" s="13"/>
      <c r="F30" s="13">
        <v>1</v>
      </c>
      <c r="G30" s="13"/>
      <c r="H30" s="13"/>
      <c r="I30" s="13"/>
      <c r="J30" s="13"/>
      <c r="K30" s="13"/>
      <c r="L30" s="17"/>
      <c r="M30" s="17"/>
      <c r="N30" s="17" t="s">
        <v>81</v>
      </c>
      <c r="O30" s="17"/>
      <c r="P30" s="17"/>
      <c r="Q30" s="17"/>
      <c r="R30" s="17"/>
      <c r="S30" s="17"/>
      <c r="T30" s="17"/>
      <c r="U30" s="17"/>
      <c r="V30" s="17"/>
      <c r="W30" s="17"/>
      <c r="X30" s="17">
        <f t="shared" si="1"/>
        <v>6</v>
      </c>
      <c r="Y30" s="18">
        <f t="shared" si="2"/>
        <v>9964245.0905155428</v>
      </c>
      <c r="Z30" s="24"/>
      <c r="AA30" s="20"/>
      <c r="AB30" s="21" t="b">
        <v>1</v>
      </c>
      <c r="AC30" s="22">
        <f t="shared" si="3"/>
        <v>0</v>
      </c>
      <c r="AD30" s="28"/>
      <c r="AE30" s="28"/>
    </row>
    <row r="31" spans="1:31">
      <c r="A31" s="10">
        <f t="shared" si="0"/>
        <v>1007006.0409287682</v>
      </c>
      <c r="B31" s="13"/>
      <c r="C31" s="13"/>
      <c r="D31" s="13">
        <v>1</v>
      </c>
      <c r="E31" s="13"/>
      <c r="F31" s="13">
        <v>2</v>
      </c>
      <c r="G31" s="13"/>
      <c r="H31" s="13"/>
      <c r="I31" s="13"/>
      <c r="J31" s="13"/>
      <c r="K31" s="13"/>
      <c r="L31" s="17"/>
      <c r="M31" s="17"/>
      <c r="N31" s="17" t="s">
        <v>82</v>
      </c>
      <c r="O31" s="17"/>
      <c r="P31" s="17"/>
      <c r="Q31" s="17"/>
      <c r="R31" s="17"/>
      <c r="S31" s="17"/>
      <c r="T31" s="17"/>
      <c r="U31" s="17"/>
      <c r="V31" s="17"/>
      <c r="W31" s="17"/>
      <c r="X31" s="17">
        <f t="shared" si="1"/>
        <v>6</v>
      </c>
      <c r="Y31" s="18">
        <f t="shared" si="2"/>
        <v>9964245.0905155428</v>
      </c>
      <c r="Z31" s="24"/>
      <c r="AA31" s="20"/>
      <c r="AB31" s="21" t="b">
        <v>1</v>
      </c>
      <c r="AC31" s="22">
        <f t="shared" si="3"/>
        <v>0</v>
      </c>
      <c r="AD31" s="28"/>
      <c r="AE31" s="28"/>
    </row>
    <row r="32" spans="1:31">
      <c r="A32" s="10">
        <f t="shared" si="0"/>
        <v>653437.76072412438</v>
      </c>
      <c r="B32" s="13"/>
      <c r="C32" s="13"/>
      <c r="D32" s="13">
        <v>1</v>
      </c>
      <c r="E32" s="13"/>
      <c r="F32" s="13">
        <v>1</v>
      </c>
      <c r="G32" s="13"/>
      <c r="H32" s="13"/>
      <c r="I32" s="13"/>
      <c r="J32" s="13"/>
      <c r="K32" s="13"/>
      <c r="L32" s="17"/>
      <c r="M32" s="17"/>
      <c r="N32" s="17" t="s">
        <v>83</v>
      </c>
      <c r="O32" s="17"/>
      <c r="P32" s="17"/>
      <c r="Q32" s="17"/>
      <c r="R32" s="17"/>
      <c r="S32" s="17"/>
      <c r="T32" s="17"/>
      <c r="U32" s="17"/>
      <c r="V32" s="17"/>
      <c r="W32" s="17"/>
      <c r="X32" s="17">
        <f t="shared" si="1"/>
        <v>6</v>
      </c>
      <c r="Y32" s="18">
        <f t="shared" si="2"/>
        <v>9964245.0905155428</v>
      </c>
      <c r="Z32" s="24"/>
      <c r="AA32" s="20"/>
      <c r="AB32" s="21" t="b">
        <v>1</v>
      </c>
      <c r="AC32" s="22">
        <f t="shared" si="3"/>
        <v>0</v>
      </c>
      <c r="AD32" s="28"/>
      <c r="AE32" s="28"/>
    </row>
    <row r="33" spans="1:31">
      <c r="A33" s="10">
        <f t="shared" si="0"/>
        <v>0</v>
      </c>
      <c r="B33" s="13"/>
      <c r="C33" s="13"/>
      <c r="D33" s="13"/>
      <c r="E33" s="13"/>
      <c r="F33" s="13"/>
      <c r="G33" s="13"/>
      <c r="H33" s="13"/>
      <c r="I33" s="13"/>
      <c r="J33" s="13"/>
      <c r="K33" s="13"/>
      <c r="L33" s="17"/>
      <c r="M33" s="86" t="s">
        <v>84</v>
      </c>
      <c r="N33" s="17"/>
      <c r="O33" s="17"/>
      <c r="P33" s="17"/>
      <c r="Q33" s="17"/>
      <c r="R33" s="17"/>
      <c r="S33" s="17"/>
      <c r="T33" s="17"/>
      <c r="U33" s="17"/>
      <c r="V33" s="17"/>
      <c r="W33" s="17"/>
      <c r="X33" s="17">
        <f t="shared" si="1"/>
        <v>6</v>
      </c>
      <c r="Y33" s="18">
        <f t="shared" si="2"/>
        <v>9964245.0905155428</v>
      </c>
      <c r="Z33" s="24"/>
      <c r="AA33" s="20"/>
      <c r="AB33" s="21" t="b">
        <v>1</v>
      </c>
      <c r="AC33" s="22">
        <f t="shared" si="3"/>
        <v>0</v>
      </c>
      <c r="AD33" s="28"/>
      <c r="AE33" s="28"/>
    </row>
    <row r="34" spans="1:31">
      <c r="A34" s="10">
        <f t="shared" si="0"/>
        <v>1130091.3813459268</v>
      </c>
      <c r="B34" s="13"/>
      <c r="C34" s="13"/>
      <c r="D34" s="13">
        <v>2</v>
      </c>
      <c r="E34" s="13"/>
      <c r="F34" s="13">
        <v>1.5</v>
      </c>
      <c r="G34" s="13"/>
      <c r="H34" s="13"/>
      <c r="I34" s="13"/>
      <c r="J34" s="13"/>
      <c r="K34" s="13"/>
      <c r="L34" s="17"/>
      <c r="M34" s="17"/>
      <c r="N34" s="17" t="s">
        <v>85</v>
      </c>
      <c r="O34" s="17"/>
      <c r="P34" s="17"/>
      <c r="Q34" s="17"/>
      <c r="R34" s="17"/>
      <c r="S34" s="17"/>
      <c r="T34" s="17"/>
      <c r="U34" s="17"/>
      <c r="V34" s="17"/>
      <c r="W34" s="17"/>
      <c r="X34" s="17">
        <f t="shared" si="1"/>
        <v>6</v>
      </c>
      <c r="Y34" s="18">
        <f t="shared" si="2"/>
        <v>9964245.0905155428</v>
      </c>
      <c r="Z34" s="24"/>
      <c r="AA34" s="20"/>
      <c r="AB34" s="21" t="b">
        <v>1</v>
      </c>
      <c r="AC34" s="22">
        <f t="shared" si="3"/>
        <v>0</v>
      </c>
      <c r="AD34" s="28"/>
      <c r="AE34" s="28"/>
    </row>
    <row r="35" spans="1:31">
      <c r="A35" s="10">
        <f t="shared" si="0"/>
        <v>803372.50098386465</v>
      </c>
      <c r="B35" s="13"/>
      <c r="C35" s="13"/>
      <c r="D35" s="13">
        <v>1.5</v>
      </c>
      <c r="E35" s="13"/>
      <c r="F35" s="13">
        <v>1</v>
      </c>
      <c r="G35" s="13"/>
      <c r="H35" s="13"/>
      <c r="I35" s="13"/>
      <c r="J35" s="13"/>
      <c r="K35" s="13"/>
      <c r="L35" s="17"/>
      <c r="M35" s="17"/>
      <c r="N35" s="17" t="s">
        <v>86</v>
      </c>
      <c r="O35" s="17"/>
      <c r="P35" s="17"/>
      <c r="Q35" s="17"/>
      <c r="R35" s="17"/>
      <c r="S35" s="17"/>
      <c r="T35" s="17"/>
      <c r="U35" s="17"/>
      <c r="V35" s="17"/>
      <c r="W35" s="17"/>
      <c r="X35" s="17">
        <f t="shared" si="1"/>
        <v>6</v>
      </c>
      <c r="Y35" s="18">
        <f t="shared" si="2"/>
        <v>9964245.0905155428</v>
      </c>
      <c r="Z35" s="24"/>
      <c r="AA35" s="20"/>
      <c r="AB35" s="21" t="b">
        <v>1</v>
      </c>
      <c r="AC35" s="22">
        <f t="shared" si="3"/>
        <v>0</v>
      </c>
      <c r="AD35" s="28"/>
      <c r="AE35" s="28"/>
    </row>
    <row r="36" spans="1:31">
      <c r="A36" s="10">
        <f t="shared" si="0"/>
        <v>653437.76072412438</v>
      </c>
      <c r="B36" s="13"/>
      <c r="C36" s="13"/>
      <c r="D36" s="13">
        <v>1</v>
      </c>
      <c r="E36" s="13"/>
      <c r="F36" s="13">
        <v>1</v>
      </c>
      <c r="G36" s="13"/>
      <c r="H36" s="13"/>
      <c r="I36" s="13"/>
      <c r="J36" s="13"/>
      <c r="K36" s="13"/>
      <c r="L36" s="17"/>
      <c r="M36" s="17"/>
      <c r="N36" s="17" t="s">
        <v>87</v>
      </c>
      <c r="O36" s="17"/>
      <c r="P36" s="17"/>
      <c r="Q36" s="17"/>
      <c r="R36" s="17"/>
      <c r="S36" s="17"/>
      <c r="T36" s="17"/>
      <c r="U36" s="17"/>
      <c r="V36" s="17"/>
      <c r="W36" s="17"/>
      <c r="X36" s="17">
        <f t="shared" si="1"/>
        <v>6</v>
      </c>
      <c r="Y36" s="18">
        <f t="shared" si="2"/>
        <v>9964245.0905155428</v>
      </c>
      <c r="Z36" s="19"/>
      <c r="AA36" s="30"/>
      <c r="AB36" s="21" t="b">
        <v>1</v>
      </c>
      <c r="AC36" s="22">
        <f t="shared" si="3"/>
        <v>0</v>
      </c>
      <c r="AD36" s="28"/>
      <c r="AE36" s="28"/>
    </row>
    <row r="37" spans="1:31">
      <c r="A37" s="10">
        <f t="shared" si="0"/>
        <v>719880.49980322714</v>
      </c>
      <c r="B37" s="13"/>
      <c r="C37" s="13"/>
      <c r="D37" s="13">
        <v>1</v>
      </c>
      <c r="E37" s="13">
        <v>1</v>
      </c>
      <c r="F37" s="13"/>
      <c r="G37" s="13"/>
      <c r="H37" s="13"/>
      <c r="I37" s="13"/>
      <c r="J37" s="13"/>
      <c r="K37" s="13"/>
      <c r="L37" s="17"/>
      <c r="M37" s="17"/>
      <c r="N37" s="17" t="s">
        <v>88</v>
      </c>
      <c r="O37" s="17"/>
      <c r="P37" s="17"/>
      <c r="Q37" s="17"/>
      <c r="R37" s="17"/>
      <c r="S37" s="17"/>
      <c r="T37" s="17"/>
      <c r="U37" s="17"/>
      <c r="V37" s="17"/>
      <c r="W37" s="17"/>
      <c r="X37" s="17">
        <f t="shared" si="1"/>
        <v>6</v>
      </c>
      <c r="Y37" s="18">
        <f t="shared" si="2"/>
        <v>9964245.0905155428</v>
      </c>
      <c r="Z37" s="19"/>
      <c r="AA37" s="30"/>
      <c r="AB37" s="21" t="b">
        <v>1</v>
      </c>
      <c r="AC37" s="22">
        <f t="shared" si="3"/>
        <v>0</v>
      </c>
      <c r="AD37" s="28"/>
      <c r="AE37" s="28"/>
    </row>
    <row r="38" spans="1:31" ht="15.75" customHeight="1">
      <c r="A38" s="10">
        <f t="shared" si="0"/>
        <v>0</v>
      </c>
      <c r="B38" s="13"/>
      <c r="C38" s="13"/>
      <c r="D38" s="13"/>
      <c r="E38" s="13"/>
      <c r="F38" s="13"/>
      <c r="G38" s="13"/>
      <c r="H38" s="13"/>
      <c r="I38" s="13"/>
      <c r="J38" s="13"/>
      <c r="K38" s="13"/>
      <c r="L38" s="26" t="s">
        <v>89</v>
      </c>
      <c r="M38" s="17"/>
      <c r="N38" s="17"/>
      <c r="O38" s="17"/>
      <c r="P38" s="17"/>
      <c r="Q38" s="17"/>
      <c r="R38" s="17"/>
      <c r="S38" s="17"/>
      <c r="T38" s="17"/>
      <c r="U38" s="17"/>
      <c r="V38" s="17"/>
      <c r="W38" s="17"/>
      <c r="X38" s="17">
        <f t="shared" si="1"/>
        <v>7</v>
      </c>
      <c r="Y38" s="18">
        <f t="shared" si="2"/>
        <v>2845789.0200708383</v>
      </c>
      <c r="Z38" s="24"/>
      <c r="AA38" s="20"/>
      <c r="AB38" s="21" t="b">
        <v>1</v>
      </c>
      <c r="AC38" s="22">
        <f t="shared" si="3"/>
        <v>2845789.0200708383</v>
      </c>
      <c r="AD38" s="32"/>
      <c r="AE38" s="32"/>
    </row>
    <row r="39" spans="1:31">
      <c r="A39" s="10">
        <f t="shared" si="0"/>
        <v>653437.76072412438</v>
      </c>
      <c r="B39" s="13"/>
      <c r="C39" s="13"/>
      <c r="D39" s="13">
        <v>1</v>
      </c>
      <c r="E39" s="13"/>
      <c r="F39" s="13">
        <v>1</v>
      </c>
      <c r="G39" s="13"/>
      <c r="H39" s="13"/>
      <c r="I39" s="13"/>
      <c r="J39" s="13"/>
      <c r="K39" s="13"/>
      <c r="L39" s="17"/>
      <c r="M39" s="17" t="s">
        <v>90</v>
      </c>
      <c r="N39" s="17"/>
      <c r="O39" s="17"/>
      <c r="P39" s="17"/>
      <c r="Q39" s="17"/>
      <c r="R39" s="17"/>
      <c r="S39" s="17"/>
      <c r="T39" s="17"/>
      <c r="U39" s="17"/>
      <c r="V39" s="17"/>
      <c r="W39" s="17"/>
      <c r="X39" s="17">
        <f t="shared" si="1"/>
        <v>7</v>
      </c>
      <c r="Y39" s="18">
        <f t="shared" si="2"/>
        <v>2845789.0200708383</v>
      </c>
      <c r="Z39" s="19"/>
      <c r="AA39" s="20"/>
      <c r="AB39" s="21" t="b">
        <v>1</v>
      </c>
      <c r="AC39" s="22">
        <f t="shared" si="3"/>
        <v>0</v>
      </c>
      <c r="AD39" s="28"/>
      <c r="AE39" s="28"/>
    </row>
    <row r="40" spans="1:31">
      <c r="A40" s="10">
        <f t="shared" si="0"/>
        <v>653437.76072412438</v>
      </c>
      <c r="B40" s="13"/>
      <c r="C40" s="13"/>
      <c r="D40" s="13">
        <v>1</v>
      </c>
      <c r="E40" s="13"/>
      <c r="F40" s="13">
        <v>1</v>
      </c>
      <c r="G40" s="13"/>
      <c r="H40" s="13"/>
      <c r="I40" s="13"/>
      <c r="J40" s="13"/>
      <c r="K40" s="13"/>
      <c r="L40" s="17"/>
      <c r="M40" s="17" t="s">
        <v>91</v>
      </c>
      <c r="N40" s="17"/>
      <c r="O40" s="17"/>
      <c r="P40" s="17"/>
      <c r="Q40" s="17"/>
      <c r="R40" s="17"/>
      <c r="S40" s="17"/>
      <c r="T40" s="17"/>
      <c r="U40" s="17"/>
      <c r="V40" s="17"/>
      <c r="W40" s="17"/>
      <c r="X40" s="17">
        <f t="shared" si="1"/>
        <v>7</v>
      </c>
      <c r="Y40" s="18">
        <f t="shared" si="2"/>
        <v>2845789.0200708383</v>
      </c>
      <c r="Z40" s="24"/>
      <c r="AA40" s="20"/>
      <c r="AB40" s="21" t="b">
        <v>1</v>
      </c>
      <c r="AC40" s="22">
        <f t="shared" si="3"/>
        <v>0</v>
      </c>
      <c r="AD40" s="32"/>
      <c r="AE40" s="32"/>
    </row>
    <row r="41" spans="1:31">
      <c r="A41" s="10">
        <f t="shared" si="0"/>
        <v>353568.28020464384</v>
      </c>
      <c r="B41" s="13"/>
      <c r="C41" s="13"/>
      <c r="D41" s="13"/>
      <c r="E41" s="13"/>
      <c r="F41" s="13">
        <v>1</v>
      </c>
      <c r="G41" s="13"/>
      <c r="H41" s="13"/>
      <c r="I41" s="13"/>
      <c r="J41" s="13"/>
      <c r="K41" s="13"/>
      <c r="L41" s="17"/>
      <c r="M41" s="17" t="s">
        <v>92</v>
      </c>
      <c r="N41" s="17"/>
      <c r="O41" s="17"/>
      <c r="P41" s="17"/>
      <c r="Q41" s="17"/>
      <c r="R41" s="17"/>
      <c r="S41" s="17"/>
      <c r="T41" s="17"/>
      <c r="U41" s="17"/>
      <c r="V41" s="17"/>
      <c r="W41" s="17"/>
      <c r="X41" s="17">
        <f t="shared" si="1"/>
        <v>7</v>
      </c>
      <c r="Y41" s="18">
        <f t="shared" si="2"/>
        <v>2845789.0200708383</v>
      </c>
      <c r="Z41" s="24"/>
      <c r="AA41" s="20"/>
      <c r="AB41" s="21" t="b">
        <v>1</v>
      </c>
      <c r="AC41" s="22">
        <f t="shared" si="3"/>
        <v>0</v>
      </c>
      <c r="AD41" s="32"/>
      <c r="AE41" s="32"/>
    </row>
    <row r="42" spans="1:31" ht="12.75">
      <c r="A42" s="10">
        <f t="shared" si="0"/>
        <v>353568.28020464384</v>
      </c>
      <c r="B42" s="13"/>
      <c r="C42" s="13"/>
      <c r="D42" s="13"/>
      <c r="E42" s="13"/>
      <c r="F42" s="13">
        <v>1</v>
      </c>
      <c r="G42" s="13"/>
      <c r="H42" s="13"/>
      <c r="I42" s="13"/>
      <c r="J42" s="13"/>
      <c r="K42" s="13"/>
      <c r="L42" s="17"/>
      <c r="M42" s="17" t="s">
        <v>93</v>
      </c>
      <c r="N42" s="17"/>
      <c r="O42" s="17"/>
      <c r="P42" s="17"/>
      <c r="Q42" s="17"/>
      <c r="R42" s="17"/>
      <c r="S42" s="17"/>
      <c r="T42" s="17"/>
      <c r="U42" s="17"/>
      <c r="V42" s="17"/>
      <c r="W42" s="17"/>
      <c r="X42" s="17">
        <f t="shared" si="1"/>
        <v>7</v>
      </c>
      <c r="Y42" s="18">
        <f t="shared" si="2"/>
        <v>2845789.0200708383</v>
      </c>
      <c r="Z42" s="24"/>
      <c r="AA42" s="20"/>
      <c r="AB42" s="21" t="b">
        <v>1</v>
      </c>
      <c r="AC42" s="22">
        <f t="shared" si="3"/>
        <v>0</v>
      </c>
      <c r="AD42" s="28"/>
      <c r="AE42" s="28"/>
    </row>
    <row r="43" spans="1:31" ht="12.75">
      <c r="A43" s="10">
        <f t="shared" si="0"/>
        <v>176784.14010232192</v>
      </c>
      <c r="B43" s="13"/>
      <c r="C43" s="13"/>
      <c r="D43" s="13"/>
      <c r="E43" s="13"/>
      <c r="F43" s="13">
        <v>0.5</v>
      </c>
      <c r="G43" s="13"/>
      <c r="H43" s="13"/>
      <c r="I43" s="13"/>
      <c r="J43" s="13"/>
      <c r="K43" s="13"/>
      <c r="L43" s="17"/>
      <c r="M43" s="17" t="s">
        <v>94</v>
      </c>
      <c r="N43" s="17"/>
      <c r="O43" s="17"/>
      <c r="P43" s="17"/>
      <c r="Q43" s="17"/>
      <c r="R43" s="17"/>
      <c r="S43" s="17"/>
      <c r="T43" s="17"/>
      <c r="U43" s="17"/>
      <c r="V43" s="17"/>
      <c r="W43" s="17"/>
      <c r="X43" s="17">
        <f t="shared" si="1"/>
        <v>7</v>
      </c>
      <c r="Y43" s="18">
        <f t="shared" si="2"/>
        <v>2845789.0200708383</v>
      </c>
      <c r="Z43" s="24"/>
      <c r="AA43" s="20"/>
      <c r="AB43" s="21" t="b">
        <v>1</v>
      </c>
      <c r="AC43" s="22">
        <f t="shared" si="3"/>
        <v>0</v>
      </c>
      <c r="AD43" s="28"/>
      <c r="AE43" s="28"/>
    </row>
    <row r="44" spans="1:31" ht="12.75">
      <c r="A44" s="10">
        <f t="shared" si="0"/>
        <v>654992.79811097996</v>
      </c>
      <c r="B44" s="13"/>
      <c r="C44" s="13"/>
      <c r="D44" s="13"/>
      <c r="E44" s="13"/>
      <c r="F44" s="13"/>
      <c r="G44" s="13"/>
      <c r="H44" s="13"/>
      <c r="I44" s="13"/>
      <c r="J44" s="13"/>
      <c r="K44" s="13">
        <v>2</v>
      </c>
      <c r="L44" s="17"/>
      <c r="M44" s="17" t="s">
        <v>95</v>
      </c>
      <c r="N44" s="17"/>
      <c r="O44" s="17"/>
      <c r="P44" s="17"/>
      <c r="Q44" s="17"/>
      <c r="R44" s="17"/>
      <c r="S44" s="17"/>
      <c r="T44" s="17"/>
      <c r="U44" s="17"/>
      <c r="V44" s="17"/>
      <c r="W44" s="17"/>
      <c r="X44" s="17">
        <f t="shared" si="1"/>
        <v>7</v>
      </c>
      <c r="Y44" s="18">
        <f t="shared" si="2"/>
        <v>2845789.0200708383</v>
      </c>
      <c r="Z44" s="24"/>
      <c r="AA44" s="20"/>
      <c r="AB44" s="21" t="b">
        <v>1</v>
      </c>
      <c r="AC44" s="22">
        <f t="shared" si="3"/>
        <v>0</v>
      </c>
      <c r="AD44" s="28"/>
      <c r="AE44" s="28"/>
    </row>
    <row r="45" spans="1:31" ht="15">
      <c r="A45" s="10">
        <f t="shared" si="0"/>
        <v>0</v>
      </c>
      <c r="B45" s="13"/>
      <c r="C45" s="13"/>
      <c r="D45" s="13"/>
      <c r="E45" s="13"/>
      <c r="F45" s="13"/>
      <c r="G45" s="13"/>
      <c r="H45" s="13"/>
      <c r="I45" s="13"/>
      <c r="J45" s="13"/>
      <c r="K45" s="13"/>
      <c r="L45" s="26" t="s">
        <v>96</v>
      </c>
      <c r="M45" s="17"/>
      <c r="N45" s="17"/>
      <c r="O45" s="17"/>
      <c r="P45" s="17"/>
      <c r="Q45" s="17"/>
      <c r="R45" s="17"/>
      <c r="S45" s="17"/>
      <c r="T45" s="17"/>
      <c r="U45" s="17"/>
      <c r="V45" s="17"/>
      <c r="W45" s="17"/>
      <c r="X45" s="17">
        <f t="shared" si="1"/>
        <v>8</v>
      </c>
      <c r="Y45" s="18">
        <f t="shared" si="2"/>
        <v>4918217.1979535613</v>
      </c>
      <c r="Z45" s="24"/>
      <c r="AA45" s="20"/>
      <c r="AB45" s="21" t="b">
        <v>1</v>
      </c>
      <c r="AC45" s="22">
        <f t="shared" si="3"/>
        <v>4918217.1979535613</v>
      </c>
      <c r="AD45" s="28"/>
      <c r="AE45" s="28"/>
    </row>
    <row r="46" spans="1:31" ht="12.75">
      <c r="A46" s="10">
        <f t="shared" si="0"/>
        <v>0</v>
      </c>
      <c r="B46" s="13"/>
      <c r="C46" s="13"/>
      <c r="D46" s="13"/>
      <c r="E46" s="13"/>
      <c r="F46" s="13"/>
      <c r="G46" s="13"/>
      <c r="H46" s="13"/>
      <c r="I46" s="13"/>
      <c r="J46" s="13"/>
      <c r="K46" s="13"/>
      <c r="L46" s="17"/>
      <c r="M46" s="86" t="s">
        <v>97</v>
      </c>
      <c r="N46" s="17"/>
      <c r="O46" s="17"/>
      <c r="P46" s="17"/>
      <c r="Q46" s="17"/>
      <c r="R46" s="17"/>
      <c r="S46" s="17"/>
      <c r="T46" s="17"/>
      <c r="U46" s="17"/>
      <c r="V46" s="17"/>
      <c r="W46" s="17"/>
      <c r="X46" s="17">
        <f t="shared" si="1"/>
        <v>8</v>
      </c>
      <c r="Y46" s="18">
        <f t="shared" si="2"/>
        <v>4918217.1979535613</v>
      </c>
      <c r="Z46" s="24"/>
      <c r="AA46" s="20"/>
      <c r="AB46" s="21" t="b">
        <v>1</v>
      </c>
      <c r="AC46" s="22">
        <f t="shared" si="3"/>
        <v>0</v>
      </c>
      <c r="AD46" s="28"/>
      <c r="AE46" s="28"/>
    </row>
    <row r="47" spans="1:31" ht="12.75">
      <c r="A47" s="10">
        <f t="shared" si="0"/>
        <v>653437.76072412438</v>
      </c>
      <c r="B47" s="13"/>
      <c r="C47" s="13"/>
      <c r="D47" s="13">
        <v>1</v>
      </c>
      <c r="E47" s="13"/>
      <c r="F47" s="13">
        <v>1</v>
      </c>
      <c r="G47" s="13"/>
      <c r="H47" s="13"/>
      <c r="I47" s="13"/>
      <c r="J47" s="13"/>
      <c r="K47" s="13"/>
      <c r="L47" s="17"/>
      <c r="M47" s="17"/>
      <c r="N47" s="17" t="s">
        <v>98</v>
      </c>
      <c r="O47" s="17"/>
      <c r="P47" s="17"/>
      <c r="Q47" s="17"/>
      <c r="R47" s="17"/>
      <c r="S47" s="17"/>
      <c r="T47" s="17"/>
      <c r="U47" s="17"/>
      <c r="V47" s="17"/>
      <c r="W47" s="17"/>
      <c r="X47" s="17">
        <f t="shared" si="1"/>
        <v>8</v>
      </c>
      <c r="Y47" s="18">
        <f t="shared" si="2"/>
        <v>4918217.1979535613</v>
      </c>
      <c r="Z47" s="24"/>
      <c r="AA47" s="20"/>
      <c r="AB47" s="21" t="b">
        <v>1</v>
      </c>
      <c r="AC47" s="22">
        <f t="shared" si="3"/>
        <v>0</v>
      </c>
      <c r="AD47" s="28"/>
      <c r="AE47" s="28"/>
    </row>
    <row r="48" spans="1:31" ht="12.75">
      <c r="A48" s="10">
        <f t="shared" si="0"/>
        <v>1167518.437622983</v>
      </c>
      <c r="B48" s="13"/>
      <c r="C48" s="13"/>
      <c r="D48" s="13"/>
      <c r="E48" s="13">
        <v>2</v>
      </c>
      <c r="F48" s="13"/>
      <c r="G48" s="13"/>
      <c r="H48" s="13"/>
      <c r="I48" s="13"/>
      <c r="J48" s="13"/>
      <c r="K48" s="13">
        <v>1</v>
      </c>
      <c r="L48" s="17"/>
      <c r="M48" s="17"/>
      <c r="N48" s="17" t="s">
        <v>99</v>
      </c>
      <c r="O48" s="17"/>
      <c r="P48" s="17"/>
      <c r="Q48" s="17"/>
      <c r="R48" s="17"/>
      <c r="S48" s="17"/>
      <c r="T48" s="17"/>
      <c r="U48" s="17"/>
      <c r="V48" s="17"/>
      <c r="W48" s="17"/>
      <c r="X48" s="17">
        <f t="shared" si="1"/>
        <v>8</v>
      </c>
      <c r="Y48" s="18">
        <f t="shared" si="2"/>
        <v>4918217.1979535613</v>
      </c>
      <c r="Z48" s="24"/>
      <c r="AA48" s="20"/>
      <c r="AB48" s="21" t="b">
        <v>1</v>
      </c>
      <c r="AC48" s="22">
        <f t="shared" si="3"/>
        <v>0</v>
      </c>
      <c r="AD48" s="32"/>
      <c r="AE48" s="32"/>
    </row>
    <row r="49" spans="1:31" ht="12.75">
      <c r="A49" s="10">
        <f t="shared" si="0"/>
        <v>326718.88036206219</v>
      </c>
      <c r="B49" s="13"/>
      <c r="C49" s="13"/>
      <c r="D49" s="13">
        <v>0.5</v>
      </c>
      <c r="E49" s="13"/>
      <c r="F49" s="13">
        <v>0.5</v>
      </c>
      <c r="G49" s="13"/>
      <c r="H49" s="13"/>
      <c r="I49" s="13"/>
      <c r="J49" s="13"/>
      <c r="K49" s="13"/>
      <c r="L49" s="17"/>
      <c r="M49" s="17"/>
      <c r="N49" s="17" t="s">
        <v>100</v>
      </c>
      <c r="O49" s="17"/>
      <c r="P49" s="17"/>
      <c r="Q49" s="17"/>
      <c r="R49" s="17"/>
      <c r="S49" s="17"/>
      <c r="T49" s="17"/>
      <c r="U49" s="17"/>
      <c r="V49" s="17"/>
      <c r="W49" s="17"/>
      <c r="X49" s="17">
        <f t="shared" si="1"/>
        <v>8</v>
      </c>
      <c r="Y49" s="18">
        <f t="shared" si="2"/>
        <v>4918217.1979535613</v>
      </c>
      <c r="Z49" s="24"/>
      <c r="AA49" s="20"/>
      <c r="AB49" s="21" t="b">
        <v>1</v>
      </c>
      <c r="AC49" s="22">
        <f t="shared" si="3"/>
        <v>0</v>
      </c>
      <c r="AD49" s="32"/>
      <c r="AE49" s="32"/>
    </row>
    <row r="50" spans="1:31" ht="12.75">
      <c r="A50" s="10">
        <f t="shared" si="0"/>
        <v>0</v>
      </c>
      <c r="B50" s="13"/>
      <c r="C50" s="13"/>
      <c r="D50" s="13"/>
      <c r="E50" s="13"/>
      <c r="F50" s="13"/>
      <c r="G50" s="13"/>
      <c r="H50" s="13"/>
      <c r="I50" s="13"/>
      <c r="J50" s="13"/>
      <c r="K50" s="13"/>
      <c r="L50" s="17"/>
      <c r="M50" s="86" t="s">
        <v>101</v>
      </c>
      <c r="N50" s="17"/>
      <c r="O50" s="17"/>
      <c r="P50" s="17"/>
      <c r="Q50" s="17"/>
      <c r="R50" s="17"/>
      <c r="S50" s="17"/>
      <c r="T50" s="17"/>
      <c r="U50" s="17"/>
      <c r="V50" s="17"/>
      <c r="W50" s="17"/>
      <c r="X50" s="17">
        <f t="shared" si="1"/>
        <v>8</v>
      </c>
      <c r="Y50" s="18">
        <f t="shared" si="2"/>
        <v>4918217.1979535613</v>
      </c>
      <c r="Z50" s="24"/>
      <c r="AA50" s="20"/>
      <c r="AB50" s="21" t="b">
        <v>1</v>
      </c>
      <c r="AC50" s="22">
        <f t="shared" si="3"/>
        <v>0</v>
      </c>
      <c r="AD50" s="32"/>
      <c r="AE50" s="32"/>
    </row>
    <row r="51" spans="1:31" ht="12.75">
      <c r="A51" s="10">
        <f t="shared" si="0"/>
        <v>630016.52892561979</v>
      </c>
      <c r="B51" s="13"/>
      <c r="C51" s="13"/>
      <c r="D51" s="13"/>
      <c r="E51" s="13">
        <v>1.5</v>
      </c>
      <c r="F51" s="13"/>
      <c r="G51" s="13"/>
      <c r="H51" s="13"/>
      <c r="I51" s="13"/>
      <c r="J51" s="13"/>
      <c r="K51" s="13"/>
      <c r="L51" s="17"/>
      <c r="M51" s="17"/>
      <c r="N51" s="17" t="s">
        <v>102</v>
      </c>
      <c r="O51" s="17"/>
      <c r="P51" s="17"/>
      <c r="Q51" s="17"/>
      <c r="R51" s="17"/>
      <c r="S51" s="17"/>
      <c r="T51" s="17"/>
      <c r="U51" s="17"/>
      <c r="V51" s="17"/>
      <c r="W51" s="17"/>
      <c r="X51" s="17">
        <f t="shared" si="1"/>
        <v>8</v>
      </c>
      <c r="Y51" s="18">
        <f t="shared" si="2"/>
        <v>4918217.1979535613</v>
      </c>
      <c r="Z51" s="24"/>
      <c r="AA51" s="20"/>
      <c r="AB51" s="21" t="b">
        <v>1</v>
      </c>
      <c r="AC51" s="22">
        <f t="shared" si="3"/>
        <v>0</v>
      </c>
      <c r="AD51" s="32"/>
      <c r="AE51" s="32"/>
    </row>
    <row r="52" spans="1:31" ht="12.75">
      <c r="A52" s="10">
        <f t="shared" si="0"/>
        <v>420011.01928374654</v>
      </c>
      <c r="B52" s="13"/>
      <c r="C52" s="13"/>
      <c r="D52" s="13"/>
      <c r="E52" s="13">
        <v>1</v>
      </c>
      <c r="F52" s="13"/>
      <c r="G52" s="13"/>
      <c r="H52" s="13"/>
      <c r="I52" s="13"/>
      <c r="J52" s="13"/>
      <c r="K52" s="13"/>
      <c r="L52" s="17"/>
      <c r="M52" s="17"/>
      <c r="N52" s="17" t="s">
        <v>103</v>
      </c>
      <c r="O52" s="17"/>
      <c r="P52" s="17"/>
      <c r="Q52" s="17"/>
      <c r="R52" s="17"/>
      <c r="S52" s="17"/>
      <c r="T52" s="17"/>
      <c r="U52" s="17"/>
      <c r="V52" s="17"/>
      <c r="W52" s="17"/>
      <c r="X52" s="17">
        <f t="shared" si="1"/>
        <v>8</v>
      </c>
      <c r="Y52" s="18">
        <f t="shared" si="2"/>
        <v>4918217.1979535613</v>
      </c>
      <c r="Z52" s="24"/>
      <c r="AA52" s="20"/>
      <c r="AB52" s="21" t="b">
        <v>1</v>
      </c>
      <c r="AC52" s="22">
        <f t="shared" si="3"/>
        <v>0</v>
      </c>
      <c r="AD52" s="32"/>
      <c r="AE52" s="32"/>
    </row>
    <row r="53" spans="1:31" ht="12.75">
      <c r="A53" s="10">
        <f t="shared" si="0"/>
        <v>353568.28020464384</v>
      </c>
      <c r="B53" s="13"/>
      <c r="C53" s="13"/>
      <c r="D53" s="13"/>
      <c r="E53" s="13"/>
      <c r="F53" s="13">
        <v>1</v>
      </c>
      <c r="G53" s="13"/>
      <c r="H53" s="13"/>
      <c r="I53" s="13"/>
      <c r="J53" s="13"/>
      <c r="K53" s="13"/>
      <c r="L53" s="17"/>
      <c r="M53" s="17"/>
      <c r="N53" s="17" t="s">
        <v>104</v>
      </c>
      <c r="O53" s="17"/>
      <c r="P53" s="17"/>
      <c r="Q53" s="17"/>
      <c r="R53" s="17"/>
      <c r="S53" s="17"/>
      <c r="T53" s="17"/>
      <c r="U53" s="17"/>
      <c r="V53" s="17"/>
      <c r="W53" s="17"/>
      <c r="X53" s="17">
        <f t="shared" si="1"/>
        <v>8</v>
      </c>
      <c r="Y53" s="18">
        <f t="shared" si="2"/>
        <v>4918217.1979535613</v>
      </c>
      <c r="Z53" s="24"/>
      <c r="AA53" s="20"/>
      <c r="AB53" s="21" t="b">
        <v>1</v>
      </c>
      <c r="AC53" s="22">
        <f t="shared" si="3"/>
        <v>0</v>
      </c>
      <c r="AD53" s="32"/>
      <c r="AE53" s="32"/>
    </row>
    <row r="54" spans="1:31" ht="12.75">
      <c r="A54" s="10">
        <f t="shared" si="0"/>
        <v>0</v>
      </c>
      <c r="B54" s="13"/>
      <c r="C54" s="13"/>
      <c r="D54" s="13"/>
      <c r="E54" s="13"/>
      <c r="F54" s="13"/>
      <c r="G54" s="13"/>
      <c r="H54" s="13"/>
      <c r="I54" s="13"/>
      <c r="J54" s="13"/>
      <c r="K54" s="13"/>
      <c r="L54" s="17"/>
      <c r="M54" s="86" t="s">
        <v>105</v>
      </c>
      <c r="N54" s="17"/>
      <c r="O54" s="17"/>
      <c r="P54" s="17"/>
      <c r="Q54" s="17"/>
      <c r="R54" s="17"/>
      <c r="S54" s="17"/>
      <c r="T54" s="17"/>
      <c r="U54" s="17"/>
      <c r="V54" s="17"/>
      <c r="W54" s="17"/>
      <c r="X54" s="17">
        <f t="shared" si="1"/>
        <v>8</v>
      </c>
      <c r="Y54" s="18">
        <f t="shared" si="2"/>
        <v>4918217.1979535613</v>
      </c>
      <c r="Z54" s="24"/>
      <c r="AA54" s="20"/>
      <c r="AB54" s="21" t="b">
        <v>1</v>
      </c>
      <c r="AC54" s="22">
        <f t="shared" si="3"/>
        <v>0</v>
      </c>
      <c r="AD54" s="32"/>
      <c r="AE54" s="32"/>
    </row>
    <row r="55" spans="1:31" ht="12.75">
      <c r="A55" s="10">
        <f t="shared" si="0"/>
        <v>803372.50098386465</v>
      </c>
      <c r="B55" s="13"/>
      <c r="C55" s="13"/>
      <c r="D55" s="13">
        <v>1.5</v>
      </c>
      <c r="E55" s="13"/>
      <c r="F55" s="13">
        <v>1</v>
      </c>
      <c r="G55" s="13"/>
      <c r="H55" s="13"/>
      <c r="I55" s="13"/>
      <c r="J55" s="13"/>
      <c r="K55" s="13"/>
      <c r="L55" s="17"/>
      <c r="M55" s="17"/>
      <c r="N55" s="17" t="s">
        <v>106</v>
      </c>
      <c r="O55" s="17"/>
      <c r="P55" s="17"/>
      <c r="Q55" s="17"/>
      <c r="R55" s="17"/>
      <c r="S55" s="17"/>
      <c r="T55" s="17"/>
      <c r="U55" s="17"/>
      <c r="V55" s="17"/>
      <c r="W55" s="17"/>
      <c r="X55" s="17">
        <f t="shared" si="1"/>
        <v>8</v>
      </c>
      <c r="Y55" s="18">
        <f t="shared" si="2"/>
        <v>4918217.1979535613</v>
      </c>
      <c r="Z55" s="24"/>
      <c r="AA55" s="20"/>
      <c r="AB55" s="21" t="b">
        <v>1</v>
      </c>
      <c r="AC55" s="22">
        <f t="shared" si="3"/>
        <v>0</v>
      </c>
      <c r="AD55" s="32"/>
      <c r="AE55" s="32"/>
    </row>
    <row r="56" spans="1:31" ht="15">
      <c r="A56" s="10">
        <f t="shared" si="0"/>
        <v>563573.78984651715</v>
      </c>
      <c r="B56" s="13"/>
      <c r="C56" s="13"/>
      <c r="D56" s="13"/>
      <c r="E56" s="13">
        <v>0.5</v>
      </c>
      <c r="F56" s="13">
        <v>1</v>
      </c>
      <c r="G56" s="13"/>
      <c r="H56" s="13"/>
      <c r="I56" s="13"/>
      <c r="J56" s="13"/>
      <c r="K56" s="13"/>
      <c r="L56" s="26"/>
      <c r="M56" s="17"/>
      <c r="N56" s="17" t="s">
        <v>107</v>
      </c>
      <c r="O56" s="17"/>
      <c r="P56" s="17"/>
      <c r="Q56" s="17"/>
      <c r="R56" s="17"/>
      <c r="S56" s="17"/>
      <c r="T56" s="17"/>
      <c r="U56" s="17"/>
      <c r="V56" s="17"/>
      <c r="W56" s="17"/>
      <c r="X56" s="17">
        <f t="shared" si="1"/>
        <v>8</v>
      </c>
      <c r="Y56" s="18">
        <f t="shared" si="2"/>
        <v>4918217.1979535613</v>
      </c>
      <c r="Z56" s="24"/>
      <c r="AA56" s="20"/>
      <c r="AB56" s="21" t="b">
        <v>1</v>
      </c>
      <c r="AC56" s="22">
        <f t="shared" si="3"/>
        <v>0</v>
      </c>
      <c r="AD56" s="32"/>
      <c r="AE56" s="32"/>
    </row>
    <row r="57" spans="1:31" ht="15">
      <c r="A57" s="10">
        <f t="shared" si="0"/>
        <v>0</v>
      </c>
      <c r="B57" s="13"/>
      <c r="C57" s="13"/>
      <c r="D57" s="13"/>
      <c r="E57" s="13"/>
      <c r="F57" s="13"/>
      <c r="G57" s="13"/>
      <c r="H57" s="13"/>
      <c r="I57" s="13"/>
      <c r="J57" s="13"/>
      <c r="K57" s="13"/>
      <c r="L57" s="26" t="s">
        <v>108</v>
      </c>
      <c r="M57" s="17"/>
      <c r="N57" s="17"/>
      <c r="O57" s="17"/>
      <c r="P57" s="17"/>
      <c r="Q57" s="17"/>
      <c r="R57" s="17"/>
      <c r="S57" s="17"/>
      <c r="T57" s="17"/>
      <c r="U57" s="17"/>
      <c r="V57" s="17"/>
      <c r="W57" s="17"/>
      <c r="X57" s="17">
        <f t="shared" si="1"/>
        <v>9</v>
      </c>
      <c r="Y57" s="18">
        <f t="shared" si="2"/>
        <v>2140525.590318772</v>
      </c>
      <c r="Z57" s="24"/>
      <c r="AA57" s="20"/>
      <c r="AB57" s="21" t="b">
        <v>1</v>
      </c>
      <c r="AC57" s="22">
        <f t="shared" si="3"/>
        <v>2140525.590318772</v>
      </c>
      <c r="AD57" s="32"/>
      <c r="AE57" s="32"/>
    </row>
    <row r="58" spans="1:31" ht="12.75">
      <c r="A58" s="10">
        <f t="shared" si="0"/>
        <v>149934.74025974027</v>
      </c>
      <c r="B58" s="13"/>
      <c r="C58" s="13"/>
      <c r="D58" s="13">
        <v>0.5</v>
      </c>
      <c r="E58" s="13"/>
      <c r="F58" s="13"/>
      <c r="G58" s="13"/>
      <c r="H58" s="13"/>
      <c r="I58" s="13"/>
      <c r="J58" s="13"/>
      <c r="K58" s="13"/>
      <c r="L58" s="17"/>
      <c r="M58" s="17" t="s">
        <v>109</v>
      </c>
      <c r="N58" s="17"/>
      <c r="O58" s="17"/>
      <c r="P58" s="17"/>
      <c r="Q58" s="17"/>
      <c r="R58" s="17"/>
      <c r="S58" s="17"/>
      <c r="T58" s="17"/>
      <c r="U58" s="17"/>
      <c r="V58" s="17"/>
      <c r="W58" s="17"/>
      <c r="X58" s="17">
        <f t="shared" si="1"/>
        <v>9</v>
      </c>
      <c r="Y58" s="18">
        <f t="shared" si="2"/>
        <v>2140525.590318772</v>
      </c>
      <c r="Z58" s="24"/>
      <c r="AA58" s="20"/>
      <c r="AB58" s="21" t="b">
        <v>1</v>
      </c>
      <c r="AC58" s="22">
        <f t="shared" si="3"/>
        <v>0</v>
      </c>
      <c r="AD58" s="32"/>
      <c r="AE58" s="32"/>
    </row>
    <row r="59" spans="1:31" ht="12.75">
      <c r="A59" s="10">
        <f t="shared" si="0"/>
        <v>653437.76072412438</v>
      </c>
      <c r="B59" s="13"/>
      <c r="C59" s="13"/>
      <c r="D59" s="13">
        <v>1</v>
      </c>
      <c r="E59" s="13"/>
      <c r="F59" s="13">
        <v>1</v>
      </c>
      <c r="G59" s="13"/>
      <c r="H59" s="13"/>
      <c r="I59" s="13"/>
      <c r="J59" s="13"/>
      <c r="K59" s="13"/>
      <c r="L59" s="17"/>
      <c r="M59" s="17" t="s">
        <v>110</v>
      </c>
      <c r="N59" s="17"/>
      <c r="O59" s="17"/>
      <c r="P59" s="17"/>
      <c r="Q59" s="17"/>
      <c r="R59" s="17"/>
      <c r="S59" s="17"/>
      <c r="T59" s="17"/>
      <c r="U59" s="17"/>
      <c r="V59" s="17"/>
      <c r="W59" s="17"/>
      <c r="X59" s="17">
        <f t="shared" si="1"/>
        <v>9</v>
      </c>
      <c r="Y59" s="18">
        <f t="shared" si="2"/>
        <v>2140525.590318772</v>
      </c>
      <c r="Z59" s="24"/>
      <c r="AA59" s="20"/>
      <c r="AB59" s="21" t="b">
        <v>1</v>
      </c>
      <c r="AC59" s="22">
        <f t="shared" si="3"/>
        <v>0</v>
      </c>
      <c r="AD59" s="32"/>
      <c r="AE59" s="32"/>
    </row>
    <row r="60" spans="1:31" ht="12.75">
      <c r="A60" s="10">
        <f t="shared" si="0"/>
        <v>353568.28020464384</v>
      </c>
      <c r="B60" s="13"/>
      <c r="C60" s="13"/>
      <c r="D60" s="13"/>
      <c r="E60" s="13"/>
      <c r="F60" s="13">
        <v>1</v>
      </c>
      <c r="G60" s="13"/>
      <c r="H60" s="13"/>
      <c r="I60" s="13"/>
      <c r="J60" s="13"/>
      <c r="K60" s="13"/>
      <c r="L60" s="17"/>
      <c r="M60" s="17" t="s">
        <v>111</v>
      </c>
      <c r="N60" s="17"/>
      <c r="O60" s="17"/>
      <c r="P60" s="17"/>
      <c r="Q60" s="17"/>
      <c r="R60" s="17"/>
      <c r="S60" s="17"/>
      <c r="T60" s="17"/>
      <c r="U60" s="17"/>
      <c r="V60" s="17"/>
      <c r="W60" s="17"/>
      <c r="X60" s="17">
        <f t="shared" si="1"/>
        <v>9</v>
      </c>
      <c r="Y60" s="18">
        <f t="shared" si="2"/>
        <v>2140525.590318772</v>
      </c>
      <c r="Z60" s="24"/>
      <c r="AA60" s="20"/>
      <c r="AB60" s="21" t="b">
        <v>1</v>
      </c>
      <c r="AC60" s="22">
        <f t="shared" si="3"/>
        <v>0</v>
      </c>
      <c r="AD60" s="32"/>
      <c r="AE60" s="32"/>
    </row>
    <row r="61" spans="1:31" ht="12.75">
      <c r="A61" s="10">
        <f t="shared" si="0"/>
        <v>983584.80913026363</v>
      </c>
      <c r="B61" s="13"/>
      <c r="C61" s="13"/>
      <c r="D61" s="13"/>
      <c r="E61" s="13">
        <v>1.5</v>
      </c>
      <c r="F61" s="13">
        <v>1</v>
      </c>
      <c r="G61" s="13"/>
      <c r="H61" s="13"/>
      <c r="I61" s="13"/>
      <c r="J61" s="13"/>
      <c r="K61" s="13"/>
      <c r="L61" s="17"/>
      <c r="M61" s="17" t="s">
        <v>112</v>
      </c>
      <c r="N61" s="17"/>
      <c r="O61" s="17"/>
      <c r="P61" s="17"/>
      <c r="Q61" s="17"/>
      <c r="R61" s="17"/>
      <c r="S61" s="17"/>
      <c r="T61" s="17"/>
      <c r="U61" s="17"/>
      <c r="V61" s="17"/>
      <c r="W61" s="17"/>
      <c r="X61" s="17">
        <f t="shared" si="1"/>
        <v>9</v>
      </c>
      <c r="Y61" s="18">
        <f t="shared" si="2"/>
        <v>2140525.590318772</v>
      </c>
      <c r="Z61" s="24"/>
      <c r="AA61" s="20"/>
      <c r="AB61" s="21" t="b">
        <v>1</v>
      </c>
      <c r="AC61" s="22">
        <f t="shared" si="3"/>
        <v>0</v>
      </c>
      <c r="AD61" s="32"/>
      <c r="AE61" s="32"/>
    </row>
    <row r="62" spans="1:31" ht="15">
      <c r="A62" s="10">
        <f t="shared" si="0"/>
        <v>0</v>
      </c>
      <c r="B62" s="13"/>
      <c r="C62" s="13"/>
      <c r="D62" s="13"/>
      <c r="E62" s="13"/>
      <c r="F62" s="13"/>
      <c r="G62" s="13"/>
      <c r="H62" s="13"/>
      <c r="I62" s="13"/>
      <c r="J62" s="13"/>
      <c r="K62" s="13"/>
      <c r="L62" s="26" t="s">
        <v>113</v>
      </c>
      <c r="M62" s="17"/>
      <c r="N62" s="17"/>
      <c r="O62" s="17"/>
      <c r="P62" s="17"/>
      <c r="Q62" s="17"/>
      <c r="R62" s="17"/>
      <c r="S62" s="17"/>
      <c r="T62" s="17"/>
      <c r="U62" s="17"/>
      <c r="V62" s="17"/>
      <c r="W62" s="17"/>
      <c r="X62" s="17">
        <f t="shared" si="1"/>
        <v>10</v>
      </c>
      <c r="Y62" s="18">
        <f t="shared" si="2"/>
        <v>4200502.9811097998</v>
      </c>
      <c r="Z62" s="24"/>
      <c r="AA62" s="20"/>
      <c r="AB62" s="21" t="b">
        <v>1</v>
      </c>
      <c r="AC62" s="22">
        <f t="shared" si="3"/>
        <v>4200502.9811097998</v>
      </c>
      <c r="AD62" s="32"/>
      <c r="AE62" s="32"/>
    </row>
    <row r="63" spans="1:31" ht="12.75">
      <c r="A63" s="10">
        <f t="shared" si="0"/>
        <v>653437.76072412438</v>
      </c>
      <c r="B63" s="13"/>
      <c r="C63" s="13"/>
      <c r="D63" s="13">
        <v>1</v>
      </c>
      <c r="E63" s="13"/>
      <c r="F63" s="13">
        <v>1</v>
      </c>
      <c r="G63" s="13"/>
      <c r="H63" s="13"/>
      <c r="I63" s="13"/>
      <c r="J63" s="13"/>
      <c r="K63" s="13"/>
      <c r="L63" s="17"/>
      <c r="M63" s="17" t="s">
        <v>114</v>
      </c>
      <c r="N63" s="17"/>
      <c r="O63" s="17"/>
      <c r="P63" s="17"/>
      <c r="Q63" s="17"/>
      <c r="R63" s="17"/>
      <c r="S63" s="17"/>
      <c r="T63" s="17"/>
      <c r="U63" s="17"/>
      <c r="V63" s="17"/>
      <c r="W63" s="17"/>
      <c r="X63" s="17">
        <f t="shared" si="1"/>
        <v>10</v>
      </c>
      <c r="Y63" s="18">
        <f t="shared" si="2"/>
        <v>4200502.9811097998</v>
      </c>
      <c r="Z63" s="24"/>
      <c r="AA63" s="20"/>
      <c r="AB63" s="21" t="b">
        <v>1</v>
      </c>
      <c r="AC63" s="22">
        <f t="shared" si="3"/>
        <v>0</v>
      </c>
      <c r="AD63" s="32"/>
      <c r="AE63" s="32"/>
    </row>
    <row r="64" spans="1:31" ht="12.75">
      <c r="A64" s="10">
        <f t="shared" si="0"/>
        <v>980156.64108618652</v>
      </c>
      <c r="B64" s="13"/>
      <c r="C64" s="13"/>
      <c r="D64" s="13">
        <v>1.5</v>
      </c>
      <c r="E64" s="13"/>
      <c r="F64" s="13">
        <v>1.5</v>
      </c>
      <c r="G64" s="13"/>
      <c r="H64" s="13"/>
      <c r="I64" s="13"/>
      <c r="J64" s="13"/>
      <c r="K64" s="13"/>
      <c r="L64" s="17"/>
      <c r="M64" s="17" t="s">
        <v>115</v>
      </c>
      <c r="N64" s="17"/>
      <c r="O64" s="17"/>
      <c r="P64" s="17"/>
      <c r="Q64" s="17"/>
      <c r="R64" s="17"/>
      <c r="S64" s="17"/>
      <c r="T64" s="17"/>
      <c r="U64" s="17"/>
      <c r="V64" s="17"/>
      <c r="W64" s="17"/>
      <c r="X64" s="17">
        <f t="shared" si="1"/>
        <v>10</v>
      </c>
      <c r="Y64" s="18">
        <f t="shared" si="2"/>
        <v>4200502.9811097998</v>
      </c>
      <c r="Z64" s="24"/>
      <c r="AA64" s="20"/>
      <c r="AB64" s="21" t="b">
        <v>1</v>
      </c>
      <c r="AC64" s="22">
        <f t="shared" si="3"/>
        <v>0</v>
      </c>
      <c r="AD64" s="28"/>
      <c r="AE64" s="28"/>
    </row>
    <row r="65" spans="1:31" ht="12.75">
      <c r="A65" s="10">
        <f t="shared" si="0"/>
        <v>653437.76072412438</v>
      </c>
      <c r="B65" s="13"/>
      <c r="C65" s="13"/>
      <c r="D65" s="13">
        <v>1</v>
      </c>
      <c r="E65" s="13"/>
      <c r="F65" s="13">
        <v>1</v>
      </c>
      <c r="G65" s="13"/>
      <c r="H65" s="13"/>
      <c r="I65" s="13"/>
      <c r="J65" s="13"/>
      <c r="K65" s="13"/>
      <c r="L65" s="17"/>
      <c r="M65" s="17" t="s">
        <v>116</v>
      </c>
      <c r="N65" s="17"/>
      <c r="O65" s="17"/>
      <c r="P65" s="17"/>
      <c r="Q65" s="17"/>
      <c r="R65" s="17"/>
      <c r="S65" s="17"/>
      <c r="T65" s="17"/>
      <c r="U65" s="17"/>
      <c r="V65" s="17"/>
      <c r="W65" s="17"/>
      <c r="X65" s="17">
        <f t="shared" si="1"/>
        <v>10</v>
      </c>
      <c r="Y65" s="18">
        <f t="shared" si="2"/>
        <v>4200502.9811097998</v>
      </c>
      <c r="Z65" s="24"/>
      <c r="AA65" s="20"/>
      <c r="AB65" s="21" t="b">
        <v>1</v>
      </c>
      <c r="AC65" s="22">
        <f t="shared" si="3"/>
        <v>0</v>
      </c>
      <c r="AD65" s="32"/>
      <c r="AE65" s="32"/>
    </row>
    <row r="66" spans="1:31" ht="12.75">
      <c r="A66" s="10">
        <f t="shared" si="0"/>
        <v>719880.49980322714</v>
      </c>
      <c r="B66" s="13"/>
      <c r="C66" s="13"/>
      <c r="D66" s="13">
        <v>1</v>
      </c>
      <c r="E66" s="13">
        <v>1</v>
      </c>
      <c r="F66" s="13"/>
      <c r="G66" s="13"/>
      <c r="H66" s="13"/>
      <c r="I66" s="13"/>
      <c r="J66" s="13"/>
      <c r="K66" s="13"/>
      <c r="L66" s="17"/>
      <c r="M66" s="17" t="s">
        <v>117</v>
      </c>
      <c r="N66" s="17"/>
      <c r="O66" s="17"/>
      <c r="P66" s="17"/>
      <c r="Q66" s="17"/>
      <c r="R66" s="17"/>
      <c r="S66" s="17"/>
      <c r="T66" s="17"/>
      <c r="U66" s="17"/>
      <c r="V66" s="17"/>
      <c r="W66" s="17"/>
      <c r="X66" s="17">
        <f t="shared" si="1"/>
        <v>10</v>
      </c>
      <c r="Y66" s="18">
        <f t="shared" si="2"/>
        <v>4200502.9811097998</v>
      </c>
      <c r="Z66" s="24"/>
      <c r="AA66" s="20"/>
      <c r="AB66" s="21" t="b">
        <v>1</v>
      </c>
      <c r="AC66" s="22">
        <f t="shared" si="3"/>
        <v>0</v>
      </c>
      <c r="AD66" s="32"/>
      <c r="AE66" s="32"/>
    </row>
    <row r="67" spans="1:31" ht="12.75">
      <c r="A67" s="10">
        <f t="shared" si="0"/>
        <v>1193590.3187721369</v>
      </c>
      <c r="B67" s="13"/>
      <c r="C67" s="13"/>
      <c r="D67" s="13"/>
      <c r="E67" s="13">
        <v>2</v>
      </c>
      <c r="F67" s="13">
        <v>1</v>
      </c>
      <c r="G67" s="13"/>
      <c r="H67" s="13"/>
      <c r="I67" s="13"/>
      <c r="J67" s="13"/>
      <c r="K67" s="13"/>
      <c r="L67" s="17"/>
      <c r="M67" s="17" t="s">
        <v>118</v>
      </c>
      <c r="N67" s="17"/>
      <c r="O67" s="17"/>
      <c r="P67" s="17"/>
      <c r="Q67" s="17"/>
      <c r="R67" s="17"/>
      <c r="S67" s="17"/>
      <c r="T67" s="17"/>
      <c r="U67" s="17"/>
      <c r="V67" s="17"/>
      <c r="W67" s="17"/>
      <c r="X67" s="17">
        <f t="shared" si="1"/>
        <v>10</v>
      </c>
      <c r="Y67" s="18">
        <f t="shared" si="2"/>
        <v>4200502.9811097998</v>
      </c>
      <c r="Z67" s="24"/>
      <c r="AA67" s="20"/>
      <c r="AB67" s="21" t="b">
        <v>1</v>
      </c>
      <c r="AC67" s="22">
        <f t="shared" si="3"/>
        <v>0</v>
      </c>
      <c r="AD67" s="32"/>
      <c r="AE67" s="32"/>
    </row>
    <row r="68" spans="1:31" ht="15">
      <c r="A68" s="10">
        <f t="shared" si="0"/>
        <v>0</v>
      </c>
      <c r="B68" s="13"/>
      <c r="C68" s="13"/>
      <c r="D68" s="13"/>
      <c r="E68" s="13"/>
      <c r="F68" s="13"/>
      <c r="G68" s="13"/>
      <c r="H68" s="13"/>
      <c r="I68" s="13"/>
      <c r="J68" s="13"/>
      <c r="K68" s="13"/>
      <c r="L68" s="26" t="s">
        <v>119</v>
      </c>
      <c r="M68" s="17"/>
      <c r="N68" s="17"/>
      <c r="O68" s="17"/>
      <c r="P68" s="17"/>
      <c r="Q68" s="17"/>
      <c r="R68" s="17"/>
      <c r="S68" s="17"/>
      <c r="T68" s="17"/>
      <c r="U68" s="17"/>
      <c r="V68" s="17"/>
      <c r="W68" s="17"/>
      <c r="X68" s="17">
        <f t="shared" si="1"/>
        <v>11</v>
      </c>
      <c r="Y68" s="18">
        <f t="shared" si="2"/>
        <v>3493366.4207005119</v>
      </c>
      <c r="Z68" s="24"/>
      <c r="AA68" s="20"/>
      <c r="AB68" s="21" t="b">
        <v>1</v>
      </c>
      <c r="AC68" s="22">
        <f t="shared" si="3"/>
        <v>3493366.4207005119</v>
      </c>
      <c r="AD68" s="32"/>
      <c r="AE68" s="32"/>
    </row>
    <row r="69" spans="1:31" ht="12.75">
      <c r="A69" s="10">
        <f t="shared" si="0"/>
        <v>1130091.3813459268</v>
      </c>
      <c r="B69" s="13"/>
      <c r="C69" s="13"/>
      <c r="D69" s="13">
        <v>2</v>
      </c>
      <c r="E69" s="13"/>
      <c r="F69" s="13">
        <v>1.5</v>
      </c>
      <c r="G69" s="13"/>
      <c r="H69" s="13"/>
      <c r="I69" s="13"/>
      <c r="J69" s="13"/>
      <c r="K69" s="13"/>
      <c r="L69" s="17"/>
      <c r="M69" s="17" t="s">
        <v>120</v>
      </c>
      <c r="N69" s="17"/>
      <c r="O69" s="17"/>
      <c r="P69" s="17"/>
      <c r="Q69" s="17"/>
      <c r="R69" s="17"/>
      <c r="S69" s="17"/>
      <c r="T69" s="17"/>
      <c r="U69" s="17"/>
      <c r="V69" s="17"/>
      <c r="W69" s="17"/>
      <c r="X69" s="17">
        <f t="shared" si="1"/>
        <v>11</v>
      </c>
      <c r="Y69" s="18">
        <f t="shared" si="2"/>
        <v>3493366.4207005119</v>
      </c>
      <c r="Z69" s="24"/>
      <c r="AA69" s="20"/>
      <c r="AB69" s="21" t="b">
        <v>1</v>
      </c>
      <c r="AC69" s="22">
        <f t="shared" si="3"/>
        <v>0</v>
      </c>
      <c r="AD69" s="32"/>
      <c r="AE69" s="32"/>
    </row>
    <row r="70" spans="1:31" ht="12.75">
      <c r="A70" s="10">
        <f t="shared" si="0"/>
        <v>149934.74025974027</v>
      </c>
      <c r="B70" s="13"/>
      <c r="C70" s="13"/>
      <c r="D70" s="13">
        <v>0.5</v>
      </c>
      <c r="E70" s="13"/>
      <c r="F70" s="13"/>
      <c r="G70" s="13"/>
      <c r="H70" s="13"/>
      <c r="I70" s="13"/>
      <c r="J70" s="13"/>
      <c r="K70" s="13"/>
      <c r="L70" s="17"/>
      <c r="M70" s="17" t="s">
        <v>121</v>
      </c>
      <c r="N70" s="17"/>
      <c r="O70" s="17"/>
      <c r="P70" s="17"/>
      <c r="Q70" s="17"/>
      <c r="R70" s="17"/>
      <c r="S70" s="17"/>
      <c r="T70" s="17"/>
      <c r="U70" s="17"/>
      <c r="V70" s="17"/>
      <c r="W70" s="17"/>
      <c r="X70" s="17">
        <f t="shared" si="1"/>
        <v>11</v>
      </c>
      <c r="Y70" s="18">
        <f t="shared" si="2"/>
        <v>3493366.4207005119</v>
      </c>
      <c r="Z70" s="24"/>
      <c r="AA70" s="20"/>
      <c r="AB70" s="21" t="b">
        <v>1</v>
      </c>
      <c r="AC70" s="22">
        <f t="shared" si="3"/>
        <v>0</v>
      </c>
      <c r="AD70" s="32"/>
      <c r="AE70" s="32"/>
    </row>
    <row r="71" spans="1:31" ht="12.75">
      <c r="A71" s="10">
        <f t="shared" si="0"/>
        <v>420011.01928374654</v>
      </c>
      <c r="B71" s="13"/>
      <c r="C71" s="13"/>
      <c r="D71" s="13"/>
      <c r="E71" s="13">
        <v>1</v>
      </c>
      <c r="F71" s="13"/>
      <c r="G71" s="13"/>
      <c r="H71" s="13"/>
      <c r="I71" s="13"/>
      <c r="J71" s="13"/>
      <c r="K71" s="13"/>
      <c r="L71" s="17"/>
      <c r="M71" s="17" t="s">
        <v>122</v>
      </c>
      <c r="N71" s="17"/>
      <c r="O71" s="17"/>
      <c r="P71" s="17"/>
      <c r="Q71" s="17"/>
      <c r="R71" s="17"/>
      <c r="S71" s="17"/>
      <c r="T71" s="17"/>
      <c r="U71" s="17"/>
      <c r="V71" s="17"/>
      <c r="W71" s="17"/>
      <c r="X71" s="17">
        <f t="shared" si="1"/>
        <v>11</v>
      </c>
      <c r="Y71" s="18">
        <f t="shared" si="2"/>
        <v>3493366.4207005119</v>
      </c>
      <c r="Z71" s="24"/>
      <c r="AA71" s="20"/>
      <c r="AB71" s="21" t="b">
        <v>1</v>
      </c>
      <c r="AC71" s="22">
        <f t="shared" si="3"/>
        <v>0</v>
      </c>
      <c r="AD71" s="32"/>
      <c r="AE71" s="32"/>
    </row>
    <row r="72" spans="1:31" ht="12.75">
      <c r="A72" s="10">
        <f t="shared" si="0"/>
        <v>353568.28020464384</v>
      </c>
      <c r="B72" s="13"/>
      <c r="C72" s="13"/>
      <c r="D72" s="13"/>
      <c r="E72" s="13"/>
      <c r="F72" s="13">
        <v>1</v>
      </c>
      <c r="G72" s="13"/>
      <c r="H72" s="13"/>
      <c r="I72" s="13"/>
      <c r="J72" s="13"/>
      <c r="K72" s="13"/>
      <c r="L72" s="17"/>
      <c r="M72" s="17" t="s">
        <v>123</v>
      </c>
      <c r="N72" s="17"/>
      <c r="O72" s="17"/>
      <c r="P72" s="17"/>
      <c r="Q72" s="17"/>
      <c r="R72" s="17"/>
      <c r="S72" s="17"/>
      <c r="T72" s="17"/>
      <c r="U72" s="17"/>
      <c r="V72" s="17"/>
      <c r="W72" s="17"/>
      <c r="X72" s="17">
        <f t="shared" si="1"/>
        <v>11</v>
      </c>
      <c r="Y72" s="18">
        <f t="shared" si="2"/>
        <v>3493366.4207005119</v>
      </c>
      <c r="Z72" s="24"/>
      <c r="AA72" s="20"/>
      <c r="AB72" s="21" t="b">
        <v>1</v>
      </c>
      <c r="AC72" s="22">
        <f t="shared" si="3"/>
        <v>0</v>
      </c>
      <c r="AD72" s="32"/>
      <c r="AE72" s="32"/>
    </row>
    <row r="73" spans="1:31" ht="12.75">
      <c r="A73" s="10">
        <f t="shared" si="0"/>
        <v>299869.48051948054</v>
      </c>
      <c r="B73" s="13"/>
      <c r="C73" s="13"/>
      <c r="D73" s="13">
        <v>1</v>
      </c>
      <c r="E73" s="13"/>
      <c r="F73" s="13"/>
      <c r="G73" s="13"/>
      <c r="H73" s="13"/>
      <c r="I73" s="13"/>
      <c r="J73" s="13"/>
      <c r="K73" s="13"/>
      <c r="L73" s="17"/>
      <c r="M73" s="17" t="s">
        <v>124</v>
      </c>
      <c r="N73" s="17"/>
      <c r="O73" s="17"/>
      <c r="P73" s="17"/>
      <c r="Q73" s="17"/>
      <c r="R73" s="17"/>
      <c r="S73" s="17"/>
      <c r="T73" s="17"/>
      <c r="U73" s="17"/>
      <c r="V73" s="17"/>
      <c r="W73" s="17"/>
      <c r="X73" s="17">
        <f t="shared" si="1"/>
        <v>11</v>
      </c>
      <c r="Y73" s="18">
        <f t="shared" si="2"/>
        <v>3493366.4207005119</v>
      </c>
      <c r="Z73" s="24"/>
      <c r="AA73" s="20"/>
      <c r="AB73" s="21" t="b">
        <v>1</v>
      </c>
      <c r="AC73" s="22">
        <f t="shared" si="3"/>
        <v>0</v>
      </c>
      <c r="AD73" s="32"/>
      <c r="AE73" s="32"/>
    </row>
    <row r="74" spans="1:31" ht="12.75">
      <c r="A74" s="10">
        <f t="shared" si="0"/>
        <v>1139891.5190869737</v>
      </c>
      <c r="B74" s="13"/>
      <c r="C74" s="13"/>
      <c r="D74" s="13">
        <v>1</v>
      </c>
      <c r="E74" s="13">
        <v>2</v>
      </c>
      <c r="F74" s="13"/>
      <c r="G74" s="13"/>
      <c r="H74" s="13"/>
      <c r="I74" s="13"/>
      <c r="J74" s="13"/>
      <c r="K74" s="13"/>
      <c r="L74" s="17"/>
      <c r="M74" s="17" t="s">
        <v>125</v>
      </c>
      <c r="N74" s="17"/>
      <c r="O74" s="17"/>
      <c r="P74" s="17"/>
      <c r="Q74" s="17"/>
      <c r="R74" s="17"/>
      <c r="S74" s="17"/>
      <c r="T74" s="17"/>
      <c r="U74" s="17"/>
      <c r="V74" s="17"/>
      <c r="W74" s="17"/>
      <c r="X74" s="17">
        <f t="shared" si="1"/>
        <v>11</v>
      </c>
      <c r="Y74" s="18">
        <f t="shared" si="2"/>
        <v>3493366.4207005119</v>
      </c>
      <c r="Z74" s="24"/>
      <c r="AA74" s="20"/>
      <c r="AB74" s="21" t="b">
        <v>1</v>
      </c>
      <c r="AC74" s="22">
        <f t="shared" si="3"/>
        <v>0</v>
      </c>
      <c r="AD74" s="32"/>
      <c r="AE74" s="32"/>
    </row>
    <row r="75" spans="1:31" ht="15">
      <c r="A75" s="10">
        <f t="shared" si="0"/>
        <v>0</v>
      </c>
      <c r="B75" s="13"/>
      <c r="C75" s="13"/>
      <c r="D75" s="13"/>
      <c r="E75" s="13"/>
      <c r="F75" s="13"/>
      <c r="G75" s="13"/>
      <c r="H75" s="13"/>
      <c r="I75" s="13"/>
      <c r="J75" s="13"/>
      <c r="K75" s="13"/>
      <c r="L75" s="26" t="s">
        <v>126</v>
      </c>
      <c r="M75" s="17"/>
      <c r="N75" s="17"/>
      <c r="O75" s="17"/>
      <c r="P75" s="17"/>
      <c r="Q75" s="17"/>
      <c r="R75" s="17"/>
      <c r="S75" s="17"/>
      <c r="T75" s="17"/>
      <c r="U75" s="17"/>
      <c r="V75" s="17"/>
      <c r="W75" s="17"/>
      <c r="X75" s="17">
        <f t="shared" si="1"/>
        <v>12</v>
      </c>
      <c r="Y75" s="18">
        <f t="shared" si="2"/>
        <v>5306688.7642660374</v>
      </c>
      <c r="Z75" s="24"/>
      <c r="AA75" s="20"/>
      <c r="AB75" s="21" t="b">
        <v>1</v>
      </c>
      <c r="AC75" s="22">
        <f t="shared" si="3"/>
        <v>5306688.7642660374</v>
      </c>
      <c r="AD75" s="28"/>
      <c r="AE75" s="28"/>
    </row>
    <row r="76" spans="1:31" ht="12.75">
      <c r="A76" s="10">
        <f t="shared" si="0"/>
        <v>0</v>
      </c>
      <c r="B76" s="13"/>
      <c r="C76" s="13"/>
      <c r="D76" s="13"/>
      <c r="E76" s="13"/>
      <c r="F76" s="13"/>
      <c r="G76" s="13"/>
      <c r="H76" s="13"/>
      <c r="I76" s="13"/>
      <c r="J76" s="13"/>
      <c r="K76" s="13"/>
      <c r="L76" s="17"/>
      <c r="M76" s="86" t="s">
        <v>127</v>
      </c>
      <c r="N76" s="17"/>
      <c r="O76" s="17"/>
      <c r="P76" s="17"/>
      <c r="Q76" s="17"/>
      <c r="R76" s="17"/>
      <c r="S76" s="17"/>
      <c r="T76" s="17"/>
      <c r="U76" s="17"/>
      <c r="V76" s="17"/>
      <c r="W76" s="17"/>
      <c r="X76" s="17">
        <f t="shared" si="1"/>
        <v>12</v>
      </c>
      <c r="Y76" s="18">
        <f t="shared" si="2"/>
        <v>5306688.7642660374</v>
      </c>
      <c r="Z76" s="24"/>
      <c r="AA76" s="20"/>
      <c r="AB76" s="21" t="b">
        <v>1</v>
      </c>
      <c r="AC76" s="22">
        <f t="shared" si="3"/>
        <v>0</v>
      </c>
      <c r="AD76" s="28"/>
      <c r="AE76" s="28"/>
    </row>
    <row r="77" spans="1:31" ht="12.75">
      <c r="A77" s="10">
        <f t="shared" si="0"/>
        <v>1739630.4801259348</v>
      </c>
      <c r="B77" s="13"/>
      <c r="C77" s="13"/>
      <c r="D77" s="13">
        <v>3</v>
      </c>
      <c r="E77" s="13">
        <v>2</v>
      </c>
      <c r="F77" s="13"/>
      <c r="G77" s="13"/>
      <c r="H77" s="13"/>
      <c r="I77" s="13"/>
      <c r="J77" s="13"/>
      <c r="K77" s="13"/>
      <c r="L77" s="17"/>
      <c r="M77" s="17"/>
      <c r="N77" s="17" t="s">
        <v>128</v>
      </c>
      <c r="O77" s="17"/>
      <c r="P77" s="17"/>
      <c r="Q77" s="17"/>
      <c r="R77" s="17"/>
      <c r="S77" s="17"/>
      <c r="T77" s="17"/>
      <c r="U77" s="17"/>
      <c r="V77" s="17"/>
      <c r="W77" s="17"/>
      <c r="X77" s="17">
        <f t="shared" si="1"/>
        <v>12</v>
      </c>
      <c r="Y77" s="18">
        <f t="shared" si="2"/>
        <v>5306688.7642660374</v>
      </c>
      <c r="Z77" s="24"/>
      <c r="AA77" s="20"/>
      <c r="AB77" s="21" t="b">
        <v>1</v>
      </c>
      <c r="AC77" s="22">
        <f t="shared" si="3"/>
        <v>0</v>
      </c>
      <c r="AD77" s="28"/>
      <c r="AE77" s="28"/>
    </row>
    <row r="78" spans="1:31" ht="12.75">
      <c r="A78" s="10">
        <f t="shared" si="0"/>
        <v>299869.48051948054</v>
      </c>
      <c r="B78" s="13"/>
      <c r="C78" s="13"/>
      <c r="D78" s="13">
        <v>1</v>
      </c>
      <c r="E78" s="13"/>
      <c r="F78" s="13"/>
      <c r="G78" s="13"/>
      <c r="H78" s="13"/>
      <c r="I78" s="13"/>
      <c r="J78" s="13"/>
      <c r="K78" s="13"/>
      <c r="L78" s="17"/>
      <c r="M78" s="17"/>
      <c r="N78" s="17" t="s">
        <v>129</v>
      </c>
      <c r="O78" s="17"/>
      <c r="P78" s="17"/>
      <c r="Q78" s="17"/>
      <c r="R78" s="17"/>
      <c r="S78" s="17"/>
      <c r="T78" s="17"/>
      <c r="U78" s="17"/>
      <c r="V78" s="17"/>
      <c r="W78" s="17"/>
      <c r="X78" s="17">
        <f t="shared" si="1"/>
        <v>12</v>
      </c>
      <c r="Y78" s="18">
        <f t="shared" si="2"/>
        <v>5306688.7642660374</v>
      </c>
      <c r="Z78" s="24"/>
      <c r="AA78" s="20"/>
      <c r="AB78" s="21" t="b">
        <v>1</v>
      </c>
      <c r="AC78" s="22">
        <f t="shared" si="3"/>
        <v>0</v>
      </c>
      <c r="AD78" s="28"/>
      <c r="AE78" s="28"/>
    </row>
    <row r="79" spans="1:31" ht="12.75">
      <c r="A79" s="10">
        <f t="shared" si="0"/>
        <v>353568.28020464384</v>
      </c>
      <c r="B79" s="13"/>
      <c r="C79" s="13"/>
      <c r="D79" s="13"/>
      <c r="E79" s="13"/>
      <c r="F79" s="13">
        <v>1</v>
      </c>
      <c r="G79" s="13"/>
      <c r="H79" s="13"/>
      <c r="I79" s="13"/>
      <c r="J79" s="13"/>
      <c r="K79" s="13"/>
      <c r="L79" s="17"/>
      <c r="M79" s="17"/>
      <c r="N79" s="17" t="s">
        <v>130</v>
      </c>
      <c r="O79" s="17"/>
      <c r="P79" s="17"/>
      <c r="Q79" s="17"/>
      <c r="R79" s="17"/>
      <c r="S79" s="17"/>
      <c r="T79" s="17"/>
      <c r="U79" s="17"/>
      <c r="V79" s="17"/>
      <c r="W79" s="17"/>
      <c r="X79" s="17">
        <f t="shared" si="1"/>
        <v>12</v>
      </c>
      <c r="Y79" s="18">
        <f t="shared" si="2"/>
        <v>5306688.7642660374</v>
      </c>
      <c r="Z79" s="24"/>
      <c r="AA79" s="20"/>
      <c r="AB79" s="21" t="b">
        <v>1</v>
      </c>
      <c r="AC79" s="22">
        <f t="shared" si="3"/>
        <v>0</v>
      </c>
      <c r="AD79" s="28"/>
      <c r="AE79" s="28"/>
    </row>
    <row r="80" spans="1:31" ht="12.75">
      <c r="A80" s="10">
        <f t="shared" si="0"/>
        <v>299869.48051948054</v>
      </c>
      <c r="B80" s="13"/>
      <c r="C80" s="23"/>
      <c r="D80" s="13">
        <v>1</v>
      </c>
      <c r="E80" s="23"/>
      <c r="F80" s="13"/>
      <c r="G80" s="23"/>
      <c r="H80" s="23"/>
      <c r="I80" s="23"/>
      <c r="J80" s="23"/>
      <c r="K80" s="23"/>
      <c r="L80" s="17"/>
      <c r="M80" s="17"/>
      <c r="N80" s="17" t="s">
        <v>131</v>
      </c>
      <c r="O80" s="17"/>
      <c r="P80" s="17"/>
      <c r="Q80" s="17"/>
      <c r="R80" s="17"/>
      <c r="S80" s="17"/>
      <c r="T80" s="17"/>
      <c r="U80" s="17"/>
      <c r="V80" s="17"/>
      <c r="W80" s="17"/>
      <c r="X80" s="17">
        <f t="shared" si="1"/>
        <v>12</v>
      </c>
      <c r="Y80" s="18">
        <f t="shared" si="2"/>
        <v>5306688.7642660374</v>
      </c>
      <c r="Z80" s="24"/>
      <c r="AA80" s="20"/>
      <c r="AB80" s="21" t="b">
        <v>1</v>
      </c>
      <c r="AC80" s="22">
        <f t="shared" si="3"/>
        <v>0</v>
      </c>
      <c r="AD80" s="23"/>
      <c r="AE80" s="23"/>
    </row>
    <row r="81" spans="1:31" ht="12.75">
      <c r="A81" s="10">
        <f t="shared" si="0"/>
        <v>299869.48051948054</v>
      </c>
      <c r="B81" s="23"/>
      <c r="C81" s="23"/>
      <c r="D81" s="13">
        <v>1</v>
      </c>
      <c r="E81" s="23"/>
      <c r="F81" s="13"/>
      <c r="G81" s="23"/>
      <c r="H81" s="23"/>
      <c r="I81" s="23"/>
      <c r="J81" s="23"/>
      <c r="K81" s="23"/>
      <c r="L81" s="17"/>
      <c r="M81" s="17"/>
      <c r="N81" s="17" t="s">
        <v>132</v>
      </c>
      <c r="O81" s="17"/>
      <c r="P81" s="17"/>
      <c r="Q81" s="17"/>
      <c r="R81" s="17"/>
      <c r="S81" s="17"/>
      <c r="T81" s="17"/>
      <c r="U81" s="17"/>
      <c r="V81" s="17"/>
      <c r="W81" s="17"/>
      <c r="X81" s="17">
        <f t="shared" si="1"/>
        <v>12</v>
      </c>
      <c r="Y81" s="18">
        <f t="shared" si="2"/>
        <v>5306688.7642660374</v>
      </c>
      <c r="Z81" s="24"/>
      <c r="AA81" s="20"/>
      <c r="AB81" s="21" t="b">
        <v>1</v>
      </c>
      <c r="AC81" s="22">
        <f t="shared" si="3"/>
        <v>0</v>
      </c>
      <c r="AD81" s="23"/>
      <c r="AE81" s="23"/>
    </row>
    <row r="82" spans="1:31" ht="12.75">
      <c r="A82" s="10">
        <f t="shared" si="0"/>
        <v>653437.76072412438</v>
      </c>
      <c r="B82" s="23"/>
      <c r="C82" s="23"/>
      <c r="D82" s="13">
        <v>1</v>
      </c>
      <c r="E82" s="23"/>
      <c r="F82" s="13">
        <v>1</v>
      </c>
      <c r="G82" s="23"/>
      <c r="H82" s="23"/>
      <c r="I82" s="23"/>
      <c r="J82" s="23"/>
      <c r="K82" s="23"/>
      <c r="L82" s="17"/>
      <c r="M82" s="17"/>
      <c r="N82" s="17" t="s">
        <v>133</v>
      </c>
      <c r="O82" s="17"/>
      <c r="P82" s="17"/>
      <c r="Q82" s="17"/>
      <c r="R82" s="17"/>
      <c r="S82" s="17"/>
      <c r="T82" s="17"/>
      <c r="U82" s="17"/>
      <c r="V82" s="17"/>
      <c r="W82" s="17"/>
      <c r="X82" s="17">
        <f t="shared" si="1"/>
        <v>12</v>
      </c>
      <c r="Y82" s="18">
        <f t="shared" si="2"/>
        <v>5306688.7642660374</v>
      </c>
      <c r="Z82" s="24"/>
      <c r="AA82" s="20"/>
      <c r="AB82" s="21" t="b">
        <v>1</v>
      </c>
      <c r="AC82" s="22">
        <f t="shared" si="3"/>
        <v>0</v>
      </c>
      <c r="AD82" s="23"/>
      <c r="AE82" s="23"/>
    </row>
    <row r="83" spans="1:31" ht="12.75">
      <c r="A83" s="10">
        <f t="shared" si="0"/>
        <v>0</v>
      </c>
      <c r="B83" s="23"/>
      <c r="C83" s="23"/>
      <c r="D83" s="13"/>
      <c r="E83" s="23"/>
      <c r="F83" s="13"/>
      <c r="G83" s="23"/>
      <c r="H83" s="23"/>
      <c r="I83" s="23"/>
      <c r="J83" s="23"/>
      <c r="K83" s="23"/>
      <c r="L83" s="17"/>
      <c r="M83" s="86" t="s">
        <v>134</v>
      </c>
      <c r="N83" s="17"/>
      <c r="O83" s="17"/>
      <c r="P83" s="17"/>
      <c r="Q83" s="17"/>
      <c r="R83" s="17"/>
      <c r="S83" s="17"/>
      <c r="T83" s="17"/>
      <c r="U83" s="17"/>
      <c r="V83" s="17"/>
      <c r="W83" s="17"/>
      <c r="X83" s="17">
        <f t="shared" si="1"/>
        <v>12</v>
      </c>
      <c r="Y83" s="18">
        <f t="shared" si="2"/>
        <v>5306688.7642660374</v>
      </c>
      <c r="Z83" s="24"/>
      <c r="AA83" s="20"/>
      <c r="AB83" s="21" t="b">
        <v>1</v>
      </c>
      <c r="AC83" s="22">
        <f t="shared" si="3"/>
        <v>0</v>
      </c>
      <c r="AD83" s="23"/>
      <c r="AE83" s="23"/>
    </row>
    <row r="84" spans="1:31" ht="12.75">
      <c r="A84" s="10">
        <f t="shared" si="0"/>
        <v>653437.76072412438</v>
      </c>
      <c r="B84" s="23"/>
      <c r="C84" s="23"/>
      <c r="D84" s="13">
        <v>1</v>
      </c>
      <c r="E84" s="23"/>
      <c r="F84" s="13">
        <v>1</v>
      </c>
      <c r="G84" s="23"/>
      <c r="H84" s="23"/>
      <c r="I84" s="23"/>
      <c r="J84" s="23"/>
      <c r="K84" s="23"/>
      <c r="L84" s="17"/>
      <c r="M84" s="17"/>
      <c r="N84" s="17" t="s">
        <v>135</v>
      </c>
      <c r="O84" s="17"/>
      <c r="P84" s="17"/>
      <c r="Q84" s="17"/>
      <c r="R84" s="17"/>
      <c r="S84" s="17"/>
      <c r="T84" s="17"/>
      <c r="U84" s="17"/>
      <c r="V84" s="17"/>
      <c r="W84" s="17"/>
      <c r="X84" s="17">
        <f t="shared" si="1"/>
        <v>12</v>
      </c>
      <c r="Y84" s="18">
        <f t="shared" si="2"/>
        <v>5306688.7642660374</v>
      </c>
      <c r="Z84" s="24"/>
      <c r="AA84" s="20"/>
      <c r="AB84" s="21" t="b">
        <v>1</v>
      </c>
      <c r="AC84" s="22">
        <f t="shared" si="3"/>
        <v>0</v>
      </c>
      <c r="AD84" s="23"/>
      <c r="AE84" s="23"/>
    </row>
    <row r="85" spans="1:31" ht="12.75">
      <c r="A85" s="10">
        <f t="shared" si="0"/>
        <v>0</v>
      </c>
      <c r="B85" s="13"/>
      <c r="C85" s="13"/>
      <c r="D85" s="13"/>
      <c r="E85" s="13"/>
      <c r="F85" s="13"/>
      <c r="G85" s="13"/>
      <c r="H85" s="13"/>
      <c r="I85" s="13"/>
      <c r="J85" s="13"/>
      <c r="K85" s="13"/>
      <c r="L85" s="17"/>
      <c r="M85" s="17"/>
      <c r="N85" s="17" t="s">
        <v>136</v>
      </c>
      <c r="O85" s="17"/>
      <c r="P85" s="17"/>
      <c r="Q85" s="17"/>
      <c r="R85" s="17"/>
      <c r="S85" s="17"/>
      <c r="T85" s="17"/>
      <c r="U85" s="17"/>
      <c r="V85" s="17"/>
      <c r="W85" s="17"/>
      <c r="X85" s="17">
        <f t="shared" si="1"/>
        <v>12</v>
      </c>
      <c r="Y85" s="18">
        <f t="shared" si="2"/>
        <v>5306688.7642660374</v>
      </c>
      <c r="Z85" s="24"/>
      <c r="AA85" s="20"/>
      <c r="AB85" s="21" t="b">
        <v>1</v>
      </c>
      <c r="AC85" s="22">
        <f t="shared" si="3"/>
        <v>0</v>
      </c>
      <c r="AD85" s="32"/>
      <c r="AE85" s="32"/>
    </row>
    <row r="86" spans="1:31" ht="12.75">
      <c r="A86" s="10">
        <f t="shared" si="0"/>
        <v>353568.28020464384</v>
      </c>
      <c r="B86" s="13"/>
      <c r="C86" s="13"/>
      <c r="D86" s="13"/>
      <c r="E86" s="13"/>
      <c r="F86" s="13">
        <v>1</v>
      </c>
      <c r="G86" s="13"/>
      <c r="H86" s="13"/>
      <c r="I86" s="13"/>
      <c r="J86" s="13"/>
      <c r="K86" s="13"/>
      <c r="L86" s="17"/>
      <c r="M86" s="17"/>
      <c r="N86" s="17" t="s">
        <v>137</v>
      </c>
      <c r="O86" s="17"/>
      <c r="P86" s="17"/>
      <c r="Q86" s="17"/>
      <c r="R86" s="17"/>
      <c r="S86" s="17"/>
      <c r="T86" s="17"/>
      <c r="U86" s="17"/>
      <c r="V86" s="17"/>
      <c r="W86" s="17"/>
      <c r="X86" s="17">
        <f t="shared" si="1"/>
        <v>12</v>
      </c>
      <c r="Y86" s="18">
        <f t="shared" si="2"/>
        <v>5306688.7642660374</v>
      </c>
      <c r="Z86" s="19"/>
      <c r="AA86" s="30"/>
      <c r="AB86" s="21" t="b">
        <v>1</v>
      </c>
      <c r="AC86" s="22">
        <f t="shared" si="3"/>
        <v>0</v>
      </c>
      <c r="AD86" s="32"/>
      <c r="AE86" s="32"/>
    </row>
    <row r="87" spans="1:31" ht="12.75">
      <c r="A87" s="10">
        <f t="shared" si="0"/>
        <v>653437.76072412438</v>
      </c>
      <c r="B87" s="13"/>
      <c r="C87" s="13"/>
      <c r="D87" s="13">
        <v>1</v>
      </c>
      <c r="E87" s="13"/>
      <c r="F87" s="13">
        <v>1</v>
      </c>
      <c r="G87" s="13"/>
      <c r="H87" s="13"/>
      <c r="I87" s="13"/>
      <c r="J87" s="13"/>
      <c r="K87" s="13"/>
      <c r="L87" s="17"/>
      <c r="M87" s="17"/>
      <c r="N87" s="17" t="s">
        <v>138</v>
      </c>
      <c r="O87" s="17"/>
      <c r="P87" s="17"/>
      <c r="Q87" s="17"/>
      <c r="R87" s="17"/>
      <c r="S87" s="17"/>
      <c r="T87" s="17"/>
      <c r="U87" s="17"/>
      <c r="V87" s="17"/>
      <c r="W87" s="17"/>
      <c r="X87" s="17">
        <f t="shared" si="1"/>
        <v>12</v>
      </c>
      <c r="Y87" s="18">
        <f t="shared" si="2"/>
        <v>5306688.7642660374</v>
      </c>
      <c r="Z87" s="19"/>
      <c r="AA87" s="30"/>
      <c r="AB87" s="21" t="b">
        <v>1</v>
      </c>
      <c r="AC87" s="22">
        <f t="shared" si="3"/>
        <v>0</v>
      </c>
      <c r="AD87" s="32"/>
      <c r="AE87" s="32"/>
    </row>
    <row r="88" spans="1:31" ht="15">
      <c r="A88" s="10">
        <f t="shared" si="0"/>
        <v>0</v>
      </c>
      <c r="B88" s="13"/>
      <c r="C88" s="13"/>
      <c r="D88" s="13"/>
      <c r="E88" s="13"/>
      <c r="F88" s="13"/>
      <c r="G88" s="13"/>
      <c r="H88" s="13"/>
      <c r="I88" s="13"/>
      <c r="J88" s="13"/>
      <c r="K88" s="13"/>
      <c r="L88" s="26" t="s">
        <v>57</v>
      </c>
      <c r="M88" s="17"/>
      <c r="N88" s="17"/>
      <c r="O88" s="17"/>
      <c r="P88" s="17"/>
      <c r="Q88" s="17"/>
      <c r="R88" s="17"/>
      <c r="S88" s="17"/>
      <c r="T88" s="17"/>
      <c r="U88" s="17"/>
      <c r="V88" s="17"/>
      <c r="W88" s="17"/>
      <c r="X88" s="17">
        <f t="shared" si="1"/>
        <v>13</v>
      </c>
      <c r="Y88" s="18">
        <f t="shared" si="2"/>
        <v>2380324.3014561199</v>
      </c>
      <c r="Z88" s="19"/>
      <c r="AA88" s="30"/>
      <c r="AB88" s="21" t="b">
        <v>1</v>
      </c>
      <c r="AC88" s="22">
        <f t="shared" si="3"/>
        <v>2380324.3014561199</v>
      </c>
      <c r="AD88" s="32"/>
      <c r="AE88" s="32"/>
    </row>
    <row r="89" spans="1:31" ht="12.75">
      <c r="A89" s="10">
        <f t="shared" si="0"/>
        <v>653437.76072412438</v>
      </c>
      <c r="B89" s="13"/>
      <c r="C89" s="13"/>
      <c r="D89" s="13">
        <v>1</v>
      </c>
      <c r="E89" s="13"/>
      <c r="F89" s="13">
        <v>1</v>
      </c>
      <c r="G89" s="13"/>
      <c r="H89" s="13"/>
      <c r="I89" s="13"/>
      <c r="J89" s="13"/>
      <c r="K89" s="13"/>
      <c r="L89" s="17"/>
      <c r="M89" s="17" t="s">
        <v>139</v>
      </c>
      <c r="N89" s="17"/>
      <c r="O89" s="17"/>
      <c r="P89" s="17"/>
      <c r="Q89" s="17"/>
      <c r="R89" s="17"/>
      <c r="S89" s="17"/>
      <c r="T89" s="17"/>
      <c r="U89" s="17"/>
      <c r="V89" s="17"/>
      <c r="W89" s="17"/>
      <c r="X89" s="17">
        <f t="shared" si="1"/>
        <v>13</v>
      </c>
      <c r="Y89" s="18">
        <f t="shared" si="2"/>
        <v>2380324.3014561199</v>
      </c>
      <c r="Z89" s="19"/>
      <c r="AA89" s="30"/>
      <c r="AB89" s="21" t="b">
        <v>1</v>
      </c>
      <c r="AC89" s="22">
        <f t="shared" si="3"/>
        <v>0</v>
      </c>
      <c r="AD89" s="32"/>
      <c r="AE89" s="32"/>
    </row>
    <row r="90" spans="1:31" ht="12.75">
      <c r="A90" s="10">
        <f t="shared" si="0"/>
        <v>653437.76072412438</v>
      </c>
      <c r="B90" s="13"/>
      <c r="C90" s="13"/>
      <c r="D90" s="13">
        <v>1</v>
      </c>
      <c r="E90" s="13"/>
      <c r="F90" s="13">
        <v>1</v>
      </c>
      <c r="G90" s="13"/>
      <c r="H90" s="13"/>
      <c r="I90" s="13"/>
      <c r="J90" s="13"/>
      <c r="K90" s="13"/>
      <c r="L90" s="17"/>
      <c r="M90" s="17" t="s">
        <v>140</v>
      </c>
      <c r="N90" s="17"/>
      <c r="O90" s="17"/>
      <c r="P90" s="17"/>
      <c r="Q90" s="17"/>
      <c r="R90" s="17"/>
      <c r="S90" s="17"/>
      <c r="T90" s="17"/>
      <c r="U90" s="17"/>
      <c r="V90" s="17"/>
      <c r="W90" s="17"/>
      <c r="X90" s="17">
        <f t="shared" si="1"/>
        <v>13</v>
      </c>
      <c r="Y90" s="18">
        <f t="shared" si="2"/>
        <v>2380324.3014561199</v>
      </c>
      <c r="Z90" s="19"/>
      <c r="AA90" s="30"/>
      <c r="AB90" s="21" t="b">
        <v>1</v>
      </c>
      <c r="AC90" s="22">
        <f t="shared" si="3"/>
        <v>0</v>
      </c>
      <c r="AD90" s="32"/>
      <c r="AE90" s="32"/>
    </row>
    <row r="91" spans="1:31" ht="12.75">
      <c r="A91" s="10">
        <f t="shared" si="0"/>
        <v>719880.49980322714</v>
      </c>
      <c r="B91" s="13"/>
      <c r="C91" s="13"/>
      <c r="D91" s="13">
        <v>1</v>
      </c>
      <c r="E91" s="13">
        <v>1</v>
      </c>
      <c r="F91" s="13"/>
      <c r="G91" s="13"/>
      <c r="H91" s="13"/>
      <c r="I91" s="13"/>
      <c r="J91" s="13"/>
      <c r="K91" s="13"/>
      <c r="L91" s="17"/>
      <c r="M91" s="17" t="s">
        <v>56</v>
      </c>
      <c r="N91" s="17"/>
      <c r="O91" s="17"/>
      <c r="P91" s="17"/>
      <c r="Q91" s="17"/>
      <c r="R91" s="17"/>
      <c r="S91" s="17"/>
      <c r="T91" s="17"/>
      <c r="U91" s="17"/>
      <c r="V91" s="17"/>
      <c r="W91" s="17"/>
      <c r="X91" s="17">
        <f t="shared" si="1"/>
        <v>13</v>
      </c>
      <c r="Y91" s="18">
        <f t="shared" si="2"/>
        <v>2380324.3014561199</v>
      </c>
      <c r="Z91" s="19"/>
      <c r="AA91" s="30"/>
      <c r="AB91" s="21" t="b">
        <v>1</v>
      </c>
      <c r="AC91" s="22">
        <f t="shared" si="3"/>
        <v>0</v>
      </c>
      <c r="AD91" s="32"/>
      <c r="AE91" s="32"/>
    </row>
    <row r="92" spans="1:31" ht="12.75">
      <c r="A92" s="10">
        <f t="shared" si="0"/>
        <v>353568.28020464384</v>
      </c>
      <c r="B92" s="13"/>
      <c r="C92" s="13"/>
      <c r="D92" s="13"/>
      <c r="E92" s="13"/>
      <c r="F92" s="13">
        <v>1</v>
      </c>
      <c r="G92" s="13"/>
      <c r="H92" s="13"/>
      <c r="I92" s="13"/>
      <c r="J92" s="13"/>
      <c r="K92" s="13"/>
      <c r="L92" s="17"/>
      <c r="M92" s="17" t="s">
        <v>141</v>
      </c>
      <c r="N92" s="17"/>
      <c r="O92" s="17"/>
      <c r="P92" s="17"/>
      <c r="Q92" s="17"/>
      <c r="R92" s="17"/>
      <c r="S92" s="17"/>
      <c r="T92" s="17"/>
      <c r="U92" s="17"/>
      <c r="V92" s="17"/>
      <c r="W92" s="17"/>
      <c r="X92" s="17">
        <f t="shared" si="1"/>
        <v>13</v>
      </c>
      <c r="Y92" s="18">
        <f t="shared" si="2"/>
        <v>2380324.3014561199</v>
      </c>
      <c r="Z92" s="19"/>
      <c r="AA92" s="30"/>
      <c r="AB92" s="21" t="b">
        <v>1</v>
      </c>
      <c r="AC92" s="22">
        <f t="shared" si="3"/>
        <v>0</v>
      </c>
      <c r="AD92" s="32"/>
      <c r="AE92" s="32"/>
    </row>
    <row r="93" spans="1:31" ht="15">
      <c r="A93" s="10">
        <f t="shared" si="0"/>
        <v>0</v>
      </c>
      <c r="B93" s="13"/>
      <c r="C93" s="13"/>
      <c r="D93" s="13"/>
      <c r="E93" s="13"/>
      <c r="F93" s="13"/>
      <c r="G93" s="13"/>
      <c r="H93" s="13"/>
      <c r="I93" s="13"/>
      <c r="J93" s="13"/>
      <c r="K93" s="13"/>
      <c r="L93" s="26" t="s">
        <v>142</v>
      </c>
      <c r="M93" s="17"/>
      <c r="N93" s="17"/>
      <c r="O93" s="17"/>
      <c r="P93" s="17"/>
      <c r="Q93" s="17"/>
      <c r="R93" s="17"/>
      <c r="S93" s="17"/>
      <c r="T93" s="17"/>
      <c r="U93" s="17"/>
      <c r="V93" s="17"/>
      <c r="W93" s="17"/>
      <c r="X93" s="17">
        <f>COUNTIF($L$2:L95,"&lt;&gt;"&amp;"")</f>
        <v>14</v>
      </c>
      <c r="Y93" s="18">
        <f t="shared" si="2"/>
        <v>7593660.6847697757</v>
      </c>
      <c r="Z93" s="19"/>
      <c r="AA93" s="30"/>
      <c r="AB93" s="21" t="b">
        <v>1</v>
      </c>
      <c r="AC93" s="22">
        <f t="shared" si="3"/>
        <v>7593660.6847697757</v>
      </c>
      <c r="AD93" s="32"/>
      <c r="AE93" s="32"/>
    </row>
    <row r="94" spans="1:31" ht="12.75">
      <c r="A94" s="10">
        <f t="shared" si="0"/>
        <v>1822511.2357339631</v>
      </c>
      <c r="B94" s="13"/>
      <c r="C94" s="13"/>
      <c r="D94" s="13"/>
      <c r="E94" s="13">
        <v>2</v>
      </c>
      <c r="F94" s="13"/>
      <c r="G94" s="13"/>
      <c r="H94" s="13"/>
      <c r="I94" s="13"/>
      <c r="J94" s="13"/>
      <c r="K94" s="13">
        <v>3</v>
      </c>
      <c r="L94" s="17"/>
      <c r="M94" s="17" t="s">
        <v>143</v>
      </c>
      <c r="N94" s="17"/>
      <c r="O94" s="17"/>
      <c r="P94" s="17"/>
      <c r="Q94" s="17"/>
      <c r="R94" s="17"/>
      <c r="S94" s="17"/>
      <c r="T94" s="17"/>
      <c r="U94" s="17"/>
      <c r="V94" s="17"/>
      <c r="W94" s="17"/>
      <c r="X94" s="17">
        <f t="shared" ref="X94:X101" si="4">COUNTIF($L$2:L94,"&lt;&gt;"&amp;"")</f>
        <v>14</v>
      </c>
      <c r="Y94" s="18">
        <f t="shared" si="2"/>
        <v>7593660.6847697757</v>
      </c>
      <c r="Z94" s="19"/>
      <c r="AA94" s="30"/>
      <c r="AB94" s="21" t="b">
        <v>1</v>
      </c>
      <c r="AC94" s="22">
        <f t="shared" si="3"/>
        <v>0</v>
      </c>
      <c r="AD94" s="32"/>
      <c r="AE94" s="32"/>
    </row>
    <row r="95" spans="1:31" ht="12.75">
      <c r="A95" s="10">
        <f t="shared" si="0"/>
        <v>2897515.0531286895</v>
      </c>
      <c r="B95" s="13"/>
      <c r="C95" s="13"/>
      <c r="D95" s="13"/>
      <c r="E95" s="13">
        <v>3</v>
      </c>
      <c r="F95" s="13"/>
      <c r="G95" s="13"/>
      <c r="H95" s="13"/>
      <c r="I95" s="13"/>
      <c r="J95" s="13"/>
      <c r="K95" s="13">
        <v>5</v>
      </c>
      <c r="L95" s="17"/>
      <c r="M95" s="17" t="s">
        <v>144</v>
      </c>
      <c r="N95" s="17"/>
      <c r="O95" s="17"/>
      <c r="P95" s="17"/>
      <c r="Q95" s="17"/>
      <c r="R95" s="17"/>
      <c r="S95" s="17"/>
      <c r="T95" s="17"/>
      <c r="U95" s="17"/>
      <c r="V95" s="17"/>
      <c r="W95" s="17"/>
      <c r="X95" s="17">
        <f t="shared" si="4"/>
        <v>14</v>
      </c>
      <c r="Y95" s="18">
        <f t="shared" si="2"/>
        <v>7593660.6847697757</v>
      </c>
      <c r="Z95" s="19"/>
      <c r="AA95" s="30"/>
      <c r="AB95" s="21" t="b">
        <v>1</v>
      </c>
      <c r="AC95" s="22">
        <f t="shared" si="3"/>
        <v>0</v>
      </c>
      <c r="AD95" s="32"/>
      <c r="AE95" s="32"/>
    </row>
    <row r="96" spans="1:31" ht="12.75">
      <c r="A96" s="10">
        <f t="shared" si="0"/>
        <v>1260033.0578512396</v>
      </c>
      <c r="B96" s="13"/>
      <c r="C96" s="13"/>
      <c r="D96" s="13"/>
      <c r="E96" s="13">
        <v>3</v>
      </c>
      <c r="F96" s="13"/>
      <c r="G96" s="13"/>
      <c r="H96" s="13"/>
      <c r="I96" s="13"/>
      <c r="J96" s="13"/>
      <c r="K96" s="13"/>
      <c r="L96" s="17"/>
      <c r="M96" s="17" t="s">
        <v>145</v>
      </c>
      <c r="N96" s="17"/>
      <c r="O96" s="17"/>
      <c r="P96" s="17"/>
      <c r="Q96" s="17"/>
      <c r="R96" s="17"/>
      <c r="S96" s="17"/>
      <c r="T96" s="17"/>
      <c r="U96" s="17"/>
      <c r="V96" s="17"/>
      <c r="W96" s="17"/>
      <c r="X96" s="17">
        <f t="shared" si="4"/>
        <v>14</v>
      </c>
      <c r="Y96" s="18">
        <f t="shared" si="2"/>
        <v>7593660.6847697757</v>
      </c>
      <c r="Z96" s="19"/>
      <c r="AA96" s="30"/>
      <c r="AB96" s="21" t="b">
        <v>1</v>
      </c>
      <c r="AC96" s="22">
        <f t="shared" si="3"/>
        <v>0</v>
      </c>
      <c r="AD96" s="32"/>
      <c r="AE96" s="32"/>
    </row>
    <row r="97" spans="1:31" ht="12.75">
      <c r="A97" s="10">
        <f t="shared" si="0"/>
        <v>353568.28020464384</v>
      </c>
      <c r="B97" s="13"/>
      <c r="C97" s="13"/>
      <c r="D97" s="13"/>
      <c r="E97" s="13"/>
      <c r="F97" s="13">
        <v>1</v>
      </c>
      <c r="G97" s="13"/>
      <c r="H97" s="13"/>
      <c r="I97" s="13"/>
      <c r="J97" s="13"/>
      <c r="K97" s="13"/>
      <c r="L97" s="17"/>
      <c r="M97" s="17" t="s">
        <v>146</v>
      </c>
      <c r="N97" s="17"/>
      <c r="O97" s="17"/>
      <c r="P97" s="17"/>
      <c r="Q97" s="17"/>
      <c r="R97" s="17"/>
      <c r="S97" s="17"/>
      <c r="T97" s="17"/>
      <c r="U97" s="17"/>
      <c r="V97" s="17"/>
      <c r="W97" s="17"/>
      <c r="X97" s="17">
        <f t="shared" si="4"/>
        <v>14</v>
      </c>
      <c r="Y97" s="18">
        <f t="shared" si="2"/>
        <v>7593660.6847697757</v>
      </c>
      <c r="Z97" s="19"/>
      <c r="AA97" s="30"/>
      <c r="AB97" s="21" t="b">
        <v>1</v>
      </c>
      <c r="AC97" s="22">
        <f t="shared" si="3"/>
        <v>0</v>
      </c>
      <c r="AD97" s="32"/>
      <c r="AE97" s="32"/>
    </row>
    <row r="98" spans="1:31" ht="12.75">
      <c r="A98" s="10">
        <f t="shared" si="0"/>
        <v>1260033.0578512396</v>
      </c>
      <c r="B98" s="13"/>
      <c r="C98" s="13"/>
      <c r="D98" s="13"/>
      <c r="E98" s="13">
        <v>3</v>
      </c>
      <c r="F98" s="13"/>
      <c r="G98" s="13"/>
      <c r="H98" s="13"/>
      <c r="I98" s="13"/>
      <c r="J98" s="13"/>
      <c r="K98" s="13"/>
      <c r="L98" s="17"/>
      <c r="M98" s="17" t="s">
        <v>147</v>
      </c>
      <c r="N98" s="17"/>
      <c r="O98" s="17"/>
      <c r="P98" s="17"/>
      <c r="Q98" s="17"/>
      <c r="R98" s="17"/>
      <c r="S98" s="17"/>
      <c r="T98" s="17"/>
      <c r="U98" s="17"/>
      <c r="V98" s="17"/>
      <c r="W98" s="17"/>
      <c r="X98" s="17">
        <f t="shared" si="4"/>
        <v>14</v>
      </c>
      <c r="Y98" s="18">
        <f t="shared" si="2"/>
        <v>7593660.6847697757</v>
      </c>
      <c r="Z98" s="19"/>
      <c r="AA98" s="30"/>
      <c r="AB98" s="21" t="b">
        <v>1</v>
      </c>
      <c r="AC98" s="22">
        <f t="shared" si="3"/>
        <v>0</v>
      </c>
      <c r="AD98" s="32"/>
      <c r="AE98" s="32"/>
    </row>
    <row r="99" spans="1:31" ht="15">
      <c r="A99" s="10">
        <f t="shared" si="0"/>
        <v>0</v>
      </c>
      <c r="B99" s="13"/>
      <c r="C99" s="13"/>
      <c r="D99" s="13"/>
      <c r="E99" s="13"/>
      <c r="F99" s="13"/>
      <c r="G99" s="13"/>
      <c r="H99" s="13"/>
      <c r="I99" s="13"/>
      <c r="J99" s="13"/>
      <c r="K99" s="13"/>
      <c r="L99" s="26" t="s">
        <v>59</v>
      </c>
      <c r="M99" s="17"/>
      <c r="N99" s="17"/>
      <c r="O99" s="17"/>
      <c r="P99" s="17"/>
      <c r="Q99" s="17"/>
      <c r="R99" s="17"/>
      <c r="S99" s="17"/>
      <c r="T99" s="17"/>
      <c r="U99" s="17"/>
      <c r="V99" s="17"/>
      <c r="W99" s="17"/>
      <c r="X99" s="17">
        <f t="shared" si="4"/>
        <v>15</v>
      </c>
      <c r="Y99" s="18">
        <f t="shared" si="2"/>
        <v>3064604.5749704847</v>
      </c>
      <c r="Z99" s="19"/>
      <c r="AA99" s="30"/>
      <c r="AB99" s="21" t="b">
        <v>1</v>
      </c>
      <c r="AC99" s="22">
        <f t="shared" si="3"/>
        <v>3064604.5749704847</v>
      </c>
      <c r="AD99" s="32"/>
      <c r="AE99" s="32"/>
    </row>
    <row r="100" spans="1:31" ht="12.75">
      <c r="A100" s="10">
        <f t="shared" si="0"/>
        <v>1121340.554899646</v>
      </c>
      <c r="B100" s="13">
        <v>1.5</v>
      </c>
      <c r="C100" s="13"/>
      <c r="D100" s="13">
        <v>1</v>
      </c>
      <c r="E100" s="13"/>
      <c r="F100" s="13"/>
      <c r="G100" s="13"/>
      <c r="H100" s="13"/>
      <c r="I100" s="13"/>
      <c r="J100" s="13"/>
      <c r="K100" s="13"/>
      <c r="L100" s="17"/>
      <c r="M100" s="17" t="s">
        <v>148</v>
      </c>
      <c r="N100" s="17"/>
      <c r="O100" s="17"/>
      <c r="P100" s="17"/>
      <c r="Q100" s="17"/>
      <c r="R100" s="17"/>
      <c r="S100" s="17"/>
      <c r="T100" s="17"/>
      <c r="U100" s="17"/>
      <c r="V100" s="17"/>
      <c r="W100" s="17"/>
      <c r="X100" s="17">
        <f t="shared" si="4"/>
        <v>15</v>
      </c>
      <c r="Y100" s="18">
        <f t="shared" si="2"/>
        <v>3064604.5749704847</v>
      </c>
      <c r="Z100" s="19"/>
      <c r="AA100" s="30"/>
      <c r="AB100" s="21" t="b">
        <v>1</v>
      </c>
      <c r="AC100" s="22">
        <f t="shared" si="3"/>
        <v>0</v>
      </c>
      <c r="AD100" s="32"/>
      <c r="AE100" s="32"/>
    </row>
    <row r="101" spans="1:31" ht="12.75">
      <c r="A101" s="10">
        <f t="shared" si="0"/>
        <v>353568.28020464384</v>
      </c>
      <c r="B101" s="13"/>
      <c r="C101" s="13"/>
      <c r="D101" s="13"/>
      <c r="E101" s="13"/>
      <c r="F101" s="13">
        <v>1</v>
      </c>
      <c r="G101" s="13"/>
      <c r="H101" s="13"/>
      <c r="I101" s="13"/>
      <c r="J101" s="13"/>
      <c r="K101" s="13"/>
      <c r="L101" s="17"/>
      <c r="M101" s="17" t="s">
        <v>149</v>
      </c>
      <c r="N101" s="17"/>
      <c r="O101" s="17"/>
      <c r="P101" s="17"/>
      <c r="Q101" s="17"/>
      <c r="R101" s="17"/>
      <c r="S101" s="17"/>
      <c r="T101" s="17"/>
      <c r="U101" s="17"/>
      <c r="V101" s="17"/>
      <c r="W101" s="17"/>
      <c r="X101" s="17">
        <f t="shared" si="4"/>
        <v>15</v>
      </c>
      <c r="Y101" s="18">
        <f t="shared" si="2"/>
        <v>3064604.5749704847</v>
      </c>
      <c r="Z101" s="19"/>
      <c r="AA101" s="30"/>
      <c r="AB101" s="21" t="b">
        <v>1</v>
      </c>
      <c r="AC101" s="22">
        <f t="shared" si="3"/>
        <v>0</v>
      </c>
      <c r="AD101" s="23"/>
      <c r="AE101" s="23"/>
    </row>
    <row r="102" spans="1:31" ht="12.75">
      <c r="A102" s="10">
        <f t="shared" si="0"/>
        <v>1139891.5190869737</v>
      </c>
      <c r="B102" s="13"/>
      <c r="C102" s="13"/>
      <c r="D102" s="13">
        <v>1</v>
      </c>
      <c r="E102" s="13">
        <v>2</v>
      </c>
      <c r="F102" s="13"/>
      <c r="G102" s="13"/>
      <c r="H102" s="13"/>
      <c r="I102" s="13"/>
      <c r="J102" s="13"/>
      <c r="K102" s="13"/>
      <c r="L102" s="17"/>
      <c r="M102" s="17" t="s">
        <v>150</v>
      </c>
      <c r="N102" s="17"/>
      <c r="O102" s="17"/>
      <c r="P102" s="17"/>
      <c r="Q102" s="17"/>
      <c r="R102" s="17"/>
      <c r="S102" s="17"/>
      <c r="T102" s="17"/>
      <c r="U102" s="17"/>
      <c r="V102" s="17"/>
      <c r="W102" s="17"/>
      <c r="X102" s="17">
        <f>COUNTIF($L$2:L106,"&lt;&gt;"&amp;"")</f>
        <v>15</v>
      </c>
      <c r="Y102" s="18">
        <f t="shared" si="2"/>
        <v>3064604.5749704847</v>
      </c>
      <c r="Z102" s="19"/>
      <c r="AA102" s="30"/>
      <c r="AB102" s="21" t="b">
        <v>1</v>
      </c>
      <c r="AC102" s="22">
        <f t="shared" si="3"/>
        <v>0</v>
      </c>
      <c r="AD102" s="23"/>
      <c r="AE102" s="23"/>
    </row>
    <row r="103" spans="1:31" ht="12.75">
      <c r="A103" s="10">
        <f t="shared" si="0"/>
        <v>449804.22077922081</v>
      </c>
      <c r="B103" s="13"/>
      <c r="C103" s="13">
        <v>0.5</v>
      </c>
      <c r="D103" s="13">
        <v>1</v>
      </c>
      <c r="E103" s="13"/>
      <c r="F103" s="13"/>
      <c r="G103" s="13"/>
      <c r="H103" s="13"/>
      <c r="I103" s="13"/>
      <c r="J103" s="13"/>
      <c r="K103" s="13"/>
      <c r="L103" s="17"/>
      <c r="M103" s="17" t="s">
        <v>151</v>
      </c>
      <c r="N103" s="17"/>
      <c r="O103" s="17"/>
      <c r="P103" s="17"/>
      <c r="Q103" s="17"/>
      <c r="R103" s="17"/>
      <c r="S103" s="17"/>
      <c r="T103" s="17"/>
      <c r="U103" s="17"/>
      <c r="V103" s="17"/>
      <c r="W103" s="17"/>
      <c r="X103" s="17">
        <f t="shared" ref="X103:X119" si="5">COUNTIF($L$2:L103,"&lt;&gt;"&amp;"")</f>
        <v>15</v>
      </c>
      <c r="Y103" s="18">
        <f t="shared" si="2"/>
        <v>3064604.5749704847</v>
      </c>
      <c r="Z103" s="24"/>
      <c r="AA103" s="20"/>
      <c r="AB103" s="21" t="b">
        <v>1</v>
      </c>
      <c r="AC103" s="22">
        <f t="shared" si="3"/>
        <v>0</v>
      </c>
      <c r="AD103" s="32"/>
      <c r="AE103" s="32"/>
    </row>
    <row r="104" spans="1:31" ht="12.75">
      <c r="A104" s="10">
        <f t="shared" si="0"/>
        <v>0</v>
      </c>
      <c r="B104" s="13"/>
      <c r="C104" s="13"/>
      <c r="D104" s="13"/>
      <c r="E104" s="13"/>
      <c r="F104" s="13"/>
      <c r="G104" s="13"/>
      <c r="H104" s="13"/>
      <c r="I104" s="13"/>
      <c r="J104" s="13"/>
      <c r="K104" s="13"/>
      <c r="L104" s="17"/>
      <c r="M104" s="17"/>
      <c r="N104" s="17"/>
      <c r="O104" s="17"/>
      <c r="P104" s="17"/>
      <c r="Q104" s="17"/>
      <c r="R104" s="17"/>
      <c r="S104" s="17"/>
      <c r="T104" s="17"/>
      <c r="U104" s="17"/>
      <c r="V104" s="17"/>
      <c r="W104" s="17"/>
      <c r="X104" s="17">
        <f t="shared" si="5"/>
        <v>15</v>
      </c>
      <c r="Y104" s="18">
        <f t="shared" si="2"/>
        <v>3064604.5749704847</v>
      </c>
      <c r="Z104" s="24"/>
      <c r="AA104" s="20"/>
      <c r="AB104" s="21" t="b">
        <v>1</v>
      </c>
      <c r="AC104" s="22">
        <f t="shared" si="3"/>
        <v>0</v>
      </c>
      <c r="AD104" s="32"/>
      <c r="AE104" s="32"/>
    </row>
    <row r="105" spans="1:31" ht="12.75">
      <c r="A105" s="10">
        <f t="shared" si="0"/>
        <v>0</v>
      </c>
      <c r="B105" s="13"/>
      <c r="C105" s="13"/>
      <c r="D105" s="13"/>
      <c r="E105" s="13"/>
      <c r="F105" s="13"/>
      <c r="G105" s="13"/>
      <c r="H105" s="13"/>
      <c r="I105" s="13"/>
      <c r="J105" s="13"/>
      <c r="K105" s="13"/>
      <c r="L105" s="17"/>
      <c r="M105" s="17"/>
      <c r="N105" s="17"/>
      <c r="O105" s="17"/>
      <c r="P105" s="17"/>
      <c r="Q105" s="17"/>
      <c r="R105" s="17"/>
      <c r="S105" s="17"/>
      <c r="T105" s="17"/>
      <c r="U105" s="17"/>
      <c r="V105" s="17"/>
      <c r="W105" s="17"/>
      <c r="X105" s="17">
        <f t="shared" si="5"/>
        <v>15</v>
      </c>
      <c r="Y105" s="18">
        <f t="shared" si="2"/>
        <v>3064604.5749704847</v>
      </c>
      <c r="Z105" s="24"/>
      <c r="AA105" s="20"/>
      <c r="AB105" s="21" t="b">
        <v>1</v>
      </c>
      <c r="AC105" s="22">
        <f t="shared" si="3"/>
        <v>0</v>
      </c>
      <c r="AD105" s="32"/>
      <c r="AE105" s="32"/>
    </row>
    <row r="106" spans="1:31" ht="12.75">
      <c r="A106" s="10">
        <f t="shared" si="0"/>
        <v>0</v>
      </c>
      <c r="B106" s="13"/>
      <c r="C106" s="13"/>
      <c r="D106" s="13"/>
      <c r="E106" s="13"/>
      <c r="F106" s="13"/>
      <c r="G106" s="13"/>
      <c r="H106" s="13"/>
      <c r="I106" s="13"/>
      <c r="J106" s="13"/>
      <c r="K106" s="13"/>
      <c r="L106" s="17"/>
      <c r="M106" s="17"/>
      <c r="N106" s="17"/>
      <c r="O106" s="17"/>
      <c r="P106" s="17"/>
      <c r="Q106" s="17"/>
      <c r="R106" s="17"/>
      <c r="S106" s="17"/>
      <c r="T106" s="17"/>
      <c r="U106" s="17"/>
      <c r="V106" s="17"/>
      <c r="W106" s="17"/>
      <c r="X106" s="17">
        <f t="shared" si="5"/>
        <v>15</v>
      </c>
      <c r="Y106" s="18">
        <f t="shared" si="2"/>
        <v>3064604.5749704847</v>
      </c>
      <c r="Z106" s="24"/>
      <c r="AA106" s="20"/>
      <c r="AB106" s="21" t="b">
        <v>1</v>
      </c>
      <c r="AC106" s="22">
        <f t="shared" si="3"/>
        <v>0</v>
      </c>
      <c r="AD106" s="32"/>
      <c r="AE106" s="32"/>
    </row>
    <row r="107" spans="1:31" ht="12.75">
      <c r="A107" s="10">
        <f t="shared" si="0"/>
        <v>0</v>
      </c>
      <c r="B107" s="13"/>
      <c r="C107" s="13"/>
      <c r="D107" s="13"/>
      <c r="E107" s="13"/>
      <c r="F107" s="13"/>
      <c r="G107" s="13"/>
      <c r="H107" s="13"/>
      <c r="I107" s="13"/>
      <c r="J107" s="13"/>
      <c r="K107" s="13"/>
      <c r="L107" s="17"/>
      <c r="M107" s="17"/>
      <c r="N107" s="17"/>
      <c r="O107" s="17"/>
      <c r="P107" s="17"/>
      <c r="Q107" s="17"/>
      <c r="R107" s="17"/>
      <c r="S107" s="17"/>
      <c r="T107" s="17"/>
      <c r="U107" s="17"/>
      <c r="V107" s="17"/>
      <c r="W107" s="17"/>
      <c r="X107" s="17">
        <f t="shared" si="5"/>
        <v>15</v>
      </c>
      <c r="Y107" s="18">
        <f t="shared" si="2"/>
        <v>3064604.5749704847</v>
      </c>
      <c r="Z107" s="24"/>
      <c r="AA107" s="20"/>
      <c r="AB107" s="21" t="b">
        <v>1</v>
      </c>
      <c r="AC107" s="22">
        <f t="shared" si="3"/>
        <v>0</v>
      </c>
      <c r="AD107" s="23"/>
      <c r="AE107" s="23"/>
    </row>
    <row r="108" spans="1:31" ht="12.75">
      <c r="A108" s="10">
        <f t="shared" si="0"/>
        <v>0</v>
      </c>
      <c r="B108" s="13"/>
      <c r="C108" s="13"/>
      <c r="D108" s="13"/>
      <c r="E108" s="13"/>
      <c r="F108" s="13"/>
      <c r="G108" s="13"/>
      <c r="H108" s="13"/>
      <c r="I108" s="13"/>
      <c r="J108" s="13"/>
      <c r="K108" s="13"/>
      <c r="L108" s="17"/>
      <c r="M108" s="17"/>
      <c r="N108" s="17"/>
      <c r="O108" s="17"/>
      <c r="P108" s="17"/>
      <c r="Q108" s="17"/>
      <c r="R108" s="17"/>
      <c r="S108" s="17"/>
      <c r="T108" s="17"/>
      <c r="U108" s="17"/>
      <c r="V108" s="17"/>
      <c r="W108" s="17"/>
      <c r="X108" s="17">
        <f t="shared" si="5"/>
        <v>15</v>
      </c>
      <c r="Y108" s="18">
        <f t="shared" si="2"/>
        <v>3064604.5749704847</v>
      </c>
      <c r="Z108" s="24"/>
      <c r="AA108" s="20"/>
      <c r="AB108" s="21" t="b">
        <v>1</v>
      </c>
      <c r="AC108" s="22">
        <f t="shared" si="3"/>
        <v>0</v>
      </c>
      <c r="AD108" s="23"/>
      <c r="AE108" s="23"/>
    </row>
    <row r="109" spans="1:31" ht="12.75">
      <c r="A109" s="10">
        <f t="shared" si="0"/>
        <v>0</v>
      </c>
      <c r="B109" s="13"/>
      <c r="C109" s="13"/>
      <c r="D109" s="13"/>
      <c r="E109" s="13"/>
      <c r="F109" s="13"/>
      <c r="G109" s="13"/>
      <c r="H109" s="13"/>
      <c r="I109" s="13"/>
      <c r="J109" s="13"/>
      <c r="K109" s="13"/>
      <c r="L109" s="17"/>
      <c r="M109" s="17"/>
      <c r="N109" s="17"/>
      <c r="O109" s="17"/>
      <c r="P109" s="17"/>
      <c r="Q109" s="17"/>
      <c r="R109" s="17"/>
      <c r="S109" s="17"/>
      <c r="T109" s="17"/>
      <c r="U109" s="17"/>
      <c r="V109" s="17"/>
      <c r="W109" s="17"/>
      <c r="X109" s="17">
        <f t="shared" si="5"/>
        <v>15</v>
      </c>
      <c r="Y109" s="18">
        <f t="shared" si="2"/>
        <v>3064604.5749704847</v>
      </c>
      <c r="Z109" s="24"/>
      <c r="AA109" s="20"/>
      <c r="AB109" s="21" t="b">
        <v>1</v>
      </c>
      <c r="AC109" s="22">
        <f t="shared" si="3"/>
        <v>0</v>
      </c>
      <c r="AD109" s="23"/>
      <c r="AE109" s="23"/>
    </row>
    <row r="110" spans="1:31" ht="12.75">
      <c r="A110" s="10">
        <f t="shared" si="0"/>
        <v>0</v>
      </c>
      <c r="B110" s="13"/>
      <c r="C110" s="13"/>
      <c r="D110" s="13"/>
      <c r="E110" s="13"/>
      <c r="F110" s="13"/>
      <c r="G110" s="13"/>
      <c r="H110" s="13"/>
      <c r="I110" s="13"/>
      <c r="J110" s="13"/>
      <c r="K110" s="13"/>
      <c r="L110" s="17"/>
      <c r="M110" s="17"/>
      <c r="N110" s="17"/>
      <c r="O110" s="17"/>
      <c r="P110" s="17"/>
      <c r="Q110" s="17"/>
      <c r="R110" s="17"/>
      <c r="S110" s="17"/>
      <c r="T110" s="17"/>
      <c r="U110" s="17"/>
      <c r="V110" s="17"/>
      <c r="W110" s="17"/>
      <c r="X110" s="17">
        <f t="shared" si="5"/>
        <v>15</v>
      </c>
      <c r="Y110" s="18">
        <f t="shared" si="2"/>
        <v>3064604.5749704847</v>
      </c>
      <c r="Z110" s="24"/>
      <c r="AA110" s="20"/>
      <c r="AB110" s="21" t="b">
        <v>1</v>
      </c>
      <c r="AC110" s="22">
        <f t="shared" si="3"/>
        <v>0</v>
      </c>
      <c r="AD110" s="23"/>
      <c r="AE110" s="23"/>
    </row>
    <row r="111" spans="1:31" ht="12.75">
      <c r="A111" s="10">
        <f t="shared" si="0"/>
        <v>0</v>
      </c>
      <c r="B111" s="13"/>
      <c r="C111" s="13"/>
      <c r="D111" s="13"/>
      <c r="E111" s="13"/>
      <c r="F111" s="13"/>
      <c r="G111" s="13"/>
      <c r="H111" s="13"/>
      <c r="I111" s="13"/>
      <c r="J111" s="13"/>
      <c r="K111" s="13"/>
      <c r="L111" s="17"/>
      <c r="M111" s="17"/>
      <c r="N111" s="17"/>
      <c r="O111" s="17"/>
      <c r="P111" s="17"/>
      <c r="Q111" s="17"/>
      <c r="R111" s="17"/>
      <c r="S111" s="17"/>
      <c r="T111" s="17"/>
      <c r="U111" s="17"/>
      <c r="V111" s="17"/>
      <c r="W111" s="17"/>
      <c r="X111" s="17">
        <f t="shared" si="5"/>
        <v>15</v>
      </c>
      <c r="Y111" s="18">
        <f t="shared" si="2"/>
        <v>3064604.5749704847</v>
      </c>
      <c r="Z111" s="24"/>
      <c r="AA111" s="20"/>
      <c r="AB111" s="21" t="b">
        <v>1</v>
      </c>
      <c r="AC111" s="22">
        <f t="shared" si="3"/>
        <v>0</v>
      </c>
      <c r="AD111" s="23"/>
      <c r="AE111" s="23"/>
    </row>
    <row r="112" spans="1:31" ht="15">
      <c r="A112" s="10">
        <f t="shared" si="0"/>
        <v>0</v>
      </c>
      <c r="B112" s="23"/>
      <c r="C112" s="23"/>
      <c r="D112" s="23"/>
      <c r="E112" s="23"/>
      <c r="F112" s="23"/>
      <c r="G112" s="23"/>
      <c r="H112" s="23"/>
      <c r="I112" s="23"/>
      <c r="J112" s="23"/>
      <c r="K112" s="23"/>
      <c r="L112" s="27"/>
      <c r="M112" s="16"/>
      <c r="N112" s="16"/>
      <c r="O112" s="16"/>
      <c r="P112" s="16"/>
      <c r="Q112" s="16"/>
      <c r="R112" s="17"/>
      <c r="S112" s="17"/>
      <c r="T112" s="17"/>
      <c r="U112" s="17"/>
      <c r="V112" s="17"/>
      <c r="W112" s="17"/>
      <c r="X112" s="17">
        <f t="shared" si="5"/>
        <v>15</v>
      </c>
      <c r="Y112" s="18">
        <f t="shared" si="2"/>
        <v>3064604.5749704847</v>
      </c>
      <c r="Z112" s="24"/>
      <c r="AA112" s="20"/>
      <c r="AB112" s="21" t="b">
        <v>1</v>
      </c>
      <c r="AC112" s="22">
        <f t="shared" si="3"/>
        <v>0</v>
      </c>
      <c r="AD112" s="23"/>
      <c r="AE112" s="23"/>
    </row>
    <row r="113" spans="1:31" ht="15">
      <c r="A113" s="10">
        <f t="shared" si="0"/>
        <v>0</v>
      </c>
      <c r="B113" s="23"/>
      <c r="C113" s="23"/>
      <c r="D113" s="23"/>
      <c r="E113" s="23"/>
      <c r="F113" s="23"/>
      <c r="G113" s="23"/>
      <c r="H113" s="23"/>
      <c r="I113" s="23"/>
      <c r="J113" s="23"/>
      <c r="K113" s="23"/>
      <c r="L113" s="27"/>
      <c r="M113" s="16"/>
      <c r="N113" s="16"/>
      <c r="O113" s="16"/>
      <c r="P113" s="16"/>
      <c r="Q113" s="16"/>
      <c r="R113" s="17"/>
      <c r="S113" s="17"/>
      <c r="T113" s="17"/>
      <c r="U113" s="17"/>
      <c r="V113" s="17"/>
      <c r="W113" s="17"/>
      <c r="X113" s="17">
        <f t="shared" si="5"/>
        <v>15</v>
      </c>
      <c r="Y113" s="18">
        <f t="shared" si="2"/>
        <v>3064604.5749704847</v>
      </c>
      <c r="Z113" s="24"/>
      <c r="AA113" s="20"/>
      <c r="AB113" s="21" t="b">
        <v>1</v>
      </c>
      <c r="AC113" s="22">
        <f t="shared" si="3"/>
        <v>0</v>
      </c>
      <c r="AD113" s="23"/>
      <c r="AE113" s="23"/>
    </row>
    <row r="114" spans="1:31" ht="15">
      <c r="A114" s="10">
        <f t="shared" si="0"/>
        <v>0</v>
      </c>
      <c r="B114" s="13"/>
      <c r="C114" s="13"/>
      <c r="D114" s="13"/>
      <c r="E114" s="13"/>
      <c r="F114" s="13"/>
      <c r="G114" s="13"/>
      <c r="H114" s="13"/>
      <c r="I114" s="13"/>
      <c r="J114" s="13"/>
      <c r="K114" s="13"/>
      <c r="L114" s="27"/>
      <c r="M114" s="16"/>
      <c r="N114" s="16"/>
      <c r="O114" s="16"/>
      <c r="P114" s="16"/>
      <c r="Q114" s="16"/>
      <c r="R114" s="17"/>
      <c r="S114" s="17"/>
      <c r="T114" s="17"/>
      <c r="U114" s="17"/>
      <c r="V114" s="17"/>
      <c r="W114" s="17"/>
      <c r="X114" s="17">
        <f t="shared" si="5"/>
        <v>15</v>
      </c>
      <c r="Y114" s="18">
        <f t="shared" si="2"/>
        <v>3064604.5749704847</v>
      </c>
      <c r="Z114" s="24"/>
      <c r="AA114" s="20"/>
      <c r="AB114" s="21" t="b">
        <v>1</v>
      </c>
      <c r="AC114" s="22">
        <f t="shared" si="3"/>
        <v>0</v>
      </c>
      <c r="AD114" s="23"/>
      <c r="AE114" s="23"/>
    </row>
    <row r="115" spans="1:31" ht="15">
      <c r="A115" s="10">
        <f t="shared" si="0"/>
        <v>0</v>
      </c>
      <c r="B115" s="23"/>
      <c r="C115" s="23"/>
      <c r="D115" s="23"/>
      <c r="E115" s="23"/>
      <c r="F115" s="23"/>
      <c r="G115" s="23"/>
      <c r="H115" s="23"/>
      <c r="I115" s="23"/>
      <c r="J115" s="23"/>
      <c r="K115" s="23"/>
      <c r="L115" s="27"/>
      <c r="M115" s="16"/>
      <c r="N115" s="16"/>
      <c r="O115" s="16"/>
      <c r="P115" s="16"/>
      <c r="Q115" s="16"/>
      <c r="R115" s="17"/>
      <c r="S115" s="17"/>
      <c r="T115" s="17"/>
      <c r="U115" s="17"/>
      <c r="V115" s="17"/>
      <c r="W115" s="17"/>
      <c r="X115" s="17">
        <f t="shared" si="5"/>
        <v>15</v>
      </c>
      <c r="Y115" s="18">
        <f t="shared" si="2"/>
        <v>3064604.5749704847</v>
      </c>
      <c r="Z115" s="24"/>
      <c r="AA115" s="20"/>
      <c r="AB115" s="21" t="b">
        <v>1</v>
      </c>
      <c r="AC115" s="22">
        <f t="shared" si="3"/>
        <v>0</v>
      </c>
      <c r="AD115" s="23"/>
      <c r="AE115" s="23"/>
    </row>
    <row r="116" spans="1:31" ht="15">
      <c r="A116" s="10">
        <f t="shared" si="0"/>
        <v>0</v>
      </c>
      <c r="B116" s="23"/>
      <c r="C116" s="23"/>
      <c r="D116" s="23"/>
      <c r="E116" s="23"/>
      <c r="F116" s="23"/>
      <c r="G116" s="23"/>
      <c r="H116" s="23"/>
      <c r="I116" s="23"/>
      <c r="J116" s="23"/>
      <c r="K116" s="23"/>
      <c r="L116" s="27"/>
      <c r="M116" s="16"/>
      <c r="N116" s="16"/>
      <c r="O116" s="16"/>
      <c r="P116" s="16"/>
      <c r="Q116" s="16"/>
      <c r="R116" s="17"/>
      <c r="S116" s="17"/>
      <c r="T116" s="17"/>
      <c r="U116" s="17"/>
      <c r="V116" s="17"/>
      <c r="W116" s="17"/>
      <c r="X116" s="17">
        <f t="shared" si="5"/>
        <v>15</v>
      </c>
      <c r="Y116" s="18">
        <f t="shared" si="2"/>
        <v>3064604.5749704847</v>
      </c>
      <c r="Z116" s="24"/>
      <c r="AA116" s="20"/>
      <c r="AB116" s="21" t="b">
        <v>1</v>
      </c>
      <c r="AC116" s="22">
        <f t="shared" si="3"/>
        <v>0</v>
      </c>
      <c r="AD116" s="23"/>
      <c r="AE116" s="23"/>
    </row>
    <row r="117" spans="1:31" ht="15">
      <c r="A117" s="10">
        <f t="shared" si="0"/>
        <v>0</v>
      </c>
      <c r="B117" s="13"/>
      <c r="C117" s="23"/>
      <c r="D117" s="23"/>
      <c r="E117" s="13"/>
      <c r="F117" s="23"/>
      <c r="G117" s="23"/>
      <c r="H117" s="23"/>
      <c r="I117" s="23"/>
      <c r="J117" s="23"/>
      <c r="K117" s="23"/>
      <c r="L117" s="27"/>
      <c r="M117" s="16"/>
      <c r="N117" s="16"/>
      <c r="O117" s="16"/>
      <c r="P117" s="16"/>
      <c r="Q117" s="16"/>
      <c r="R117" s="17"/>
      <c r="S117" s="17"/>
      <c r="T117" s="17"/>
      <c r="U117" s="17"/>
      <c r="V117" s="17"/>
      <c r="W117" s="17"/>
      <c r="X117" s="17">
        <f t="shared" si="5"/>
        <v>15</v>
      </c>
      <c r="Y117" s="18">
        <f t="shared" si="2"/>
        <v>3064604.5749704847</v>
      </c>
      <c r="Z117" s="24"/>
      <c r="AA117" s="20"/>
      <c r="AB117" s="21" t="b">
        <v>1</v>
      </c>
      <c r="AC117" s="22">
        <f t="shared" si="3"/>
        <v>0</v>
      </c>
      <c r="AD117" s="23"/>
      <c r="AE117" s="23"/>
    </row>
    <row r="118" spans="1:31" ht="15">
      <c r="A118" s="10">
        <f t="shared" si="0"/>
        <v>0</v>
      </c>
      <c r="B118" s="23"/>
      <c r="C118" s="23"/>
      <c r="D118" s="23"/>
      <c r="E118" s="23"/>
      <c r="F118" s="23"/>
      <c r="G118" s="23"/>
      <c r="H118" s="23"/>
      <c r="I118" s="23"/>
      <c r="J118" s="23"/>
      <c r="K118" s="23"/>
      <c r="L118" s="27"/>
      <c r="M118" s="16"/>
      <c r="N118" s="16"/>
      <c r="O118" s="17"/>
      <c r="P118" s="17"/>
      <c r="Q118" s="17"/>
      <c r="R118" s="17"/>
      <c r="S118" s="17"/>
      <c r="T118" s="17"/>
      <c r="U118" s="17"/>
      <c r="V118" s="17"/>
      <c r="W118" s="17"/>
      <c r="X118" s="17">
        <f t="shared" si="5"/>
        <v>15</v>
      </c>
      <c r="Y118" s="18">
        <f t="shared" si="2"/>
        <v>3064604.5749704847</v>
      </c>
      <c r="Z118" s="24"/>
      <c r="AA118" s="20"/>
      <c r="AB118" s="21" t="b">
        <v>1</v>
      </c>
      <c r="AC118" s="22">
        <f t="shared" si="3"/>
        <v>0</v>
      </c>
      <c r="AD118" s="23"/>
      <c r="AE118" s="23"/>
    </row>
    <row r="119" spans="1:31" ht="15">
      <c r="A119" s="10">
        <f t="shared" si="0"/>
        <v>0</v>
      </c>
      <c r="B119" s="23"/>
      <c r="C119" s="23"/>
      <c r="D119" s="23"/>
      <c r="E119" s="23"/>
      <c r="F119" s="23"/>
      <c r="G119" s="23"/>
      <c r="H119" s="23"/>
      <c r="I119" s="23"/>
      <c r="J119" s="23"/>
      <c r="K119" s="23"/>
      <c r="L119" s="27"/>
      <c r="M119" s="16"/>
      <c r="N119" s="16"/>
      <c r="O119" s="17"/>
      <c r="P119" s="17"/>
      <c r="Q119" s="17"/>
      <c r="R119" s="17"/>
      <c r="S119" s="17"/>
      <c r="T119" s="17"/>
      <c r="U119" s="17"/>
      <c r="V119" s="17"/>
      <c r="W119" s="17"/>
      <c r="X119" s="17">
        <f t="shared" si="5"/>
        <v>15</v>
      </c>
      <c r="Y119" s="18">
        <f t="shared" si="2"/>
        <v>3064604.5749704847</v>
      </c>
      <c r="Z119" s="24"/>
      <c r="AA119" s="20"/>
      <c r="AB119" s="21" t="b">
        <v>1</v>
      </c>
      <c r="AC119" s="22">
        <f t="shared" si="3"/>
        <v>0</v>
      </c>
      <c r="AD119" s="23"/>
      <c r="AE119" s="23"/>
    </row>
    <row r="120" spans="1:31" ht="12.75">
      <c r="A120" s="33"/>
      <c r="B120" s="33"/>
      <c r="C120" s="33"/>
      <c r="D120" s="33"/>
      <c r="E120" s="33"/>
      <c r="F120" s="33"/>
      <c r="G120" s="33"/>
      <c r="H120" s="33"/>
      <c r="I120" s="33"/>
      <c r="J120" s="33"/>
      <c r="K120" s="33"/>
      <c r="L120" s="34"/>
      <c r="M120" s="34"/>
      <c r="N120" s="35"/>
      <c r="O120" s="35" t="s">
        <v>20</v>
      </c>
      <c r="P120" s="34"/>
      <c r="Q120" s="34"/>
      <c r="R120" s="34"/>
      <c r="S120" s="34"/>
      <c r="T120" s="34"/>
      <c r="U120" s="34"/>
      <c r="V120" s="34"/>
      <c r="W120" s="34"/>
      <c r="X120" s="34"/>
      <c r="Y120" s="34"/>
      <c r="Z120" s="34"/>
      <c r="AA120" s="34"/>
      <c r="AB120" s="34"/>
      <c r="AC120" s="34"/>
      <c r="AD120" s="23"/>
      <c r="AE120" s="23"/>
    </row>
    <row r="121" spans="1:31" ht="15">
      <c r="A121" s="36">
        <f>ROW()</f>
        <v>121</v>
      </c>
      <c r="B121" s="23">
        <f t="shared" ref="B121:K121" si="6">SUM(B2:B120)</f>
        <v>9</v>
      </c>
      <c r="C121" s="23">
        <f t="shared" si="6"/>
        <v>5.5</v>
      </c>
      <c r="D121" s="23">
        <f t="shared" si="6"/>
        <v>52</v>
      </c>
      <c r="E121" s="23">
        <f t="shared" si="6"/>
        <v>37.5</v>
      </c>
      <c r="F121" s="23">
        <f t="shared" si="6"/>
        <v>47.5</v>
      </c>
      <c r="G121" s="23">
        <f t="shared" si="6"/>
        <v>10</v>
      </c>
      <c r="H121" s="23">
        <f t="shared" si="6"/>
        <v>2</v>
      </c>
      <c r="I121" s="23">
        <f t="shared" si="6"/>
        <v>0</v>
      </c>
      <c r="J121" s="23">
        <f t="shared" si="6"/>
        <v>0</v>
      </c>
      <c r="K121" s="23">
        <f t="shared" si="6"/>
        <v>36</v>
      </c>
      <c r="L121" s="27"/>
      <c r="M121" s="16"/>
      <c r="N121" s="16"/>
      <c r="O121" s="17"/>
      <c r="P121" s="23"/>
      <c r="Q121" s="23"/>
      <c r="R121" s="23"/>
      <c r="S121" s="23"/>
      <c r="T121" s="23"/>
      <c r="U121" s="23"/>
      <c r="V121" s="23"/>
      <c r="W121" s="13"/>
      <c r="X121" s="23"/>
      <c r="Y121" s="23"/>
      <c r="Z121" s="23"/>
      <c r="AA121" s="23"/>
      <c r="AB121" s="23"/>
      <c r="AC121" s="37"/>
      <c r="AD121" s="23"/>
      <c r="AE121" s="23"/>
    </row>
    <row r="122" spans="1:31" ht="12.75">
      <c r="A122" s="23"/>
      <c r="B122" s="23"/>
      <c r="C122" s="38"/>
      <c r="D122" s="38"/>
      <c r="E122" s="38"/>
      <c r="F122" s="38"/>
      <c r="G122" s="38"/>
      <c r="H122" s="38"/>
      <c r="I122" s="130" t="s">
        <v>21</v>
      </c>
      <c r="J122" s="117"/>
      <c r="K122" s="117"/>
      <c r="L122" s="117"/>
      <c r="M122" s="131">
        <f>400000+120000</f>
        <v>520000</v>
      </c>
      <c r="N122" s="117"/>
      <c r="O122" s="117"/>
      <c r="P122" s="23"/>
      <c r="Q122" s="23"/>
      <c r="R122" s="23"/>
      <c r="S122" s="38"/>
      <c r="T122" s="38"/>
      <c r="U122" s="38"/>
      <c r="V122" s="23"/>
      <c r="W122" s="23"/>
      <c r="X122" s="23"/>
      <c r="Y122" s="13"/>
      <c r="Z122" s="13"/>
      <c r="AA122" s="23"/>
      <c r="AB122" s="23"/>
      <c r="AC122" s="37"/>
      <c r="AD122" s="23"/>
      <c r="AE122" s="23"/>
    </row>
    <row r="123" spans="1:31" ht="15">
      <c r="A123" s="23"/>
      <c r="B123" s="23"/>
      <c r="C123" s="38"/>
      <c r="D123" s="39" t="s">
        <v>22</v>
      </c>
      <c r="E123" s="40">
        <v>1750905</v>
      </c>
      <c r="F123" s="41" t="s">
        <v>23</v>
      </c>
      <c r="G123" s="42">
        <v>249095</v>
      </c>
      <c r="H123" s="38"/>
      <c r="I123" s="43" t="s">
        <v>24</v>
      </c>
      <c r="J123" s="44">
        <v>0.18</v>
      </c>
      <c r="K123" s="44"/>
      <c r="L123" s="45" t="s">
        <v>25</v>
      </c>
      <c r="M123" s="46">
        <f>2.7/12</f>
        <v>0.22500000000000001</v>
      </c>
      <c r="N123" s="47" t="s">
        <v>26</v>
      </c>
      <c r="O123" s="48">
        <f>40*4.2*((244-2)/260)</f>
        <v>156.36923076923077</v>
      </c>
      <c r="P123" s="38"/>
      <c r="Q123" s="43" t="s">
        <v>27</v>
      </c>
      <c r="R123" s="49">
        <v>0</v>
      </c>
      <c r="S123" s="38"/>
      <c r="T123" s="50">
        <v>8</v>
      </c>
      <c r="U123" s="51" t="s">
        <v>28</v>
      </c>
      <c r="V123" s="52"/>
      <c r="W123" s="23"/>
      <c r="X123" s="23"/>
      <c r="Y123" s="23"/>
      <c r="Z123" s="23"/>
      <c r="AA123" s="23"/>
      <c r="AB123" s="23"/>
      <c r="AC123" s="37"/>
      <c r="AD123" s="23"/>
      <c r="AE123" s="23"/>
    </row>
    <row r="124" spans="1:31" ht="12.75">
      <c r="A124" s="23"/>
      <c r="B124" s="23"/>
      <c r="C124" s="127" t="s">
        <v>29</v>
      </c>
      <c r="D124" s="117"/>
      <c r="E124" s="117"/>
      <c r="F124" s="127" t="s">
        <v>30</v>
      </c>
      <c r="G124" s="117"/>
      <c r="H124" s="117"/>
      <c r="I124" s="127" t="s">
        <v>31</v>
      </c>
      <c r="J124" s="117"/>
      <c r="K124" s="117"/>
      <c r="L124" s="117"/>
      <c r="M124" s="127" t="s">
        <v>32</v>
      </c>
      <c r="N124" s="117"/>
      <c r="O124" s="117"/>
      <c r="P124" s="127" t="s">
        <v>33</v>
      </c>
      <c r="Q124" s="117"/>
      <c r="R124" s="117"/>
      <c r="S124" s="38"/>
      <c r="T124" s="38"/>
      <c r="U124" s="53" t="s">
        <v>26</v>
      </c>
      <c r="V124" s="127" t="s">
        <v>34</v>
      </c>
      <c r="W124" s="117"/>
      <c r="X124" s="117"/>
      <c r="Y124" s="23"/>
      <c r="Z124" s="23"/>
      <c r="AA124" s="23"/>
      <c r="AB124" s="23"/>
      <c r="AC124" s="37">
        <f>AC1/0.6</f>
        <v>116663153.89282434</v>
      </c>
      <c r="AD124" s="23"/>
      <c r="AE124" s="23"/>
    </row>
    <row r="125" spans="1:31" ht="12.75">
      <c r="A125" s="54" t="s">
        <v>35</v>
      </c>
      <c r="B125" s="53" t="str">
        <f>B1</f>
        <v>DB</v>
      </c>
      <c r="C125" s="116">
        <v>6480000</v>
      </c>
      <c r="D125" s="117"/>
      <c r="E125" s="117"/>
      <c r="F125" s="116">
        <v>1080000</v>
      </c>
      <c r="G125" s="117"/>
      <c r="H125" s="117"/>
      <c r="I125" s="116">
        <v>0</v>
      </c>
      <c r="J125" s="117"/>
      <c r="K125" s="117"/>
      <c r="L125" s="117"/>
      <c r="M125" s="116">
        <f t="shared" ref="M125:M134" si="7">C125*(1+$J$123+$M$123)+F125+I125+$M$122+IF(($E$123*2)&gt;=C125,$G$123,0)</f>
        <v>10704400</v>
      </c>
      <c r="N125" s="117"/>
      <c r="O125" s="117"/>
      <c r="P125" s="124">
        <f t="shared" ref="P125:P134" si="8">M125/$O$123*(1+$R$123)</f>
        <v>68455.922865013781</v>
      </c>
      <c r="Q125" s="117"/>
      <c r="R125" s="117"/>
      <c r="S125" s="38"/>
      <c r="T125" s="38"/>
      <c r="U125" s="23">
        <f t="shared" ref="U125:U134" si="9">HLOOKUP(B125,$B$1:$K$121,$A$121,0)*$T$123</f>
        <v>72</v>
      </c>
      <c r="W125" s="55">
        <f t="shared" ref="W125:W134" si="10">P125*U125</f>
        <v>4928826.4462809926</v>
      </c>
      <c r="Y125" s="23"/>
      <c r="Z125" s="23"/>
      <c r="AA125" s="23"/>
      <c r="AB125" s="23"/>
      <c r="AC125" s="37"/>
      <c r="AD125" s="23"/>
      <c r="AE125" s="23"/>
    </row>
    <row r="126" spans="1:31" ht="12.75">
      <c r="A126" s="54" t="s">
        <v>36</v>
      </c>
      <c r="B126" s="53" t="str">
        <f>C1</f>
        <v>UX</v>
      </c>
      <c r="C126" s="116">
        <v>3240000</v>
      </c>
      <c r="D126" s="117"/>
      <c r="E126" s="117"/>
      <c r="F126" s="116">
        <v>540000</v>
      </c>
      <c r="G126" s="117"/>
      <c r="H126" s="117"/>
      <c r="I126" s="116">
        <v>0</v>
      </c>
      <c r="J126" s="117"/>
      <c r="K126" s="117"/>
      <c r="L126" s="117"/>
      <c r="M126" s="116">
        <f t="shared" si="7"/>
        <v>5861295</v>
      </c>
      <c r="N126" s="117"/>
      <c r="O126" s="117"/>
      <c r="P126" s="124">
        <f t="shared" si="8"/>
        <v>37483.685064935067</v>
      </c>
      <c r="Q126" s="117"/>
      <c r="R126" s="117"/>
      <c r="S126" s="38"/>
      <c r="T126" s="38"/>
      <c r="U126" s="23">
        <f t="shared" si="9"/>
        <v>44</v>
      </c>
      <c r="W126" s="55">
        <f t="shared" si="10"/>
        <v>1649282.142857143</v>
      </c>
      <c r="Y126" s="23"/>
      <c r="Z126" s="23"/>
      <c r="AA126" s="23"/>
      <c r="AB126" s="23"/>
      <c r="AC126" s="37"/>
      <c r="AD126" s="23"/>
      <c r="AE126" s="23"/>
    </row>
    <row r="127" spans="1:31" ht="12.75">
      <c r="A127" s="54" t="s">
        <v>37</v>
      </c>
      <c r="B127" s="53" t="str">
        <f>D1</f>
        <v>FM</v>
      </c>
      <c r="C127" s="116">
        <v>3240000</v>
      </c>
      <c r="D127" s="117"/>
      <c r="E127" s="117"/>
      <c r="F127" s="116">
        <v>540000</v>
      </c>
      <c r="G127" s="117"/>
      <c r="H127" s="117"/>
      <c r="I127" s="116">
        <v>0</v>
      </c>
      <c r="J127" s="117"/>
      <c r="K127" s="117"/>
      <c r="L127" s="117"/>
      <c r="M127" s="116">
        <f t="shared" si="7"/>
        <v>5861295</v>
      </c>
      <c r="N127" s="117"/>
      <c r="O127" s="117"/>
      <c r="P127" s="124">
        <f t="shared" si="8"/>
        <v>37483.685064935067</v>
      </c>
      <c r="Q127" s="117"/>
      <c r="R127" s="117"/>
      <c r="S127" s="38"/>
      <c r="T127" s="38"/>
      <c r="U127" s="23">
        <f t="shared" si="9"/>
        <v>416</v>
      </c>
      <c r="W127" s="55">
        <f t="shared" si="10"/>
        <v>15593212.987012988</v>
      </c>
      <c r="Y127" s="23"/>
      <c r="Z127" s="23"/>
      <c r="AA127" s="23"/>
      <c r="AB127" s="23"/>
      <c r="AC127" s="37"/>
      <c r="AD127" s="23"/>
      <c r="AE127" s="23"/>
    </row>
    <row r="128" spans="1:31" ht="12.75">
      <c r="A128" s="54" t="s">
        <v>38</v>
      </c>
      <c r="B128" s="53" t="str">
        <f>E1</f>
        <v>BS</v>
      </c>
      <c r="C128" s="116">
        <v>4320000</v>
      </c>
      <c r="D128" s="117"/>
      <c r="E128" s="117"/>
      <c r="F128" s="116">
        <v>1620000</v>
      </c>
      <c r="G128" s="117"/>
      <c r="H128" s="117"/>
      <c r="I128" s="116">
        <v>0</v>
      </c>
      <c r="J128" s="117"/>
      <c r="K128" s="117"/>
      <c r="L128" s="117"/>
      <c r="M128" s="116">
        <f t="shared" si="7"/>
        <v>8209600</v>
      </c>
      <c r="N128" s="117"/>
      <c r="O128" s="117"/>
      <c r="P128" s="124">
        <f t="shared" si="8"/>
        <v>52501.377410468318</v>
      </c>
      <c r="Q128" s="117"/>
      <c r="R128" s="117"/>
      <c r="S128" s="38"/>
      <c r="T128" s="38"/>
      <c r="U128" s="23">
        <f t="shared" si="9"/>
        <v>300</v>
      </c>
      <c r="W128" s="55">
        <f t="shared" si="10"/>
        <v>15750413.223140495</v>
      </c>
      <c r="Y128" s="23"/>
      <c r="Z128" s="23"/>
      <c r="AA128" s="23"/>
      <c r="AB128" s="23"/>
      <c r="AC128" s="37"/>
      <c r="AD128" s="23"/>
      <c r="AE128" s="23"/>
    </row>
    <row r="129" spans="1:31" ht="12.75">
      <c r="A129" s="54" t="s">
        <v>39</v>
      </c>
      <c r="B129" s="53" t="str">
        <f>F1</f>
        <v>BM</v>
      </c>
      <c r="C129" s="116">
        <v>3780000</v>
      </c>
      <c r="D129" s="117"/>
      <c r="E129" s="117"/>
      <c r="F129" s="116">
        <v>1080000</v>
      </c>
      <c r="G129" s="117"/>
      <c r="H129" s="117"/>
      <c r="I129" s="116">
        <v>0</v>
      </c>
      <c r="J129" s="117"/>
      <c r="K129" s="117"/>
      <c r="L129" s="117"/>
      <c r="M129" s="116">
        <f t="shared" si="7"/>
        <v>6910900</v>
      </c>
      <c r="N129" s="117"/>
      <c r="O129" s="117"/>
      <c r="P129" s="124">
        <f t="shared" si="8"/>
        <v>44196.035025580481</v>
      </c>
      <c r="Q129" s="117"/>
      <c r="R129" s="117"/>
      <c r="S129" s="38"/>
      <c r="T129" s="38"/>
      <c r="U129" s="23">
        <f t="shared" si="9"/>
        <v>380</v>
      </c>
      <c r="W129" s="55">
        <f t="shared" si="10"/>
        <v>16794493.309720583</v>
      </c>
      <c r="Y129" s="23"/>
      <c r="Z129" s="23"/>
      <c r="AA129" s="23"/>
      <c r="AB129" s="23"/>
      <c r="AC129" s="37"/>
      <c r="AD129" s="23"/>
      <c r="AE129" s="23"/>
    </row>
    <row r="130" spans="1:31" ht="12.75">
      <c r="A130" s="54" t="s">
        <v>40</v>
      </c>
      <c r="B130" s="53" t="str">
        <f>G1</f>
        <v>QA</v>
      </c>
      <c r="C130" s="116">
        <v>2700000</v>
      </c>
      <c r="D130" s="117"/>
      <c r="E130" s="117"/>
      <c r="F130" s="116">
        <v>1080000</v>
      </c>
      <c r="G130" s="117"/>
      <c r="H130" s="117"/>
      <c r="I130" s="116">
        <v>54000</v>
      </c>
      <c r="J130" s="117"/>
      <c r="K130" s="117"/>
      <c r="L130" s="117"/>
      <c r="M130" s="116">
        <f t="shared" si="7"/>
        <v>5696595</v>
      </c>
      <c r="N130" s="117"/>
      <c r="O130" s="117"/>
      <c r="P130" s="124">
        <f t="shared" si="8"/>
        <v>36430.408795749703</v>
      </c>
      <c r="Q130" s="117"/>
      <c r="R130" s="117"/>
      <c r="S130" s="38"/>
      <c r="T130" s="38"/>
      <c r="U130" s="23">
        <f t="shared" si="9"/>
        <v>80</v>
      </c>
      <c r="W130" s="55">
        <f t="shared" si="10"/>
        <v>2914432.7036599764</v>
      </c>
      <c r="Y130" s="23"/>
      <c r="Z130" s="23"/>
      <c r="AA130" s="23"/>
      <c r="AB130" s="23"/>
      <c r="AC130" s="37"/>
      <c r="AD130" s="23"/>
      <c r="AE130" s="23"/>
    </row>
    <row r="131" spans="1:31" ht="12.75">
      <c r="A131" s="54" t="s">
        <v>41</v>
      </c>
      <c r="B131" s="53" t="str">
        <f>H1</f>
        <v>IM</v>
      </c>
      <c r="C131" s="116">
        <v>2700000</v>
      </c>
      <c r="D131" s="117"/>
      <c r="E131" s="117"/>
      <c r="F131" s="116">
        <v>1080000</v>
      </c>
      <c r="G131" s="117"/>
      <c r="H131" s="117"/>
      <c r="I131" s="116">
        <v>0</v>
      </c>
      <c r="J131" s="117"/>
      <c r="K131" s="117"/>
      <c r="L131" s="117"/>
      <c r="M131" s="116">
        <f t="shared" si="7"/>
        <v>5642595</v>
      </c>
      <c r="N131" s="117"/>
      <c r="O131" s="117"/>
      <c r="P131" s="124">
        <f t="shared" si="8"/>
        <v>36085.07231404959</v>
      </c>
      <c r="Q131" s="117"/>
      <c r="R131" s="117"/>
      <c r="S131" s="38"/>
      <c r="T131" s="38"/>
      <c r="U131" s="23">
        <f t="shared" si="9"/>
        <v>16</v>
      </c>
      <c r="W131" s="55">
        <f t="shared" si="10"/>
        <v>577361.15702479344</v>
      </c>
      <c r="Y131" s="23"/>
      <c r="Z131" s="23"/>
      <c r="AA131" s="23"/>
      <c r="AB131" s="23"/>
      <c r="AC131" s="37"/>
      <c r="AD131" s="23"/>
      <c r="AE131" s="23"/>
    </row>
    <row r="132" spans="1:31" ht="12.75">
      <c r="A132" s="54" t="s">
        <v>42</v>
      </c>
      <c r="B132" s="53" t="str">
        <f>I1</f>
        <v>MS</v>
      </c>
      <c r="C132" s="116">
        <v>8100000</v>
      </c>
      <c r="D132" s="117"/>
      <c r="E132" s="117"/>
      <c r="F132" s="116">
        <v>2160000</v>
      </c>
      <c r="G132" s="117"/>
      <c r="H132" s="117"/>
      <c r="I132" s="116">
        <v>132000</v>
      </c>
      <c r="J132" s="117"/>
      <c r="K132" s="117"/>
      <c r="L132" s="117"/>
      <c r="M132" s="116">
        <f t="shared" si="7"/>
        <v>14192500</v>
      </c>
      <c r="N132" s="117"/>
      <c r="O132" s="117"/>
      <c r="P132" s="124">
        <f t="shared" si="8"/>
        <v>90762.741046831958</v>
      </c>
      <c r="Q132" s="117"/>
      <c r="R132" s="117"/>
      <c r="S132" s="38"/>
      <c r="T132" s="38"/>
      <c r="U132" s="23">
        <f t="shared" si="9"/>
        <v>0</v>
      </c>
      <c r="W132" s="55">
        <f t="shared" si="10"/>
        <v>0</v>
      </c>
      <c r="Y132" s="23"/>
      <c r="Z132" s="23"/>
      <c r="AA132" s="23"/>
      <c r="AB132" s="23"/>
      <c r="AC132" s="37"/>
      <c r="AD132" s="23"/>
      <c r="AE132" s="23"/>
    </row>
    <row r="133" spans="1:31" ht="12.75">
      <c r="A133" s="54" t="s">
        <v>43</v>
      </c>
      <c r="B133" s="53" t="str">
        <f>J1</f>
        <v>MM</v>
      </c>
      <c r="C133" s="116">
        <v>3240000</v>
      </c>
      <c r="D133" s="117"/>
      <c r="E133" s="117"/>
      <c r="F133" s="116">
        <v>1080000</v>
      </c>
      <c r="G133" s="117"/>
      <c r="H133" s="117"/>
      <c r="I133" s="116">
        <v>132000</v>
      </c>
      <c r="J133" s="117"/>
      <c r="K133" s="117"/>
      <c r="L133" s="117"/>
      <c r="M133" s="116">
        <f t="shared" si="7"/>
        <v>6533295</v>
      </c>
      <c r="N133" s="117"/>
      <c r="O133" s="117"/>
      <c r="P133" s="124">
        <f t="shared" si="8"/>
        <v>41781.205726092092</v>
      </c>
      <c r="Q133" s="117"/>
      <c r="R133" s="117"/>
      <c r="S133" s="38"/>
      <c r="T133" s="38"/>
      <c r="U133" s="23">
        <f t="shared" si="9"/>
        <v>0</v>
      </c>
      <c r="W133" s="55">
        <f t="shared" si="10"/>
        <v>0</v>
      </c>
      <c r="Y133" s="23"/>
      <c r="Z133" s="23"/>
      <c r="AA133" s="23"/>
      <c r="AB133" s="23"/>
      <c r="AC133" s="37"/>
      <c r="AD133" s="23"/>
      <c r="AE133" s="23"/>
    </row>
    <row r="134" spans="1:31" ht="12.75">
      <c r="A134" s="54" t="s">
        <v>44</v>
      </c>
      <c r="B134" s="53" t="s">
        <v>10</v>
      </c>
      <c r="C134" s="116">
        <v>3240000</v>
      </c>
      <c r="D134" s="117"/>
      <c r="E134" s="117"/>
      <c r="F134" s="116">
        <v>1080000</v>
      </c>
      <c r="G134" s="117"/>
      <c r="H134" s="117"/>
      <c r="I134" s="116"/>
      <c r="J134" s="117"/>
      <c r="K134" s="117"/>
      <c r="L134" s="117"/>
      <c r="M134" s="116">
        <f t="shared" si="7"/>
        <v>6401295</v>
      </c>
      <c r="N134" s="117"/>
      <c r="O134" s="117"/>
      <c r="P134" s="124">
        <f t="shared" si="8"/>
        <v>40937.049881936247</v>
      </c>
      <c r="Q134" s="117"/>
      <c r="R134" s="117"/>
      <c r="S134" s="38"/>
      <c r="T134" s="38"/>
      <c r="U134" s="23">
        <f t="shared" si="9"/>
        <v>288</v>
      </c>
      <c r="W134" s="55">
        <f t="shared" si="10"/>
        <v>11789870.365997639</v>
      </c>
      <c r="Y134" s="23"/>
      <c r="Z134" s="23"/>
      <c r="AA134" s="23"/>
      <c r="AB134" s="23"/>
      <c r="AC134" s="37"/>
      <c r="AD134" s="23"/>
      <c r="AE134" s="23"/>
    </row>
    <row r="135" spans="1:31" ht="12.75">
      <c r="A135" s="54"/>
      <c r="B135" s="53"/>
      <c r="C135" s="38"/>
      <c r="D135" s="38"/>
      <c r="E135" s="38"/>
      <c r="F135" s="38"/>
      <c r="G135" s="38"/>
      <c r="H135" s="38"/>
      <c r="I135" s="23"/>
      <c r="J135" s="23"/>
      <c r="K135" s="23"/>
      <c r="L135" s="23"/>
      <c r="M135" s="23"/>
      <c r="N135" s="23"/>
      <c r="O135" s="23"/>
      <c r="P135" s="125">
        <f>SUM(P125:P134)</f>
        <v>486117.18319559225</v>
      </c>
      <c r="Q135" s="117"/>
      <c r="R135" s="117"/>
      <c r="S135" s="38"/>
      <c r="T135" s="38"/>
      <c r="U135" s="38"/>
      <c r="W135" s="56">
        <f>SUM(W125:W134)</f>
        <v>69997892.335694611</v>
      </c>
      <c r="Y135" s="23"/>
      <c r="Z135" s="23"/>
      <c r="AA135" s="23"/>
      <c r="AB135" s="23"/>
      <c r="AC135" s="37"/>
      <c r="AD135" s="23"/>
      <c r="AE135" s="23"/>
    </row>
    <row r="136" spans="1:31" ht="12.75">
      <c r="A136" s="23"/>
      <c r="B136" s="23"/>
      <c r="C136" s="57"/>
      <c r="D136" s="57"/>
      <c r="E136" s="23"/>
      <c r="F136" s="23"/>
      <c r="G136" s="23"/>
      <c r="H136" s="38"/>
      <c r="I136" s="23"/>
      <c r="J136" s="23"/>
      <c r="K136" s="23"/>
      <c r="L136" s="38"/>
      <c r="M136" s="23"/>
      <c r="N136" s="23"/>
      <c r="O136" s="23"/>
      <c r="P136" s="23"/>
      <c r="Q136" s="23"/>
      <c r="R136" s="23"/>
      <c r="S136" s="23"/>
      <c r="T136" s="23"/>
      <c r="U136" s="23"/>
      <c r="V136" s="23"/>
      <c r="W136" s="23"/>
      <c r="X136" s="23"/>
      <c r="Y136" s="23"/>
      <c r="Z136" s="23"/>
      <c r="AA136" s="23"/>
      <c r="AB136" s="23"/>
      <c r="AC136" s="37"/>
      <c r="AD136" s="23"/>
      <c r="AE136" s="23"/>
    </row>
    <row r="137" spans="1:31" ht="12.7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37"/>
      <c r="AD137" s="23"/>
      <c r="AE137" s="23"/>
    </row>
    <row r="138" spans="1:31" ht="12.75">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9"/>
      <c r="AD138" s="58"/>
      <c r="AE138" s="58"/>
    </row>
    <row r="139" spans="1:31" ht="15">
      <c r="A139" s="58"/>
      <c r="B139" s="58"/>
      <c r="C139" s="118"/>
      <c r="D139" s="119"/>
      <c r="E139" s="119"/>
      <c r="F139" s="120"/>
      <c r="G139" s="121"/>
      <c r="H139" s="122"/>
      <c r="I139" s="122"/>
      <c r="J139" s="123"/>
      <c r="K139" s="60"/>
      <c r="L139" s="126"/>
      <c r="M139" s="122"/>
      <c r="N139" s="122"/>
      <c r="O139" s="123"/>
      <c r="P139" s="121"/>
      <c r="Q139" s="122"/>
      <c r="R139" s="122"/>
      <c r="S139" s="123"/>
      <c r="T139" s="126"/>
      <c r="U139" s="122"/>
      <c r="V139" s="122"/>
      <c r="W139" s="123"/>
      <c r="X139" s="121"/>
      <c r="Y139" s="122"/>
      <c r="Z139" s="123"/>
      <c r="AA139" s="126"/>
      <c r="AB139" s="122"/>
      <c r="AC139" s="123"/>
      <c r="AD139" s="61"/>
      <c r="AE139" s="58"/>
    </row>
    <row r="140" spans="1:31" ht="12.75">
      <c r="A140" s="62" t="e">
        <f t="array" aca="1" ref="A140:A155" ca="1">unique(L1:L120)</f>
        <v>#NAME?</v>
      </c>
      <c r="B140" s="63"/>
      <c r="C140" s="64"/>
      <c r="D140" s="64"/>
      <c r="E140" s="64"/>
      <c r="F140" s="65"/>
      <c r="G140" s="66" t="s">
        <v>45</v>
      </c>
      <c r="H140" s="66" t="s">
        <v>46</v>
      </c>
      <c r="I140" s="66" t="s">
        <v>47</v>
      </c>
      <c r="J140" s="66" t="s">
        <v>48</v>
      </c>
      <c r="K140" s="66" t="s">
        <v>49</v>
      </c>
      <c r="L140" s="67" t="s">
        <v>50</v>
      </c>
      <c r="M140" s="67" t="s">
        <v>51</v>
      </c>
      <c r="N140" s="67" t="s">
        <v>52</v>
      </c>
      <c r="O140" s="67" t="s">
        <v>53</v>
      </c>
      <c r="P140" s="66" t="s">
        <v>54</v>
      </c>
      <c r="Q140" s="66"/>
      <c r="R140" s="66"/>
      <c r="S140" s="66"/>
      <c r="T140" s="67"/>
      <c r="U140" s="67"/>
      <c r="V140" s="67"/>
      <c r="W140" s="67"/>
      <c r="X140" s="66"/>
      <c r="Y140" s="66"/>
      <c r="Z140" s="66"/>
      <c r="AA140" s="67"/>
      <c r="AB140" s="67"/>
      <c r="AC140" s="68"/>
      <c r="AD140" s="67"/>
      <c r="AE140" s="58"/>
    </row>
    <row r="141" spans="1:31" ht="12.75">
      <c r="A141" s="69" t="e">
        <f ca="1"/>
        <v>#NAME?</v>
      </c>
      <c r="B141" s="70"/>
      <c r="C141" s="71"/>
      <c r="D141" s="71" t="s">
        <v>55</v>
      </c>
      <c r="E141" s="71"/>
      <c r="F141" s="72"/>
      <c r="G141" s="73"/>
      <c r="H141" s="73"/>
      <c r="I141" s="73"/>
      <c r="J141" s="73"/>
      <c r="K141" s="73"/>
      <c r="L141" s="74"/>
      <c r="M141" s="74"/>
      <c r="N141" s="74"/>
      <c r="O141" s="75"/>
      <c r="P141" s="76"/>
      <c r="Q141" s="76"/>
      <c r="R141" s="76"/>
      <c r="S141" s="76"/>
      <c r="T141" s="75"/>
      <c r="U141" s="75"/>
      <c r="V141" s="75"/>
      <c r="W141" s="75"/>
      <c r="X141" s="76"/>
      <c r="Y141" s="76"/>
      <c r="Z141" s="76"/>
      <c r="AA141" s="75"/>
      <c r="AB141" s="75"/>
      <c r="AC141" s="77"/>
      <c r="AD141" s="75"/>
      <c r="AE141" s="58"/>
    </row>
    <row r="142" spans="1:31" ht="12.75">
      <c r="A142" s="69" t="e">
        <f ca="1"/>
        <v>#NAME?</v>
      </c>
      <c r="B142" s="70"/>
      <c r="C142" s="71"/>
      <c r="D142" s="71"/>
      <c r="E142" s="71"/>
      <c r="F142" s="72"/>
      <c r="G142" s="73"/>
      <c r="H142" s="73"/>
      <c r="I142" s="73"/>
      <c r="J142" s="73"/>
      <c r="K142" s="73"/>
      <c r="L142" s="74"/>
      <c r="M142" s="75"/>
      <c r="N142" s="75"/>
      <c r="O142" s="75"/>
      <c r="P142" s="76"/>
      <c r="Q142" s="76"/>
      <c r="R142" s="76"/>
      <c r="S142" s="76"/>
      <c r="T142" s="75"/>
      <c r="U142" s="75"/>
      <c r="V142" s="75"/>
      <c r="W142" s="75"/>
      <c r="X142" s="76"/>
      <c r="Y142" s="76"/>
      <c r="Z142" s="76"/>
      <c r="AA142" s="75"/>
      <c r="AB142" s="75"/>
      <c r="AC142" s="77"/>
      <c r="AD142" s="75"/>
      <c r="AE142" s="58"/>
    </row>
    <row r="143" spans="1:31" ht="12.75">
      <c r="A143" s="69" t="e">
        <f ca="1"/>
        <v>#NAME?</v>
      </c>
      <c r="B143" s="70"/>
      <c r="C143" s="71"/>
      <c r="D143" s="71"/>
      <c r="E143" s="71"/>
      <c r="F143" s="72"/>
      <c r="G143" s="73"/>
      <c r="H143" s="73"/>
      <c r="I143" s="73"/>
      <c r="J143" s="73"/>
      <c r="K143" s="73"/>
      <c r="L143" s="74"/>
      <c r="M143" s="74"/>
      <c r="N143" s="74"/>
      <c r="O143" s="74"/>
      <c r="P143" s="76"/>
      <c r="Q143" s="76"/>
      <c r="R143" s="76"/>
      <c r="S143" s="76"/>
      <c r="T143" s="75"/>
      <c r="U143" s="75"/>
      <c r="V143" s="75"/>
      <c r="W143" s="75"/>
      <c r="X143" s="76"/>
      <c r="Y143" s="76"/>
      <c r="Z143" s="76"/>
      <c r="AA143" s="75"/>
      <c r="AB143" s="75"/>
      <c r="AC143" s="77"/>
      <c r="AD143" s="75"/>
      <c r="AE143" s="58"/>
    </row>
    <row r="144" spans="1:31" ht="12.75">
      <c r="A144" s="69" t="e">
        <f ca="1"/>
        <v>#NAME?</v>
      </c>
      <c r="B144" s="70"/>
      <c r="C144" s="71"/>
      <c r="D144" s="71"/>
      <c r="E144" s="71"/>
      <c r="F144" s="72"/>
      <c r="G144" s="73"/>
      <c r="H144" s="73"/>
      <c r="I144" s="73"/>
      <c r="J144" s="73"/>
      <c r="K144" s="73"/>
      <c r="L144" s="74"/>
      <c r="M144" s="74"/>
      <c r="N144" s="74"/>
      <c r="O144" s="75"/>
      <c r="P144" s="76"/>
      <c r="Q144" s="76"/>
      <c r="R144" s="76"/>
      <c r="S144" s="76"/>
      <c r="T144" s="75"/>
      <c r="U144" s="75"/>
      <c r="V144" s="75"/>
      <c r="W144" s="75"/>
      <c r="X144" s="76"/>
      <c r="Y144" s="76"/>
      <c r="Z144" s="76"/>
      <c r="AA144" s="75"/>
      <c r="AB144" s="75"/>
      <c r="AC144" s="77"/>
      <c r="AD144" s="75"/>
      <c r="AE144" s="58"/>
    </row>
    <row r="145" spans="1:31" ht="12.75">
      <c r="A145" s="69" t="e">
        <f ca="1"/>
        <v>#NAME?</v>
      </c>
      <c r="B145" s="70"/>
      <c r="C145" s="71"/>
      <c r="D145" s="71"/>
      <c r="E145" s="71"/>
      <c r="F145" s="72"/>
      <c r="G145" s="73"/>
      <c r="H145" s="73"/>
      <c r="I145" s="73"/>
      <c r="J145" s="73"/>
      <c r="K145" s="73"/>
      <c r="L145" s="74"/>
      <c r="M145" s="74"/>
      <c r="N145" s="74"/>
      <c r="O145" s="74"/>
      <c r="P145" s="76"/>
      <c r="Q145" s="76"/>
      <c r="R145" s="76"/>
      <c r="S145" s="76"/>
      <c r="T145" s="75"/>
      <c r="U145" s="75"/>
      <c r="V145" s="75"/>
      <c r="W145" s="75"/>
      <c r="X145" s="76"/>
      <c r="Y145" s="76"/>
      <c r="Z145" s="76"/>
      <c r="AA145" s="75"/>
      <c r="AB145" s="75"/>
      <c r="AC145" s="77"/>
      <c r="AD145" s="75"/>
      <c r="AE145" s="58"/>
    </row>
    <row r="146" spans="1:31" ht="12.75">
      <c r="A146" s="69" t="e">
        <f ca="1"/>
        <v>#NAME?</v>
      </c>
      <c r="B146" s="70"/>
      <c r="C146" s="71"/>
      <c r="D146" s="71"/>
      <c r="E146" s="71"/>
      <c r="F146" s="72"/>
      <c r="G146" s="73"/>
      <c r="H146" s="73"/>
      <c r="I146" s="73"/>
      <c r="J146" s="73"/>
      <c r="K146" s="73"/>
      <c r="L146" s="74"/>
      <c r="M146" s="74"/>
      <c r="N146" s="74"/>
      <c r="O146" s="75"/>
      <c r="P146" s="73"/>
      <c r="Q146" s="76"/>
      <c r="R146" s="76"/>
      <c r="S146" s="76"/>
      <c r="T146" s="75"/>
      <c r="U146" s="75"/>
      <c r="V146" s="75"/>
      <c r="W146" s="75"/>
      <c r="X146" s="76"/>
      <c r="Y146" s="76"/>
      <c r="Z146" s="76"/>
      <c r="AA146" s="75"/>
      <c r="AB146" s="75"/>
      <c r="AC146" s="77"/>
      <c r="AD146" s="75"/>
      <c r="AE146" s="58"/>
    </row>
    <row r="147" spans="1:31" ht="12.75">
      <c r="A147" s="69" t="e">
        <f ca="1"/>
        <v>#NAME?</v>
      </c>
      <c r="B147" s="70"/>
      <c r="C147" s="71"/>
      <c r="D147" s="71"/>
      <c r="E147" s="71"/>
      <c r="F147" s="72"/>
      <c r="G147" s="73"/>
      <c r="H147" s="73"/>
      <c r="I147" s="73"/>
      <c r="J147" s="73"/>
      <c r="K147" s="73"/>
      <c r="L147" s="74"/>
      <c r="M147" s="74"/>
      <c r="N147" s="74"/>
      <c r="O147" s="75"/>
      <c r="P147" s="73"/>
      <c r="Q147" s="76"/>
      <c r="R147" s="76"/>
      <c r="S147" s="76"/>
      <c r="T147" s="75"/>
      <c r="U147" s="75"/>
      <c r="V147" s="75"/>
      <c r="W147" s="75"/>
      <c r="X147" s="76"/>
      <c r="Y147" s="76"/>
      <c r="Z147" s="76"/>
      <c r="AA147" s="75"/>
      <c r="AB147" s="75"/>
      <c r="AC147" s="77"/>
      <c r="AD147" s="75"/>
      <c r="AE147" s="58"/>
    </row>
    <row r="148" spans="1:31" ht="12.75">
      <c r="A148" s="69" t="e">
        <f ca="1"/>
        <v>#NAME?</v>
      </c>
      <c r="B148" s="70"/>
      <c r="C148" s="71"/>
      <c r="D148" s="71"/>
      <c r="E148" s="71"/>
      <c r="F148" s="72"/>
      <c r="G148" s="73"/>
      <c r="H148" s="73"/>
      <c r="I148" s="73"/>
      <c r="J148" s="73"/>
      <c r="K148" s="73"/>
      <c r="L148" s="74"/>
      <c r="M148" s="74"/>
      <c r="N148" s="74"/>
      <c r="O148" s="74"/>
      <c r="P148" s="73"/>
      <c r="Q148" s="76"/>
      <c r="R148" s="76"/>
      <c r="S148" s="76"/>
      <c r="T148" s="75"/>
      <c r="U148" s="75"/>
      <c r="V148" s="75"/>
      <c r="W148" s="75"/>
      <c r="X148" s="76"/>
      <c r="Y148" s="76"/>
      <c r="Z148" s="76"/>
      <c r="AA148" s="75"/>
      <c r="AB148" s="75"/>
      <c r="AC148" s="77"/>
      <c r="AD148" s="75"/>
      <c r="AE148" s="58"/>
    </row>
    <row r="149" spans="1:31" ht="12.75">
      <c r="A149" s="69" t="e">
        <f ca="1"/>
        <v>#NAME?</v>
      </c>
      <c r="B149" s="70"/>
      <c r="C149" s="71"/>
      <c r="D149" s="71"/>
      <c r="E149" s="71"/>
      <c r="F149" s="72"/>
      <c r="G149" s="73"/>
      <c r="H149" s="73"/>
      <c r="I149" s="73"/>
      <c r="J149" s="73"/>
      <c r="K149" s="73"/>
      <c r="L149" s="74"/>
      <c r="M149" s="74"/>
      <c r="N149" s="74"/>
      <c r="O149" s="75"/>
      <c r="P149" s="76"/>
      <c r="Q149" s="76"/>
      <c r="R149" s="76"/>
      <c r="S149" s="76"/>
      <c r="T149" s="75"/>
      <c r="U149" s="75"/>
      <c r="V149" s="75"/>
      <c r="W149" s="75"/>
      <c r="X149" s="76"/>
      <c r="Y149" s="76"/>
      <c r="Z149" s="76"/>
      <c r="AA149" s="75"/>
      <c r="AB149" s="75"/>
      <c r="AC149" s="77"/>
      <c r="AD149" s="75"/>
      <c r="AE149" s="58"/>
    </row>
    <row r="150" spans="1:31" ht="12.75">
      <c r="A150" s="69" t="e">
        <f ca="1"/>
        <v>#NAME?</v>
      </c>
      <c r="B150" s="70"/>
      <c r="C150" s="71"/>
      <c r="D150" s="71"/>
      <c r="E150" s="71"/>
      <c r="F150" s="72"/>
      <c r="G150" s="73"/>
      <c r="H150" s="73"/>
      <c r="I150" s="73"/>
      <c r="J150" s="73"/>
      <c r="K150" s="73"/>
      <c r="L150" s="74"/>
      <c r="M150" s="74"/>
      <c r="N150" s="74"/>
      <c r="O150" s="75"/>
      <c r="P150" s="76"/>
      <c r="Q150" s="76"/>
      <c r="R150" s="76"/>
      <c r="S150" s="76"/>
      <c r="T150" s="75"/>
      <c r="U150" s="75"/>
      <c r="V150" s="75"/>
      <c r="W150" s="75"/>
      <c r="X150" s="76"/>
      <c r="Y150" s="76"/>
      <c r="Z150" s="76"/>
      <c r="AA150" s="75"/>
      <c r="AB150" s="75"/>
      <c r="AC150" s="77"/>
      <c r="AD150" s="75"/>
      <c r="AE150" s="58"/>
    </row>
    <row r="151" spans="1:31" ht="12.75">
      <c r="A151" s="69" t="e">
        <f ca="1"/>
        <v>#NAME?</v>
      </c>
      <c r="B151" s="70"/>
      <c r="C151" s="71"/>
      <c r="D151" s="71"/>
      <c r="E151" s="71"/>
      <c r="F151" s="72"/>
      <c r="G151" s="73"/>
      <c r="H151" s="73"/>
      <c r="I151" s="73"/>
      <c r="J151" s="73"/>
      <c r="K151" s="73"/>
      <c r="L151" s="74"/>
      <c r="M151" s="74"/>
      <c r="N151" s="74"/>
      <c r="O151" s="75"/>
      <c r="P151" s="76"/>
      <c r="Q151" s="76"/>
      <c r="R151" s="76"/>
      <c r="S151" s="76"/>
      <c r="T151" s="75"/>
      <c r="U151" s="75"/>
      <c r="V151" s="75"/>
      <c r="W151" s="75"/>
      <c r="X151" s="76"/>
      <c r="Y151" s="76"/>
      <c r="Z151" s="76"/>
      <c r="AA151" s="75"/>
      <c r="AB151" s="75"/>
      <c r="AC151" s="77"/>
      <c r="AD151" s="75"/>
      <c r="AE151" s="58"/>
    </row>
    <row r="152" spans="1:31" ht="12.75">
      <c r="A152" s="69" t="e">
        <f ca="1"/>
        <v>#NAME?</v>
      </c>
      <c r="B152" s="70"/>
      <c r="C152" s="71"/>
      <c r="D152" s="71"/>
      <c r="E152" s="71"/>
      <c r="F152" s="72"/>
      <c r="G152" s="73"/>
      <c r="H152" s="73"/>
      <c r="I152" s="73"/>
      <c r="J152" s="73"/>
      <c r="K152" s="73"/>
      <c r="L152" s="74"/>
      <c r="M152" s="74"/>
      <c r="N152" s="74"/>
      <c r="O152" s="75"/>
      <c r="P152" s="76"/>
      <c r="Q152" s="76"/>
      <c r="R152" s="76"/>
      <c r="S152" s="76"/>
      <c r="T152" s="75"/>
      <c r="U152" s="75"/>
      <c r="V152" s="75"/>
      <c r="W152" s="75"/>
      <c r="X152" s="76"/>
      <c r="Y152" s="76"/>
      <c r="Z152" s="76"/>
      <c r="AA152" s="75"/>
      <c r="AB152" s="75"/>
      <c r="AC152" s="77"/>
      <c r="AD152" s="75"/>
      <c r="AE152" s="58"/>
    </row>
    <row r="153" spans="1:31" ht="12.75">
      <c r="A153" s="69" t="e">
        <f ca="1"/>
        <v>#NAME?</v>
      </c>
      <c r="B153" s="70"/>
      <c r="C153" s="71"/>
      <c r="D153" s="71"/>
      <c r="E153" s="71"/>
      <c r="F153" s="72"/>
      <c r="G153" s="73"/>
      <c r="H153" s="73"/>
      <c r="I153" s="73"/>
      <c r="J153" s="73"/>
      <c r="K153" s="73"/>
      <c r="L153" s="74"/>
      <c r="M153" s="74"/>
      <c r="N153" s="74"/>
      <c r="O153" s="75"/>
      <c r="P153" s="76"/>
      <c r="Q153" s="76"/>
      <c r="R153" s="76"/>
      <c r="S153" s="76"/>
      <c r="T153" s="75"/>
      <c r="U153" s="75"/>
      <c r="V153" s="75"/>
      <c r="W153" s="75"/>
      <c r="X153" s="76"/>
      <c r="Y153" s="76"/>
      <c r="Z153" s="76"/>
      <c r="AA153" s="75"/>
      <c r="AB153" s="75"/>
      <c r="AC153" s="77"/>
      <c r="AD153" s="75"/>
      <c r="AE153" s="58"/>
    </row>
    <row r="154" spans="1:31" ht="12.75">
      <c r="A154" s="69" t="e">
        <f ca="1"/>
        <v>#NAME?</v>
      </c>
      <c r="B154" s="70"/>
      <c r="C154" s="71"/>
      <c r="D154" s="71"/>
      <c r="E154" s="71"/>
      <c r="F154" s="72"/>
      <c r="G154" s="73"/>
      <c r="H154" s="73"/>
      <c r="I154" s="73"/>
      <c r="J154" s="73"/>
      <c r="K154" s="73"/>
      <c r="L154" s="74"/>
      <c r="M154" s="74"/>
      <c r="N154" s="74"/>
      <c r="O154" s="75"/>
      <c r="P154" s="76"/>
      <c r="Q154" s="76"/>
      <c r="R154" s="76"/>
      <c r="S154" s="76"/>
      <c r="T154" s="75"/>
      <c r="U154" s="75"/>
      <c r="V154" s="75"/>
      <c r="W154" s="75"/>
      <c r="X154" s="76"/>
      <c r="Y154" s="76"/>
      <c r="Z154" s="76"/>
      <c r="AA154" s="75"/>
      <c r="AB154" s="75"/>
      <c r="AC154" s="77"/>
      <c r="AD154" s="75"/>
      <c r="AE154" s="58"/>
    </row>
    <row r="155" spans="1:31" ht="12.75">
      <c r="A155" s="69" t="e">
        <f ca="1"/>
        <v>#NAME?</v>
      </c>
      <c r="B155" s="70"/>
      <c r="C155" s="71"/>
      <c r="D155" s="71"/>
      <c r="E155" s="71"/>
      <c r="F155" s="72"/>
      <c r="G155" s="73"/>
      <c r="H155" s="73"/>
      <c r="I155" s="73"/>
      <c r="J155" s="73"/>
      <c r="K155" s="73"/>
      <c r="L155" s="74"/>
      <c r="M155" s="74"/>
      <c r="N155" s="74"/>
      <c r="O155" s="75"/>
      <c r="P155" s="76"/>
      <c r="Q155" s="76"/>
      <c r="R155" s="76"/>
      <c r="S155" s="76"/>
      <c r="T155" s="75"/>
      <c r="U155" s="75"/>
      <c r="V155" s="75"/>
      <c r="W155" s="75"/>
      <c r="X155" s="76"/>
      <c r="Y155" s="76"/>
      <c r="Z155" s="76"/>
      <c r="AA155" s="75"/>
      <c r="AB155" s="75"/>
      <c r="AC155" s="77"/>
      <c r="AD155" s="75"/>
      <c r="AE155" s="58"/>
    </row>
    <row r="156" spans="1:31" ht="12.75">
      <c r="A156" s="69"/>
      <c r="B156" s="70"/>
      <c r="C156" s="71"/>
      <c r="D156" s="71"/>
      <c r="E156" s="71"/>
      <c r="F156" s="72"/>
      <c r="G156" s="73"/>
      <c r="H156" s="73"/>
      <c r="I156" s="73"/>
      <c r="J156" s="73"/>
      <c r="K156" s="73"/>
      <c r="L156" s="74"/>
      <c r="M156" s="74"/>
      <c r="N156" s="74"/>
      <c r="O156" s="75"/>
      <c r="P156" s="76"/>
      <c r="Q156" s="76"/>
      <c r="R156" s="76"/>
      <c r="S156" s="76"/>
      <c r="T156" s="75"/>
      <c r="U156" s="75"/>
      <c r="V156" s="75"/>
      <c r="W156" s="75"/>
      <c r="X156" s="76"/>
      <c r="Y156" s="76"/>
      <c r="Z156" s="76"/>
      <c r="AA156" s="75"/>
      <c r="AB156" s="75"/>
      <c r="AC156" s="77"/>
      <c r="AD156" s="75"/>
      <c r="AE156" s="58"/>
    </row>
    <row r="157" spans="1:31" ht="12.75">
      <c r="A157" s="69"/>
      <c r="B157" s="70"/>
      <c r="C157" s="71"/>
      <c r="D157" s="71"/>
      <c r="E157" s="71"/>
      <c r="F157" s="72"/>
      <c r="G157" s="73"/>
      <c r="H157" s="73"/>
      <c r="I157" s="73"/>
      <c r="J157" s="73"/>
      <c r="K157" s="73"/>
      <c r="L157" s="74"/>
      <c r="M157" s="74"/>
      <c r="N157" s="74"/>
      <c r="O157" s="75"/>
      <c r="P157" s="76"/>
      <c r="Q157" s="76"/>
      <c r="R157" s="76"/>
      <c r="S157" s="76"/>
      <c r="T157" s="75"/>
      <c r="U157" s="75"/>
      <c r="V157" s="75"/>
      <c r="W157" s="75"/>
      <c r="X157" s="76"/>
      <c r="Y157" s="76"/>
      <c r="Z157" s="76"/>
      <c r="AA157" s="75"/>
      <c r="AB157" s="75"/>
      <c r="AC157" s="77"/>
      <c r="AD157" s="75"/>
      <c r="AE157" s="58"/>
    </row>
    <row r="158" spans="1:31" ht="12.75">
      <c r="A158" s="69"/>
      <c r="B158" s="70"/>
      <c r="C158" s="71"/>
      <c r="D158" s="71"/>
      <c r="E158" s="71"/>
      <c r="F158" s="72"/>
      <c r="G158" s="73"/>
      <c r="H158" s="73"/>
      <c r="I158" s="73"/>
      <c r="J158" s="73"/>
      <c r="K158" s="73"/>
      <c r="L158" s="74"/>
      <c r="M158" s="74"/>
      <c r="N158" s="74"/>
      <c r="O158" s="75"/>
      <c r="P158" s="76"/>
      <c r="Q158" s="76"/>
      <c r="R158" s="76"/>
      <c r="S158" s="76"/>
      <c r="T158" s="75"/>
      <c r="U158" s="75"/>
      <c r="V158" s="75"/>
      <c r="W158" s="75"/>
      <c r="X158" s="76"/>
      <c r="Y158" s="76"/>
      <c r="Z158" s="76"/>
      <c r="AA158" s="75"/>
      <c r="AB158" s="75"/>
      <c r="AC158" s="77"/>
      <c r="AD158" s="75"/>
      <c r="AE158" s="58"/>
    </row>
    <row r="159" spans="1:31" ht="12.75">
      <c r="A159" s="69"/>
      <c r="B159" s="70"/>
      <c r="C159" s="71"/>
      <c r="D159" s="71"/>
      <c r="E159" s="71"/>
      <c r="F159" s="72"/>
      <c r="G159" s="73"/>
      <c r="H159" s="73"/>
      <c r="I159" s="73"/>
      <c r="J159" s="73"/>
      <c r="K159" s="73"/>
      <c r="L159" s="74"/>
      <c r="M159" s="74"/>
      <c r="N159" s="74"/>
      <c r="O159" s="75"/>
      <c r="P159" s="76"/>
      <c r="Q159" s="76"/>
      <c r="R159" s="76"/>
      <c r="S159" s="76"/>
      <c r="T159" s="75"/>
      <c r="U159" s="75"/>
      <c r="V159" s="75"/>
      <c r="W159" s="75"/>
      <c r="X159" s="76"/>
      <c r="Y159" s="76"/>
      <c r="Z159" s="76"/>
      <c r="AA159" s="75"/>
      <c r="AB159" s="75"/>
      <c r="AC159" s="77"/>
      <c r="AD159" s="75"/>
      <c r="AE159" s="58"/>
    </row>
    <row r="160" spans="1:31" ht="12.75">
      <c r="A160" s="69"/>
      <c r="B160" s="70"/>
      <c r="C160" s="71"/>
      <c r="D160" s="71"/>
      <c r="E160" s="71"/>
      <c r="F160" s="72"/>
      <c r="G160" s="73"/>
      <c r="H160" s="73"/>
      <c r="I160" s="73"/>
      <c r="J160" s="73"/>
      <c r="K160" s="73"/>
      <c r="L160" s="74"/>
      <c r="M160" s="74"/>
      <c r="N160" s="74"/>
      <c r="O160" s="75"/>
      <c r="P160" s="76"/>
      <c r="Q160" s="76"/>
      <c r="R160" s="76"/>
      <c r="S160" s="76"/>
      <c r="T160" s="75"/>
      <c r="U160" s="75"/>
      <c r="V160" s="75"/>
      <c r="W160" s="75"/>
      <c r="X160" s="76"/>
      <c r="Y160" s="76"/>
      <c r="Z160" s="76"/>
      <c r="AA160" s="75"/>
      <c r="AB160" s="75"/>
      <c r="AC160" s="77"/>
      <c r="AD160" s="75"/>
      <c r="AE160" s="58"/>
    </row>
    <row r="161" spans="1:31" ht="12.75">
      <c r="A161" s="69"/>
      <c r="B161" s="70"/>
      <c r="C161" s="71"/>
      <c r="D161" s="71"/>
      <c r="E161" s="71"/>
      <c r="F161" s="72"/>
      <c r="G161" s="73"/>
      <c r="H161" s="73"/>
      <c r="I161" s="73"/>
      <c r="J161" s="73"/>
      <c r="K161" s="73"/>
      <c r="L161" s="74"/>
      <c r="M161" s="74"/>
      <c r="N161" s="74"/>
      <c r="O161" s="75"/>
      <c r="P161" s="76"/>
      <c r="Q161" s="76"/>
      <c r="R161" s="76"/>
      <c r="S161" s="76"/>
      <c r="T161" s="75"/>
      <c r="U161" s="75"/>
      <c r="V161" s="75"/>
      <c r="W161" s="75"/>
      <c r="X161" s="76"/>
      <c r="Y161" s="76"/>
      <c r="Z161" s="76"/>
      <c r="AA161" s="75"/>
      <c r="AB161" s="75"/>
      <c r="AC161" s="77"/>
      <c r="AD161" s="75"/>
      <c r="AE161" s="58"/>
    </row>
    <row r="162" spans="1:31" ht="12.75">
      <c r="A162" s="69"/>
      <c r="B162" s="70"/>
      <c r="C162" s="71"/>
      <c r="D162" s="71"/>
      <c r="E162" s="71"/>
      <c r="F162" s="72"/>
      <c r="G162" s="73"/>
      <c r="H162" s="73"/>
      <c r="I162" s="73"/>
      <c r="J162" s="73"/>
      <c r="K162" s="73"/>
      <c r="L162" s="74"/>
      <c r="M162" s="74"/>
      <c r="N162" s="74"/>
      <c r="O162" s="75"/>
      <c r="P162" s="76"/>
      <c r="Q162" s="76"/>
      <c r="R162" s="76"/>
      <c r="S162" s="76"/>
      <c r="T162" s="75"/>
      <c r="U162" s="75"/>
      <c r="V162" s="75"/>
      <c r="W162" s="75"/>
      <c r="X162" s="76"/>
      <c r="Y162" s="76"/>
      <c r="Z162" s="76"/>
      <c r="AA162" s="75"/>
      <c r="AB162" s="75"/>
      <c r="AC162" s="77"/>
      <c r="AD162" s="75"/>
      <c r="AE162" s="58"/>
    </row>
    <row r="163" spans="1:31" ht="12.75">
      <c r="A163" s="69"/>
      <c r="B163" s="70"/>
      <c r="C163" s="71"/>
      <c r="D163" s="71"/>
      <c r="E163" s="71"/>
      <c r="F163" s="72"/>
      <c r="G163" s="73"/>
      <c r="H163" s="73"/>
      <c r="I163" s="73"/>
      <c r="J163" s="73"/>
      <c r="K163" s="73"/>
      <c r="L163" s="74"/>
      <c r="M163" s="74"/>
      <c r="N163" s="75"/>
      <c r="O163" s="75"/>
      <c r="P163" s="76"/>
      <c r="Q163" s="76"/>
      <c r="R163" s="76"/>
      <c r="S163" s="76"/>
      <c r="T163" s="75"/>
      <c r="U163" s="75"/>
      <c r="V163" s="75"/>
      <c r="W163" s="75"/>
      <c r="X163" s="76"/>
      <c r="Y163" s="76"/>
      <c r="Z163" s="76"/>
      <c r="AA163" s="75"/>
      <c r="AB163" s="75"/>
      <c r="AC163" s="77"/>
      <c r="AD163" s="75"/>
      <c r="AE163" s="58"/>
    </row>
    <row r="164" spans="1:31" ht="12.75">
      <c r="A164" s="69"/>
      <c r="B164" s="70"/>
      <c r="C164" s="71"/>
      <c r="D164" s="71"/>
      <c r="E164" s="71"/>
      <c r="F164" s="72"/>
      <c r="G164" s="73"/>
      <c r="H164" s="73"/>
      <c r="I164" s="73"/>
      <c r="J164" s="73"/>
      <c r="K164" s="73"/>
      <c r="L164" s="74"/>
      <c r="M164" s="74"/>
      <c r="N164" s="75"/>
      <c r="O164" s="75"/>
      <c r="P164" s="76"/>
      <c r="Q164" s="76"/>
      <c r="R164" s="76"/>
      <c r="S164" s="76"/>
      <c r="T164" s="75"/>
      <c r="U164" s="75"/>
      <c r="V164" s="75"/>
      <c r="W164" s="75"/>
      <c r="X164" s="76"/>
      <c r="Y164" s="76"/>
      <c r="Z164" s="76"/>
      <c r="AA164" s="75"/>
      <c r="AB164" s="75"/>
      <c r="AC164" s="77"/>
      <c r="AD164" s="75"/>
      <c r="AE164" s="58"/>
    </row>
    <row r="165" spans="1:31" ht="12.75">
      <c r="A165" s="23"/>
      <c r="B165" s="23"/>
      <c r="C165" s="23"/>
      <c r="D165" s="23"/>
      <c r="E165" s="23"/>
      <c r="F165" s="23"/>
      <c r="G165" s="23"/>
      <c r="H165" s="13"/>
      <c r="I165" s="13"/>
      <c r="J165" s="13"/>
      <c r="K165" s="13"/>
      <c r="L165" s="13"/>
      <c r="M165" s="13"/>
      <c r="N165" s="23"/>
      <c r="O165" s="23"/>
      <c r="P165" s="23"/>
      <c r="Q165" s="23"/>
      <c r="R165" s="23"/>
      <c r="S165" s="23"/>
      <c r="T165" s="23"/>
      <c r="U165" s="23"/>
      <c r="V165" s="23"/>
      <c r="W165" s="23"/>
      <c r="X165" s="23"/>
      <c r="Y165" s="23"/>
      <c r="Z165" s="23"/>
      <c r="AA165" s="23"/>
      <c r="AB165" s="23"/>
      <c r="AC165" s="37"/>
      <c r="AD165" s="23"/>
      <c r="AE165" s="58"/>
    </row>
    <row r="166" spans="1:31" ht="12.7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37"/>
      <c r="AD166" s="23"/>
      <c r="AE166" s="23"/>
    </row>
    <row r="167" spans="1:31" ht="12.7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37"/>
      <c r="AD167" s="23"/>
      <c r="AE167" s="23"/>
    </row>
  </sheetData>
  <mergeCells count="68">
    <mergeCell ref="C129:E129"/>
    <mergeCell ref="F129:H129"/>
    <mergeCell ref="C126:E126"/>
    <mergeCell ref="C127:E127"/>
    <mergeCell ref="F127:H127"/>
    <mergeCell ref="C128:E128"/>
    <mergeCell ref="F128:H128"/>
    <mergeCell ref="C130:E130"/>
    <mergeCell ref="F130:H130"/>
    <mergeCell ref="I130:L130"/>
    <mergeCell ref="M130:O130"/>
    <mergeCell ref="P130:R130"/>
    <mergeCell ref="F126:H126"/>
    <mergeCell ref="P126:R126"/>
    <mergeCell ref="I128:L128"/>
    <mergeCell ref="I129:L129"/>
    <mergeCell ref="M129:O129"/>
    <mergeCell ref="P129:R129"/>
    <mergeCell ref="I126:L126"/>
    <mergeCell ref="M126:O126"/>
    <mergeCell ref="I127:L127"/>
    <mergeCell ref="M127:O127"/>
    <mergeCell ref="P127:R127"/>
    <mergeCell ref="M128:O128"/>
    <mergeCell ref="P128:R128"/>
    <mergeCell ref="C125:E125"/>
    <mergeCell ref="F125:H125"/>
    <mergeCell ref="I125:L125"/>
    <mergeCell ref="M125:O125"/>
    <mergeCell ref="P125:R125"/>
    <mergeCell ref="I122:L122"/>
    <mergeCell ref="M122:O122"/>
    <mergeCell ref="C124:E124"/>
    <mergeCell ref="F124:H124"/>
    <mergeCell ref="I124:L124"/>
    <mergeCell ref="M124:O124"/>
    <mergeCell ref="P124:R124"/>
    <mergeCell ref="V124:X124"/>
    <mergeCell ref="M1:N1"/>
    <mergeCell ref="O1:U1"/>
    <mergeCell ref="AA139:AC139"/>
    <mergeCell ref="I132:L132"/>
    <mergeCell ref="M132:O132"/>
    <mergeCell ref="I133:L133"/>
    <mergeCell ref="M133:O133"/>
    <mergeCell ref="P133:R133"/>
    <mergeCell ref="I134:L134"/>
    <mergeCell ref="M134:O134"/>
    <mergeCell ref="P135:R135"/>
    <mergeCell ref="L139:O139"/>
    <mergeCell ref="P139:S139"/>
    <mergeCell ref="T139:W139"/>
    <mergeCell ref="X139:Z139"/>
    <mergeCell ref="M131:O131"/>
    <mergeCell ref="P131:R131"/>
    <mergeCell ref="F132:H132"/>
    <mergeCell ref="P132:R132"/>
    <mergeCell ref="P134:R134"/>
    <mergeCell ref="C139:F139"/>
    <mergeCell ref="G139:J139"/>
    <mergeCell ref="C131:E131"/>
    <mergeCell ref="F131:H131"/>
    <mergeCell ref="I131:L131"/>
    <mergeCell ref="C132:E132"/>
    <mergeCell ref="C133:E133"/>
    <mergeCell ref="F133:H133"/>
    <mergeCell ref="C134:E134"/>
    <mergeCell ref="F134:H134"/>
  </mergeCells>
  <conditionalFormatting sqref="C141:AD164">
    <cfRule type="notContainsBlanks" dxfId="64" priority="1">
      <formula>LEN(TRIM(C141))&gt;0</formula>
    </cfRule>
  </conditionalFormatting>
  <conditionalFormatting sqref="Y2:Y119">
    <cfRule type="expression" dxfId="63" priority="2">
      <formula>$L2&lt;&gt;""</formula>
    </cfRule>
  </conditionalFormatting>
  <conditionalFormatting sqref="Z1:Z119">
    <cfRule type="notContainsBlanks" dxfId="62" priority="3">
      <formula>LEN(TRIM(Z1))&gt;0</formula>
    </cfRule>
  </conditionalFormatting>
  <conditionalFormatting sqref="AA1:AA119">
    <cfRule type="notContainsBlanks" dxfId="61" priority="4">
      <formula>LEN(TRIM(AA1))&gt;0</formula>
    </cfRule>
  </conditionalFormatting>
  <conditionalFormatting sqref="AB2:AB119">
    <cfRule type="cellIs" dxfId="60" priority="5" operator="equal">
      <formula>FALSE()</formula>
    </cfRule>
  </conditionalFormatting>
  <dataValidations count="1">
    <dataValidation type="decimal" operator="greaterThanOrEqual" allowBlank="1" showDropDown="1" showErrorMessage="1" sqref="B2:K120">
      <formula1>0</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11"/>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8" width="5" customWidth="1"/>
    <col min="9" max="20" width="4.5703125" customWidth="1"/>
    <col min="21" max="21" width="11.5703125" customWidth="1"/>
    <col min="22" max="22" width="4.5703125" customWidth="1"/>
    <col min="23" max="23" width="19.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ht="30" customHeight="1">
      <c r="A1" s="1" t="s">
        <v>0</v>
      </c>
      <c r="B1" s="2" t="s">
        <v>1</v>
      </c>
      <c r="C1" s="2" t="s">
        <v>2</v>
      </c>
      <c r="D1" s="2" t="s">
        <v>3</v>
      </c>
      <c r="E1" s="2" t="s">
        <v>4</v>
      </c>
      <c r="F1" s="2" t="s">
        <v>5</v>
      </c>
      <c r="G1" s="2" t="s">
        <v>6</v>
      </c>
      <c r="H1" s="2" t="s">
        <v>7</v>
      </c>
      <c r="I1" s="2" t="s">
        <v>8</v>
      </c>
      <c r="J1" s="2" t="s">
        <v>9</v>
      </c>
      <c r="K1" s="2" t="s">
        <v>10</v>
      </c>
      <c r="L1" s="3"/>
      <c r="M1" s="128" t="s">
        <v>11</v>
      </c>
      <c r="N1" s="117"/>
      <c r="O1" s="129" t="s">
        <v>157</v>
      </c>
      <c r="P1" s="117"/>
      <c r="Q1" s="117"/>
      <c r="R1" s="117"/>
      <c r="S1" s="117"/>
      <c r="T1" s="117"/>
      <c r="U1" s="117"/>
      <c r="V1" s="3"/>
      <c r="W1" s="4">
        <v>46035</v>
      </c>
      <c r="X1" s="3"/>
      <c r="Y1" s="5">
        <f>SUMIFS(Y2:Y64,L2:L64,"&lt;&gt;"&amp;"")</f>
        <v>55165916.961826049</v>
      </c>
      <c r="Z1" s="6" t="s">
        <v>13</v>
      </c>
      <c r="AA1" s="7" t="s">
        <v>14</v>
      </c>
      <c r="AB1" s="8" t="s">
        <v>15</v>
      </c>
      <c r="AC1" s="9">
        <f>SUM(AC2:AC64)</f>
        <v>55165916.961826049</v>
      </c>
      <c r="AD1" s="3"/>
      <c r="AE1" s="3"/>
    </row>
    <row r="2" spans="1:31" ht="18">
      <c r="A2" s="10">
        <f t="shared" ref="A2:A63" si="0">(B2*$P$69+C2*$P$70+D2*$P$71+E2*$P$72+F2*$P$73+G2*$P$74+H2*$P$75+I2*$P$76+J2*$P$77+K2*$P$78)*$T$67</f>
        <v>2308894.1361668631</v>
      </c>
      <c r="B2" s="83">
        <v>3</v>
      </c>
      <c r="C2" s="12"/>
      <c r="D2" s="12"/>
      <c r="E2" s="84">
        <v>2</v>
      </c>
      <c r="F2" s="12"/>
      <c r="G2" s="12"/>
      <c r="H2" s="12"/>
      <c r="I2" s="12"/>
      <c r="J2" s="13"/>
      <c r="K2" s="13"/>
      <c r="L2" s="14" t="s">
        <v>16</v>
      </c>
      <c r="M2" s="15"/>
      <c r="N2" s="16"/>
      <c r="O2" s="92"/>
      <c r="P2" s="17"/>
      <c r="Q2" s="17"/>
      <c r="R2" s="17"/>
      <c r="S2" s="17"/>
      <c r="T2" s="17"/>
      <c r="U2" s="17"/>
      <c r="V2" s="17"/>
      <c r="W2" s="17"/>
      <c r="X2" s="17">
        <f t="shared" ref="X2:X63" si="1">COUNTIF($L$2:L2,"&lt;&gt;"&amp;"")</f>
        <v>1</v>
      </c>
      <c r="Y2" s="18">
        <f t="shared" ref="Y2:Y63" si="2">SUMIF($X$2:$X$64,X2,$A$2:$A$64)</f>
        <v>2308894.1361668631</v>
      </c>
      <c r="Z2" s="19"/>
      <c r="AA2" s="20"/>
      <c r="AB2" s="21" t="b">
        <v>1</v>
      </c>
      <c r="AC2" s="22">
        <f t="shared" ref="AC2:AC63" si="3">IF(L2="",0,IF(AB2=FALSE(),0,Y2))</f>
        <v>2308894.1361668631</v>
      </c>
      <c r="AD2" s="23"/>
      <c r="AE2" s="23"/>
    </row>
    <row r="3" spans="1:31" ht="15">
      <c r="A3" s="10">
        <f t="shared" si="0"/>
        <v>2142621.0153482882</v>
      </c>
      <c r="B3" s="12"/>
      <c r="C3" s="11">
        <v>4</v>
      </c>
      <c r="D3" s="11">
        <v>4</v>
      </c>
      <c r="E3" s="12"/>
      <c r="F3" s="84"/>
      <c r="G3" s="12"/>
      <c r="H3" s="12"/>
      <c r="I3" s="12"/>
      <c r="J3" s="13"/>
      <c r="K3" s="13"/>
      <c r="L3" s="14" t="s">
        <v>17</v>
      </c>
      <c r="M3" s="16"/>
      <c r="N3" s="16"/>
      <c r="O3" s="17"/>
      <c r="P3" s="17"/>
      <c r="Q3" s="17"/>
      <c r="R3" s="17"/>
      <c r="S3" s="17"/>
      <c r="T3" s="17"/>
      <c r="U3" s="17"/>
      <c r="V3" s="17"/>
      <c r="W3" s="17"/>
      <c r="X3" s="17">
        <f t="shared" si="1"/>
        <v>2</v>
      </c>
      <c r="Y3" s="18">
        <f t="shared" si="2"/>
        <v>2142621.0153482882</v>
      </c>
      <c r="Z3" s="24"/>
      <c r="AA3" s="20"/>
      <c r="AB3" s="21" t="b">
        <v>1</v>
      </c>
      <c r="AC3" s="22">
        <f t="shared" si="3"/>
        <v>2142621.0153482882</v>
      </c>
      <c r="AD3" s="23"/>
      <c r="AE3" s="23"/>
    </row>
    <row r="4" spans="1:31" ht="15">
      <c r="A4" s="10">
        <f t="shared" si="0"/>
        <v>1070798.8980716253</v>
      </c>
      <c r="B4" s="12"/>
      <c r="C4" s="12"/>
      <c r="D4" s="12"/>
      <c r="E4" s="12"/>
      <c r="F4" s="12"/>
      <c r="G4" s="12"/>
      <c r="H4" s="11">
        <v>4</v>
      </c>
      <c r="I4" s="12"/>
      <c r="J4" s="13"/>
      <c r="K4" s="13"/>
      <c r="L4" s="14" t="s">
        <v>18</v>
      </c>
      <c r="M4" s="16"/>
      <c r="N4" s="16"/>
      <c r="O4" s="17"/>
      <c r="P4" s="17"/>
      <c r="Q4" s="17"/>
      <c r="R4" s="17"/>
      <c r="S4" s="17"/>
      <c r="T4" s="17"/>
      <c r="U4" s="17"/>
      <c r="V4" s="17"/>
      <c r="W4" s="17"/>
      <c r="X4" s="17">
        <f t="shared" si="1"/>
        <v>3</v>
      </c>
      <c r="Y4" s="18">
        <f t="shared" si="2"/>
        <v>1070798.8980716253</v>
      </c>
      <c r="Z4" s="24"/>
      <c r="AA4" s="25"/>
      <c r="AB4" s="21" t="b">
        <v>1</v>
      </c>
      <c r="AC4" s="22">
        <f t="shared" si="3"/>
        <v>1070798.8980716253</v>
      </c>
      <c r="AD4" s="23"/>
      <c r="AE4" s="23"/>
    </row>
    <row r="5" spans="1:31" ht="15">
      <c r="A5" s="10">
        <f t="shared" si="0"/>
        <v>1173632.4281778827</v>
      </c>
      <c r="B5" s="13"/>
      <c r="C5" s="13"/>
      <c r="D5" s="13"/>
      <c r="E5" s="13"/>
      <c r="F5" s="13"/>
      <c r="G5" s="13"/>
      <c r="H5" s="13"/>
      <c r="I5" s="13"/>
      <c r="J5" s="13"/>
      <c r="K5" s="13">
        <v>4</v>
      </c>
      <c r="L5" s="26" t="s">
        <v>19</v>
      </c>
      <c r="M5" s="16"/>
      <c r="N5" s="16"/>
      <c r="O5" s="17"/>
      <c r="P5" s="17"/>
      <c r="Q5" s="17"/>
      <c r="R5" s="17"/>
      <c r="S5" s="17"/>
      <c r="T5" s="17"/>
      <c r="U5" s="17"/>
      <c r="V5" s="17"/>
      <c r="W5" s="17"/>
      <c r="X5" s="17">
        <f t="shared" si="1"/>
        <v>4</v>
      </c>
      <c r="Y5" s="18">
        <f t="shared" si="2"/>
        <v>1173632.4281778827</v>
      </c>
      <c r="Z5" s="24"/>
      <c r="AA5" s="25"/>
      <c r="AB5" s="21" t="b">
        <v>1</v>
      </c>
      <c r="AC5" s="22">
        <f t="shared" si="3"/>
        <v>1173632.4281778827</v>
      </c>
      <c r="AD5" s="23"/>
      <c r="AE5" s="23"/>
    </row>
    <row r="6" spans="1:31" ht="15">
      <c r="A6" s="10">
        <f t="shared" si="0"/>
        <v>0</v>
      </c>
      <c r="B6" s="13"/>
      <c r="C6" s="13"/>
      <c r="D6" s="13"/>
      <c r="E6" s="13"/>
      <c r="F6" s="13"/>
      <c r="G6" s="13"/>
      <c r="H6" s="13"/>
      <c r="I6" s="13"/>
      <c r="J6" s="13"/>
      <c r="K6" s="13"/>
      <c r="L6" s="14"/>
      <c r="M6" s="16"/>
      <c r="N6" s="16"/>
      <c r="O6" s="17"/>
      <c r="P6" s="17"/>
      <c r="Q6" s="17"/>
      <c r="R6" s="17"/>
      <c r="S6" s="17"/>
      <c r="T6" s="17"/>
      <c r="U6" s="17"/>
      <c r="V6" s="17"/>
      <c r="W6" s="17"/>
      <c r="X6" s="17">
        <f t="shared" si="1"/>
        <v>4</v>
      </c>
      <c r="Y6" s="18">
        <f t="shared" si="2"/>
        <v>1173632.4281778827</v>
      </c>
      <c r="Z6" s="19"/>
      <c r="AA6" s="20"/>
      <c r="AB6" s="21" t="b">
        <v>1</v>
      </c>
      <c r="AC6" s="22">
        <f t="shared" si="3"/>
        <v>0</v>
      </c>
      <c r="AD6" s="23"/>
      <c r="AE6" s="23"/>
    </row>
    <row r="7" spans="1:31" ht="15">
      <c r="A7" s="10">
        <f t="shared" si="0"/>
        <v>0</v>
      </c>
      <c r="B7" s="13"/>
      <c r="C7" s="13"/>
      <c r="D7" s="13"/>
      <c r="E7" s="13"/>
      <c r="F7" s="13"/>
      <c r="G7" s="13"/>
      <c r="H7" s="13"/>
      <c r="I7" s="13"/>
      <c r="J7" s="13"/>
      <c r="K7" s="13"/>
      <c r="L7" s="26" t="s">
        <v>158</v>
      </c>
      <c r="M7" s="16"/>
      <c r="N7" s="16"/>
      <c r="O7" s="17"/>
      <c r="P7" s="17"/>
      <c r="Q7" s="17"/>
      <c r="R7" s="17"/>
      <c r="S7" s="17"/>
      <c r="T7" s="17"/>
      <c r="U7" s="17"/>
      <c r="V7" s="17"/>
      <c r="W7" s="17"/>
      <c r="X7" s="17">
        <f t="shared" si="1"/>
        <v>5</v>
      </c>
      <c r="Y7" s="18">
        <f t="shared" si="2"/>
        <v>5583988.5871704044</v>
      </c>
      <c r="Z7" s="24"/>
      <c r="AA7" s="25"/>
      <c r="AB7" s="21" t="b">
        <v>1</v>
      </c>
      <c r="AC7" s="22">
        <f t="shared" si="3"/>
        <v>5583988.5871704044</v>
      </c>
      <c r="AD7" s="23"/>
      <c r="AE7" s="23"/>
    </row>
    <row r="8" spans="1:31" ht="15">
      <c r="A8" s="10">
        <f t="shared" si="0"/>
        <v>293408.10704447067</v>
      </c>
      <c r="B8" s="13"/>
      <c r="C8" s="13"/>
      <c r="D8" s="13"/>
      <c r="E8" s="13"/>
      <c r="F8" s="13"/>
      <c r="G8" s="13"/>
      <c r="H8" s="13"/>
      <c r="I8" s="13"/>
      <c r="J8" s="13"/>
      <c r="K8" s="13">
        <v>1</v>
      </c>
      <c r="L8" s="27"/>
      <c r="M8" s="16" t="s">
        <v>159</v>
      </c>
      <c r="N8" s="16"/>
      <c r="O8" s="17"/>
      <c r="P8" s="16"/>
      <c r="Q8" s="16"/>
      <c r="R8" s="17"/>
      <c r="S8" s="17"/>
      <c r="T8" s="17"/>
      <c r="U8" s="17"/>
      <c r="V8" s="17"/>
      <c r="W8" s="17"/>
      <c r="X8" s="17">
        <f t="shared" si="1"/>
        <v>5</v>
      </c>
      <c r="Y8" s="18">
        <f t="shared" si="2"/>
        <v>5583988.5871704044</v>
      </c>
      <c r="Z8" s="24"/>
      <c r="AA8" s="20"/>
      <c r="AB8" s="21" t="b">
        <v>1</v>
      </c>
      <c r="AC8" s="22">
        <f t="shared" si="3"/>
        <v>0</v>
      </c>
      <c r="AD8" s="28"/>
      <c r="AE8" s="28"/>
    </row>
    <row r="9" spans="1:31" ht="15">
      <c r="A9" s="10">
        <f t="shared" si="0"/>
        <v>2769496.2613144428</v>
      </c>
      <c r="B9" s="13">
        <v>1</v>
      </c>
      <c r="C9" s="13">
        <v>1</v>
      </c>
      <c r="D9" s="13">
        <v>1</v>
      </c>
      <c r="E9" s="13"/>
      <c r="F9" s="13">
        <v>1</v>
      </c>
      <c r="G9" s="13">
        <v>2</v>
      </c>
      <c r="H9" s="13">
        <v>1</v>
      </c>
      <c r="I9" s="13"/>
      <c r="J9" s="13"/>
      <c r="K9" s="13">
        <v>2</v>
      </c>
      <c r="L9" s="14"/>
      <c r="M9" s="16" t="s">
        <v>160</v>
      </c>
      <c r="N9" s="16"/>
      <c r="O9" s="17"/>
      <c r="P9" s="16"/>
      <c r="Q9" s="16"/>
      <c r="R9" s="17"/>
      <c r="S9" s="17"/>
      <c r="T9" s="17"/>
      <c r="U9" s="17"/>
      <c r="V9" s="17"/>
      <c r="W9" s="17"/>
      <c r="X9" s="17">
        <f t="shared" si="1"/>
        <v>5</v>
      </c>
      <c r="Y9" s="18">
        <f t="shared" si="2"/>
        <v>5583988.5871704044</v>
      </c>
      <c r="Z9" s="24"/>
      <c r="AA9" s="20"/>
      <c r="AB9" s="21" t="b">
        <v>1</v>
      </c>
      <c r="AC9" s="22">
        <f t="shared" si="3"/>
        <v>0</v>
      </c>
      <c r="AD9" s="28"/>
      <c r="AE9" s="28"/>
    </row>
    <row r="10" spans="1:31" ht="15">
      <c r="A10" s="10">
        <f t="shared" si="0"/>
        <v>0</v>
      </c>
      <c r="B10" s="13"/>
      <c r="C10" s="13"/>
      <c r="D10" s="13"/>
      <c r="E10" s="13"/>
      <c r="F10" s="13"/>
      <c r="G10" s="13"/>
      <c r="H10" s="13"/>
      <c r="I10" s="13"/>
      <c r="J10" s="13"/>
      <c r="K10" s="13"/>
      <c r="L10" s="26"/>
      <c r="M10" s="16"/>
      <c r="N10" s="16" t="s">
        <v>161</v>
      </c>
      <c r="O10" s="17"/>
      <c r="P10" s="16"/>
      <c r="Q10" s="16"/>
      <c r="R10" s="17"/>
      <c r="S10" s="17"/>
      <c r="T10" s="17"/>
      <c r="U10" s="17"/>
      <c r="V10" s="17"/>
      <c r="W10" s="17"/>
      <c r="X10" s="17">
        <f t="shared" si="1"/>
        <v>5</v>
      </c>
      <c r="Y10" s="18">
        <f t="shared" si="2"/>
        <v>5583988.5871704044</v>
      </c>
      <c r="Z10" s="24"/>
      <c r="AA10" s="20"/>
      <c r="AB10" s="21" t="b">
        <v>1</v>
      </c>
      <c r="AC10" s="22">
        <f t="shared" si="3"/>
        <v>0</v>
      </c>
      <c r="AD10" s="28"/>
      <c r="AE10" s="28"/>
    </row>
    <row r="11" spans="1:31" ht="15">
      <c r="A11" s="10">
        <f t="shared" si="0"/>
        <v>293408.10704447067</v>
      </c>
      <c r="B11" s="13"/>
      <c r="C11" s="13"/>
      <c r="D11" s="13"/>
      <c r="E11" s="13"/>
      <c r="F11" s="13"/>
      <c r="G11" s="13"/>
      <c r="H11" s="13"/>
      <c r="I11" s="13"/>
      <c r="J11" s="13"/>
      <c r="K11" s="13">
        <v>1</v>
      </c>
      <c r="L11" s="27"/>
      <c r="M11" s="16"/>
      <c r="N11" s="16" t="s">
        <v>162</v>
      </c>
      <c r="O11" s="17"/>
      <c r="P11" s="16"/>
      <c r="Q11" s="16"/>
      <c r="R11" s="17"/>
      <c r="S11" s="17"/>
      <c r="T11" s="17"/>
      <c r="U11" s="17"/>
      <c r="V11" s="17"/>
      <c r="W11" s="17"/>
      <c r="X11" s="17">
        <f t="shared" si="1"/>
        <v>5</v>
      </c>
      <c r="Y11" s="18">
        <f t="shared" si="2"/>
        <v>5583988.5871704044</v>
      </c>
      <c r="Z11" s="24"/>
      <c r="AA11" s="20"/>
      <c r="AB11" s="21" t="b">
        <v>1</v>
      </c>
      <c r="AC11" s="22">
        <f t="shared" si="3"/>
        <v>0</v>
      </c>
      <c r="AD11" s="28"/>
      <c r="AE11" s="28"/>
    </row>
    <row r="12" spans="1:31" ht="15">
      <c r="A12" s="10">
        <f t="shared" si="0"/>
        <v>838400.2361275088</v>
      </c>
      <c r="B12" s="13">
        <v>1</v>
      </c>
      <c r="C12" s="13"/>
      <c r="D12" s="13"/>
      <c r="E12" s="13"/>
      <c r="F12" s="13">
        <v>1</v>
      </c>
      <c r="G12" s="13"/>
      <c r="H12" s="13"/>
      <c r="I12" s="13"/>
      <c r="J12" s="13"/>
      <c r="K12" s="13"/>
      <c r="L12" s="14"/>
      <c r="M12" s="16"/>
      <c r="N12" s="16" t="s">
        <v>163</v>
      </c>
      <c r="O12" s="17"/>
      <c r="P12" s="16"/>
      <c r="Q12" s="16"/>
      <c r="R12" s="17"/>
      <c r="S12" s="17"/>
      <c r="T12" s="17"/>
      <c r="U12" s="17"/>
      <c r="V12" s="17"/>
      <c r="W12" s="17"/>
      <c r="X12" s="17">
        <f t="shared" si="1"/>
        <v>5</v>
      </c>
      <c r="Y12" s="18">
        <f t="shared" si="2"/>
        <v>5583988.5871704044</v>
      </c>
      <c r="Z12" s="24"/>
      <c r="AA12" s="20"/>
      <c r="AB12" s="21" t="b">
        <v>1</v>
      </c>
      <c r="AC12" s="22">
        <f t="shared" si="3"/>
        <v>0</v>
      </c>
      <c r="AD12" s="28"/>
      <c r="AE12" s="28"/>
    </row>
    <row r="13" spans="1:31" ht="15">
      <c r="A13" s="10">
        <f t="shared" si="0"/>
        <v>0</v>
      </c>
      <c r="B13" s="13"/>
      <c r="C13" s="13"/>
      <c r="D13" s="13"/>
      <c r="E13" s="13"/>
      <c r="F13" s="13"/>
      <c r="G13" s="13"/>
      <c r="H13" s="13"/>
      <c r="I13" s="13"/>
      <c r="J13" s="13"/>
      <c r="K13" s="13"/>
      <c r="L13" s="26"/>
      <c r="M13" s="16"/>
      <c r="N13" s="16" t="s">
        <v>164</v>
      </c>
      <c r="O13" s="17"/>
      <c r="P13" s="16"/>
      <c r="Q13" s="16"/>
      <c r="R13" s="17"/>
      <c r="S13" s="17"/>
      <c r="T13" s="17"/>
      <c r="U13" s="17"/>
      <c r="V13" s="17"/>
      <c r="W13" s="17"/>
      <c r="X13" s="17">
        <f t="shared" si="1"/>
        <v>5</v>
      </c>
      <c r="Y13" s="18">
        <f t="shared" si="2"/>
        <v>5583988.5871704044</v>
      </c>
      <c r="Z13" s="24"/>
      <c r="AA13" s="20"/>
      <c r="AB13" s="21" t="b">
        <v>1</v>
      </c>
      <c r="AC13" s="22">
        <f t="shared" si="3"/>
        <v>0</v>
      </c>
      <c r="AD13" s="28"/>
      <c r="AE13" s="28"/>
    </row>
    <row r="14" spans="1:31" ht="15">
      <c r="A14" s="10">
        <f t="shared" si="0"/>
        <v>1095867.7685950412</v>
      </c>
      <c r="B14" s="13">
        <v>1</v>
      </c>
      <c r="C14" s="13"/>
      <c r="D14" s="13"/>
      <c r="E14" s="13"/>
      <c r="F14" s="13"/>
      <c r="G14" s="13"/>
      <c r="H14" s="13"/>
      <c r="I14" s="13"/>
      <c r="J14" s="13"/>
      <c r="K14" s="13">
        <v>2</v>
      </c>
      <c r="L14" s="26"/>
      <c r="M14" s="16"/>
      <c r="N14" s="91" t="s">
        <v>165</v>
      </c>
      <c r="O14" s="17"/>
      <c r="P14" s="16"/>
      <c r="Q14" s="16"/>
      <c r="R14" s="17"/>
      <c r="S14" s="17"/>
      <c r="T14" s="17"/>
      <c r="U14" s="17"/>
      <c r="V14" s="17"/>
      <c r="W14" s="17"/>
      <c r="X14" s="17">
        <f t="shared" si="1"/>
        <v>5</v>
      </c>
      <c r="Y14" s="18">
        <f t="shared" si="2"/>
        <v>5583988.5871704044</v>
      </c>
      <c r="Z14" s="24"/>
      <c r="AA14" s="20"/>
      <c r="AB14" s="21" t="b">
        <v>1</v>
      </c>
      <c r="AC14" s="22">
        <f t="shared" si="3"/>
        <v>0</v>
      </c>
      <c r="AD14" s="28"/>
      <c r="AE14" s="28"/>
    </row>
    <row r="15" spans="1:31" ht="15">
      <c r="A15" s="10">
        <f t="shared" si="0"/>
        <v>293408.10704447067</v>
      </c>
      <c r="B15" s="13"/>
      <c r="C15" s="13"/>
      <c r="D15" s="13"/>
      <c r="E15" s="13"/>
      <c r="F15" s="13"/>
      <c r="G15" s="13"/>
      <c r="H15" s="13"/>
      <c r="I15" s="13"/>
      <c r="J15" s="13"/>
      <c r="K15" s="13">
        <v>1</v>
      </c>
      <c r="L15" s="27"/>
      <c r="M15" s="16"/>
      <c r="N15" s="16" t="s">
        <v>166</v>
      </c>
      <c r="O15" s="17"/>
      <c r="P15" s="16"/>
      <c r="Q15" s="16"/>
      <c r="R15" s="17"/>
      <c r="S15" s="17"/>
      <c r="T15" s="17"/>
      <c r="U15" s="17"/>
      <c r="V15" s="17"/>
      <c r="W15" s="17"/>
      <c r="X15" s="17">
        <f t="shared" si="1"/>
        <v>5</v>
      </c>
      <c r="Y15" s="18">
        <f t="shared" si="2"/>
        <v>5583988.5871704044</v>
      </c>
      <c r="Z15" s="24"/>
      <c r="AA15" s="20"/>
      <c r="AB15" s="21" t="b">
        <v>1</v>
      </c>
      <c r="AC15" s="22">
        <f t="shared" si="3"/>
        <v>0</v>
      </c>
      <c r="AD15" s="28"/>
      <c r="AE15" s="28"/>
    </row>
    <row r="16" spans="1:31" ht="15">
      <c r="A16" s="10">
        <f t="shared" si="0"/>
        <v>0</v>
      </c>
      <c r="B16" s="13"/>
      <c r="C16" s="13"/>
      <c r="D16" s="13"/>
      <c r="E16" s="13"/>
      <c r="F16" s="13"/>
      <c r="G16" s="13"/>
      <c r="H16" s="13"/>
      <c r="I16" s="13"/>
      <c r="J16" s="13"/>
      <c r="K16" s="13"/>
      <c r="L16" s="26" t="s">
        <v>167</v>
      </c>
      <c r="M16" s="16"/>
      <c r="N16" s="16"/>
      <c r="O16" s="17"/>
      <c r="P16" s="16"/>
      <c r="Q16" s="16"/>
      <c r="R16" s="16"/>
      <c r="S16" s="17"/>
      <c r="T16" s="17"/>
      <c r="U16" s="17"/>
      <c r="V16" s="17"/>
      <c r="W16" s="17"/>
      <c r="X16" s="17">
        <f t="shared" si="1"/>
        <v>6</v>
      </c>
      <c r="Y16" s="18">
        <f t="shared" si="2"/>
        <v>10898947.264856355</v>
      </c>
      <c r="Z16" s="24"/>
      <c r="AA16" s="20"/>
      <c r="AB16" s="21" t="b">
        <v>1</v>
      </c>
      <c r="AC16" s="22">
        <f t="shared" si="3"/>
        <v>10898947.264856355</v>
      </c>
      <c r="AD16" s="28"/>
      <c r="AE16" s="28"/>
    </row>
    <row r="17" spans="1:31" ht="15">
      <c r="A17" s="10">
        <f t="shared" si="0"/>
        <v>4097967.3356946083</v>
      </c>
      <c r="B17" s="11">
        <v>3</v>
      </c>
      <c r="C17" s="11"/>
      <c r="D17" s="11"/>
      <c r="E17" s="11">
        <v>3</v>
      </c>
      <c r="F17" s="12"/>
      <c r="G17" s="11">
        <v>3</v>
      </c>
      <c r="H17" s="12"/>
      <c r="I17" s="12"/>
      <c r="J17" s="12"/>
      <c r="K17" s="83">
        <v>2</v>
      </c>
      <c r="L17" s="27"/>
      <c r="M17" s="16" t="s">
        <v>168</v>
      </c>
      <c r="N17" s="29"/>
      <c r="O17" s="16"/>
      <c r="P17" s="16"/>
      <c r="Q17" s="16"/>
      <c r="R17" s="16"/>
      <c r="S17" s="17"/>
      <c r="T17" s="17"/>
      <c r="U17" s="17"/>
      <c r="V17" s="17"/>
      <c r="W17" s="17"/>
      <c r="X17" s="17">
        <f t="shared" si="1"/>
        <v>6</v>
      </c>
      <c r="Y17" s="18">
        <f t="shared" si="2"/>
        <v>10898947.264856355</v>
      </c>
      <c r="Z17" s="24"/>
      <c r="AA17" s="20"/>
      <c r="AB17" s="21" t="b">
        <v>1</v>
      </c>
      <c r="AC17" s="22">
        <f t="shared" si="3"/>
        <v>0</v>
      </c>
      <c r="AD17" s="28"/>
      <c r="AE17" s="28"/>
    </row>
    <row r="18" spans="1:31" ht="15">
      <c r="A18" s="10">
        <f t="shared" si="0"/>
        <v>3143227.0759543483</v>
      </c>
      <c r="B18" s="11">
        <v>3</v>
      </c>
      <c r="C18" s="12"/>
      <c r="D18" s="12"/>
      <c r="E18" s="11">
        <v>2</v>
      </c>
      <c r="F18" s="12"/>
      <c r="G18" s="11">
        <v>2</v>
      </c>
      <c r="H18" s="12"/>
      <c r="I18" s="12"/>
      <c r="J18" s="12"/>
      <c r="K18" s="83">
        <v>1</v>
      </c>
      <c r="L18" s="14"/>
      <c r="M18" s="27"/>
      <c r="N18" s="16" t="s">
        <v>169</v>
      </c>
      <c r="O18" s="16"/>
      <c r="P18" s="16"/>
      <c r="Q18" s="16"/>
      <c r="R18" s="16"/>
      <c r="S18" s="17"/>
      <c r="T18" s="17"/>
      <c r="U18" s="17"/>
      <c r="V18" s="17"/>
      <c r="W18" s="17"/>
      <c r="X18" s="17">
        <f t="shared" si="1"/>
        <v>6</v>
      </c>
      <c r="Y18" s="18">
        <f t="shared" si="2"/>
        <v>10898947.264856355</v>
      </c>
      <c r="Z18" s="24"/>
      <c r="AA18" s="20"/>
      <c r="AB18" s="21" t="b">
        <v>1</v>
      </c>
      <c r="AC18" s="22">
        <f t="shared" si="3"/>
        <v>0</v>
      </c>
      <c r="AD18" s="28"/>
      <c r="AE18" s="28"/>
    </row>
    <row r="19" spans="1:31" ht="15">
      <c r="A19" s="10">
        <f t="shared" si="0"/>
        <v>586816.21408894134</v>
      </c>
      <c r="B19" s="13"/>
      <c r="C19" s="13"/>
      <c r="D19" s="13"/>
      <c r="E19" s="13"/>
      <c r="F19" s="13"/>
      <c r="G19" s="13"/>
      <c r="H19" s="13"/>
      <c r="I19" s="13"/>
      <c r="J19" s="13"/>
      <c r="K19" s="11">
        <v>2</v>
      </c>
      <c r="L19" s="26"/>
      <c r="M19" s="16"/>
      <c r="N19" s="16" t="s">
        <v>170</v>
      </c>
      <c r="O19" s="16"/>
      <c r="P19" s="16"/>
      <c r="Q19" s="16"/>
      <c r="R19" s="16"/>
      <c r="S19" s="17"/>
      <c r="T19" s="17"/>
      <c r="U19" s="17"/>
      <c r="V19" s="17"/>
      <c r="W19" s="17"/>
      <c r="X19" s="17">
        <f t="shared" si="1"/>
        <v>6</v>
      </c>
      <c r="Y19" s="18">
        <f t="shared" si="2"/>
        <v>10898947.264856355</v>
      </c>
      <c r="Z19" s="24"/>
      <c r="AA19" s="20"/>
      <c r="AB19" s="21" t="b">
        <v>1</v>
      </c>
      <c r="AC19" s="22">
        <f t="shared" si="3"/>
        <v>0</v>
      </c>
      <c r="AD19" s="28"/>
      <c r="AE19" s="28"/>
    </row>
    <row r="20" spans="1:31" ht="15">
      <c r="A20" s="10">
        <f t="shared" si="0"/>
        <v>293408.10704447067</v>
      </c>
      <c r="B20" s="13"/>
      <c r="C20" s="13"/>
      <c r="D20" s="13"/>
      <c r="E20" s="13"/>
      <c r="F20" s="13"/>
      <c r="G20" s="13"/>
      <c r="H20" s="13"/>
      <c r="I20" s="13"/>
      <c r="J20" s="13"/>
      <c r="K20" s="83">
        <v>1</v>
      </c>
      <c r="L20" s="27"/>
      <c r="M20" s="16"/>
      <c r="N20" s="16" t="s">
        <v>171</v>
      </c>
      <c r="O20" s="16"/>
      <c r="P20" s="16"/>
      <c r="Q20" s="16"/>
      <c r="R20" s="16"/>
      <c r="S20" s="17"/>
      <c r="T20" s="17"/>
      <c r="U20" s="17"/>
      <c r="V20" s="17"/>
      <c r="W20" s="17"/>
      <c r="X20" s="17">
        <f t="shared" si="1"/>
        <v>6</v>
      </c>
      <c r="Y20" s="18">
        <f t="shared" si="2"/>
        <v>10898947.264856355</v>
      </c>
      <c r="Z20" s="19"/>
      <c r="AA20" s="20"/>
      <c r="AB20" s="21" t="b">
        <v>1</v>
      </c>
      <c r="AC20" s="22">
        <f t="shared" si="3"/>
        <v>0</v>
      </c>
      <c r="AD20" s="28"/>
      <c r="AE20" s="28"/>
    </row>
    <row r="21" spans="1:31" ht="15">
      <c r="A21" s="10">
        <f t="shared" si="0"/>
        <v>293408.10704447067</v>
      </c>
      <c r="B21" s="13"/>
      <c r="C21" s="13"/>
      <c r="D21" s="13"/>
      <c r="E21" s="13"/>
      <c r="F21" s="13"/>
      <c r="G21" s="13"/>
      <c r="H21" s="13"/>
      <c r="I21" s="13"/>
      <c r="J21" s="13"/>
      <c r="K21" s="83">
        <v>1</v>
      </c>
      <c r="L21" s="14"/>
      <c r="M21" s="16"/>
      <c r="N21" s="16" t="s">
        <v>172</v>
      </c>
      <c r="O21" s="16"/>
      <c r="P21" s="16"/>
      <c r="Q21" s="16"/>
      <c r="R21" s="16"/>
      <c r="S21" s="17"/>
      <c r="T21" s="17"/>
      <c r="U21" s="17"/>
      <c r="V21" s="17"/>
      <c r="W21" s="17"/>
      <c r="X21" s="17">
        <f t="shared" si="1"/>
        <v>6</v>
      </c>
      <c r="Y21" s="18">
        <f t="shared" si="2"/>
        <v>10898947.264856355</v>
      </c>
      <c r="Z21" s="24"/>
      <c r="AA21" s="20"/>
      <c r="AB21" s="21" t="b">
        <v>1</v>
      </c>
      <c r="AC21" s="22">
        <f t="shared" si="3"/>
        <v>0</v>
      </c>
      <c r="AD21" s="28"/>
      <c r="AE21" s="28"/>
    </row>
    <row r="22" spans="1:31" ht="15">
      <c r="A22" s="10">
        <f t="shared" si="0"/>
        <v>2190712.3179850453</v>
      </c>
      <c r="B22" s="11">
        <v>2</v>
      </c>
      <c r="C22" s="11"/>
      <c r="D22" s="11"/>
      <c r="E22" s="11">
        <v>3</v>
      </c>
      <c r="F22" s="11"/>
      <c r="G22" s="12"/>
      <c r="H22" s="12"/>
      <c r="I22" s="12"/>
      <c r="J22" s="12"/>
      <c r="K22" s="11"/>
      <c r="L22" s="26"/>
      <c r="M22" s="16" t="s">
        <v>173</v>
      </c>
      <c r="N22" s="16"/>
      <c r="O22" s="16"/>
      <c r="P22" s="16"/>
      <c r="Q22" s="16"/>
      <c r="R22" s="16"/>
      <c r="S22" s="17"/>
      <c r="T22" s="17"/>
      <c r="U22" s="17"/>
      <c r="V22" s="17"/>
      <c r="W22" s="17"/>
      <c r="X22" s="17">
        <f t="shared" si="1"/>
        <v>6</v>
      </c>
      <c r="Y22" s="18">
        <f t="shared" si="2"/>
        <v>10898947.264856355</v>
      </c>
      <c r="Z22" s="24"/>
      <c r="AA22" s="20"/>
      <c r="AB22" s="21" t="b">
        <v>1</v>
      </c>
      <c r="AC22" s="22">
        <f t="shared" si="3"/>
        <v>0</v>
      </c>
      <c r="AD22" s="28"/>
      <c r="AE22" s="28"/>
    </row>
    <row r="23" spans="1:31" ht="15">
      <c r="A23" s="10">
        <f t="shared" si="0"/>
        <v>293408.10704447067</v>
      </c>
      <c r="B23" s="13"/>
      <c r="C23" s="13"/>
      <c r="D23" s="13"/>
      <c r="E23" s="13"/>
      <c r="F23" s="13"/>
      <c r="G23" s="13"/>
      <c r="H23" s="13"/>
      <c r="I23" s="13"/>
      <c r="J23" s="13"/>
      <c r="K23" s="13">
        <v>1</v>
      </c>
      <c r="L23" s="27"/>
      <c r="M23" s="16" t="s">
        <v>174</v>
      </c>
      <c r="N23" s="16"/>
      <c r="O23" s="17"/>
      <c r="P23" s="16"/>
      <c r="Q23" s="16"/>
      <c r="R23" s="16"/>
      <c r="S23" s="17"/>
      <c r="T23" s="17"/>
      <c r="U23" s="17"/>
      <c r="V23" s="17"/>
      <c r="W23" s="17"/>
      <c r="X23" s="17">
        <f t="shared" si="1"/>
        <v>6</v>
      </c>
      <c r="Y23" s="18">
        <f t="shared" si="2"/>
        <v>10898947.264856355</v>
      </c>
      <c r="Z23" s="24"/>
      <c r="AA23" s="20"/>
      <c r="AB23" s="21" t="b">
        <v>1</v>
      </c>
      <c r="AC23" s="22">
        <f t="shared" si="3"/>
        <v>0</v>
      </c>
      <c r="AD23" s="28"/>
      <c r="AE23" s="28"/>
    </row>
    <row r="24" spans="1:31" ht="15">
      <c r="A24" s="10">
        <f t="shared" si="0"/>
        <v>0</v>
      </c>
      <c r="B24" s="13"/>
      <c r="C24" s="13"/>
      <c r="D24" s="13"/>
      <c r="E24" s="13"/>
      <c r="F24" s="13"/>
      <c r="G24" s="13"/>
      <c r="H24" s="13"/>
      <c r="I24" s="13"/>
      <c r="J24" s="13"/>
      <c r="K24" s="13"/>
      <c r="L24" s="26" t="s">
        <v>175</v>
      </c>
      <c r="M24" s="16"/>
      <c r="N24" s="16"/>
      <c r="O24" s="17"/>
      <c r="P24" s="16"/>
      <c r="Q24" s="16"/>
      <c r="R24" s="16"/>
      <c r="S24" s="17"/>
      <c r="T24" s="17"/>
      <c r="U24" s="17"/>
      <c r="V24" s="17"/>
      <c r="W24" s="17"/>
      <c r="X24" s="17">
        <f t="shared" si="1"/>
        <v>7</v>
      </c>
      <c r="Y24" s="18">
        <f t="shared" si="2"/>
        <v>4810665.0924832737</v>
      </c>
      <c r="Z24" s="19"/>
      <c r="AA24" s="30"/>
      <c r="AB24" s="21" t="b">
        <v>1</v>
      </c>
      <c r="AC24" s="22">
        <f t="shared" si="3"/>
        <v>4810665.0924832737</v>
      </c>
      <c r="AD24" s="28"/>
      <c r="AE24" s="28"/>
    </row>
    <row r="25" spans="1:31" ht="15">
      <c r="A25" s="10">
        <f t="shared" si="0"/>
        <v>1975068.870523416</v>
      </c>
      <c r="B25" s="83">
        <v>1</v>
      </c>
      <c r="C25" s="11"/>
      <c r="D25" s="11"/>
      <c r="E25" s="11">
        <v>3</v>
      </c>
      <c r="F25" s="13"/>
      <c r="G25" s="13"/>
      <c r="H25" s="13"/>
      <c r="I25" s="13"/>
      <c r="J25" s="13"/>
      <c r="K25" s="13">
        <v>1</v>
      </c>
      <c r="L25" s="26"/>
      <c r="M25" s="16" t="s">
        <v>176</v>
      </c>
      <c r="N25" s="16"/>
      <c r="O25" s="17"/>
      <c r="P25" s="16"/>
      <c r="Q25" s="16"/>
      <c r="R25" s="16"/>
      <c r="S25" s="17"/>
      <c r="T25" s="17"/>
      <c r="U25" s="17"/>
      <c r="V25" s="17"/>
      <c r="W25" s="17"/>
      <c r="X25" s="17">
        <f t="shared" si="1"/>
        <v>7</v>
      </c>
      <c r="Y25" s="18">
        <f t="shared" si="2"/>
        <v>4810665.0924832737</v>
      </c>
      <c r="Z25" s="24"/>
      <c r="AA25" s="20"/>
      <c r="AB25" s="21" t="b">
        <v>1</v>
      </c>
      <c r="AC25" s="22">
        <f t="shared" si="3"/>
        <v>0</v>
      </c>
      <c r="AD25" s="28"/>
      <c r="AE25" s="28"/>
    </row>
    <row r="26" spans="1:31" ht="15">
      <c r="A26" s="10">
        <f t="shared" si="0"/>
        <v>1368555.6867375048</v>
      </c>
      <c r="B26" s="11"/>
      <c r="C26" s="12"/>
      <c r="D26" s="12"/>
      <c r="E26" s="83">
        <v>2</v>
      </c>
      <c r="F26" s="13"/>
      <c r="G26" s="13"/>
      <c r="H26" s="13"/>
      <c r="I26" s="13"/>
      <c r="J26" s="13"/>
      <c r="K26" s="13">
        <v>2</v>
      </c>
      <c r="L26" s="27"/>
      <c r="M26" s="16" t="s">
        <v>177</v>
      </c>
      <c r="N26" s="16"/>
      <c r="O26" s="17"/>
      <c r="P26" s="16"/>
      <c r="Q26" s="16"/>
      <c r="R26" s="16"/>
      <c r="S26" s="17"/>
      <c r="T26" s="17"/>
      <c r="U26" s="17"/>
      <c r="V26" s="17"/>
      <c r="W26" s="17"/>
      <c r="X26" s="17">
        <f t="shared" si="1"/>
        <v>7</v>
      </c>
      <c r="Y26" s="18">
        <f t="shared" si="2"/>
        <v>4810665.0924832737</v>
      </c>
      <c r="Z26" s="24"/>
      <c r="AA26" s="20"/>
      <c r="AB26" s="21" t="b">
        <v>1</v>
      </c>
      <c r="AC26" s="22">
        <f t="shared" si="3"/>
        <v>0</v>
      </c>
      <c r="AD26" s="28"/>
      <c r="AE26" s="28"/>
    </row>
    <row r="27" spans="1:31" ht="15">
      <c r="A27" s="10">
        <f t="shared" si="0"/>
        <v>146704.05352223534</v>
      </c>
      <c r="B27" s="13"/>
      <c r="C27" s="13"/>
      <c r="D27" s="13"/>
      <c r="E27" s="13"/>
      <c r="F27" s="13"/>
      <c r="G27" s="13"/>
      <c r="H27" s="13"/>
      <c r="I27" s="13"/>
      <c r="J27" s="13"/>
      <c r="K27" s="13">
        <v>0.5</v>
      </c>
      <c r="L27" s="14"/>
      <c r="M27" s="16"/>
      <c r="N27" s="16" t="s">
        <v>178</v>
      </c>
      <c r="O27" s="17"/>
      <c r="P27" s="16"/>
      <c r="Q27" s="16"/>
      <c r="R27" s="16"/>
      <c r="S27" s="17"/>
      <c r="T27" s="17"/>
      <c r="U27" s="17"/>
      <c r="V27" s="17"/>
      <c r="W27" s="17"/>
      <c r="X27" s="17">
        <f t="shared" si="1"/>
        <v>7</v>
      </c>
      <c r="Y27" s="18">
        <f t="shared" si="2"/>
        <v>4810665.0924832737</v>
      </c>
      <c r="Z27" s="24"/>
      <c r="AA27" s="20"/>
      <c r="AB27" s="21" t="b">
        <v>1</v>
      </c>
      <c r="AC27" s="22">
        <f t="shared" si="3"/>
        <v>0</v>
      </c>
      <c r="AD27" s="28"/>
      <c r="AE27" s="28"/>
    </row>
    <row r="28" spans="1:31" ht="15">
      <c r="A28" s="10">
        <f t="shared" si="0"/>
        <v>146704.05352223534</v>
      </c>
      <c r="B28" s="13"/>
      <c r="C28" s="13"/>
      <c r="D28" s="13"/>
      <c r="E28" s="13"/>
      <c r="F28" s="13"/>
      <c r="G28" s="13"/>
      <c r="H28" s="13"/>
      <c r="I28" s="13"/>
      <c r="J28" s="13"/>
      <c r="K28" s="13">
        <v>0.5</v>
      </c>
      <c r="L28" s="26"/>
      <c r="M28" s="16"/>
      <c r="N28" s="16" t="s">
        <v>179</v>
      </c>
      <c r="O28" s="17"/>
      <c r="P28" s="16"/>
      <c r="Q28" s="16"/>
      <c r="R28" s="16"/>
      <c r="S28" s="17"/>
      <c r="T28" s="17"/>
      <c r="U28" s="17"/>
      <c r="V28" s="17"/>
      <c r="W28" s="17"/>
      <c r="X28" s="17">
        <f t="shared" si="1"/>
        <v>7</v>
      </c>
      <c r="Y28" s="18">
        <f t="shared" si="2"/>
        <v>4810665.0924832737</v>
      </c>
      <c r="Z28" s="24"/>
      <c r="AA28" s="20"/>
      <c r="AB28" s="21" t="b">
        <v>1</v>
      </c>
      <c r="AC28" s="22">
        <f t="shared" si="3"/>
        <v>0</v>
      </c>
      <c r="AD28" s="28"/>
      <c r="AE28" s="28"/>
    </row>
    <row r="29" spans="1:31" ht="15">
      <c r="A29" s="10">
        <f t="shared" si="0"/>
        <v>293408.10704447067</v>
      </c>
      <c r="B29" s="13"/>
      <c r="C29" s="13"/>
      <c r="D29" s="13"/>
      <c r="E29" s="13"/>
      <c r="F29" s="13"/>
      <c r="G29" s="13"/>
      <c r="H29" s="13"/>
      <c r="I29" s="13"/>
      <c r="J29" s="13"/>
      <c r="K29" s="13">
        <v>1</v>
      </c>
      <c r="L29" s="26"/>
      <c r="M29" s="16"/>
      <c r="N29" s="16" t="s">
        <v>180</v>
      </c>
      <c r="O29" s="17"/>
      <c r="P29" s="16"/>
      <c r="Q29" s="16"/>
      <c r="R29" s="16"/>
      <c r="S29" s="17"/>
      <c r="T29" s="17"/>
      <c r="U29" s="17"/>
      <c r="V29" s="17"/>
      <c r="W29" s="17"/>
      <c r="X29" s="17">
        <f t="shared" si="1"/>
        <v>7</v>
      </c>
      <c r="Y29" s="18">
        <f t="shared" si="2"/>
        <v>4810665.0924832737</v>
      </c>
      <c r="Z29" s="24"/>
      <c r="AA29" s="20"/>
      <c r="AB29" s="21" t="b">
        <v>1</v>
      </c>
      <c r="AC29" s="22">
        <f t="shared" si="3"/>
        <v>0</v>
      </c>
      <c r="AD29" s="28"/>
      <c r="AE29" s="28"/>
    </row>
    <row r="30" spans="1:31" ht="15">
      <c r="A30" s="10">
        <f t="shared" si="0"/>
        <v>0</v>
      </c>
      <c r="B30" s="13"/>
      <c r="C30" s="13"/>
      <c r="D30" s="13"/>
      <c r="E30" s="13"/>
      <c r="F30" s="13"/>
      <c r="G30" s="13"/>
      <c r="H30" s="13"/>
      <c r="I30" s="13"/>
      <c r="J30" s="13"/>
      <c r="K30" s="13"/>
      <c r="L30" s="27"/>
      <c r="M30" s="16"/>
      <c r="N30" s="16" t="s">
        <v>181</v>
      </c>
      <c r="O30" s="17"/>
      <c r="P30" s="16"/>
      <c r="Q30" s="16"/>
      <c r="R30" s="16"/>
      <c r="S30" s="17"/>
      <c r="T30" s="17"/>
      <c r="U30" s="17"/>
      <c r="V30" s="17"/>
      <c r="W30" s="17"/>
      <c r="X30" s="17">
        <f t="shared" si="1"/>
        <v>7</v>
      </c>
      <c r="Y30" s="18">
        <f t="shared" si="2"/>
        <v>4810665.0924832737</v>
      </c>
      <c r="Z30" s="24"/>
      <c r="AA30" s="20"/>
      <c r="AB30" s="21" t="b">
        <v>1</v>
      </c>
      <c r="AC30" s="22">
        <f t="shared" si="3"/>
        <v>0</v>
      </c>
      <c r="AD30" s="28"/>
      <c r="AE30" s="28"/>
    </row>
    <row r="31" spans="1:31" ht="15">
      <c r="A31" s="10">
        <f t="shared" si="0"/>
        <v>586816.21408894134</v>
      </c>
      <c r="B31" s="13"/>
      <c r="C31" s="13"/>
      <c r="D31" s="13"/>
      <c r="E31" s="13"/>
      <c r="F31" s="13"/>
      <c r="G31" s="13"/>
      <c r="H31" s="13"/>
      <c r="I31" s="13"/>
      <c r="J31" s="13"/>
      <c r="K31" s="13">
        <v>2</v>
      </c>
      <c r="L31" s="14"/>
      <c r="M31" s="16"/>
      <c r="N31" s="16" t="s">
        <v>182</v>
      </c>
      <c r="O31" s="17"/>
      <c r="P31" s="16"/>
      <c r="Q31" s="16"/>
      <c r="R31" s="16"/>
      <c r="S31" s="17"/>
      <c r="T31" s="17"/>
      <c r="U31" s="17"/>
      <c r="V31" s="17"/>
      <c r="W31" s="17"/>
      <c r="X31" s="17">
        <f t="shared" si="1"/>
        <v>7</v>
      </c>
      <c r="Y31" s="18">
        <f t="shared" si="2"/>
        <v>4810665.0924832737</v>
      </c>
      <c r="Z31" s="24"/>
      <c r="AA31" s="20"/>
      <c r="AB31" s="21" t="b">
        <v>1</v>
      </c>
      <c r="AC31" s="22">
        <f t="shared" si="3"/>
        <v>0</v>
      </c>
      <c r="AD31" s="28"/>
      <c r="AE31" s="28"/>
    </row>
    <row r="32" spans="1:31" ht="15">
      <c r="A32" s="10">
        <f t="shared" si="0"/>
        <v>293408.10704447067</v>
      </c>
      <c r="B32" s="13"/>
      <c r="C32" s="13"/>
      <c r="D32" s="13"/>
      <c r="E32" s="13"/>
      <c r="F32" s="13"/>
      <c r="G32" s="13"/>
      <c r="H32" s="13"/>
      <c r="I32" s="13"/>
      <c r="J32" s="13"/>
      <c r="K32" s="13">
        <v>1</v>
      </c>
      <c r="L32" s="26"/>
      <c r="M32" s="16"/>
      <c r="N32" s="16" t="s">
        <v>183</v>
      </c>
      <c r="O32" s="17"/>
      <c r="P32" s="16"/>
      <c r="Q32" s="16"/>
      <c r="R32" s="16"/>
      <c r="S32" s="17"/>
      <c r="T32" s="17"/>
      <c r="U32" s="17"/>
      <c r="V32" s="17"/>
      <c r="W32" s="17"/>
      <c r="X32" s="17">
        <f t="shared" si="1"/>
        <v>7</v>
      </c>
      <c r="Y32" s="18">
        <f t="shared" si="2"/>
        <v>4810665.0924832737</v>
      </c>
      <c r="Z32" s="24"/>
      <c r="AA32" s="20"/>
      <c r="AB32" s="21" t="b">
        <v>1</v>
      </c>
      <c r="AC32" s="22">
        <f t="shared" si="3"/>
        <v>0</v>
      </c>
      <c r="AD32" s="28"/>
      <c r="AE32" s="28"/>
    </row>
    <row r="33" spans="1:31" ht="15">
      <c r="A33" s="10">
        <f t="shared" si="0"/>
        <v>0</v>
      </c>
      <c r="B33" s="13"/>
      <c r="C33" s="13"/>
      <c r="D33" s="13"/>
      <c r="E33" s="13"/>
      <c r="F33" s="13"/>
      <c r="G33" s="13"/>
      <c r="H33" s="13"/>
      <c r="I33" s="13"/>
      <c r="J33" s="13"/>
      <c r="K33" s="13"/>
      <c r="L33" s="27"/>
      <c r="M33" s="16"/>
      <c r="N33" s="16" t="s">
        <v>184</v>
      </c>
      <c r="O33" s="17"/>
      <c r="P33" s="16"/>
      <c r="Q33" s="17"/>
      <c r="R33" s="16"/>
      <c r="S33" s="17"/>
      <c r="T33" s="17"/>
      <c r="U33" s="17"/>
      <c r="V33" s="17"/>
      <c r="W33" s="17"/>
      <c r="X33" s="17">
        <f t="shared" si="1"/>
        <v>7</v>
      </c>
      <c r="Y33" s="18">
        <f t="shared" si="2"/>
        <v>4810665.0924832737</v>
      </c>
      <c r="Z33" s="24"/>
      <c r="AA33" s="20"/>
      <c r="AB33" s="21" t="b">
        <v>1</v>
      </c>
      <c r="AC33" s="22">
        <f t="shared" si="3"/>
        <v>0</v>
      </c>
      <c r="AD33" s="28"/>
      <c r="AE33" s="28"/>
    </row>
    <row r="34" spans="1:31" ht="15">
      <c r="A34" s="10">
        <f t="shared" si="0"/>
        <v>0</v>
      </c>
      <c r="B34" s="13"/>
      <c r="C34" s="13"/>
      <c r="D34" s="13"/>
      <c r="E34" s="13"/>
      <c r="F34" s="13"/>
      <c r="G34" s="13"/>
      <c r="H34" s="13"/>
      <c r="I34" s="13"/>
      <c r="J34" s="13"/>
      <c r="K34" s="13"/>
      <c r="L34" s="26" t="s">
        <v>185</v>
      </c>
      <c r="M34" s="16"/>
      <c r="N34" s="16"/>
      <c r="O34" s="17"/>
      <c r="P34" s="16"/>
      <c r="Q34" s="16"/>
      <c r="R34" s="16"/>
      <c r="S34" s="17"/>
      <c r="T34" s="17"/>
      <c r="U34" s="17"/>
      <c r="V34" s="17"/>
      <c r="W34" s="17"/>
      <c r="X34" s="17">
        <f t="shared" si="1"/>
        <v>8</v>
      </c>
      <c r="Y34" s="18">
        <f t="shared" si="2"/>
        <v>7546599.7638724912</v>
      </c>
      <c r="Z34" s="24"/>
      <c r="AA34" s="20"/>
      <c r="AB34" s="21" t="b">
        <v>1</v>
      </c>
      <c r="AC34" s="22">
        <f t="shared" si="3"/>
        <v>7546599.7638724912</v>
      </c>
      <c r="AD34" s="28"/>
      <c r="AE34" s="28"/>
    </row>
    <row r="35" spans="1:31" ht="15">
      <c r="A35" s="10">
        <f t="shared" si="0"/>
        <v>2544439.1971664699</v>
      </c>
      <c r="B35" s="13">
        <v>2</v>
      </c>
      <c r="C35" s="13">
        <v>1</v>
      </c>
      <c r="D35" s="13">
        <v>1</v>
      </c>
      <c r="E35" s="13">
        <v>1</v>
      </c>
      <c r="F35" s="13">
        <v>1</v>
      </c>
      <c r="G35" s="13">
        <v>1</v>
      </c>
      <c r="H35" s="13"/>
      <c r="I35" s="13"/>
      <c r="J35" s="13"/>
      <c r="K35" s="13"/>
      <c r="L35" s="26"/>
      <c r="M35" s="16" t="s">
        <v>186</v>
      </c>
      <c r="N35" s="16"/>
      <c r="O35" s="17"/>
      <c r="P35" s="16"/>
      <c r="Q35" s="16"/>
      <c r="R35" s="16"/>
      <c r="S35" s="17"/>
      <c r="T35" s="17"/>
      <c r="U35" s="17"/>
      <c r="V35" s="17"/>
      <c r="W35" s="17"/>
      <c r="X35" s="17">
        <f t="shared" si="1"/>
        <v>8</v>
      </c>
      <c r="Y35" s="18">
        <f t="shared" si="2"/>
        <v>7546599.7638724912</v>
      </c>
      <c r="Z35" s="24"/>
      <c r="AA35" s="20"/>
      <c r="AB35" s="21" t="b">
        <v>1</v>
      </c>
      <c r="AC35" s="22">
        <f t="shared" si="3"/>
        <v>0</v>
      </c>
      <c r="AD35" s="28"/>
      <c r="AE35" s="28"/>
    </row>
    <row r="36" spans="1:31" ht="15">
      <c r="A36" s="10">
        <f t="shared" si="0"/>
        <v>4220421.0940574575</v>
      </c>
      <c r="B36" s="13">
        <v>1</v>
      </c>
      <c r="C36" s="13">
        <v>3</v>
      </c>
      <c r="D36" s="13">
        <v>3</v>
      </c>
      <c r="E36" s="13">
        <v>4</v>
      </c>
      <c r="F36" s="13"/>
      <c r="G36" s="13">
        <v>2</v>
      </c>
      <c r="H36" s="13"/>
      <c r="I36" s="13"/>
      <c r="J36" s="13"/>
      <c r="K36" s="13"/>
      <c r="L36" s="27"/>
      <c r="M36" s="16" t="s">
        <v>187</v>
      </c>
      <c r="N36" s="16"/>
      <c r="O36" s="17"/>
      <c r="P36" s="16"/>
      <c r="Q36" s="16"/>
      <c r="R36" s="16"/>
      <c r="S36" s="17"/>
      <c r="T36" s="17"/>
      <c r="U36" s="17"/>
      <c r="V36" s="17"/>
      <c r="W36" s="17"/>
      <c r="X36" s="17">
        <f t="shared" si="1"/>
        <v>8</v>
      </c>
      <c r="Y36" s="18">
        <f t="shared" si="2"/>
        <v>7546599.7638724912</v>
      </c>
      <c r="Z36" s="19"/>
      <c r="AA36" s="30"/>
      <c r="AB36" s="21" t="b">
        <v>1</v>
      </c>
      <c r="AC36" s="22">
        <f t="shared" si="3"/>
        <v>0</v>
      </c>
      <c r="AD36" s="28"/>
      <c r="AE36" s="28"/>
    </row>
    <row r="37" spans="1:31" ht="15">
      <c r="A37" s="10">
        <f t="shared" si="0"/>
        <v>781739.47264856356</v>
      </c>
      <c r="B37" s="13"/>
      <c r="C37" s="13"/>
      <c r="D37" s="13"/>
      <c r="E37" s="13">
        <v>2</v>
      </c>
      <c r="F37" s="13"/>
      <c r="G37" s="13"/>
      <c r="H37" s="13"/>
      <c r="I37" s="13"/>
      <c r="J37" s="13"/>
      <c r="K37" s="13"/>
      <c r="L37" s="26"/>
      <c r="M37" s="16" t="s">
        <v>188</v>
      </c>
      <c r="N37" s="16"/>
      <c r="O37" s="17"/>
      <c r="P37" s="16"/>
      <c r="Q37" s="16"/>
      <c r="R37" s="16"/>
      <c r="S37" s="17"/>
      <c r="T37" s="17"/>
      <c r="U37" s="17"/>
      <c r="V37" s="17"/>
      <c r="W37" s="17"/>
      <c r="X37" s="17">
        <f t="shared" si="1"/>
        <v>8</v>
      </c>
      <c r="Y37" s="18">
        <f t="shared" si="2"/>
        <v>7546599.7638724912</v>
      </c>
      <c r="Z37" s="19"/>
      <c r="AA37" s="30"/>
      <c r="AB37" s="21" t="b">
        <v>1</v>
      </c>
      <c r="AC37" s="22">
        <f t="shared" si="3"/>
        <v>0</v>
      </c>
      <c r="AD37" s="28"/>
      <c r="AE37" s="28"/>
    </row>
    <row r="38" spans="1:31" ht="15">
      <c r="A38" s="10">
        <f t="shared" si="0"/>
        <v>0</v>
      </c>
      <c r="B38" s="13"/>
      <c r="C38" s="13"/>
      <c r="D38" s="13"/>
      <c r="E38" s="13"/>
      <c r="F38" s="13"/>
      <c r="G38" s="13"/>
      <c r="H38" s="13"/>
      <c r="I38" s="13"/>
      <c r="J38" s="13"/>
      <c r="K38" s="13"/>
      <c r="L38" s="26" t="s">
        <v>189</v>
      </c>
      <c r="M38" s="16"/>
      <c r="N38" s="16"/>
      <c r="O38" s="17"/>
      <c r="P38" s="16"/>
      <c r="Q38" s="17"/>
      <c r="R38" s="17"/>
      <c r="S38" s="17"/>
      <c r="T38" s="17"/>
      <c r="U38" s="17"/>
      <c r="V38" s="17"/>
      <c r="W38" s="17"/>
      <c r="X38" s="17">
        <f t="shared" si="1"/>
        <v>9</v>
      </c>
      <c r="Y38" s="18">
        <f t="shared" si="2"/>
        <v>5703500.590318772</v>
      </c>
      <c r="Z38" s="24"/>
      <c r="AA38" s="20"/>
      <c r="AB38" s="21" t="b">
        <v>1</v>
      </c>
      <c r="AC38" s="22">
        <f t="shared" si="3"/>
        <v>5703500.590318772</v>
      </c>
      <c r="AD38" s="32"/>
      <c r="AE38" s="32"/>
    </row>
    <row r="39" spans="1:31" ht="15">
      <c r="A39" s="10">
        <f t="shared" si="0"/>
        <v>2605960.2518693428</v>
      </c>
      <c r="B39" s="13">
        <v>2</v>
      </c>
      <c r="C39" s="13">
        <v>1</v>
      </c>
      <c r="D39" s="13">
        <v>1</v>
      </c>
      <c r="E39" s="13">
        <v>2</v>
      </c>
      <c r="F39" s="13"/>
      <c r="G39" s="13">
        <v>1</v>
      </c>
      <c r="H39" s="13"/>
      <c r="I39" s="13"/>
      <c r="J39" s="13"/>
      <c r="K39" s="13"/>
      <c r="L39" s="27"/>
      <c r="M39" s="16" t="s">
        <v>190</v>
      </c>
      <c r="N39" s="16"/>
      <c r="O39" s="17"/>
      <c r="P39" s="16"/>
      <c r="Q39" s="16"/>
      <c r="R39" s="16"/>
      <c r="S39" s="17"/>
      <c r="T39" s="17"/>
      <c r="U39" s="17"/>
      <c r="V39" s="17"/>
      <c r="W39" s="17"/>
      <c r="X39" s="17">
        <f t="shared" si="1"/>
        <v>9</v>
      </c>
      <c r="Y39" s="18">
        <f t="shared" si="2"/>
        <v>5703500.590318772</v>
      </c>
      <c r="Z39" s="19"/>
      <c r="AA39" s="20"/>
      <c r="AB39" s="21" t="b">
        <v>1</v>
      </c>
      <c r="AC39" s="22">
        <f t="shared" si="3"/>
        <v>0</v>
      </c>
      <c r="AD39" s="28"/>
      <c r="AE39" s="28"/>
    </row>
    <row r="40" spans="1:31" ht="15">
      <c r="A40" s="10">
        <f t="shared" si="0"/>
        <v>0</v>
      </c>
      <c r="B40" s="13"/>
      <c r="C40" s="13"/>
      <c r="D40" s="13"/>
      <c r="E40" s="13"/>
      <c r="F40" s="13"/>
      <c r="G40" s="13"/>
      <c r="H40" s="13"/>
      <c r="I40" s="13"/>
      <c r="J40" s="13"/>
      <c r="K40" s="13"/>
      <c r="L40" s="14"/>
      <c r="M40" s="16"/>
      <c r="N40" s="16" t="s">
        <v>191</v>
      </c>
      <c r="O40" s="17"/>
      <c r="P40" s="16"/>
      <c r="Q40" s="16"/>
      <c r="R40" s="16"/>
      <c r="S40" s="17"/>
      <c r="T40" s="17"/>
      <c r="U40" s="17"/>
      <c r="V40" s="17"/>
      <c r="W40" s="17"/>
      <c r="X40" s="17">
        <f t="shared" si="1"/>
        <v>9</v>
      </c>
      <c r="Y40" s="18">
        <f t="shared" si="2"/>
        <v>5703500.590318772</v>
      </c>
      <c r="Z40" s="24"/>
      <c r="AA40" s="20"/>
      <c r="AB40" s="21" t="b">
        <v>1</v>
      </c>
      <c r="AC40" s="22">
        <f t="shared" si="3"/>
        <v>0</v>
      </c>
      <c r="AD40" s="32"/>
      <c r="AE40" s="32"/>
    </row>
    <row r="41" spans="1:31" ht="15">
      <c r="A41" s="10">
        <f t="shared" si="0"/>
        <v>293408.10704447067</v>
      </c>
      <c r="B41" s="13"/>
      <c r="C41" s="13"/>
      <c r="D41" s="13"/>
      <c r="E41" s="13"/>
      <c r="F41" s="13"/>
      <c r="G41" s="13"/>
      <c r="H41" s="13"/>
      <c r="I41" s="13"/>
      <c r="J41" s="13"/>
      <c r="K41" s="13">
        <v>1</v>
      </c>
      <c r="L41" s="26"/>
      <c r="M41" s="16"/>
      <c r="N41" s="16" t="s">
        <v>192</v>
      </c>
      <c r="O41" s="17"/>
      <c r="P41" s="16"/>
      <c r="Q41" s="16"/>
      <c r="R41" s="16"/>
      <c r="S41" s="17"/>
      <c r="T41" s="17"/>
      <c r="U41" s="17"/>
      <c r="V41" s="17"/>
      <c r="W41" s="17"/>
      <c r="X41" s="17">
        <f t="shared" si="1"/>
        <v>9</v>
      </c>
      <c r="Y41" s="18">
        <f t="shared" si="2"/>
        <v>5703500.590318772</v>
      </c>
      <c r="Z41" s="24"/>
      <c r="AA41" s="20"/>
      <c r="AB41" s="21" t="b">
        <v>1</v>
      </c>
      <c r="AC41" s="22">
        <f t="shared" si="3"/>
        <v>0</v>
      </c>
      <c r="AD41" s="32"/>
      <c r="AE41" s="32"/>
    </row>
    <row r="42" spans="1:31" ht="15">
      <c r="A42" s="10">
        <f t="shared" si="0"/>
        <v>2413262.4950806769</v>
      </c>
      <c r="B42" s="13">
        <v>1</v>
      </c>
      <c r="C42" s="13">
        <v>1</v>
      </c>
      <c r="D42" s="13">
        <v>1</v>
      </c>
      <c r="E42" s="13">
        <v>2</v>
      </c>
      <c r="F42" s="13"/>
      <c r="G42" s="13"/>
      <c r="H42" s="13"/>
      <c r="I42" s="13"/>
      <c r="J42" s="13"/>
      <c r="K42" s="13">
        <v>2</v>
      </c>
      <c r="L42" s="27"/>
      <c r="M42" s="16" t="s">
        <v>193</v>
      </c>
      <c r="N42" s="16"/>
      <c r="O42" s="17"/>
      <c r="P42" s="16"/>
      <c r="Q42" s="16"/>
      <c r="R42" s="16"/>
      <c r="S42" s="17"/>
      <c r="T42" s="17"/>
      <c r="U42" s="17"/>
      <c r="V42" s="17"/>
      <c r="W42" s="17"/>
      <c r="X42" s="17">
        <f t="shared" si="1"/>
        <v>9</v>
      </c>
      <c r="Y42" s="18">
        <f t="shared" si="2"/>
        <v>5703500.590318772</v>
      </c>
      <c r="Z42" s="24"/>
      <c r="AA42" s="20"/>
      <c r="AB42" s="21" t="b">
        <v>1</v>
      </c>
      <c r="AC42" s="22">
        <f t="shared" si="3"/>
        <v>0</v>
      </c>
      <c r="AD42" s="28"/>
      <c r="AE42" s="28"/>
    </row>
    <row r="43" spans="1:31" ht="15">
      <c r="A43" s="10">
        <f t="shared" si="0"/>
        <v>390869.73632428178</v>
      </c>
      <c r="B43" s="13"/>
      <c r="C43" s="13"/>
      <c r="D43" s="13"/>
      <c r="E43" s="13">
        <v>1</v>
      </c>
      <c r="F43" s="13"/>
      <c r="G43" s="13"/>
      <c r="H43" s="13"/>
      <c r="I43" s="13"/>
      <c r="J43" s="13"/>
      <c r="K43" s="13"/>
      <c r="L43" s="26"/>
      <c r="M43" s="16" t="s">
        <v>194</v>
      </c>
      <c r="N43" s="80"/>
      <c r="O43" s="16"/>
      <c r="P43" s="16"/>
      <c r="Q43" s="16"/>
      <c r="R43" s="16"/>
      <c r="S43" s="16"/>
      <c r="T43" s="17"/>
      <c r="U43" s="17"/>
      <c r="V43" s="17"/>
      <c r="W43" s="17"/>
      <c r="X43" s="17">
        <f t="shared" si="1"/>
        <v>9</v>
      </c>
      <c r="Y43" s="18">
        <f t="shared" si="2"/>
        <v>5703500.590318772</v>
      </c>
      <c r="Z43" s="24"/>
      <c r="AA43" s="20"/>
      <c r="AB43" s="21" t="b">
        <v>1</v>
      </c>
      <c r="AC43" s="22">
        <f t="shared" si="3"/>
        <v>0</v>
      </c>
      <c r="AD43" s="28"/>
      <c r="AE43" s="28"/>
    </row>
    <row r="44" spans="1:31" ht="15">
      <c r="A44" s="10">
        <f t="shared" si="0"/>
        <v>0</v>
      </c>
      <c r="B44" s="13"/>
      <c r="C44" s="13"/>
      <c r="D44" s="13"/>
      <c r="E44" s="13"/>
      <c r="F44" s="13"/>
      <c r="G44" s="13"/>
      <c r="H44" s="13"/>
      <c r="I44" s="13"/>
      <c r="J44" s="13"/>
      <c r="K44" s="13"/>
      <c r="L44" s="26" t="s">
        <v>195</v>
      </c>
      <c r="M44" s="17"/>
      <c r="N44" s="80"/>
      <c r="O44" s="16"/>
      <c r="P44" s="16"/>
      <c r="Q44" s="16"/>
      <c r="R44" s="16"/>
      <c r="S44" s="16"/>
      <c r="T44" s="17"/>
      <c r="U44" s="17"/>
      <c r="V44" s="17"/>
      <c r="W44" s="17"/>
      <c r="X44" s="17">
        <f t="shared" si="1"/>
        <v>10</v>
      </c>
      <c r="Y44" s="18">
        <f t="shared" si="2"/>
        <v>1706038.9610389611</v>
      </c>
      <c r="Z44" s="24"/>
      <c r="AA44" s="20"/>
      <c r="AB44" s="21" t="b">
        <v>1</v>
      </c>
      <c r="AC44" s="22">
        <f t="shared" si="3"/>
        <v>1706038.9610389611</v>
      </c>
      <c r="AD44" s="28"/>
      <c r="AE44" s="28"/>
    </row>
    <row r="45" spans="1:31" ht="12.75">
      <c r="A45" s="10">
        <f t="shared" si="0"/>
        <v>1706038.9610389611</v>
      </c>
      <c r="B45" s="13">
        <v>1</v>
      </c>
      <c r="C45" s="13">
        <v>1</v>
      </c>
      <c r="D45" s="13">
        <v>1</v>
      </c>
      <c r="E45" s="13">
        <v>1</v>
      </c>
      <c r="F45" s="13"/>
      <c r="G45" s="13">
        <v>1</v>
      </c>
      <c r="H45" s="13"/>
      <c r="I45" s="13"/>
      <c r="J45" s="13"/>
      <c r="K45" s="13"/>
      <c r="L45" s="17"/>
      <c r="M45" s="16" t="s">
        <v>196</v>
      </c>
      <c r="N45" s="80"/>
      <c r="O45" s="16"/>
      <c r="P45" s="16"/>
      <c r="Q45" s="16"/>
      <c r="R45" s="16"/>
      <c r="S45" s="16"/>
      <c r="T45" s="17"/>
      <c r="U45" s="17"/>
      <c r="V45" s="17"/>
      <c r="W45" s="17"/>
      <c r="X45" s="17">
        <f t="shared" si="1"/>
        <v>10</v>
      </c>
      <c r="Y45" s="18">
        <f t="shared" si="2"/>
        <v>1706038.9610389611</v>
      </c>
      <c r="Z45" s="24"/>
      <c r="AA45" s="20"/>
      <c r="AB45" s="21" t="b">
        <v>1</v>
      </c>
      <c r="AC45" s="22">
        <f t="shared" si="3"/>
        <v>0</v>
      </c>
      <c r="AD45" s="28"/>
      <c r="AE45" s="28"/>
    </row>
    <row r="46" spans="1:31" ht="12.75">
      <c r="A46" s="10">
        <f t="shared" si="0"/>
        <v>0</v>
      </c>
      <c r="B46" s="13"/>
      <c r="C46" s="13"/>
      <c r="D46" s="13"/>
      <c r="E46" s="13"/>
      <c r="F46" s="13"/>
      <c r="G46" s="13"/>
      <c r="H46" s="13"/>
      <c r="I46" s="13"/>
      <c r="J46" s="13"/>
      <c r="K46" s="13"/>
      <c r="L46" s="17"/>
      <c r="M46" s="17"/>
      <c r="N46" s="80" t="s">
        <v>197</v>
      </c>
      <c r="O46" s="16"/>
      <c r="P46" s="16"/>
      <c r="Q46" s="16"/>
      <c r="R46" s="16"/>
      <c r="S46" s="16"/>
      <c r="T46" s="17"/>
      <c r="U46" s="17"/>
      <c r="V46" s="17"/>
      <c r="W46" s="17"/>
      <c r="X46" s="17">
        <f t="shared" si="1"/>
        <v>10</v>
      </c>
      <c r="Y46" s="18">
        <f t="shared" si="2"/>
        <v>1706038.9610389611</v>
      </c>
      <c r="Z46" s="24"/>
      <c r="AA46" s="20"/>
      <c r="AB46" s="21" t="b">
        <v>1</v>
      </c>
      <c r="AC46" s="22">
        <f t="shared" si="3"/>
        <v>0</v>
      </c>
      <c r="AD46" s="28"/>
      <c r="AE46" s="28"/>
    </row>
    <row r="47" spans="1:31" ht="15">
      <c r="A47" s="10">
        <f t="shared" si="0"/>
        <v>1706038.9610389611</v>
      </c>
      <c r="B47" s="13">
        <v>1</v>
      </c>
      <c r="C47" s="13">
        <v>1</v>
      </c>
      <c r="D47" s="13">
        <v>1</v>
      </c>
      <c r="E47" s="13">
        <v>1</v>
      </c>
      <c r="F47" s="13"/>
      <c r="G47" s="13">
        <v>1</v>
      </c>
      <c r="H47" s="13"/>
      <c r="I47" s="13"/>
      <c r="J47" s="13"/>
      <c r="K47" s="13"/>
      <c r="L47" s="26" t="s">
        <v>198</v>
      </c>
      <c r="M47" s="17"/>
      <c r="N47" s="80"/>
      <c r="O47" s="16"/>
      <c r="P47" s="16"/>
      <c r="Q47" s="16"/>
      <c r="R47" s="16"/>
      <c r="S47" s="16"/>
      <c r="T47" s="17"/>
      <c r="U47" s="17"/>
      <c r="V47" s="17"/>
      <c r="W47" s="17"/>
      <c r="X47" s="17">
        <f t="shared" si="1"/>
        <v>11</v>
      </c>
      <c r="Y47" s="18">
        <f t="shared" si="2"/>
        <v>2996829.9881936247</v>
      </c>
      <c r="Z47" s="24"/>
      <c r="AA47" s="20"/>
      <c r="AB47" s="21" t="b">
        <v>1</v>
      </c>
      <c r="AC47" s="22">
        <f t="shared" si="3"/>
        <v>2996829.9881936247</v>
      </c>
      <c r="AD47" s="28"/>
      <c r="AE47" s="28"/>
    </row>
    <row r="48" spans="1:31" ht="12.75">
      <c r="A48" s="10">
        <f t="shared" si="0"/>
        <v>899921.29083038168</v>
      </c>
      <c r="B48" s="13">
        <v>1</v>
      </c>
      <c r="C48" s="13"/>
      <c r="D48" s="13"/>
      <c r="E48" s="13">
        <v>1</v>
      </c>
      <c r="F48" s="13"/>
      <c r="G48" s="13"/>
      <c r="H48" s="13"/>
      <c r="I48" s="13"/>
      <c r="J48" s="13"/>
      <c r="K48" s="13"/>
      <c r="L48" s="17"/>
      <c r="M48" s="16" t="s">
        <v>199</v>
      </c>
      <c r="N48" s="80"/>
      <c r="O48" s="16"/>
      <c r="P48" s="16"/>
      <c r="Q48" s="16"/>
      <c r="R48" s="16"/>
      <c r="S48" s="16"/>
      <c r="T48" s="17"/>
      <c r="U48" s="17"/>
      <c r="V48" s="17"/>
      <c r="W48" s="17"/>
      <c r="X48" s="17">
        <f t="shared" si="1"/>
        <v>11</v>
      </c>
      <c r="Y48" s="18">
        <f t="shared" si="2"/>
        <v>2996829.9881936247</v>
      </c>
      <c r="Z48" s="24"/>
      <c r="AA48" s="20"/>
      <c r="AB48" s="21" t="b">
        <v>1</v>
      </c>
      <c r="AC48" s="22">
        <f t="shared" si="3"/>
        <v>0</v>
      </c>
      <c r="AD48" s="32"/>
      <c r="AE48" s="32"/>
    </row>
    <row r="49" spans="1:31" ht="12.75">
      <c r="A49" s="10">
        <f t="shared" si="0"/>
        <v>390869.73632428178</v>
      </c>
      <c r="B49" s="13"/>
      <c r="C49" s="13"/>
      <c r="D49" s="13"/>
      <c r="E49" s="13">
        <v>1</v>
      </c>
      <c r="F49" s="13"/>
      <c r="G49" s="13"/>
      <c r="H49" s="13"/>
      <c r="I49" s="13"/>
      <c r="J49" s="13"/>
      <c r="K49" s="13"/>
      <c r="L49" s="17"/>
      <c r="M49" s="16" t="s">
        <v>200</v>
      </c>
      <c r="N49" s="80"/>
      <c r="O49" s="16"/>
      <c r="P49" s="16"/>
      <c r="Q49" s="16"/>
      <c r="R49" s="16"/>
      <c r="S49" s="16"/>
      <c r="T49" s="17"/>
      <c r="U49" s="17"/>
      <c r="V49" s="17"/>
      <c r="W49" s="17"/>
      <c r="X49" s="17">
        <f t="shared" si="1"/>
        <v>11</v>
      </c>
      <c r="Y49" s="18">
        <f t="shared" si="2"/>
        <v>2996829.9881936247</v>
      </c>
      <c r="Z49" s="24"/>
      <c r="AA49" s="20"/>
      <c r="AB49" s="21" t="b">
        <v>1</v>
      </c>
      <c r="AC49" s="22">
        <f t="shared" si="3"/>
        <v>0</v>
      </c>
      <c r="AD49" s="32"/>
      <c r="AE49" s="32"/>
    </row>
    <row r="50" spans="1:31" ht="15">
      <c r="A50" s="10">
        <f t="shared" si="0"/>
        <v>0</v>
      </c>
      <c r="B50" s="13"/>
      <c r="C50" s="13"/>
      <c r="D50" s="13"/>
      <c r="E50" s="13"/>
      <c r="F50" s="13"/>
      <c r="G50" s="13"/>
      <c r="H50" s="13"/>
      <c r="I50" s="13"/>
      <c r="J50" s="13"/>
      <c r="K50" s="13"/>
      <c r="L50" s="26"/>
      <c r="M50" s="16" t="s">
        <v>201</v>
      </c>
      <c r="N50" s="80"/>
      <c r="O50" s="16"/>
      <c r="P50" s="16"/>
      <c r="Q50" s="16"/>
      <c r="R50" s="16"/>
      <c r="S50" s="16"/>
      <c r="T50" s="17"/>
      <c r="U50" s="17"/>
      <c r="V50" s="17"/>
      <c r="W50" s="17"/>
      <c r="X50" s="17">
        <f t="shared" si="1"/>
        <v>11</v>
      </c>
      <c r="Y50" s="18">
        <f t="shared" si="2"/>
        <v>2996829.9881936247</v>
      </c>
      <c r="Z50" s="24"/>
      <c r="AA50" s="20"/>
      <c r="AB50" s="21" t="b">
        <v>1</v>
      </c>
      <c r="AC50" s="22">
        <f t="shared" si="3"/>
        <v>0</v>
      </c>
      <c r="AD50" s="32"/>
      <c r="AE50" s="32"/>
    </row>
    <row r="51" spans="1:31" ht="15">
      <c r="A51" s="10">
        <f t="shared" si="0"/>
        <v>3980015.7418339239</v>
      </c>
      <c r="B51" s="13">
        <v>3</v>
      </c>
      <c r="C51" s="13">
        <v>2</v>
      </c>
      <c r="D51" s="13">
        <v>2</v>
      </c>
      <c r="E51" s="13">
        <v>2</v>
      </c>
      <c r="F51" s="13">
        <v>1</v>
      </c>
      <c r="G51" s="13">
        <v>1</v>
      </c>
      <c r="H51" s="13"/>
      <c r="I51" s="13"/>
      <c r="J51" s="13"/>
      <c r="K51" s="13"/>
      <c r="L51" s="26" t="s">
        <v>202</v>
      </c>
      <c r="M51" s="17"/>
      <c r="N51" s="80"/>
      <c r="O51" s="16"/>
      <c r="P51" s="16"/>
      <c r="Q51" s="16"/>
      <c r="R51" s="16"/>
      <c r="S51" s="16"/>
      <c r="T51" s="17"/>
      <c r="U51" s="17"/>
      <c r="V51" s="17"/>
      <c r="W51" s="17"/>
      <c r="X51" s="17">
        <f t="shared" si="1"/>
        <v>12</v>
      </c>
      <c r="Y51" s="18">
        <f t="shared" si="2"/>
        <v>3980015.7418339239</v>
      </c>
      <c r="Z51" s="24"/>
      <c r="AA51" s="20"/>
      <c r="AB51" s="21" t="b">
        <v>1</v>
      </c>
      <c r="AC51" s="22">
        <f t="shared" si="3"/>
        <v>3980015.7418339239</v>
      </c>
      <c r="AD51" s="32"/>
      <c r="AE51" s="32"/>
    </row>
    <row r="52" spans="1:31" ht="12.75">
      <c r="A52" s="10">
        <f t="shared" si="0"/>
        <v>0</v>
      </c>
      <c r="B52" s="13"/>
      <c r="C52" s="13"/>
      <c r="D52" s="13"/>
      <c r="E52" s="13"/>
      <c r="F52" s="13"/>
      <c r="G52" s="13"/>
      <c r="H52" s="13"/>
      <c r="I52" s="13"/>
      <c r="J52" s="13"/>
      <c r="K52" s="13"/>
      <c r="L52" s="17"/>
      <c r="M52" s="17" t="s">
        <v>203</v>
      </c>
      <c r="N52" s="80"/>
      <c r="O52" s="16"/>
      <c r="P52" s="16"/>
      <c r="Q52" s="16"/>
      <c r="R52" s="16"/>
      <c r="S52" s="17"/>
      <c r="T52" s="17"/>
      <c r="U52" s="17"/>
      <c r="V52" s="17"/>
      <c r="W52" s="17"/>
      <c r="X52" s="17">
        <f t="shared" si="1"/>
        <v>12</v>
      </c>
      <c r="Y52" s="18">
        <f t="shared" si="2"/>
        <v>3980015.7418339239</v>
      </c>
      <c r="Z52" s="24"/>
      <c r="AA52" s="20"/>
      <c r="AB52" s="21" t="b">
        <v>1</v>
      </c>
      <c r="AC52" s="22">
        <f t="shared" si="3"/>
        <v>0</v>
      </c>
      <c r="AD52" s="32"/>
      <c r="AE52" s="32"/>
    </row>
    <row r="53" spans="1:31" ht="12.75">
      <c r="A53" s="10">
        <f t="shared" si="0"/>
        <v>0</v>
      </c>
      <c r="B53" s="13"/>
      <c r="C53" s="13"/>
      <c r="D53" s="13"/>
      <c r="E53" s="13"/>
      <c r="F53" s="13"/>
      <c r="G53" s="13"/>
      <c r="H53" s="13"/>
      <c r="I53" s="13"/>
      <c r="J53" s="13"/>
      <c r="K53" s="13"/>
      <c r="L53" s="17"/>
      <c r="M53" s="17"/>
      <c r="N53" s="80" t="s">
        <v>204</v>
      </c>
      <c r="O53" s="16"/>
      <c r="P53" s="16"/>
      <c r="Q53" s="16"/>
      <c r="R53" s="16"/>
      <c r="S53" s="17"/>
      <c r="T53" s="17"/>
      <c r="U53" s="17"/>
      <c r="V53" s="17"/>
      <c r="W53" s="17"/>
      <c r="X53" s="17">
        <f t="shared" si="1"/>
        <v>12</v>
      </c>
      <c r="Y53" s="18">
        <f t="shared" si="2"/>
        <v>3980015.7418339239</v>
      </c>
      <c r="Z53" s="24"/>
      <c r="AA53" s="20"/>
      <c r="AB53" s="21" t="b">
        <v>1</v>
      </c>
      <c r="AC53" s="22">
        <f t="shared" si="3"/>
        <v>0</v>
      </c>
      <c r="AD53" s="32"/>
      <c r="AE53" s="32"/>
    </row>
    <row r="54" spans="1:31" ht="15">
      <c r="A54" s="10">
        <f t="shared" si="0"/>
        <v>0</v>
      </c>
      <c r="B54" s="13"/>
      <c r="C54" s="13"/>
      <c r="D54" s="13"/>
      <c r="E54" s="13"/>
      <c r="F54" s="13"/>
      <c r="G54" s="13"/>
      <c r="H54" s="13"/>
      <c r="I54" s="13"/>
      <c r="J54" s="13"/>
      <c r="K54" s="13"/>
      <c r="L54" s="26" t="s">
        <v>205</v>
      </c>
      <c r="M54" s="17"/>
      <c r="N54" s="80"/>
      <c r="O54" s="16"/>
      <c r="P54" s="16"/>
      <c r="Q54" s="16"/>
      <c r="R54" s="16"/>
      <c r="S54" s="17"/>
      <c r="T54" s="17"/>
      <c r="U54" s="17"/>
      <c r="V54" s="17"/>
      <c r="W54" s="17"/>
      <c r="X54" s="17">
        <f t="shared" si="1"/>
        <v>13</v>
      </c>
      <c r="Y54" s="18">
        <f t="shared" si="2"/>
        <v>5243384.4942935854</v>
      </c>
      <c r="Z54" s="24"/>
      <c r="AA54" s="20"/>
      <c r="AB54" s="21" t="b">
        <v>1</v>
      </c>
      <c r="AC54" s="22">
        <f t="shared" si="3"/>
        <v>5243384.4942935854</v>
      </c>
      <c r="AD54" s="32"/>
      <c r="AE54" s="32"/>
    </row>
    <row r="55" spans="1:31" ht="15">
      <c r="A55" s="10">
        <f t="shared" si="0"/>
        <v>4461645.0216450216</v>
      </c>
      <c r="B55" s="13">
        <v>2</v>
      </c>
      <c r="C55" s="13">
        <v>2</v>
      </c>
      <c r="D55" s="13">
        <v>2</v>
      </c>
      <c r="E55" s="13">
        <v>3</v>
      </c>
      <c r="F55" s="13">
        <v>2</v>
      </c>
      <c r="G55" s="13">
        <v>2</v>
      </c>
      <c r="H55" s="13"/>
      <c r="I55" s="13"/>
      <c r="J55" s="13"/>
      <c r="K55" s="13"/>
      <c r="L55" s="26"/>
      <c r="M55" s="16" t="s">
        <v>206</v>
      </c>
      <c r="N55" s="16"/>
      <c r="O55" s="17"/>
      <c r="P55" s="16"/>
      <c r="Q55" s="16"/>
      <c r="R55" s="16"/>
      <c r="S55" s="17"/>
      <c r="T55" s="17"/>
      <c r="U55" s="17"/>
      <c r="V55" s="17"/>
      <c r="W55" s="17"/>
      <c r="X55" s="17">
        <f t="shared" si="1"/>
        <v>13</v>
      </c>
      <c r="Y55" s="18">
        <f t="shared" si="2"/>
        <v>5243384.4942935854</v>
      </c>
      <c r="Z55" s="24"/>
      <c r="AA55" s="20"/>
      <c r="AB55" s="21" t="b">
        <v>1</v>
      </c>
      <c r="AC55" s="22">
        <f t="shared" si="3"/>
        <v>0</v>
      </c>
      <c r="AD55" s="32"/>
      <c r="AE55" s="32"/>
    </row>
    <row r="56" spans="1:31" ht="15">
      <c r="A56" s="10">
        <f t="shared" si="0"/>
        <v>781739.47264856356</v>
      </c>
      <c r="B56" s="13"/>
      <c r="C56" s="13"/>
      <c r="D56" s="13"/>
      <c r="E56" s="13">
        <v>2</v>
      </c>
      <c r="F56" s="13"/>
      <c r="G56" s="13"/>
      <c r="H56" s="13"/>
      <c r="I56" s="13"/>
      <c r="J56" s="13"/>
      <c r="K56" s="13"/>
      <c r="L56" s="27"/>
      <c r="M56" s="16" t="s">
        <v>207</v>
      </c>
      <c r="N56" s="16"/>
      <c r="O56" s="17"/>
      <c r="P56" s="16"/>
      <c r="Q56" s="16"/>
      <c r="R56" s="16"/>
      <c r="S56" s="17"/>
      <c r="T56" s="17"/>
      <c r="U56" s="17"/>
      <c r="V56" s="17"/>
      <c r="W56" s="17"/>
      <c r="X56" s="17">
        <f t="shared" si="1"/>
        <v>13</v>
      </c>
      <c r="Y56" s="18">
        <f t="shared" si="2"/>
        <v>5243384.4942935854</v>
      </c>
      <c r="Z56" s="24"/>
      <c r="AA56" s="20"/>
      <c r="AB56" s="21" t="b">
        <v>1</v>
      </c>
      <c r="AC56" s="22">
        <f t="shared" si="3"/>
        <v>0</v>
      </c>
      <c r="AD56" s="32"/>
      <c r="AE56" s="32"/>
    </row>
    <row r="57" spans="1:31" ht="15">
      <c r="A57" s="10">
        <f t="shared" si="0"/>
        <v>0</v>
      </c>
      <c r="B57" s="13"/>
      <c r="C57" s="13"/>
      <c r="D57" s="13"/>
      <c r="E57" s="13"/>
      <c r="F57" s="13"/>
      <c r="G57" s="13"/>
      <c r="H57" s="13"/>
      <c r="I57" s="13"/>
      <c r="J57" s="13"/>
      <c r="K57" s="13"/>
      <c r="L57" s="14"/>
      <c r="M57" s="16" t="s">
        <v>208</v>
      </c>
      <c r="N57" s="16"/>
      <c r="O57" s="17"/>
      <c r="P57" s="16"/>
      <c r="Q57" s="16"/>
      <c r="R57" s="16"/>
      <c r="S57" s="17"/>
      <c r="T57" s="17"/>
      <c r="U57" s="17"/>
      <c r="V57" s="17"/>
      <c r="W57" s="17"/>
      <c r="X57" s="17">
        <f t="shared" si="1"/>
        <v>13</v>
      </c>
      <c r="Y57" s="18">
        <f t="shared" si="2"/>
        <v>5243384.4942935854</v>
      </c>
      <c r="Z57" s="24"/>
      <c r="AA57" s="20"/>
      <c r="AB57" s="21" t="b">
        <v>1</v>
      </c>
      <c r="AC57" s="22">
        <f t="shared" si="3"/>
        <v>0</v>
      </c>
      <c r="AD57" s="32"/>
      <c r="AE57" s="32"/>
    </row>
    <row r="58" spans="1:31" ht="15">
      <c r="A58" s="10">
        <f t="shared" si="0"/>
        <v>0</v>
      </c>
      <c r="B58" s="13"/>
      <c r="C58" s="13"/>
      <c r="D58" s="13"/>
      <c r="E58" s="13"/>
      <c r="F58" s="13"/>
      <c r="G58" s="13"/>
      <c r="H58" s="13"/>
      <c r="I58" s="13"/>
      <c r="J58" s="13"/>
      <c r="K58" s="13"/>
      <c r="L58" s="26"/>
      <c r="M58" s="16" t="s">
        <v>209</v>
      </c>
      <c r="N58" s="16"/>
      <c r="O58" s="17"/>
      <c r="P58" s="16"/>
      <c r="Q58" s="16"/>
      <c r="R58" s="16"/>
      <c r="S58" s="17"/>
      <c r="T58" s="17"/>
      <c r="U58" s="17"/>
      <c r="V58" s="17"/>
      <c r="W58" s="17"/>
      <c r="X58" s="17">
        <f t="shared" si="1"/>
        <v>13</v>
      </c>
      <c r="Y58" s="18">
        <f t="shared" si="2"/>
        <v>5243384.4942935854</v>
      </c>
      <c r="Z58" s="24"/>
      <c r="AA58" s="20"/>
      <c r="AB58" s="21" t="b">
        <v>1</v>
      </c>
      <c r="AC58" s="22">
        <f t="shared" si="3"/>
        <v>0</v>
      </c>
      <c r="AD58" s="32"/>
      <c r="AE58" s="32"/>
    </row>
    <row r="59" spans="1:31" ht="15">
      <c r="A59" s="10">
        <f t="shared" si="0"/>
        <v>0</v>
      </c>
      <c r="B59" s="13"/>
      <c r="C59" s="13"/>
      <c r="D59" s="13"/>
      <c r="E59" s="13"/>
      <c r="F59" s="13"/>
      <c r="G59" s="13"/>
      <c r="H59" s="13"/>
      <c r="I59" s="13"/>
      <c r="J59" s="13"/>
      <c r="K59" s="13"/>
      <c r="L59" s="27"/>
      <c r="M59" s="16" t="s">
        <v>210</v>
      </c>
      <c r="N59" s="16"/>
      <c r="O59" s="17"/>
      <c r="P59" s="16"/>
      <c r="Q59" s="16"/>
      <c r="R59" s="16"/>
      <c r="S59" s="17"/>
      <c r="T59" s="17"/>
      <c r="U59" s="17"/>
      <c r="V59" s="17"/>
      <c r="W59" s="17"/>
      <c r="X59" s="17">
        <f t="shared" si="1"/>
        <v>13</v>
      </c>
      <c r="Y59" s="18">
        <f t="shared" si="2"/>
        <v>5243384.4942935854</v>
      </c>
      <c r="Z59" s="24"/>
      <c r="AA59" s="20"/>
      <c r="AB59" s="21" t="b">
        <v>1</v>
      </c>
      <c r="AC59" s="22">
        <f t="shared" si="3"/>
        <v>0</v>
      </c>
      <c r="AD59" s="32"/>
      <c r="AE59" s="32"/>
    </row>
    <row r="60" spans="1:31" ht="12.75">
      <c r="A60" s="10">
        <f t="shared" si="0"/>
        <v>0</v>
      </c>
      <c r="B60" s="13"/>
      <c r="C60" s="13"/>
      <c r="D60" s="13"/>
      <c r="E60" s="13"/>
      <c r="F60" s="13"/>
      <c r="G60" s="13"/>
      <c r="H60" s="13"/>
      <c r="I60" s="13"/>
      <c r="J60" s="13"/>
      <c r="K60" s="13"/>
      <c r="M60" s="82" t="s">
        <v>211</v>
      </c>
      <c r="O60" s="16"/>
      <c r="P60" s="16"/>
      <c r="Q60" s="16"/>
      <c r="R60" s="16"/>
      <c r="S60" s="17"/>
      <c r="T60" s="17"/>
      <c r="U60" s="17"/>
      <c r="V60" s="17"/>
      <c r="W60" s="17"/>
      <c r="X60" s="17">
        <f t="shared" si="1"/>
        <v>13</v>
      </c>
      <c r="Y60" s="18">
        <f t="shared" si="2"/>
        <v>5243384.4942935854</v>
      </c>
      <c r="Z60" s="24"/>
      <c r="AA60" s="20"/>
      <c r="AB60" s="21" t="b">
        <v>1</v>
      </c>
      <c r="AC60" s="22">
        <f t="shared" si="3"/>
        <v>0</v>
      </c>
      <c r="AD60" s="32"/>
      <c r="AE60" s="32"/>
    </row>
    <row r="61" spans="1:31">
      <c r="A61" s="10">
        <f t="shared" si="0"/>
        <v>0</v>
      </c>
      <c r="B61" s="13"/>
      <c r="C61" s="13"/>
      <c r="D61" s="13"/>
      <c r="E61" s="13"/>
      <c r="F61" s="13"/>
      <c r="G61" s="13"/>
      <c r="H61" s="13"/>
      <c r="I61" s="13"/>
      <c r="J61" s="13"/>
      <c r="K61" s="13"/>
      <c r="L61" s="88"/>
      <c r="N61" s="78"/>
      <c r="O61" s="16"/>
      <c r="P61" s="16"/>
      <c r="Q61" s="16"/>
      <c r="R61" s="16"/>
      <c r="S61" s="17"/>
      <c r="T61" s="17"/>
      <c r="U61" s="17"/>
      <c r="V61" s="17"/>
      <c r="W61" s="17"/>
      <c r="X61" s="17">
        <f t="shared" si="1"/>
        <v>13</v>
      </c>
      <c r="Y61" s="18">
        <f t="shared" si="2"/>
        <v>5243384.4942935854</v>
      </c>
      <c r="Z61" s="24"/>
      <c r="AA61" s="20"/>
      <c r="AB61" s="21" t="b">
        <v>1</v>
      </c>
      <c r="AC61" s="22">
        <f t="shared" si="3"/>
        <v>0</v>
      </c>
      <c r="AD61" s="32"/>
      <c r="AE61" s="32"/>
    </row>
    <row r="62" spans="1:31" ht="15">
      <c r="A62" s="10">
        <f t="shared" si="0"/>
        <v>0</v>
      </c>
      <c r="B62" s="23"/>
      <c r="C62" s="23"/>
      <c r="D62" s="23"/>
      <c r="E62" s="23"/>
      <c r="F62" s="23"/>
      <c r="G62" s="23"/>
      <c r="H62" s="23"/>
      <c r="I62" s="23"/>
      <c r="J62" s="23"/>
      <c r="K62" s="23"/>
      <c r="L62" s="27"/>
      <c r="M62" s="16"/>
      <c r="N62" s="16"/>
      <c r="O62" s="17"/>
      <c r="P62" s="17"/>
      <c r="Q62" s="17"/>
      <c r="R62" s="17"/>
      <c r="S62" s="17"/>
      <c r="T62" s="17"/>
      <c r="U62" s="17"/>
      <c r="V62" s="17"/>
      <c r="W62" s="17"/>
      <c r="X62" s="17">
        <f t="shared" si="1"/>
        <v>13</v>
      </c>
      <c r="Y62" s="18">
        <f t="shared" si="2"/>
        <v>5243384.4942935854</v>
      </c>
      <c r="Z62" s="24"/>
      <c r="AA62" s="20"/>
      <c r="AB62" s="21" t="b">
        <v>1</v>
      </c>
      <c r="AC62" s="22">
        <f t="shared" si="3"/>
        <v>0</v>
      </c>
      <c r="AD62" s="23"/>
      <c r="AE62" s="23"/>
    </row>
    <row r="63" spans="1:31" ht="15">
      <c r="A63" s="10">
        <f t="shared" si="0"/>
        <v>0</v>
      </c>
      <c r="B63" s="23"/>
      <c r="C63" s="23"/>
      <c r="D63" s="23"/>
      <c r="E63" s="23"/>
      <c r="F63" s="23"/>
      <c r="G63" s="23"/>
      <c r="H63" s="23"/>
      <c r="I63" s="23"/>
      <c r="J63" s="23"/>
      <c r="K63" s="23"/>
      <c r="L63" s="27"/>
      <c r="M63" s="16"/>
      <c r="N63" s="16"/>
      <c r="O63" s="17"/>
      <c r="P63" s="17"/>
      <c r="Q63" s="17"/>
      <c r="R63" s="17"/>
      <c r="S63" s="17"/>
      <c r="T63" s="17"/>
      <c r="U63" s="17"/>
      <c r="V63" s="17"/>
      <c r="W63" s="17"/>
      <c r="X63" s="17">
        <f t="shared" si="1"/>
        <v>13</v>
      </c>
      <c r="Y63" s="18">
        <f t="shared" si="2"/>
        <v>5243384.4942935854</v>
      </c>
      <c r="Z63" s="24"/>
      <c r="AA63" s="20"/>
      <c r="AB63" s="21" t="b">
        <v>1</v>
      </c>
      <c r="AC63" s="22">
        <f t="shared" si="3"/>
        <v>0</v>
      </c>
      <c r="AD63" s="23"/>
      <c r="AE63" s="23"/>
    </row>
    <row r="64" spans="1:31" ht="12.75">
      <c r="A64" s="33"/>
      <c r="B64" s="33"/>
      <c r="C64" s="33"/>
      <c r="D64" s="33"/>
      <c r="E64" s="33"/>
      <c r="F64" s="33"/>
      <c r="G64" s="33"/>
      <c r="H64" s="33"/>
      <c r="I64" s="33"/>
      <c r="J64" s="33"/>
      <c r="K64" s="33"/>
      <c r="L64" s="34"/>
      <c r="M64" s="34"/>
      <c r="N64" s="35"/>
      <c r="O64" s="35" t="s">
        <v>20</v>
      </c>
      <c r="P64" s="34"/>
      <c r="Q64" s="34"/>
      <c r="R64" s="34"/>
      <c r="S64" s="34"/>
      <c r="T64" s="34"/>
      <c r="U64" s="34"/>
      <c r="V64" s="34"/>
      <c r="W64" s="34"/>
      <c r="X64" s="34"/>
      <c r="Y64" s="34"/>
      <c r="Z64" s="34"/>
      <c r="AA64" s="34"/>
      <c r="AB64" s="34"/>
      <c r="AC64" s="34"/>
      <c r="AD64" s="23"/>
      <c r="AE64" s="23"/>
    </row>
    <row r="65" spans="1:31" ht="15">
      <c r="A65" s="36">
        <f>ROW()</f>
        <v>65</v>
      </c>
      <c r="B65" s="23">
        <f t="shared" ref="B65:K65" si="4">SUM(B2:B64)</f>
        <v>29</v>
      </c>
      <c r="C65" s="23">
        <f t="shared" si="4"/>
        <v>17</v>
      </c>
      <c r="D65" s="23">
        <f t="shared" si="4"/>
        <v>17</v>
      </c>
      <c r="E65" s="23">
        <f t="shared" si="4"/>
        <v>38</v>
      </c>
      <c r="F65" s="23">
        <f t="shared" si="4"/>
        <v>6</v>
      </c>
      <c r="G65" s="23">
        <f t="shared" si="4"/>
        <v>16</v>
      </c>
      <c r="H65" s="23">
        <f t="shared" si="4"/>
        <v>5</v>
      </c>
      <c r="I65" s="23">
        <f t="shared" si="4"/>
        <v>0</v>
      </c>
      <c r="J65" s="23">
        <f t="shared" si="4"/>
        <v>0</v>
      </c>
      <c r="K65" s="23">
        <f t="shared" si="4"/>
        <v>30</v>
      </c>
      <c r="L65" s="27"/>
      <c r="M65" s="16"/>
      <c r="N65" s="16"/>
      <c r="O65" s="17"/>
      <c r="P65" s="23"/>
      <c r="Q65" s="23"/>
      <c r="R65" s="23"/>
      <c r="S65" s="23"/>
      <c r="T65" s="23"/>
      <c r="U65" s="23"/>
      <c r="V65" s="23"/>
      <c r="W65" s="13"/>
      <c r="X65" s="23"/>
      <c r="Y65" s="23"/>
      <c r="Z65" s="23"/>
      <c r="AA65" s="23"/>
      <c r="AB65" s="23"/>
      <c r="AC65" s="37"/>
      <c r="AD65" s="23"/>
      <c r="AE65" s="23"/>
    </row>
    <row r="66" spans="1:31" ht="12.75">
      <c r="A66" s="23"/>
      <c r="B66" s="23"/>
      <c r="C66" s="38"/>
      <c r="D66" s="38"/>
      <c r="E66" s="38"/>
      <c r="F66" s="38"/>
      <c r="G66" s="38"/>
      <c r="H66" s="38"/>
      <c r="I66" s="130" t="s">
        <v>21</v>
      </c>
      <c r="J66" s="117"/>
      <c r="K66" s="117"/>
      <c r="L66" s="117"/>
      <c r="M66" s="131">
        <f>400000+120000</f>
        <v>520000</v>
      </c>
      <c r="N66" s="117"/>
      <c r="O66" s="117"/>
      <c r="P66" s="23"/>
      <c r="Q66" s="23"/>
      <c r="R66" s="23"/>
      <c r="S66" s="38"/>
      <c r="T66" s="38"/>
      <c r="U66" s="38"/>
      <c r="V66" s="23"/>
      <c r="W66" s="23"/>
      <c r="X66" s="23"/>
      <c r="Y66" s="23"/>
      <c r="Z66" s="23"/>
      <c r="AA66" s="23"/>
      <c r="AB66" s="23"/>
      <c r="AC66" s="37"/>
      <c r="AD66" s="23"/>
      <c r="AE66" s="23"/>
    </row>
    <row r="67" spans="1:31" ht="15">
      <c r="A67" s="23"/>
      <c r="B67" s="23"/>
      <c r="C67" s="38"/>
      <c r="D67" s="39" t="s">
        <v>22</v>
      </c>
      <c r="E67" s="40">
        <v>1423000</v>
      </c>
      <c r="F67" s="41" t="s">
        <v>23</v>
      </c>
      <c r="G67" s="42">
        <v>200000</v>
      </c>
      <c r="H67" s="38"/>
      <c r="I67" s="43" t="s">
        <v>24</v>
      </c>
      <c r="J67" s="44">
        <v>0.18</v>
      </c>
      <c r="K67" s="44"/>
      <c r="L67" s="45" t="s">
        <v>25</v>
      </c>
      <c r="M67" s="46">
        <f>2.7/12</f>
        <v>0.22500000000000001</v>
      </c>
      <c r="N67" s="47" t="s">
        <v>26</v>
      </c>
      <c r="O67" s="48">
        <f>40*4.2*((244-2)/260)</f>
        <v>156.36923076923077</v>
      </c>
      <c r="P67" s="38"/>
      <c r="Q67" s="43" t="s">
        <v>27</v>
      </c>
      <c r="R67" s="49"/>
      <c r="S67" s="38"/>
      <c r="T67" s="50">
        <v>8</v>
      </c>
      <c r="U67" s="51" t="s">
        <v>28</v>
      </c>
      <c r="V67" s="52"/>
      <c r="W67" s="23"/>
      <c r="X67" s="23"/>
      <c r="Y67" s="23"/>
      <c r="Z67" s="23"/>
      <c r="AA67" s="23"/>
      <c r="AB67" s="23"/>
      <c r="AC67" s="37"/>
      <c r="AD67" s="23"/>
      <c r="AE67" s="23"/>
    </row>
    <row r="68" spans="1:31" ht="12.75">
      <c r="A68" s="23"/>
      <c r="B68" s="23"/>
      <c r="C68" s="127" t="s">
        <v>29</v>
      </c>
      <c r="D68" s="117"/>
      <c r="E68" s="117"/>
      <c r="F68" s="127" t="s">
        <v>30</v>
      </c>
      <c r="G68" s="117"/>
      <c r="H68" s="117"/>
      <c r="I68" s="127" t="s">
        <v>31</v>
      </c>
      <c r="J68" s="117"/>
      <c r="K68" s="117"/>
      <c r="L68" s="117"/>
      <c r="M68" s="127" t="s">
        <v>32</v>
      </c>
      <c r="N68" s="117"/>
      <c r="O68" s="117"/>
      <c r="P68" s="127" t="s">
        <v>33</v>
      </c>
      <c r="Q68" s="117"/>
      <c r="R68" s="117"/>
      <c r="S68" s="38"/>
      <c r="T68" s="38"/>
      <c r="U68" s="53" t="s">
        <v>26</v>
      </c>
      <c r="V68" s="127" t="s">
        <v>34</v>
      </c>
      <c r="W68" s="117"/>
      <c r="X68" s="117"/>
      <c r="Y68" s="23"/>
      <c r="Z68" s="23"/>
      <c r="AA68" s="23"/>
      <c r="AB68" s="23"/>
      <c r="AC68" s="37"/>
      <c r="AD68" s="23"/>
      <c r="AE68" s="23"/>
    </row>
    <row r="69" spans="1:31" ht="12.75">
      <c r="A69" s="54" t="s">
        <v>35</v>
      </c>
      <c r="B69" s="53" t="str">
        <f>B1</f>
        <v>DB</v>
      </c>
      <c r="C69" s="116">
        <v>6000000</v>
      </c>
      <c r="D69" s="117"/>
      <c r="E69" s="117"/>
      <c r="F69" s="116">
        <v>1000000</v>
      </c>
      <c r="G69" s="117"/>
      <c r="H69" s="117"/>
      <c r="I69" s="116">
        <v>0</v>
      </c>
      <c r="J69" s="117"/>
      <c r="K69" s="117"/>
      <c r="L69" s="117"/>
      <c r="M69" s="116">
        <f t="shared" ref="M69:M78" si="5">C69*(1+$J$67+$M$67)+F69+I69+$M$66+IF(($E$67*2)&gt;=C69,$G$67,0)</f>
        <v>9950000</v>
      </c>
      <c r="N69" s="117"/>
      <c r="O69" s="117"/>
      <c r="P69" s="124">
        <f t="shared" ref="P69:P78" si="6">M69/$O$67*(1+$R$67)</f>
        <v>63631.444313262495</v>
      </c>
      <c r="Q69" s="117"/>
      <c r="R69" s="117"/>
      <c r="S69" s="38"/>
      <c r="T69" s="38"/>
      <c r="U69" s="23">
        <f t="shared" ref="U69:U78" si="7">HLOOKUP(B69,$B$1:$K$65,$A$65,0)*$T$67</f>
        <v>232</v>
      </c>
      <c r="W69" s="55">
        <f t="shared" ref="W69:W78" si="8">P69*U69</f>
        <v>14762495.080676898</v>
      </c>
      <c r="Y69" s="23"/>
      <c r="Z69" s="23"/>
      <c r="AA69" s="23"/>
      <c r="AB69" s="23"/>
      <c r="AC69" s="37"/>
      <c r="AD69" s="23"/>
      <c r="AE69" s="23"/>
    </row>
    <row r="70" spans="1:31" ht="12.75">
      <c r="A70" s="54" t="s">
        <v>36</v>
      </c>
      <c r="B70" s="53" t="str">
        <f>C1</f>
        <v>UX</v>
      </c>
      <c r="C70" s="116">
        <v>3000000</v>
      </c>
      <c r="D70" s="117"/>
      <c r="E70" s="117"/>
      <c r="F70" s="116">
        <v>500000</v>
      </c>
      <c r="G70" s="117"/>
      <c r="H70" s="117"/>
      <c r="I70" s="116">
        <v>0</v>
      </c>
      <c r="J70" s="117"/>
      <c r="K70" s="117"/>
      <c r="L70" s="117"/>
      <c r="M70" s="116">
        <f t="shared" si="5"/>
        <v>5235000</v>
      </c>
      <c r="N70" s="117"/>
      <c r="O70" s="117"/>
      <c r="P70" s="124">
        <f t="shared" si="6"/>
        <v>33478.453364817004</v>
      </c>
      <c r="Q70" s="117"/>
      <c r="R70" s="117"/>
      <c r="S70" s="38"/>
      <c r="T70" s="38"/>
      <c r="U70" s="23">
        <f t="shared" si="7"/>
        <v>136</v>
      </c>
      <c r="W70" s="55">
        <f t="shared" si="8"/>
        <v>4553069.6576151121</v>
      </c>
      <c r="Y70" s="23"/>
      <c r="Z70" s="23"/>
      <c r="AA70" s="23"/>
      <c r="AB70" s="23"/>
      <c r="AC70" s="37"/>
      <c r="AD70" s="23"/>
      <c r="AE70" s="23"/>
    </row>
    <row r="71" spans="1:31" ht="12.75">
      <c r="A71" s="54" t="s">
        <v>37</v>
      </c>
      <c r="B71" s="53" t="str">
        <f>D1</f>
        <v>FM</v>
      </c>
      <c r="C71" s="116">
        <v>3000000</v>
      </c>
      <c r="D71" s="117"/>
      <c r="E71" s="117"/>
      <c r="F71" s="116">
        <v>500000</v>
      </c>
      <c r="G71" s="117"/>
      <c r="H71" s="117"/>
      <c r="I71" s="116">
        <v>0</v>
      </c>
      <c r="J71" s="117"/>
      <c r="K71" s="117"/>
      <c r="L71" s="117"/>
      <c r="M71" s="116">
        <f t="shared" si="5"/>
        <v>5235000</v>
      </c>
      <c r="N71" s="117"/>
      <c r="O71" s="117"/>
      <c r="P71" s="124">
        <f t="shared" si="6"/>
        <v>33478.453364817004</v>
      </c>
      <c r="Q71" s="117"/>
      <c r="R71" s="117"/>
      <c r="S71" s="38"/>
      <c r="T71" s="38"/>
      <c r="U71" s="23">
        <f t="shared" si="7"/>
        <v>136</v>
      </c>
      <c r="W71" s="55">
        <f t="shared" si="8"/>
        <v>4553069.6576151121</v>
      </c>
      <c r="Y71" s="23"/>
      <c r="Z71" s="23"/>
      <c r="AA71" s="23"/>
      <c r="AB71" s="23"/>
      <c r="AC71" s="87"/>
      <c r="AD71" s="23"/>
      <c r="AE71" s="23"/>
    </row>
    <row r="72" spans="1:31" ht="12.75">
      <c r="A72" s="54" t="s">
        <v>38</v>
      </c>
      <c r="B72" s="53" t="str">
        <f>E1</f>
        <v>BS</v>
      </c>
      <c r="C72" s="116">
        <v>4000000</v>
      </c>
      <c r="D72" s="117"/>
      <c r="E72" s="117"/>
      <c r="F72" s="116">
        <v>1500000</v>
      </c>
      <c r="G72" s="117"/>
      <c r="H72" s="117"/>
      <c r="I72" s="116">
        <v>0</v>
      </c>
      <c r="J72" s="117"/>
      <c r="K72" s="117"/>
      <c r="L72" s="117"/>
      <c r="M72" s="116">
        <f t="shared" si="5"/>
        <v>7640000</v>
      </c>
      <c r="N72" s="117"/>
      <c r="O72" s="117"/>
      <c r="P72" s="124">
        <f t="shared" si="6"/>
        <v>48858.717040535223</v>
      </c>
      <c r="Q72" s="117"/>
      <c r="R72" s="117"/>
      <c r="S72" s="38"/>
      <c r="T72" s="38"/>
      <c r="U72" s="23">
        <f t="shared" si="7"/>
        <v>304</v>
      </c>
      <c r="W72" s="55">
        <f t="shared" si="8"/>
        <v>14853049.980322707</v>
      </c>
      <c r="Y72" s="23"/>
      <c r="Z72" s="23"/>
      <c r="AA72" s="23"/>
      <c r="AB72" s="23"/>
      <c r="AC72" s="37"/>
      <c r="AD72" s="23"/>
      <c r="AE72" s="23"/>
    </row>
    <row r="73" spans="1:31" ht="12.75">
      <c r="A73" s="54" t="s">
        <v>39</v>
      </c>
      <c r="B73" s="53" t="str">
        <f>F1</f>
        <v>BM</v>
      </c>
      <c r="C73" s="116">
        <v>3500000</v>
      </c>
      <c r="D73" s="117"/>
      <c r="E73" s="117"/>
      <c r="F73" s="116">
        <v>1000000</v>
      </c>
      <c r="G73" s="117"/>
      <c r="H73" s="117"/>
      <c r="I73" s="116">
        <v>0</v>
      </c>
      <c r="J73" s="117"/>
      <c r="K73" s="117"/>
      <c r="L73" s="117"/>
      <c r="M73" s="116">
        <f t="shared" si="5"/>
        <v>6437500</v>
      </c>
      <c r="N73" s="117"/>
      <c r="O73" s="117"/>
      <c r="P73" s="124">
        <f t="shared" si="6"/>
        <v>41168.585202676113</v>
      </c>
      <c r="Q73" s="117"/>
      <c r="R73" s="117"/>
      <c r="S73" s="38"/>
      <c r="T73" s="38"/>
      <c r="U73" s="23">
        <f t="shared" si="7"/>
        <v>48</v>
      </c>
      <c r="W73" s="55">
        <f t="shared" si="8"/>
        <v>1976092.0897284534</v>
      </c>
      <c r="Y73" s="23"/>
      <c r="Z73" s="23"/>
      <c r="AA73" s="23"/>
      <c r="AB73" s="23"/>
      <c r="AC73" s="37"/>
      <c r="AD73" s="23"/>
      <c r="AE73" s="23"/>
    </row>
    <row r="74" spans="1:31" ht="12.75">
      <c r="A74" s="54" t="s">
        <v>40</v>
      </c>
      <c r="B74" s="53" t="str">
        <f>G1</f>
        <v>QA</v>
      </c>
      <c r="C74" s="116">
        <v>2500000</v>
      </c>
      <c r="D74" s="117"/>
      <c r="E74" s="117"/>
      <c r="F74" s="116">
        <v>1000000</v>
      </c>
      <c r="G74" s="117"/>
      <c r="H74" s="117"/>
      <c r="I74" s="116">
        <v>54000</v>
      </c>
      <c r="J74" s="117"/>
      <c r="K74" s="117"/>
      <c r="L74" s="117"/>
      <c r="M74" s="116">
        <f t="shared" si="5"/>
        <v>5286500</v>
      </c>
      <c r="N74" s="117"/>
      <c r="O74" s="117"/>
      <c r="P74" s="124">
        <f t="shared" si="6"/>
        <v>33807.80204643841</v>
      </c>
      <c r="Q74" s="117"/>
      <c r="R74" s="117"/>
      <c r="S74" s="38"/>
      <c r="T74" s="38"/>
      <c r="U74" s="23">
        <f t="shared" si="7"/>
        <v>128</v>
      </c>
      <c r="W74" s="55">
        <f t="shared" si="8"/>
        <v>4327398.6619441165</v>
      </c>
      <c r="Y74" s="23"/>
      <c r="Z74" s="23"/>
      <c r="AA74" s="23"/>
      <c r="AB74" s="23"/>
      <c r="AC74" s="37"/>
      <c r="AD74" s="23"/>
      <c r="AE74" s="23"/>
    </row>
    <row r="75" spans="1:31" ht="12.75">
      <c r="A75" s="54" t="s">
        <v>41</v>
      </c>
      <c r="B75" s="53" t="str">
        <f>H1</f>
        <v>IM</v>
      </c>
      <c r="C75" s="116">
        <v>2500000</v>
      </c>
      <c r="D75" s="117"/>
      <c r="E75" s="117"/>
      <c r="F75" s="116">
        <v>1000000</v>
      </c>
      <c r="G75" s="117"/>
      <c r="H75" s="117"/>
      <c r="I75" s="116">
        <v>0</v>
      </c>
      <c r="J75" s="117"/>
      <c r="K75" s="117"/>
      <c r="L75" s="117"/>
      <c r="M75" s="116">
        <f t="shared" si="5"/>
        <v>5232500</v>
      </c>
      <c r="N75" s="117"/>
      <c r="O75" s="117"/>
      <c r="P75" s="124">
        <f t="shared" si="6"/>
        <v>33462.46556473829</v>
      </c>
      <c r="Q75" s="117"/>
      <c r="R75" s="117"/>
      <c r="S75" s="38"/>
      <c r="T75" s="38"/>
      <c r="U75" s="23">
        <f t="shared" si="7"/>
        <v>40</v>
      </c>
      <c r="W75" s="55">
        <f t="shared" si="8"/>
        <v>1338498.6225895316</v>
      </c>
      <c r="Y75" s="23"/>
      <c r="Z75" s="23"/>
      <c r="AA75" s="23"/>
      <c r="AB75" s="23"/>
      <c r="AC75" s="37"/>
      <c r="AD75" s="23"/>
      <c r="AE75" s="23"/>
    </row>
    <row r="76" spans="1:31" ht="12.75">
      <c r="A76" s="54" t="s">
        <v>42</v>
      </c>
      <c r="B76" s="53" t="str">
        <f>I1</f>
        <v>MS</v>
      </c>
      <c r="C76" s="116">
        <v>7500000</v>
      </c>
      <c r="D76" s="117"/>
      <c r="E76" s="117"/>
      <c r="F76" s="116">
        <v>2000000</v>
      </c>
      <c r="G76" s="117"/>
      <c r="H76" s="117"/>
      <c r="I76" s="116">
        <v>132000</v>
      </c>
      <c r="J76" s="117"/>
      <c r="K76" s="117"/>
      <c r="L76" s="117"/>
      <c r="M76" s="116">
        <f t="shared" si="5"/>
        <v>13189500</v>
      </c>
      <c r="N76" s="117"/>
      <c r="O76" s="117"/>
      <c r="P76" s="124">
        <f t="shared" si="6"/>
        <v>84348.435655253837</v>
      </c>
      <c r="Q76" s="117"/>
      <c r="R76" s="117"/>
      <c r="S76" s="38"/>
      <c r="T76" s="38"/>
      <c r="U76" s="23">
        <f t="shared" si="7"/>
        <v>0</v>
      </c>
      <c r="W76" s="55">
        <f t="shared" si="8"/>
        <v>0</v>
      </c>
      <c r="Y76" s="23"/>
      <c r="Z76" s="23"/>
      <c r="AA76" s="23"/>
      <c r="AB76" s="23"/>
      <c r="AC76" s="37"/>
      <c r="AD76" s="23"/>
      <c r="AE76" s="23"/>
    </row>
    <row r="77" spans="1:31" ht="12.75">
      <c r="A77" s="54" t="s">
        <v>43</v>
      </c>
      <c r="B77" s="53" t="str">
        <f>J1</f>
        <v>MM</v>
      </c>
      <c r="C77" s="116">
        <v>3000000</v>
      </c>
      <c r="D77" s="117"/>
      <c r="E77" s="117"/>
      <c r="F77" s="116">
        <v>1000000</v>
      </c>
      <c r="G77" s="117"/>
      <c r="H77" s="117"/>
      <c r="I77" s="116">
        <v>132000</v>
      </c>
      <c r="J77" s="117"/>
      <c r="K77" s="117"/>
      <c r="L77" s="117"/>
      <c r="M77" s="116">
        <f t="shared" si="5"/>
        <v>5867000</v>
      </c>
      <c r="N77" s="117"/>
      <c r="O77" s="117"/>
      <c r="P77" s="124">
        <f t="shared" si="6"/>
        <v>37520.169224714678</v>
      </c>
      <c r="Q77" s="117"/>
      <c r="R77" s="117"/>
      <c r="S77" s="38"/>
      <c r="T77" s="38"/>
      <c r="U77" s="23">
        <f t="shared" si="7"/>
        <v>0</v>
      </c>
      <c r="W77" s="55">
        <f t="shared" si="8"/>
        <v>0</v>
      </c>
      <c r="Y77" s="23"/>
      <c r="Z77" s="23"/>
      <c r="AA77" s="23"/>
      <c r="AB77" s="23"/>
      <c r="AC77" s="37"/>
      <c r="AD77" s="23"/>
      <c r="AE77" s="23"/>
    </row>
    <row r="78" spans="1:31" ht="12.75">
      <c r="A78" s="54" t="s">
        <v>44</v>
      </c>
      <c r="B78" s="53" t="s">
        <v>10</v>
      </c>
      <c r="C78" s="116">
        <v>3000000</v>
      </c>
      <c r="D78" s="117"/>
      <c r="E78" s="117"/>
      <c r="F78" s="116">
        <v>1000000</v>
      </c>
      <c r="G78" s="117"/>
      <c r="H78" s="117"/>
      <c r="I78" s="116"/>
      <c r="J78" s="117"/>
      <c r="K78" s="117"/>
      <c r="L78" s="117"/>
      <c r="M78" s="116">
        <f t="shared" si="5"/>
        <v>5735000</v>
      </c>
      <c r="N78" s="117"/>
      <c r="O78" s="117"/>
      <c r="P78" s="124">
        <f t="shared" si="6"/>
        <v>36676.013380558834</v>
      </c>
      <c r="Q78" s="117"/>
      <c r="R78" s="117"/>
      <c r="S78" s="38"/>
      <c r="T78" s="38"/>
      <c r="U78" s="23">
        <f t="shared" si="7"/>
        <v>240</v>
      </c>
      <c r="W78" s="55">
        <f t="shared" si="8"/>
        <v>8802243.2113341205</v>
      </c>
      <c r="Y78" s="23"/>
      <c r="Z78" s="23"/>
      <c r="AA78" s="23"/>
      <c r="AB78" s="23"/>
      <c r="AC78" s="37"/>
      <c r="AD78" s="23"/>
      <c r="AE78" s="23"/>
    </row>
    <row r="79" spans="1:31" ht="12.75">
      <c r="A79" s="54"/>
      <c r="B79" s="53"/>
      <c r="C79" s="38"/>
      <c r="D79" s="38"/>
      <c r="E79" s="38"/>
      <c r="F79" s="38"/>
      <c r="G79" s="38"/>
      <c r="H79" s="38"/>
      <c r="I79" s="23"/>
      <c r="J79" s="23"/>
      <c r="K79" s="23"/>
      <c r="L79" s="23"/>
      <c r="M79" s="23"/>
      <c r="N79" s="23"/>
      <c r="O79" s="23"/>
      <c r="P79" s="125">
        <f>SUM(P69:P78)</f>
        <v>446430.53915781184</v>
      </c>
      <c r="Q79" s="117"/>
      <c r="R79" s="117"/>
      <c r="S79" s="38"/>
      <c r="T79" s="38"/>
      <c r="U79" s="38"/>
      <c r="W79" s="56">
        <f>SUM(W69:W78)</f>
        <v>55165916.961826041</v>
      </c>
      <c r="Y79" s="23"/>
      <c r="Z79" s="23"/>
      <c r="AA79" s="23"/>
      <c r="AB79" s="23"/>
      <c r="AC79" s="37"/>
      <c r="AD79" s="23"/>
      <c r="AE79" s="23"/>
    </row>
    <row r="80" spans="1:31" ht="12.75">
      <c r="A80" s="23"/>
      <c r="B80" s="23"/>
      <c r="C80" s="57"/>
      <c r="D80" s="57"/>
      <c r="E80" s="23"/>
      <c r="F80" s="23"/>
      <c r="G80" s="23"/>
      <c r="H80" s="38"/>
      <c r="I80" s="23"/>
      <c r="J80" s="23"/>
      <c r="K80" s="23"/>
      <c r="L80" s="38"/>
      <c r="M80" s="23"/>
      <c r="N80" s="23"/>
      <c r="O80" s="23"/>
      <c r="P80" s="23"/>
      <c r="Q80" s="23"/>
      <c r="R80" s="23"/>
      <c r="S80" s="23"/>
      <c r="T80" s="23"/>
      <c r="U80" s="23"/>
      <c r="V80" s="23"/>
      <c r="W80" s="23"/>
      <c r="X80" s="23"/>
      <c r="Y80" s="23"/>
      <c r="Z80" s="23"/>
      <c r="AA80" s="23"/>
      <c r="AB80" s="23"/>
      <c r="AC80" s="37"/>
      <c r="AD80" s="23"/>
      <c r="AE80" s="23"/>
    </row>
    <row r="81" spans="1:31" ht="12.7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37"/>
      <c r="AD81" s="23"/>
      <c r="AE81" s="23"/>
    </row>
    <row r="82" spans="1:31" ht="15">
      <c r="A82" s="58"/>
      <c r="B82" s="58"/>
      <c r="C82" s="58"/>
      <c r="D82" s="58"/>
      <c r="E82" s="58"/>
      <c r="F82" s="58"/>
      <c r="G82" s="132" t="s">
        <v>212</v>
      </c>
      <c r="H82" s="133"/>
      <c r="I82" s="133"/>
      <c r="J82" s="133"/>
      <c r="K82" s="133"/>
      <c r="L82" s="133"/>
      <c r="M82" s="133"/>
      <c r="N82" s="133"/>
      <c r="O82" s="134"/>
      <c r="P82" s="58"/>
      <c r="Q82" s="58"/>
      <c r="R82" s="58"/>
      <c r="S82" s="58"/>
      <c r="T82" s="58"/>
      <c r="U82" s="58"/>
      <c r="V82" s="58"/>
      <c r="W82" s="58"/>
      <c r="X82" s="58"/>
      <c r="Y82" s="58"/>
      <c r="Z82" s="58"/>
      <c r="AA82" s="58"/>
      <c r="AB82" s="58"/>
      <c r="AC82" s="59"/>
      <c r="AD82" s="58"/>
      <c r="AE82" s="58"/>
    </row>
    <row r="83" spans="1:31" ht="15">
      <c r="A83" s="58"/>
      <c r="B83" s="58"/>
      <c r="C83" s="118"/>
      <c r="D83" s="119"/>
      <c r="E83" s="119"/>
      <c r="F83" s="120"/>
      <c r="G83" s="121"/>
      <c r="H83" s="122"/>
      <c r="I83" s="122"/>
      <c r="J83" s="123"/>
      <c r="K83" s="60"/>
      <c r="L83" s="126"/>
      <c r="M83" s="122"/>
      <c r="N83" s="122"/>
      <c r="O83" s="123"/>
      <c r="P83" s="121"/>
      <c r="Q83" s="122"/>
      <c r="R83" s="122"/>
      <c r="S83" s="123"/>
      <c r="T83" s="126"/>
      <c r="U83" s="122"/>
      <c r="V83" s="122"/>
      <c r="W83" s="123"/>
      <c r="X83" s="121"/>
      <c r="Y83" s="122"/>
      <c r="Z83" s="123"/>
      <c r="AA83" s="126"/>
      <c r="AB83" s="122"/>
      <c r="AC83" s="123"/>
      <c r="AD83" s="61"/>
      <c r="AE83" s="58"/>
    </row>
    <row r="84" spans="1:31" ht="12.75">
      <c r="A84" s="62" t="e">
        <f t="array" aca="1" ref="A84:A97" ca="1">unique(L1:L64)</f>
        <v>#NAME?</v>
      </c>
      <c r="B84" s="63"/>
      <c r="C84" s="64"/>
      <c r="D84" s="64"/>
      <c r="E84" s="64"/>
      <c r="F84" s="65"/>
      <c r="G84" s="66" t="s">
        <v>45</v>
      </c>
      <c r="H84" s="66" t="s">
        <v>46</v>
      </c>
      <c r="I84" s="66" t="s">
        <v>47</v>
      </c>
      <c r="J84" s="66" t="s">
        <v>48</v>
      </c>
      <c r="K84" s="66" t="s">
        <v>49</v>
      </c>
      <c r="L84" s="67" t="s">
        <v>50</v>
      </c>
      <c r="M84" s="67" t="s">
        <v>51</v>
      </c>
      <c r="N84" s="67" t="s">
        <v>52</v>
      </c>
      <c r="O84" s="67" t="s">
        <v>53</v>
      </c>
      <c r="P84" s="66" t="s">
        <v>54</v>
      </c>
      <c r="Q84" s="66"/>
      <c r="R84" s="66"/>
      <c r="S84" s="66"/>
      <c r="T84" s="67"/>
      <c r="U84" s="67"/>
      <c r="V84" s="67"/>
      <c r="W84" s="67"/>
      <c r="X84" s="66"/>
      <c r="Y84" s="66"/>
      <c r="Z84" s="66"/>
      <c r="AA84" s="67"/>
      <c r="AB84" s="67"/>
      <c r="AC84" s="68"/>
      <c r="AD84" s="67"/>
      <c r="AE84" s="58"/>
    </row>
    <row r="85" spans="1:31" ht="12.75">
      <c r="A85" s="69" t="e">
        <f ca="1"/>
        <v>#NAME?</v>
      </c>
      <c r="B85" s="70"/>
      <c r="C85" s="71"/>
      <c r="D85" s="71" t="s">
        <v>55</v>
      </c>
      <c r="E85" s="71"/>
      <c r="F85" s="72"/>
      <c r="G85" s="73" t="s">
        <v>213</v>
      </c>
      <c r="H85" s="73"/>
      <c r="I85" s="73"/>
      <c r="J85" s="73"/>
      <c r="K85" s="73"/>
      <c r="L85" s="74"/>
      <c r="M85" s="74"/>
      <c r="N85" s="74"/>
      <c r="O85" s="75"/>
      <c r="P85" s="76"/>
      <c r="Q85" s="76"/>
      <c r="R85" s="76"/>
      <c r="S85" s="76"/>
      <c r="T85" s="75"/>
      <c r="U85" s="75"/>
      <c r="V85" s="75"/>
      <c r="W85" s="75"/>
      <c r="X85" s="76"/>
      <c r="Y85" s="76"/>
      <c r="Z85" s="76"/>
      <c r="AA85" s="75"/>
      <c r="AB85" s="75"/>
      <c r="AC85" s="77"/>
      <c r="AD85" s="75"/>
      <c r="AE85" s="58"/>
    </row>
    <row r="86" spans="1:31" ht="12.75">
      <c r="A86" s="69" t="e">
        <f ca="1"/>
        <v>#NAME?</v>
      </c>
      <c r="B86" s="70"/>
      <c r="C86" s="71"/>
      <c r="D86" s="71"/>
      <c r="E86" s="71"/>
      <c r="F86" s="72"/>
      <c r="G86" s="73" t="s">
        <v>156</v>
      </c>
      <c r="H86" s="73"/>
      <c r="I86" s="73"/>
      <c r="J86" s="73"/>
      <c r="K86" s="73"/>
      <c r="L86" s="74"/>
      <c r="M86" s="75"/>
      <c r="N86" s="75"/>
      <c r="O86" s="75"/>
      <c r="P86" s="76"/>
      <c r="Q86" s="76"/>
      <c r="R86" s="76"/>
      <c r="S86" s="76"/>
      <c r="T86" s="75"/>
      <c r="U86" s="75"/>
      <c r="V86" s="75"/>
      <c r="W86" s="75"/>
      <c r="X86" s="76"/>
      <c r="Y86" s="76"/>
      <c r="Z86" s="76"/>
      <c r="AA86" s="75"/>
      <c r="AB86" s="75"/>
      <c r="AC86" s="77"/>
      <c r="AD86" s="75"/>
      <c r="AE86" s="58"/>
    </row>
    <row r="87" spans="1:31" ht="12.75">
      <c r="A87" s="69" t="e">
        <f ca="1"/>
        <v>#NAME?</v>
      </c>
      <c r="B87" s="70"/>
      <c r="C87" s="71"/>
      <c r="D87" s="71"/>
      <c r="E87" s="71"/>
      <c r="F87" s="72"/>
      <c r="G87" s="73" t="s">
        <v>156</v>
      </c>
      <c r="H87" s="73"/>
      <c r="I87" s="73" t="s">
        <v>156</v>
      </c>
      <c r="J87" s="73"/>
      <c r="K87" s="73"/>
      <c r="L87" s="74"/>
      <c r="M87" s="74"/>
      <c r="N87" s="74"/>
      <c r="O87" s="74"/>
      <c r="P87" s="76"/>
      <c r="Q87" s="76"/>
      <c r="R87" s="76"/>
      <c r="S87" s="76"/>
      <c r="T87" s="75"/>
      <c r="U87" s="75"/>
      <c r="V87" s="75"/>
      <c r="W87" s="75"/>
      <c r="X87" s="76"/>
      <c r="Y87" s="76"/>
      <c r="Z87" s="76"/>
      <c r="AA87" s="75"/>
      <c r="AB87" s="75"/>
      <c r="AC87" s="77"/>
      <c r="AD87" s="75"/>
      <c r="AE87" s="58"/>
    </row>
    <row r="88" spans="1:31" ht="12.75">
      <c r="A88" s="69" t="e">
        <f ca="1"/>
        <v>#NAME?</v>
      </c>
      <c r="B88" s="70"/>
      <c r="C88" s="71"/>
      <c r="D88" s="71"/>
      <c r="E88" s="71"/>
      <c r="F88" s="72"/>
      <c r="G88" s="73" t="s">
        <v>156</v>
      </c>
      <c r="H88" s="73"/>
      <c r="I88" s="73"/>
      <c r="J88" s="73"/>
      <c r="K88" s="73"/>
      <c r="L88" s="74"/>
      <c r="M88" s="74"/>
      <c r="N88" s="74"/>
      <c r="O88" s="75"/>
      <c r="P88" s="76"/>
      <c r="Q88" s="76"/>
      <c r="R88" s="76"/>
      <c r="S88" s="76"/>
      <c r="T88" s="75"/>
      <c r="U88" s="75"/>
      <c r="V88" s="75"/>
      <c r="W88" s="75"/>
      <c r="X88" s="76"/>
      <c r="Y88" s="76"/>
      <c r="Z88" s="76"/>
      <c r="AA88" s="75"/>
      <c r="AB88" s="75"/>
      <c r="AC88" s="77"/>
      <c r="AD88" s="75"/>
      <c r="AE88" s="58"/>
    </row>
    <row r="89" spans="1:31" ht="12.75">
      <c r="A89" s="69" t="e">
        <f ca="1"/>
        <v>#NAME?</v>
      </c>
      <c r="B89" s="70"/>
      <c r="C89" s="71"/>
      <c r="D89" s="71"/>
      <c r="E89" s="71"/>
      <c r="F89" s="72"/>
      <c r="G89" s="73" t="s">
        <v>213</v>
      </c>
      <c r="H89" s="73" t="s">
        <v>156</v>
      </c>
      <c r="I89" s="73"/>
      <c r="J89" s="73"/>
      <c r="K89" s="73"/>
      <c r="L89" s="74"/>
      <c r="M89" s="74"/>
      <c r="N89" s="74"/>
      <c r="O89" s="74"/>
      <c r="P89" s="76"/>
      <c r="Q89" s="76"/>
      <c r="R89" s="76"/>
      <c r="S89" s="76"/>
      <c r="T89" s="75"/>
      <c r="U89" s="75"/>
      <c r="V89" s="75"/>
      <c r="W89" s="75"/>
      <c r="X89" s="76"/>
      <c r="Y89" s="76"/>
      <c r="Z89" s="76"/>
      <c r="AA89" s="75"/>
      <c r="AB89" s="75"/>
      <c r="AC89" s="77"/>
      <c r="AD89" s="75"/>
      <c r="AE89" s="58"/>
    </row>
    <row r="90" spans="1:31" ht="12.75">
      <c r="A90" s="69" t="e">
        <f ca="1"/>
        <v>#NAME?</v>
      </c>
      <c r="B90" s="70"/>
      <c r="C90" s="71"/>
      <c r="D90" s="71"/>
      <c r="E90" s="71"/>
      <c r="F90" s="72"/>
      <c r="G90" s="73" t="s">
        <v>156</v>
      </c>
      <c r="H90" s="73" t="s">
        <v>156</v>
      </c>
      <c r="I90" s="73"/>
      <c r="J90" s="73"/>
      <c r="K90" s="73"/>
      <c r="L90" s="74"/>
      <c r="M90" s="74"/>
      <c r="N90" s="74"/>
      <c r="O90" s="75"/>
      <c r="P90" s="73"/>
      <c r="Q90" s="76"/>
      <c r="R90" s="76"/>
      <c r="S90" s="76"/>
      <c r="T90" s="75"/>
      <c r="U90" s="75"/>
      <c r="V90" s="75"/>
      <c r="W90" s="75"/>
      <c r="X90" s="76"/>
      <c r="Y90" s="76"/>
      <c r="Z90" s="76"/>
      <c r="AA90" s="75"/>
      <c r="AB90" s="75"/>
      <c r="AC90" s="77"/>
      <c r="AD90" s="75"/>
      <c r="AE90" s="58"/>
    </row>
    <row r="91" spans="1:31" ht="12.75">
      <c r="A91" s="69" t="e">
        <f ca="1"/>
        <v>#NAME?</v>
      </c>
      <c r="B91" s="70"/>
      <c r="C91" s="71"/>
      <c r="D91" s="71"/>
      <c r="E91" s="71"/>
      <c r="F91" s="72"/>
      <c r="G91" s="73" t="s">
        <v>156</v>
      </c>
      <c r="H91" s="73" t="s">
        <v>156</v>
      </c>
      <c r="I91" s="73"/>
      <c r="J91" s="73"/>
      <c r="K91" s="73"/>
      <c r="L91" s="74"/>
      <c r="M91" s="74"/>
      <c r="N91" s="74"/>
      <c r="O91" s="75"/>
      <c r="P91" s="73"/>
      <c r="Q91" s="76"/>
      <c r="R91" s="76"/>
      <c r="S91" s="76"/>
      <c r="T91" s="75"/>
      <c r="U91" s="75"/>
      <c r="V91" s="75"/>
      <c r="W91" s="75"/>
      <c r="X91" s="76"/>
      <c r="Y91" s="76"/>
      <c r="Z91" s="76"/>
      <c r="AA91" s="75"/>
      <c r="AB91" s="75"/>
      <c r="AC91" s="77"/>
      <c r="AD91" s="75"/>
      <c r="AE91" s="58"/>
    </row>
    <row r="92" spans="1:31" ht="12.75">
      <c r="A92" s="69" t="e">
        <f ca="1"/>
        <v>#NAME?</v>
      </c>
      <c r="B92" s="70"/>
      <c r="C92" s="71"/>
      <c r="D92" s="71"/>
      <c r="E92" s="71"/>
      <c r="F92" s="72"/>
      <c r="G92" s="73" t="s">
        <v>156</v>
      </c>
      <c r="H92" s="73" t="s">
        <v>156</v>
      </c>
      <c r="I92" s="73"/>
      <c r="J92" s="73"/>
      <c r="K92" s="73"/>
      <c r="L92" s="74"/>
      <c r="M92" s="74"/>
      <c r="N92" s="74"/>
      <c r="O92" s="74"/>
      <c r="P92" s="73"/>
      <c r="Q92" s="76"/>
      <c r="R92" s="76"/>
      <c r="S92" s="76"/>
      <c r="T92" s="75"/>
      <c r="U92" s="75"/>
      <c r="V92" s="75"/>
      <c r="W92" s="75"/>
      <c r="X92" s="76"/>
      <c r="Y92" s="76"/>
      <c r="Z92" s="76"/>
      <c r="AA92" s="75"/>
      <c r="AB92" s="75"/>
      <c r="AC92" s="77"/>
      <c r="AD92" s="75"/>
      <c r="AE92" s="58"/>
    </row>
    <row r="93" spans="1:31" ht="12.75">
      <c r="A93" s="69" t="e">
        <f ca="1"/>
        <v>#NAME?</v>
      </c>
      <c r="B93" s="70"/>
      <c r="C93" s="71"/>
      <c r="D93" s="71"/>
      <c r="E93" s="71"/>
      <c r="F93" s="72"/>
      <c r="G93" s="73"/>
      <c r="H93" s="73" t="s">
        <v>156</v>
      </c>
      <c r="I93" s="73"/>
      <c r="J93" s="73"/>
      <c r="K93" s="73"/>
      <c r="L93" s="74"/>
      <c r="M93" s="74"/>
      <c r="N93" s="74"/>
      <c r="O93" s="75"/>
      <c r="P93" s="76"/>
      <c r="Q93" s="76"/>
      <c r="R93" s="76"/>
      <c r="S93" s="76"/>
      <c r="T93" s="75"/>
      <c r="U93" s="75"/>
      <c r="V93" s="75"/>
      <c r="W93" s="75"/>
      <c r="X93" s="76"/>
      <c r="Y93" s="76"/>
      <c r="Z93" s="76"/>
      <c r="AA93" s="75"/>
      <c r="AB93" s="75"/>
      <c r="AC93" s="77"/>
      <c r="AD93" s="75"/>
      <c r="AE93" s="58"/>
    </row>
    <row r="94" spans="1:31" ht="12.75">
      <c r="A94" s="69" t="e">
        <f ca="1"/>
        <v>#NAME?</v>
      </c>
      <c r="B94" s="70"/>
      <c r="C94" s="71"/>
      <c r="D94" s="71"/>
      <c r="E94" s="71"/>
      <c r="F94" s="72"/>
      <c r="G94" s="73"/>
      <c r="H94" s="73" t="s">
        <v>156</v>
      </c>
      <c r="I94" s="73"/>
      <c r="J94" s="73"/>
      <c r="K94" s="73"/>
      <c r="L94" s="74"/>
      <c r="M94" s="74"/>
      <c r="N94" s="74"/>
      <c r="O94" s="75"/>
      <c r="P94" s="76"/>
      <c r="Q94" s="76"/>
      <c r="R94" s="76"/>
      <c r="S94" s="76"/>
      <c r="T94" s="75"/>
      <c r="U94" s="75"/>
      <c r="V94" s="75"/>
      <c r="W94" s="75"/>
      <c r="X94" s="76"/>
      <c r="Y94" s="76"/>
      <c r="Z94" s="76"/>
      <c r="AA94" s="75"/>
      <c r="AB94" s="75"/>
      <c r="AC94" s="77"/>
      <c r="AD94" s="75"/>
      <c r="AE94" s="58"/>
    </row>
    <row r="95" spans="1:31" ht="12.75">
      <c r="A95" s="69" t="e">
        <f ca="1"/>
        <v>#NAME?</v>
      </c>
      <c r="B95" s="70"/>
      <c r="C95" s="71"/>
      <c r="D95" s="71"/>
      <c r="E95" s="71"/>
      <c r="F95" s="72"/>
      <c r="G95" s="73"/>
      <c r="H95" s="73" t="s">
        <v>156</v>
      </c>
      <c r="I95" s="73"/>
      <c r="J95" s="73"/>
      <c r="K95" s="73"/>
      <c r="L95" s="74"/>
      <c r="M95" s="74"/>
      <c r="N95" s="74"/>
      <c r="O95" s="75"/>
      <c r="P95" s="76"/>
      <c r="Q95" s="76"/>
      <c r="R95" s="76"/>
      <c r="S95" s="76"/>
      <c r="T95" s="75"/>
      <c r="U95" s="75"/>
      <c r="V95" s="75"/>
      <c r="W95" s="75"/>
      <c r="X95" s="76"/>
      <c r="Y95" s="76"/>
      <c r="Z95" s="76"/>
      <c r="AA95" s="75"/>
      <c r="AB95" s="75"/>
      <c r="AC95" s="77"/>
      <c r="AD95" s="75"/>
      <c r="AE95" s="58"/>
    </row>
    <row r="96" spans="1:31" ht="12.75">
      <c r="A96" s="69" t="e">
        <f ca="1"/>
        <v>#NAME?</v>
      </c>
      <c r="B96" s="70"/>
      <c r="C96" s="71"/>
      <c r="D96" s="71"/>
      <c r="E96" s="71"/>
      <c r="F96" s="72"/>
      <c r="G96" s="73"/>
      <c r="H96" s="73" t="s">
        <v>156</v>
      </c>
      <c r="I96" s="73"/>
      <c r="J96" s="73"/>
      <c r="K96" s="73"/>
      <c r="L96" s="74"/>
      <c r="M96" s="74"/>
      <c r="N96" s="74"/>
      <c r="O96" s="75"/>
      <c r="P96" s="76"/>
      <c r="Q96" s="76"/>
      <c r="R96" s="76"/>
      <c r="S96" s="76"/>
      <c r="T96" s="75"/>
      <c r="U96" s="75"/>
      <c r="V96" s="75"/>
      <c r="W96" s="75"/>
      <c r="X96" s="76"/>
      <c r="Y96" s="76"/>
      <c r="Z96" s="76"/>
      <c r="AA96" s="75"/>
      <c r="AB96" s="75"/>
      <c r="AC96" s="77"/>
      <c r="AD96" s="75"/>
      <c r="AE96" s="58"/>
    </row>
    <row r="97" spans="1:31" ht="12.75">
      <c r="A97" s="69" t="e">
        <f ca="1"/>
        <v>#NAME?</v>
      </c>
      <c r="B97" s="70"/>
      <c r="C97" s="71"/>
      <c r="D97" s="71"/>
      <c r="E97" s="71"/>
      <c r="F97" s="72"/>
      <c r="G97" s="73"/>
      <c r="H97" s="73" t="s">
        <v>156</v>
      </c>
      <c r="I97" s="73"/>
      <c r="J97" s="73"/>
      <c r="K97" s="73"/>
      <c r="L97" s="74"/>
      <c r="M97" s="74"/>
      <c r="N97" s="74"/>
      <c r="O97" s="75"/>
      <c r="P97" s="76"/>
      <c r="Q97" s="76"/>
      <c r="R97" s="76"/>
      <c r="S97" s="76"/>
      <c r="T97" s="75"/>
      <c r="U97" s="75"/>
      <c r="V97" s="75"/>
      <c r="W97" s="75"/>
      <c r="X97" s="76"/>
      <c r="Y97" s="76"/>
      <c r="Z97" s="76"/>
      <c r="AA97" s="75"/>
      <c r="AB97" s="75"/>
      <c r="AC97" s="77"/>
      <c r="AD97" s="75"/>
      <c r="AE97" s="58"/>
    </row>
    <row r="98" spans="1:31" ht="12.75">
      <c r="A98" s="69"/>
      <c r="B98" s="70"/>
      <c r="C98" s="71"/>
      <c r="D98" s="71"/>
      <c r="E98" s="71"/>
      <c r="F98" s="72"/>
      <c r="G98" s="73"/>
      <c r="H98" s="73"/>
      <c r="I98" s="73"/>
      <c r="J98" s="73"/>
      <c r="K98" s="73"/>
      <c r="L98" s="74"/>
      <c r="M98" s="74"/>
      <c r="N98" s="74"/>
      <c r="O98" s="75"/>
      <c r="P98" s="76"/>
      <c r="Q98" s="76"/>
      <c r="R98" s="76"/>
      <c r="S98" s="76"/>
      <c r="T98" s="75"/>
      <c r="U98" s="75"/>
      <c r="V98" s="75"/>
      <c r="W98" s="75"/>
      <c r="X98" s="76"/>
      <c r="Y98" s="76"/>
      <c r="Z98" s="76"/>
      <c r="AA98" s="75"/>
      <c r="AB98" s="75"/>
      <c r="AC98" s="77"/>
      <c r="AD98" s="75"/>
      <c r="AE98" s="58"/>
    </row>
    <row r="99" spans="1:31" ht="12.75">
      <c r="A99" s="69"/>
      <c r="B99" s="70"/>
      <c r="C99" s="71"/>
      <c r="D99" s="71"/>
      <c r="E99" s="71"/>
      <c r="F99" s="72"/>
      <c r="G99" s="73"/>
      <c r="H99" s="73"/>
      <c r="I99" s="73"/>
      <c r="J99" s="73"/>
      <c r="K99" s="73"/>
      <c r="L99" s="74"/>
      <c r="M99" s="74"/>
      <c r="N99" s="74"/>
      <c r="O99" s="75"/>
      <c r="P99" s="76"/>
      <c r="Q99" s="76"/>
      <c r="R99" s="76"/>
      <c r="S99" s="76"/>
      <c r="T99" s="75"/>
      <c r="U99" s="75"/>
      <c r="V99" s="75"/>
      <c r="W99" s="75"/>
      <c r="X99" s="76"/>
      <c r="Y99" s="76"/>
      <c r="Z99" s="76"/>
      <c r="AA99" s="75"/>
      <c r="AB99" s="75"/>
      <c r="AC99" s="77"/>
      <c r="AD99" s="75"/>
      <c r="AE99" s="58"/>
    </row>
    <row r="100" spans="1:31" ht="12.75">
      <c r="A100" s="69"/>
      <c r="B100" s="70"/>
      <c r="C100" s="71"/>
      <c r="D100" s="71"/>
      <c r="E100" s="71"/>
      <c r="F100" s="72"/>
      <c r="G100" s="73"/>
      <c r="H100" s="73"/>
      <c r="I100" s="73"/>
      <c r="J100" s="73"/>
      <c r="K100" s="73"/>
      <c r="L100" s="74"/>
      <c r="M100" s="74"/>
      <c r="N100" s="74"/>
      <c r="O100" s="75"/>
      <c r="P100" s="76"/>
      <c r="Q100" s="76"/>
      <c r="R100" s="76"/>
      <c r="S100" s="76"/>
      <c r="T100" s="75"/>
      <c r="U100" s="75"/>
      <c r="V100" s="75"/>
      <c r="W100" s="75"/>
      <c r="X100" s="76"/>
      <c r="Y100" s="76"/>
      <c r="Z100" s="76"/>
      <c r="AA100" s="75"/>
      <c r="AB100" s="75"/>
      <c r="AC100" s="77"/>
      <c r="AD100" s="75"/>
      <c r="AE100" s="58"/>
    </row>
    <row r="101" spans="1:31" ht="12.75">
      <c r="A101" s="69"/>
      <c r="B101" s="70"/>
      <c r="C101" s="71"/>
      <c r="D101" s="71"/>
      <c r="E101" s="71"/>
      <c r="F101" s="72"/>
      <c r="G101" s="73"/>
      <c r="H101" s="73"/>
      <c r="I101" s="73"/>
      <c r="J101" s="73"/>
      <c r="K101" s="73"/>
      <c r="L101" s="74"/>
      <c r="M101" s="74"/>
      <c r="N101" s="74"/>
      <c r="O101" s="75"/>
      <c r="P101" s="76"/>
      <c r="Q101" s="76"/>
      <c r="R101" s="76"/>
      <c r="S101" s="76"/>
      <c r="T101" s="75"/>
      <c r="U101" s="75"/>
      <c r="V101" s="75"/>
      <c r="W101" s="75"/>
      <c r="X101" s="76"/>
      <c r="Y101" s="76"/>
      <c r="Z101" s="76"/>
      <c r="AA101" s="75"/>
      <c r="AB101" s="75"/>
      <c r="AC101" s="77"/>
      <c r="AD101" s="75"/>
      <c r="AE101" s="58"/>
    </row>
    <row r="102" spans="1:31" ht="12.75">
      <c r="A102" s="69"/>
      <c r="B102" s="70"/>
      <c r="C102" s="71"/>
      <c r="D102" s="71"/>
      <c r="E102" s="71"/>
      <c r="F102" s="72"/>
      <c r="G102" s="73"/>
      <c r="H102" s="73"/>
      <c r="I102" s="73"/>
      <c r="J102" s="73"/>
      <c r="K102" s="73"/>
      <c r="L102" s="74"/>
      <c r="M102" s="74"/>
      <c r="N102" s="74"/>
      <c r="O102" s="75"/>
      <c r="P102" s="76"/>
      <c r="Q102" s="76"/>
      <c r="R102" s="76"/>
      <c r="S102" s="76"/>
      <c r="T102" s="75"/>
      <c r="U102" s="75"/>
      <c r="V102" s="75"/>
      <c r="W102" s="75"/>
      <c r="X102" s="76"/>
      <c r="Y102" s="76"/>
      <c r="Z102" s="76"/>
      <c r="AA102" s="75"/>
      <c r="AB102" s="75"/>
      <c r="AC102" s="77"/>
      <c r="AD102" s="75"/>
      <c r="AE102" s="58"/>
    </row>
    <row r="103" spans="1:31" ht="12.75">
      <c r="A103" s="69"/>
      <c r="B103" s="70"/>
      <c r="C103" s="71"/>
      <c r="D103" s="71"/>
      <c r="E103" s="71"/>
      <c r="F103" s="72"/>
      <c r="G103" s="73"/>
      <c r="H103" s="73"/>
      <c r="I103" s="73"/>
      <c r="J103" s="73"/>
      <c r="K103" s="73"/>
      <c r="L103" s="74"/>
      <c r="M103" s="74"/>
      <c r="N103" s="74"/>
      <c r="O103" s="75"/>
      <c r="P103" s="76"/>
      <c r="Q103" s="76"/>
      <c r="R103" s="76"/>
      <c r="S103" s="76"/>
      <c r="T103" s="75"/>
      <c r="U103" s="75"/>
      <c r="V103" s="75"/>
      <c r="W103" s="75"/>
      <c r="X103" s="76"/>
      <c r="Y103" s="76"/>
      <c r="Z103" s="76"/>
      <c r="AA103" s="75"/>
      <c r="AB103" s="75"/>
      <c r="AC103" s="77"/>
      <c r="AD103" s="75"/>
      <c r="AE103" s="58"/>
    </row>
    <row r="104" spans="1:31" ht="12.75">
      <c r="A104" s="69"/>
      <c r="B104" s="70"/>
      <c r="C104" s="71"/>
      <c r="D104" s="71"/>
      <c r="E104" s="71"/>
      <c r="F104" s="72"/>
      <c r="G104" s="73"/>
      <c r="H104" s="73"/>
      <c r="I104" s="73"/>
      <c r="J104" s="73"/>
      <c r="K104" s="73"/>
      <c r="L104" s="74"/>
      <c r="M104" s="74"/>
      <c r="N104" s="74"/>
      <c r="O104" s="75"/>
      <c r="P104" s="76"/>
      <c r="Q104" s="76"/>
      <c r="R104" s="76"/>
      <c r="S104" s="76"/>
      <c r="T104" s="75"/>
      <c r="U104" s="75"/>
      <c r="V104" s="75"/>
      <c r="W104" s="75"/>
      <c r="X104" s="76"/>
      <c r="Y104" s="76"/>
      <c r="Z104" s="76"/>
      <c r="AA104" s="75"/>
      <c r="AB104" s="75"/>
      <c r="AC104" s="77"/>
      <c r="AD104" s="75"/>
      <c r="AE104" s="58"/>
    </row>
    <row r="105" spans="1:31" ht="12.75">
      <c r="A105" s="69"/>
      <c r="B105" s="70"/>
      <c r="C105" s="71"/>
      <c r="D105" s="71"/>
      <c r="E105" s="71"/>
      <c r="F105" s="72"/>
      <c r="G105" s="73"/>
      <c r="H105" s="73"/>
      <c r="I105" s="73"/>
      <c r="J105" s="73"/>
      <c r="K105" s="73"/>
      <c r="L105" s="74"/>
      <c r="M105" s="74"/>
      <c r="N105" s="74"/>
      <c r="O105" s="75"/>
      <c r="P105" s="76"/>
      <c r="Q105" s="76"/>
      <c r="R105" s="76"/>
      <c r="S105" s="76"/>
      <c r="T105" s="75"/>
      <c r="U105" s="75"/>
      <c r="V105" s="75"/>
      <c r="W105" s="75"/>
      <c r="X105" s="76"/>
      <c r="Y105" s="76"/>
      <c r="Z105" s="76"/>
      <c r="AA105" s="75"/>
      <c r="AB105" s="75"/>
      <c r="AC105" s="77"/>
      <c r="AD105" s="75"/>
      <c r="AE105" s="58"/>
    </row>
    <row r="106" spans="1:31" ht="12.75">
      <c r="A106" s="69"/>
      <c r="B106" s="70"/>
      <c r="C106" s="71"/>
      <c r="D106" s="71"/>
      <c r="E106" s="71"/>
      <c r="F106" s="72"/>
      <c r="G106" s="73"/>
      <c r="H106" s="73"/>
      <c r="I106" s="73"/>
      <c r="J106" s="73"/>
      <c r="K106" s="73"/>
      <c r="L106" s="74"/>
      <c r="M106" s="74"/>
      <c r="N106" s="74"/>
      <c r="O106" s="75"/>
      <c r="P106" s="76"/>
      <c r="Q106" s="76"/>
      <c r="R106" s="76"/>
      <c r="S106" s="76"/>
      <c r="T106" s="75"/>
      <c r="U106" s="75"/>
      <c r="V106" s="75"/>
      <c r="W106" s="75"/>
      <c r="X106" s="76"/>
      <c r="Y106" s="76"/>
      <c r="Z106" s="76"/>
      <c r="AA106" s="75"/>
      <c r="AB106" s="75"/>
      <c r="AC106" s="77"/>
      <c r="AD106" s="75"/>
      <c r="AE106" s="58"/>
    </row>
    <row r="107" spans="1:31" ht="12.75">
      <c r="A107" s="69"/>
      <c r="B107" s="70"/>
      <c r="C107" s="71"/>
      <c r="D107" s="71"/>
      <c r="E107" s="71"/>
      <c r="F107" s="72"/>
      <c r="G107" s="73"/>
      <c r="H107" s="73"/>
      <c r="I107" s="73"/>
      <c r="J107" s="73"/>
      <c r="K107" s="73"/>
      <c r="L107" s="74"/>
      <c r="M107" s="74"/>
      <c r="N107" s="75"/>
      <c r="O107" s="75"/>
      <c r="P107" s="76"/>
      <c r="Q107" s="76"/>
      <c r="R107" s="76"/>
      <c r="S107" s="76"/>
      <c r="T107" s="75"/>
      <c r="U107" s="75"/>
      <c r="V107" s="75"/>
      <c r="W107" s="75"/>
      <c r="X107" s="76"/>
      <c r="Y107" s="76"/>
      <c r="Z107" s="76"/>
      <c r="AA107" s="75"/>
      <c r="AB107" s="75"/>
      <c r="AC107" s="77"/>
      <c r="AD107" s="75"/>
      <c r="AE107" s="58"/>
    </row>
    <row r="108" spans="1:31" ht="12.75">
      <c r="A108" s="69"/>
      <c r="B108" s="70"/>
      <c r="C108" s="71"/>
      <c r="D108" s="71"/>
      <c r="E108" s="71"/>
      <c r="F108" s="72"/>
      <c r="G108" s="73"/>
      <c r="H108" s="73"/>
      <c r="I108" s="73"/>
      <c r="J108" s="73"/>
      <c r="K108" s="73"/>
      <c r="L108" s="74"/>
      <c r="M108" s="74"/>
      <c r="N108" s="75"/>
      <c r="O108" s="75"/>
      <c r="P108" s="76"/>
      <c r="Q108" s="76"/>
      <c r="R108" s="76"/>
      <c r="S108" s="76"/>
      <c r="T108" s="75"/>
      <c r="U108" s="75"/>
      <c r="V108" s="75"/>
      <c r="W108" s="75"/>
      <c r="X108" s="76"/>
      <c r="Y108" s="76"/>
      <c r="Z108" s="76"/>
      <c r="AA108" s="75"/>
      <c r="AB108" s="75"/>
      <c r="AC108" s="77"/>
      <c r="AD108" s="75"/>
      <c r="AE108" s="58"/>
    </row>
    <row r="109" spans="1:31" ht="12.75">
      <c r="A109" s="23"/>
      <c r="B109" s="23"/>
      <c r="C109" s="23"/>
      <c r="D109" s="23"/>
      <c r="E109" s="23"/>
      <c r="F109" s="23"/>
      <c r="G109" s="23"/>
      <c r="H109" s="13"/>
      <c r="I109" s="13"/>
      <c r="J109" s="13"/>
      <c r="K109" s="13"/>
      <c r="L109" s="13"/>
      <c r="M109" s="13"/>
      <c r="N109" s="23"/>
      <c r="O109" s="23"/>
      <c r="P109" s="23"/>
      <c r="Q109" s="23"/>
      <c r="R109" s="23"/>
      <c r="S109" s="23"/>
      <c r="T109" s="23"/>
      <c r="U109" s="23"/>
      <c r="V109" s="23"/>
      <c r="W109" s="23"/>
      <c r="X109" s="23"/>
      <c r="Y109" s="23"/>
      <c r="Z109" s="23"/>
      <c r="AA109" s="23"/>
      <c r="AB109" s="23"/>
      <c r="AC109" s="37"/>
      <c r="AD109" s="23"/>
      <c r="AE109" s="58"/>
    </row>
    <row r="110" spans="1:31" ht="12.7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37"/>
      <c r="AD110" s="23"/>
      <c r="AE110" s="23"/>
    </row>
    <row r="111" spans="1:31" ht="12.7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37"/>
      <c r="AD111" s="23"/>
      <c r="AE111" s="23"/>
    </row>
  </sheetData>
  <mergeCells count="69">
    <mergeCell ref="C73:E73"/>
    <mergeCell ref="F73:H73"/>
    <mergeCell ref="C70:E70"/>
    <mergeCell ref="C71:E71"/>
    <mergeCell ref="F71:H71"/>
    <mergeCell ref="C72:E72"/>
    <mergeCell ref="F72:H72"/>
    <mergeCell ref="C74:E74"/>
    <mergeCell ref="F74:H74"/>
    <mergeCell ref="I74:L74"/>
    <mergeCell ref="M74:O74"/>
    <mergeCell ref="P74:R74"/>
    <mergeCell ref="F70:H70"/>
    <mergeCell ref="P70:R70"/>
    <mergeCell ref="I72:L72"/>
    <mergeCell ref="I73:L73"/>
    <mergeCell ref="M73:O73"/>
    <mergeCell ref="P73:R73"/>
    <mergeCell ref="I70:L70"/>
    <mergeCell ref="M70:O70"/>
    <mergeCell ref="I71:L71"/>
    <mergeCell ref="M71:O71"/>
    <mergeCell ref="P71:R71"/>
    <mergeCell ref="M72:O72"/>
    <mergeCell ref="P72:R72"/>
    <mergeCell ref="C69:E69"/>
    <mergeCell ref="F69:H69"/>
    <mergeCell ref="I69:L69"/>
    <mergeCell ref="M69:O69"/>
    <mergeCell ref="P69:R69"/>
    <mergeCell ref="I66:L66"/>
    <mergeCell ref="M66:O66"/>
    <mergeCell ref="C68:E68"/>
    <mergeCell ref="F68:H68"/>
    <mergeCell ref="I68:L68"/>
    <mergeCell ref="M68:O68"/>
    <mergeCell ref="P68:R68"/>
    <mergeCell ref="V68:X68"/>
    <mergeCell ref="M1:N1"/>
    <mergeCell ref="O1:U1"/>
    <mergeCell ref="P83:S83"/>
    <mergeCell ref="T83:W83"/>
    <mergeCell ref="X83:Z83"/>
    <mergeCell ref="AA83:AC83"/>
    <mergeCell ref="I76:L76"/>
    <mergeCell ref="M76:O76"/>
    <mergeCell ref="I77:L77"/>
    <mergeCell ref="M77:O77"/>
    <mergeCell ref="P77:R77"/>
    <mergeCell ref="I78:L78"/>
    <mergeCell ref="M78:O78"/>
    <mergeCell ref="P75:R75"/>
    <mergeCell ref="F76:H76"/>
    <mergeCell ref="P76:R76"/>
    <mergeCell ref="P78:R78"/>
    <mergeCell ref="P79:R79"/>
    <mergeCell ref="C83:F83"/>
    <mergeCell ref="C75:E75"/>
    <mergeCell ref="F75:H75"/>
    <mergeCell ref="I75:L75"/>
    <mergeCell ref="M75:O75"/>
    <mergeCell ref="G82:O82"/>
    <mergeCell ref="G83:J83"/>
    <mergeCell ref="L83:O83"/>
    <mergeCell ref="C76:E76"/>
    <mergeCell ref="C77:E77"/>
    <mergeCell ref="F77:H77"/>
    <mergeCell ref="C78:E78"/>
    <mergeCell ref="F78:H78"/>
  </mergeCells>
  <conditionalFormatting sqref="C85:AD108">
    <cfRule type="notContainsBlanks" dxfId="59" priority="1">
      <formula>LEN(TRIM(C85))&gt;0</formula>
    </cfRule>
  </conditionalFormatting>
  <conditionalFormatting sqref="Y2:Y63">
    <cfRule type="expression" dxfId="58" priority="2">
      <formula>$L2&lt;&gt;""</formula>
    </cfRule>
  </conditionalFormatting>
  <conditionalFormatting sqref="Z1:Z63">
    <cfRule type="notContainsBlanks" dxfId="57" priority="3">
      <formula>LEN(TRIM(Z1))&gt;0</formula>
    </cfRule>
  </conditionalFormatting>
  <conditionalFormatting sqref="AA1:AA63">
    <cfRule type="notContainsBlanks" dxfId="56" priority="4">
      <formula>LEN(TRIM(AA1))&gt;0</formula>
    </cfRule>
  </conditionalFormatting>
  <conditionalFormatting sqref="AB2:AB63">
    <cfRule type="cellIs" dxfId="55" priority="5" operator="equal">
      <formula>FALSE()</formula>
    </cfRule>
  </conditionalFormatting>
  <dataValidations count="1">
    <dataValidation type="decimal" operator="greaterThanOrEqual" allowBlank="1" showDropDown="1" showErrorMessage="1" sqref="B2:K64">
      <formula1>0</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67"/>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4" width="5" customWidth="1"/>
    <col min="5" max="5" width="6.7109375" customWidth="1"/>
    <col min="6" max="8" width="5" customWidth="1"/>
    <col min="9" max="22" width="4.5703125" customWidth="1"/>
    <col min="23" max="23" width="19.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c r="A1" s="1" t="s">
        <v>0</v>
      </c>
      <c r="B1" s="2" t="s">
        <v>1</v>
      </c>
      <c r="C1" s="2" t="s">
        <v>2</v>
      </c>
      <c r="D1" s="2" t="s">
        <v>3</v>
      </c>
      <c r="E1" s="2" t="s">
        <v>4</v>
      </c>
      <c r="F1" s="2" t="s">
        <v>5</v>
      </c>
      <c r="G1" s="2" t="s">
        <v>6</v>
      </c>
      <c r="H1" s="2" t="s">
        <v>7</v>
      </c>
      <c r="I1" s="2" t="s">
        <v>8</v>
      </c>
      <c r="J1" s="2" t="s">
        <v>9</v>
      </c>
      <c r="K1" s="2" t="s">
        <v>10</v>
      </c>
      <c r="L1" s="3"/>
      <c r="M1" s="128" t="s">
        <v>11</v>
      </c>
      <c r="N1" s="117"/>
      <c r="O1" s="129" t="s">
        <v>12</v>
      </c>
      <c r="P1" s="117"/>
      <c r="Q1" s="117"/>
      <c r="R1" s="117"/>
      <c r="S1" s="117"/>
      <c r="T1" s="117"/>
      <c r="U1" s="117"/>
      <c r="V1" s="3"/>
      <c r="W1" s="4">
        <v>46049</v>
      </c>
      <c r="X1" s="3"/>
      <c r="Y1" s="5">
        <f>SUMIFS(Y2:Y120,L2:L120,"&lt;&gt;"&amp;"")</f>
        <v>40691630.550964184</v>
      </c>
      <c r="Z1" s="6" t="s">
        <v>13</v>
      </c>
      <c r="AA1" s="7" t="s">
        <v>14</v>
      </c>
      <c r="AB1" s="8" t="s">
        <v>15</v>
      </c>
      <c r="AC1" s="9">
        <f>SUM(AC2:AC120)</f>
        <v>40691630.550964184</v>
      </c>
      <c r="AD1" s="3"/>
      <c r="AE1" s="3"/>
    </row>
    <row r="2" spans="1:31" ht="15.75" customHeight="1">
      <c r="A2" s="10">
        <f t="shared" ref="A2:A119" si="0">(B2*$P$125+C2*$P$126+D2*$P$127+E2*$P$128+F2*$P$129+G2*$P$130+H2*$P$131+I2*$P$132+J2*$P$133+K2*$P$134)*$T$123</f>
        <v>0</v>
      </c>
      <c r="B2" s="11"/>
      <c r="C2" s="12"/>
      <c r="D2" s="12"/>
      <c r="E2" s="12"/>
      <c r="F2" s="12"/>
      <c r="G2" s="12"/>
      <c r="H2" s="12"/>
      <c r="I2" s="12"/>
      <c r="J2" s="13"/>
      <c r="K2" s="13"/>
      <c r="L2" s="14" t="s">
        <v>16</v>
      </c>
      <c r="M2" s="15"/>
      <c r="N2" s="16"/>
      <c r="O2" s="17"/>
      <c r="P2" s="17"/>
      <c r="Q2" s="17"/>
      <c r="R2" s="17"/>
      <c r="S2" s="17"/>
      <c r="T2" s="17"/>
      <c r="U2" s="17"/>
      <c r="V2" s="17"/>
      <c r="W2" s="17"/>
      <c r="X2" s="17">
        <f t="shared" ref="X2:X92" si="1">COUNTIF($L$2:L2,"&lt;&gt;"&amp;"")</f>
        <v>1</v>
      </c>
      <c r="Y2" s="18">
        <f t="shared" ref="Y2:Y119" si="2">SUMIF($X$2:$X$120,X2,$A$2:$A$120)</f>
        <v>0</v>
      </c>
      <c r="Z2" s="19"/>
      <c r="AA2" s="20"/>
      <c r="AB2" s="21" t="b">
        <v>1</v>
      </c>
      <c r="AC2" s="22">
        <f t="shared" ref="AC2:AC119" si="3">IF(L2="",0,IF(AB2=FALSE(),0,Y2))</f>
        <v>0</v>
      </c>
      <c r="AD2" s="23"/>
      <c r="AE2" s="23"/>
    </row>
    <row r="3" spans="1:31" ht="15.75" customHeight="1">
      <c r="A3" s="10">
        <f t="shared" si="0"/>
        <v>0</v>
      </c>
      <c r="B3" s="12"/>
      <c r="C3" s="11"/>
      <c r="D3" s="11"/>
      <c r="E3" s="12"/>
      <c r="F3" s="12"/>
      <c r="G3" s="12"/>
      <c r="H3" s="12"/>
      <c r="I3" s="12"/>
      <c r="J3" s="13"/>
      <c r="K3" s="13"/>
      <c r="L3" s="14" t="s">
        <v>17</v>
      </c>
      <c r="M3" s="16"/>
      <c r="N3" s="16"/>
      <c r="O3" s="17"/>
      <c r="P3" s="17"/>
      <c r="Q3" s="17"/>
      <c r="R3" s="17"/>
      <c r="S3" s="17"/>
      <c r="T3" s="17"/>
      <c r="U3" s="17"/>
      <c r="V3" s="17"/>
      <c r="W3" s="17"/>
      <c r="X3" s="17">
        <f t="shared" si="1"/>
        <v>2</v>
      </c>
      <c r="Y3" s="18">
        <f t="shared" si="2"/>
        <v>0</v>
      </c>
      <c r="Z3" s="24"/>
      <c r="AA3" s="20"/>
      <c r="AB3" s="21" t="b">
        <v>1</v>
      </c>
      <c r="AC3" s="22">
        <f t="shared" si="3"/>
        <v>0</v>
      </c>
      <c r="AD3" s="23"/>
      <c r="AE3" s="23"/>
    </row>
    <row r="4" spans="1:31" ht="15.75" customHeight="1">
      <c r="A4" s="10">
        <f t="shared" si="0"/>
        <v>0</v>
      </c>
      <c r="B4" s="12"/>
      <c r="C4" s="12"/>
      <c r="D4" s="12"/>
      <c r="E4" s="12"/>
      <c r="F4" s="12"/>
      <c r="G4" s="12"/>
      <c r="H4" s="11"/>
      <c r="I4" s="12"/>
      <c r="J4" s="13"/>
      <c r="K4" s="13"/>
      <c r="L4" s="14" t="s">
        <v>18</v>
      </c>
      <c r="M4" s="16"/>
      <c r="N4" s="16"/>
      <c r="O4" s="17"/>
      <c r="P4" s="17"/>
      <c r="Q4" s="17"/>
      <c r="R4" s="17"/>
      <c r="S4" s="17"/>
      <c r="T4" s="17"/>
      <c r="U4" s="17"/>
      <c r="V4" s="17"/>
      <c r="W4" s="17"/>
      <c r="X4" s="17">
        <f t="shared" si="1"/>
        <v>3</v>
      </c>
      <c r="Y4" s="18">
        <f t="shared" si="2"/>
        <v>0</v>
      </c>
      <c r="Z4" s="24"/>
      <c r="AA4" s="25"/>
      <c r="AB4" s="21" t="b">
        <v>1</v>
      </c>
      <c r="AC4" s="22">
        <f t="shared" si="3"/>
        <v>0</v>
      </c>
      <c r="AD4" s="23"/>
      <c r="AE4" s="23"/>
    </row>
    <row r="5" spans="1:31" ht="15.75" customHeight="1">
      <c r="A5" s="10">
        <f t="shared" si="0"/>
        <v>0</v>
      </c>
      <c r="B5" s="13"/>
      <c r="C5" s="13"/>
      <c r="D5" s="13"/>
      <c r="E5" s="13"/>
      <c r="F5" s="13"/>
      <c r="G5" s="13"/>
      <c r="H5" s="13"/>
      <c r="I5" s="13"/>
      <c r="J5" s="13"/>
      <c r="K5" s="13"/>
      <c r="L5" s="26" t="s">
        <v>19</v>
      </c>
      <c r="M5" s="16"/>
      <c r="N5" s="16"/>
      <c r="O5" s="17"/>
      <c r="P5" s="17"/>
      <c r="Q5" s="17"/>
      <c r="R5" s="17"/>
      <c r="S5" s="17"/>
      <c r="T5" s="17"/>
      <c r="U5" s="17"/>
      <c r="V5" s="17"/>
      <c r="W5" s="17"/>
      <c r="X5" s="17">
        <f t="shared" si="1"/>
        <v>4</v>
      </c>
      <c r="Y5" s="18">
        <f t="shared" si="2"/>
        <v>0</v>
      </c>
      <c r="Z5" s="24"/>
      <c r="AA5" s="25"/>
      <c r="AB5" s="21" t="b">
        <v>1</v>
      </c>
      <c r="AC5" s="22">
        <f t="shared" si="3"/>
        <v>0</v>
      </c>
      <c r="AD5" s="23"/>
      <c r="AE5" s="23"/>
    </row>
    <row r="6" spans="1:31">
      <c r="A6" s="10">
        <f t="shared" si="0"/>
        <v>0</v>
      </c>
      <c r="B6" s="13"/>
      <c r="C6" s="13"/>
      <c r="D6" s="13"/>
      <c r="E6" s="13"/>
      <c r="F6" s="13"/>
      <c r="G6" s="13"/>
      <c r="H6" s="13"/>
      <c r="I6" s="13"/>
      <c r="J6" s="13"/>
      <c r="K6" s="13"/>
      <c r="L6" s="27"/>
      <c r="M6" s="16"/>
      <c r="N6" s="16"/>
      <c r="O6" s="17"/>
      <c r="P6" s="17"/>
      <c r="Q6" s="17"/>
      <c r="R6" s="17"/>
      <c r="S6" s="17"/>
      <c r="T6" s="17"/>
      <c r="U6" s="17"/>
      <c r="V6" s="17"/>
      <c r="W6" s="17"/>
      <c r="X6" s="17">
        <f t="shared" si="1"/>
        <v>4</v>
      </c>
      <c r="Y6" s="18">
        <f t="shared" si="2"/>
        <v>0</v>
      </c>
      <c r="Z6" s="19"/>
      <c r="AA6" s="20"/>
      <c r="AB6" s="21" t="b">
        <v>1</v>
      </c>
      <c r="AC6" s="22">
        <f t="shared" si="3"/>
        <v>0</v>
      </c>
      <c r="AD6" s="23"/>
      <c r="AE6" s="23"/>
    </row>
    <row r="7" spans="1:31">
      <c r="A7" s="10">
        <f t="shared" si="0"/>
        <v>0</v>
      </c>
      <c r="B7" s="13"/>
      <c r="C7" s="13"/>
      <c r="D7" s="13"/>
      <c r="E7" s="13"/>
      <c r="F7" s="13"/>
      <c r="G7" s="13"/>
      <c r="H7" s="13"/>
      <c r="I7" s="13"/>
      <c r="J7" s="13"/>
      <c r="K7" s="13"/>
      <c r="L7" s="27"/>
      <c r="M7" s="16"/>
      <c r="N7" s="16"/>
      <c r="O7" s="17"/>
      <c r="P7" s="17"/>
      <c r="Q7" s="17"/>
      <c r="R7" s="17"/>
      <c r="S7" s="17"/>
      <c r="T7" s="17"/>
      <c r="U7" s="17"/>
      <c r="V7" s="17"/>
      <c r="W7" s="17"/>
      <c r="X7" s="17">
        <f t="shared" si="1"/>
        <v>4</v>
      </c>
      <c r="Y7" s="18">
        <f t="shared" si="2"/>
        <v>0</v>
      </c>
      <c r="Z7" s="24"/>
      <c r="AA7" s="25"/>
      <c r="AB7" s="21" t="b">
        <v>1</v>
      </c>
      <c r="AC7" s="22">
        <f t="shared" si="3"/>
        <v>0</v>
      </c>
      <c r="AD7" s="23"/>
      <c r="AE7" s="23"/>
    </row>
    <row r="8" spans="1:31" ht="15.75" customHeight="1">
      <c r="A8" s="10">
        <f t="shared" si="0"/>
        <v>0</v>
      </c>
      <c r="B8" s="13"/>
      <c r="C8" s="13"/>
      <c r="D8" s="13"/>
      <c r="E8" s="13"/>
      <c r="F8" s="13"/>
      <c r="G8" s="13"/>
      <c r="H8" s="13"/>
      <c r="I8" s="13"/>
      <c r="J8" s="13"/>
      <c r="K8" s="13"/>
      <c r="L8" s="26" t="s">
        <v>214</v>
      </c>
      <c r="M8" s="16"/>
      <c r="N8" s="16"/>
      <c r="O8" s="16"/>
      <c r="P8" s="16"/>
      <c r="Q8" s="16"/>
      <c r="R8" s="17"/>
      <c r="S8" s="17"/>
      <c r="T8" s="17"/>
      <c r="U8" s="17"/>
      <c r="V8" s="17"/>
      <c r="W8" s="17"/>
      <c r="X8" s="17">
        <f t="shared" si="1"/>
        <v>5</v>
      </c>
      <c r="Y8" s="18">
        <f t="shared" si="2"/>
        <v>0</v>
      </c>
      <c r="Z8" s="24"/>
      <c r="AA8" s="20"/>
      <c r="AB8" s="21" t="b">
        <v>1</v>
      </c>
      <c r="AC8" s="22">
        <f t="shared" si="3"/>
        <v>0</v>
      </c>
      <c r="AD8" s="28"/>
      <c r="AE8" s="28"/>
    </row>
    <row r="9" spans="1:31">
      <c r="A9" s="10">
        <f t="shared" si="0"/>
        <v>0</v>
      </c>
      <c r="B9" s="13"/>
      <c r="C9" s="13"/>
      <c r="D9" s="13"/>
      <c r="E9" s="13"/>
      <c r="F9" s="13"/>
      <c r="G9" s="13"/>
      <c r="H9" s="13"/>
      <c r="I9" s="13"/>
      <c r="J9" s="13"/>
      <c r="K9" s="13"/>
      <c r="L9" s="16"/>
      <c r="M9" s="16" t="s">
        <v>215</v>
      </c>
      <c r="N9" s="16"/>
      <c r="O9" s="16"/>
      <c r="P9" s="16"/>
      <c r="Q9" s="16"/>
      <c r="R9" s="17"/>
      <c r="S9" s="17"/>
      <c r="T9" s="17"/>
      <c r="U9" s="17"/>
      <c r="V9" s="17"/>
      <c r="W9" s="17"/>
      <c r="X9" s="17">
        <f t="shared" si="1"/>
        <v>5</v>
      </c>
      <c r="Y9" s="18">
        <f t="shared" si="2"/>
        <v>0</v>
      </c>
      <c r="Z9" s="24"/>
      <c r="AA9" s="20"/>
      <c r="AB9" s="21" t="b">
        <v>1</v>
      </c>
      <c r="AC9" s="22">
        <f t="shared" si="3"/>
        <v>0</v>
      </c>
      <c r="AD9" s="28"/>
      <c r="AE9" s="28"/>
    </row>
    <row r="10" spans="1:31">
      <c r="A10" s="10">
        <f t="shared" si="0"/>
        <v>0</v>
      </c>
      <c r="B10" s="13"/>
      <c r="C10" s="13"/>
      <c r="D10" s="13"/>
      <c r="E10" s="13"/>
      <c r="F10" s="13"/>
      <c r="G10" s="13"/>
      <c r="H10" s="13"/>
      <c r="I10" s="13"/>
      <c r="J10" s="13"/>
      <c r="K10" s="13"/>
      <c r="L10" s="16"/>
      <c r="M10" s="16"/>
      <c r="N10" s="16" t="s">
        <v>216</v>
      </c>
      <c r="O10" s="16"/>
      <c r="P10" s="16"/>
      <c r="Q10" s="16"/>
      <c r="R10" s="17"/>
      <c r="S10" s="17"/>
      <c r="T10" s="17"/>
      <c r="U10" s="17"/>
      <c r="V10" s="17"/>
      <c r="W10" s="17"/>
      <c r="X10" s="17">
        <f t="shared" si="1"/>
        <v>5</v>
      </c>
      <c r="Y10" s="18">
        <f t="shared" si="2"/>
        <v>0</v>
      </c>
      <c r="Z10" s="24"/>
      <c r="AA10" s="20"/>
      <c r="AB10" s="21" t="b">
        <v>1</v>
      </c>
      <c r="AC10" s="22">
        <f t="shared" si="3"/>
        <v>0</v>
      </c>
      <c r="AD10" s="28"/>
      <c r="AE10" s="28"/>
    </row>
    <row r="11" spans="1:31">
      <c r="A11" s="10">
        <f t="shared" si="0"/>
        <v>0</v>
      </c>
      <c r="B11" s="13"/>
      <c r="C11" s="13"/>
      <c r="D11" s="13"/>
      <c r="E11" s="13"/>
      <c r="F11" s="13"/>
      <c r="G11" s="13"/>
      <c r="H11" s="13"/>
      <c r="I11" s="13"/>
      <c r="J11" s="13"/>
      <c r="K11" s="13"/>
      <c r="L11" s="16"/>
      <c r="M11" s="16"/>
      <c r="N11" s="16" t="s">
        <v>217</v>
      </c>
      <c r="O11" s="16"/>
      <c r="P11" s="16"/>
      <c r="Q11" s="16"/>
      <c r="R11" s="17"/>
      <c r="S11" s="17"/>
      <c r="T11" s="17"/>
      <c r="U11" s="17"/>
      <c r="V11" s="17"/>
      <c r="W11" s="17"/>
      <c r="X11" s="17">
        <f t="shared" si="1"/>
        <v>5</v>
      </c>
      <c r="Y11" s="18">
        <f t="shared" si="2"/>
        <v>0</v>
      </c>
      <c r="Z11" s="24"/>
      <c r="AA11" s="20"/>
      <c r="AB11" s="21" t="b">
        <v>1</v>
      </c>
      <c r="AC11" s="22">
        <f t="shared" si="3"/>
        <v>0</v>
      </c>
      <c r="AD11" s="28"/>
      <c r="AE11" s="28"/>
    </row>
    <row r="12" spans="1:31">
      <c r="A12" s="10">
        <f t="shared" si="0"/>
        <v>0</v>
      </c>
      <c r="B12" s="13"/>
      <c r="C12" s="13"/>
      <c r="D12" s="13"/>
      <c r="E12" s="13"/>
      <c r="F12" s="13"/>
      <c r="G12" s="13"/>
      <c r="H12" s="13"/>
      <c r="I12" s="13"/>
      <c r="J12" s="13"/>
      <c r="K12" s="13"/>
      <c r="L12" s="16"/>
      <c r="M12" s="16"/>
      <c r="N12" s="16"/>
      <c r="O12" s="16"/>
      <c r="P12" s="16"/>
      <c r="Q12" s="16"/>
      <c r="R12" s="17"/>
      <c r="S12" s="17"/>
      <c r="T12" s="17"/>
      <c r="U12" s="17"/>
      <c r="V12" s="17"/>
      <c r="W12" s="17"/>
      <c r="X12" s="17">
        <f t="shared" si="1"/>
        <v>5</v>
      </c>
      <c r="Y12" s="18">
        <f t="shared" si="2"/>
        <v>0</v>
      </c>
      <c r="Z12" s="24"/>
      <c r="AA12" s="20"/>
      <c r="AB12" s="21" t="b">
        <v>1</v>
      </c>
      <c r="AC12" s="22">
        <f t="shared" si="3"/>
        <v>0</v>
      </c>
      <c r="AD12" s="28"/>
      <c r="AE12" s="28"/>
    </row>
    <row r="13" spans="1:31">
      <c r="A13" s="10">
        <f t="shared" si="0"/>
        <v>0</v>
      </c>
      <c r="B13" s="13"/>
      <c r="C13" s="13"/>
      <c r="D13" s="13"/>
      <c r="E13" s="13"/>
      <c r="F13" s="13"/>
      <c r="G13" s="13"/>
      <c r="H13" s="13"/>
      <c r="I13" s="13"/>
      <c r="J13" s="13"/>
      <c r="K13" s="13"/>
      <c r="L13" s="16"/>
      <c r="M13" s="16" t="s">
        <v>218</v>
      </c>
      <c r="N13" s="16"/>
      <c r="O13" s="16"/>
      <c r="P13" s="16"/>
      <c r="Q13" s="16"/>
      <c r="R13" s="17"/>
      <c r="S13" s="17"/>
      <c r="T13" s="17"/>
      <c r="U13" s="17"/>
      <c r="V13" s="17"/>
      <c r="W13" s="17"/>
      <c r="X13" s="17">
        <f t="shared" si="1"/>
        <v>5</v>
      </c>
      <c r="Y13" s="18">
        <f t="shared" si="2"/>
        <v>0</v>
      </c>
      <c r="Z13" s="24"/>
      <c r="AA13" s="20"/>
      <c r="AB13" s="21" t="b">
        <v>1</v>
      </c>
      <c r="AC13" s="22">
        <f t="shared" si="3"/>
        <v>0</v>
      </c>
      <c r="AD13" s="28"/>
      <c r="AE13" s="28"/>
    </row>
    <row r="14" spans="1:31">
      <c r="A14" s="10">
        <f t="shared" si="0"/>
        <v>0</v>
      </c>
      <c r="B14" s="13"/>
      <c r="C14" s="13"/>
      <c r="D14" s="13"/>
      <c r="E14" s="13"/>
      <c r="F14" s="13"/>
      <c r="G14" s="13"/>
      <c r="H14" s="13"/>
      <c r="I14" s="13"/>
      <c r="J14" s="13"/>
      <c r="K14" s="13"/>
      <c r="L14" s="27"/>
      <c r="M14" s="16" t="s">
        <v>219</v>
      </c>
      <c r="N14" s="16"/>
      <c r="O14" s="16"/>
      <c r="P14" s="16"/>
      <c r="Q14" s="16"/>
      <c r="R14" s="17"/>
      <c r="S14" s="17"/>
      <c r="T14" s="17"/>
      <c r="U14" s="17"/>
      <c r="V14" s="17"/>
      <c r="W14" s="17"/>
      <c r="X14" s="17">
        <f t="shared" si="1"/>
        <v>5</v>
      </c>
      <c r="Y14" s="18">
        <f t="shared" si="2"/>
        <v>0</v>
      </c>
      <c r="Z14" s="24"/>
      <c r="AA14" s="20"/>
      <c r="AB14" s="21" t="b">
        <v>1</v>
      </c>
      <c r="AC14" s="22">
        <f t="shared" si="3"/>
        <v>0</v>
      </c>
      <c r="AD14" s="28"/>
      <c r="AE14" s="28"/>
    </row>
    <row r="15" spans="1:31">
      <c r="A15" s="10">
        <f t="shared" si="0"/>
        <v>0</v>
      </c>
      <c r="B15" s="13"/>
      <c r="C15" s="13"/>
      <c r="D15" s="13"/>
      <c r="E15" s="13"/>
      <c r="F15" s="13"/>
      <c r="G15" s="13"/>
      <c r="H15" s="13"/>
      <c r="I15" s="13"/>
      <c r="J15" s="13"/>
      <c r="K15" s="13"/>
      <c r="L15" s="16"/>
      <c r="M15" s="16"/>
      <c r="N15" s="16" t="s">
        <v>220</v>
      </c>
      <c r="O15" s="16"/>
      <c r="P15" s="16"/>
      <c r="Q15" s="16"/>
      <c r="R15" s="17"/>
      <c r="S15" s="17"/>
      <c r="T15" s="17"/>
      <c r="U15" s="17"/>
      <c r="V15" s="17"/>
      <c r="W15" s="17"/>
      <c r="X15" s="17">
        <f t="shared" si="1"/>
        <v>5</v>
      </c>
      <c r="Y15" s="18">
        <f t="shared" si="2"/>
        <v>0</v>
      </c>
      <c r="Z15" s="24"/>
      <c r="AA15" s="20"/>
      <c r="AB15" s="21" t="b">
        <v>1</v>
      </c>
      <c r="AC15" s="22">
        <f t="shared" si="3"/>
        <v>0</v>
      </c>
      <c r="AD15" s="28"/>
      <c r="AE15" s="28"/>
    </row>
    <row r="16" spans="1:31">
      <c r="A16" s="10">
        <f t="shared" si="0"/>
        <v>0</v>
      </c>
      <c r="B16" s="13"/>
      <c r="C16" s="13"/>
      <c r="D16" s="13"/>
      <c r="E16" s="13"/>
      <c r="F16" s="13"/>
      <c r="G16" s="13"/>
      <c r="H16" s="13"/>
      <c r="I16" s="13"/>
      <c r="J16" s="13"/>
      <c r="K16" s="13"/>
      <c r="L16" s="16"/>
      <c r="M16" s="16" t="s">
        <v>221</v>
      </c>
      <c r="N16" s="16"/>
      <c r="O16" s="16"/>
      <c r="P16" s="16"/>
      <c r="Q16" s="16"/>
      <c r="R16" s="16"/>
      <c r="S16" s="17"/>
      <c r="T16" s="17"/>
      <c r="U16" s="17"/>
      <c r="V16" s="17"/>
      <c r="W16" s="17"/>
      <c r="X16" s="17">
        <f t="shared" si="1"/>
        <v>5</v>
      </c>
      <c r="Y16" s="18">
        <f t="shared" si="2"/>
        <v>0</v>
      </c>
      <c r="Z16" s="24"/>
      <c r="AA16" s="20"/>
      <c r="AB16" s="21" t="b">
        <v>1</v>
      </c>
      <c r="AC16" s="22">
        <f t="shared" si="3"/>
        <v>0</v>
      </c>
      <c r="AD16" s="28"/>
      <c r="AE16" s="28"/>
    </row>
    <row r="17" spans="1:31">
      <c r="A17" s="10">
        <f t="shared" si="0"/>
        <v>0</v>
      </c>
      <c r="B17" s="13"/>
      <c r="C17" s="13"/>
      <c r="D17" s="13"/>
      <c r="E17" s="13"/>
      <c r="F17" s="13"/>
      <c r="G17" s="13"/>
      <c r="H17" s="13"/>
      <c r="I17" s="13"/>
      <c r="J17" s="13"/>
      <c r="K17" s="13"/>
      <c r="L17" s="16"/>
      <c r="M17" s="16"/>
      <c r="N17" s="16" t="s">
        <v>222</v>
      </c>
      <c r="O17" s="16"/>
      <c r="P17" s="16"/>
      <c r="Q17" s="16"/>
      <c r="R17" s="16"/>
      <c r="S17" s="16"/>
      <c r="T17" s="17"/>
      <c r="U17" s="17"/>
      <c r="V17" s="17"/>
      <c r="W17" s="17"/>
      <c r="X17" s="17">
        <f t="shared" si="1"/>
        <v>5</v>
      </c>
      <c r="Y17" s="18">
        <f t="shared" si="2"/>
        <v>0</v>
      </c>
      <c r="Z17" s="24"/>
      <c r="AA17" s="20"/>
      <c r="AB17" s="21" t="b">
        <v>1</v>
      </c>
      <c r="AC17" s="22">
        <f t="shared" si="3"/>
        <v>0</v>
      </c>
      <c r="AD17" s="28"/>
      <c r="AE17" s="28"/>
    </row>
    <row r="18" spans="1:31" ht="15.75" customHeight="1">
      <c r="A18" s="10">
        <f t="shared" si="0"/>
        <v>0</v>
      </c>
      <c r="B18" s="13"/>
      <c r="C18" s="13"/>
      <c r="D18" s="13"/>
      <c r="E18" s="13"/>
      <c r="F18" s="13"/>
      <c r="G18" s="13"/>
      <c r="H18" s="13"/>
      <c r="I18" s="13"/>
      <c r="J18" s="13"/>
      <c r="K18" s="13"/>
      <c r="L18" s="26" t="s">
        <v>223</v>
      </c>
      <c r="M18" s="16"/>
      <c r="N18" s="16"/>
      <c r="O18" s="16"/>
      <c r="P18" s="16"/>
      <c r="Q18" s="16"/>
      <c r="R18" s="16"/>
      <c r="S18" s="16"/>
      <c r="T18" s="17"/>
      <c r="U18" s="17"/>
      <c r="V18" s="17"/>
      <c r="W18" s="17"/>
      <c r="X18" s="17">
        <f t="shared" si="1"/>
        <v>6</v>
      </c>
      <c r="Y18" s="18">
        <f t="shared" si="2"/>
        <v>40691630.550964184</v>
      </c>
      <c r="Z18" s="24"/>
      <c r="AA18" s="20"/>
      <c r="AB18" s="21" t="b">
        <v>1</v>
      </c>
      <c r="AC18" s="22">
        <f t="shared" si="3"/>
        <v>40691630.550964184</v>
      </c>
      <c r="AD18" s="28"/>
      <c r="AE18" s="28"/>
    </row>
    <row r="19" spans="1:31">
      <c r="A19" s="10">
        <f t="shared" si="0"/>
        <v>2738236.9146005511</v>
      </c>
      <c r="B19" s="13">
        <v>5</v>
      </c>
      <c r="C19" s="13"/>
      <c r="D19" s="13"/>
      <c r="E19" s="13"/>
      <c r="F19" s="13"/>
      <c r="G19" s="13"/>
      <c r="H19" s="13"/>
      <c r="I19" s="13"/>
      <c r="J19" s="13"/>
      <c r="K19" s="13"/>
      <c r="L19" s="27"/>
      <c r="M19" s="16" t="s">
        <v>224</v>
      </c>
      <c r="N19" s="16"/>
      <c r="O19" s="16"/>
      <c r="P19" s="16"/>
      <c r="Q19" s="16"/>
      <c r="R19" s="16"/>
      <c r="S19" s="16"/>
      <c r="T19" s="17"/>
      <c r="U19" s="17"/>
      <c r="V19" s="17"/>
      <c r="W19" s="17"/>
      <c r="X19" s="17">
        <f t="shared" si="1"/>
        <v>6</v>
      </c>
      <c r="Y19" s="18">
        <f t="shared" si="2"/>
        <v>40691630.550964184</v>
      </c>
      <c r="Z19" s="24"/>
      <c r="AA19" s="20"/>
      <c r="AB19" s="21" t="b">
        <v>1</v>
      </c>
      <c r="AC19" s="22">
        <f t="shared" si="3"/>
        <v>0</v>
      </c>
      <c r="AD19" s="28"/>
      <c r="AE19" s="28"/>
    </row>
    <row r="20" spans="1:31">
      <c r="A20" s="10">
        <f t="shared" si="0"/>
        <v>7119415.9779614331</v>
      </c>
      <c r="B20" s="13">
        <v>13</v>
      </c>
      <c r="C20" s="13"/>
      <c r="D20" s="13"/>
      <c r="E20" s="13"/>
      <c r="F20" s="13"/>
      <c r="G20" s="13"/>
      <c r="H20" s="13"/>
      <c r="I20" s="13"/>
      <c r="J20" s="13"/>
      <c r="K20" s="13"/>
      <c r="L20" s="16"/>
      <c r="M20" s="16" t="s">
        <v>225</v>
      </c>
      <c r="N20" s="16"/>
      <c r="O20" s="16"/>
      <c r="P20" s="16"/>
      <c r="Q20" s="17"/>
      <c r="R20" s="17"/>
      <c r="S20" s="17"/>
      <c r="T20" s="17"/>
      <c r="U20" s="17"/>
      <c r="V20" s="17"/>
      <c r="W20" s="17"/>
      <c r="X20" s="17">
        <f t="shared" si="1"/>
        <v>6</v>
      </c>
      <c r="Y20" s="18">
        <f t="shared" si="2"/>
        <v>40691630.550964184</v>
      </c>
      <c r="Z20" s="19"/>
      <c r="AA20" s="20"/>
      <c r="AB20" s="21" t="b">
        <v>1</v>
      </c>
      <c r="AC20" s="22">
        <f t="shared" si="3"/>
        <v>0</v>
      </c>
      <c r="AD20" s="28"/>
      <c r="AE20" s="28"/>
    </row>
    <row r="21" spans="1:31">
      <c r="A21" s="10">
        <f t="shared" si="0"/>
        <v>1457216.3518299882</v>
      </c>
      <c r="B21" s="13"/>
      <c r="C21" s="13"/>
      <c r="D21" s="13"/>
      <c r="E21" s="13"/>
      <c r="F21" s="13"/>
      <c r="G21" s="13">
        <v>5</v>
      </c>
      <c r="H21" s="13"/>
      <c r="I21" s="13"/>
      <c r="J21" s="13"/>
      <c r="K21" s="13"/>
      <c r="L21" s="16"/>
      <c r="M21" s="16"/>
      <c r="N21" s="16" t="s">
        <v>226</v>
      </c>
      <c r="O21" s="16"/>
      <c r="P21" s="16"/>
      <c r="Q21" s="16"/>
      <c r="R21" s="16"/>
      <c r="S21" s="17"/>
      <c r="T21" s="17"/>
      <c r="U21" s="17"/>
      <c r="V21" s="17"/>
      <c r="W21" s="17"/>
      <c r="X21" s="17">
        <f t="shared" si="1"/>
        <v>6</v>
      </c>
      <c r="Y21" s="18">
        <f t="shared" si="2"/>
        <v>40691630.550964184</v>
      </c>
      <c r="Z21" s="24"/>
      <c r="AA21" s="20"/>
      <c r="AB21" s="21" t="b">
        <v>1</v>
      </c>
      <c r="AC21" s="22">
        <f t="shared" si="3"/>
        <v>0</v>
      </c>
      <c r="AD21" s="28"/>
      <c r="AE21" s="28"/>
    </row>
    <row r="22" spans="1:31">
      <c r="A22" s="10">
        <f t="shared" si="0"/>
        <v>7261019.2837465564</v>
      </c>
      <c r="B22" s="13"/>
      <c r="C22" s="13"/>
      <c r="D22" s="13"/>
      <c r="E22" s="13"/>
      <c r="F22" s="13"/>
      <c r="G22" s="13"/>
      <c r="H22" s="13"/>
      <c r="I22" s="13">
        <v>10</v>
      </c>
      <c r="J22" s="13"/>
      <c r="K22" s="13"/>
      <c r="L22" s="16"/>
      <c r="M22" s="16" t="s">
        <v>227</v>
      </c>
      <c r="N22" s="16"/>
      <c r="O22" s="16"/>
      <c r="P22" s="16"/>
      <c r="Q22" s="16"/>
      <c r="R22" s="16"/>
      <c r="S22" s="17"/>
      <c r="T22" s="17"/>
      <c r="U22" s="17"/>
      <c r="V22" s="17"/>
      <c r="W22" s="17"/>
      <c r="X22" s="17">
        <f t="shared" si="1"/>
        <v>6</v>
      </c>
      <c r="Y22" s="18">
        <f t="shared" si="2"/>
        <v>40691630.550964184</v>
      </c>
      <c r="Z22" s="24"/>
      <c r="AA22" s="20"/>
      <c r="AB22" s="21" t="b">
        <v>1</v>
      </c>
      <c r="AC22" s="22">
        <f t="shared" si="3"/>
        <v>0</v>
      </c>
      <c r="AD22" s="28"/>
      <c r="AE22" s="28"/>
    </row>
    <row r="23" spans="1:31">
      <c r="A23" s="10">
        <f t="shared" si="0"/>
        <v>9439325.0688705239</v>
      </c>
      <c r="B23" s="13"/>
      <c r="C23" s="13"/>
      <c r="D23" s="13"/>
      <c r="E23" s="13"/>
      <c r="F23" s="13"/>
      <c r="G23" s="13"/>
      <c r="H23" s="13"/>
      <c r="I23" s="13">
        <v>13</v>
      </c>
      <c r="J23" s="13"/>
      <c r="K23" s="13"/>
      <c r="L23" s="16"/>
      <c r="M23" s="16"/>
      <c r="N23" s="16" t="s">
        <v>228</v>
      </c>
      <c r="O23" s="16"/>
      <c r="P23" s="16"/>
      <c r="Q23" s="16"/>
      <c r="R23" s="16"/>
      <c r="S23" s="17"/>
      <c r="T23" s="17"/>
      <c r="U23" s="17"/>
      <c r="V23" s="17"/>
      <c r="W23" s="17"/>
      <c r="X23" s="17">
        <f t="shared" si="1"/>
        <v>6</v>
      </c>
      <c r="Y23" s="18">
        <f t="shared" si="2"/>
        <v>40691630.550964184</v>
      </c>
      <c r="Z23" s="24"/>
      <c r="AA23" s="20"/>
      <c r="AB23" s="21" t="b">
        <v>1</v>
      </c>
      <c r="AC23" s="22">
        <f t="shared" si="3"/>
        <v>0</v>
      </c>
      <c r="AD23" s="28"/>
      <c r="AE23" s="28"/>
    </row>
    <row r="24" spans="1:31">
      <c r="A24" s="10">
        <f t="shared" si="0"/>
        <v>3598433.7662337665</v>
      </c>
      <c r="B24" s="13"/>
      <c r="C24" s="13">
        <v>12</v>
      </c>
      <c r="D24" s="13"/>
      <c r="E24" s="13"/>
      <c r="F24" s="13"/>
      <c r="G24" s="13"/>
      <c r="H24" s="13"/>
      <c r="I24" s="13"/>
      <c r="J24" s="13"/>
      <c r="K24" s="13"/>
      <c r="L24" s="16"/>
      <c r="M24" s="29" t="s">
        <v>229</v>
      </c>
      <c r="N24" s="16"/>
      <c r="O24" s="16"/>
      <c r="P24" s="16"/>
      <c r="Q24" s="16"/>
      <c r="R24" s="16"/>
      <c r="S24" s="17"/>
      <c r="T24" s="17"/>
      <c r="U24" s="17"/>
      <c r="V24" s="17"/>
      <c r="W24" s="17"/>
      <c r="X24" s="17">
        <f t="shared" si="1"/>
        <v>6</v>
      </c>
      <c r="Y24" s="18">
        <f t="shared" si="2"/>
        <v>40691630.550964184</v>
      </c>
      <c r="Z24" s="19"/>
      <c r="AA24" s="30"/>
      <c r="AB24" s="21" t="b">
        <v>1</v>
      </c>
      <c r="AC24" s="22">
        <f t="shared" si="3"/>
        <v>0</v>
      </c>
      <c r="AD24" s="28"/>
      <c r="AE24" s="28"/>
    </row>
    <row r="25" spans="1:31">
      <c r="A25" s="10">
        <f t="shared" si="0"/>
        <v>7261019.2837465564</v>
      </c>
      <c r="B25" s="13"/>
      <c r="C25" s="13"/>
      <c r="D25" s="13"/>
      <c r="E25" s="13"/>
      <c r="F25" s="13"/>
      <c r="G25" s="13"/>
      <c r="H25" s="13"/>
      <c r="I25" s="13">
        <v>10</v>
      </c>
      <c r="J25" s="13"/>
      <c r="K25" s="13"/>
      <c r="L25" s="27"/>
      <c r="M25" s="16"/>
      <c r="N25" s="16" t="s">
        <v>230</v>
      </c>
      <c r="O25" s="16"/>
      <c r="P25" s="16"/>
      <c r="Q25" s="16"/>
      <c r="R25" s="16"/>
      <c r="S25" s="17"/>
      <c r="T25" s="17"/>
      <c r="U25" s="17"/>
      <c r="V25" s="17"/>
      <c r="W25" s="17"/>
      <c r="X25" s="17">
        <f t="shared" si="1"/>
        <v>6</v>
      </c>
      <c r="Y25" s="18">
        <f t="shared" si="2"/>
        <v>40691630.550964184</v>
      </c>
      <c r="Z25" s="24"/>
      <c r="AA25" s="20"/>
      <c r="AB25" s="21" t="b">
        <v>1</v>
      </c>
      <c r="AC25" s="22">
        <f t="shared" si="3"/>
        <v>0</v>
      </c>
      <c r="AD25" s="28"/>
      <c r="AE25" s="28"/>
    </row>
    <row r="26" spans="1:31">
      <c r="A26" s="10">
        <f t="shared" si="0"/>
        <v>0</v>
      </c>
      <c r="B26" s="13"/>
      <c r="C26" s="13"/>
      <c r="D26" s="13"/>
      <c r="E26" s="13"/>
      <c r="F26" s="13"/>
      <c r="G26" s="13"/>
      <c r="H26" s="13"/>
      <c r="I26" s="13"/>
      <c r="J26" s="13"/>
      <c r="K26" s="13"/>
      <c r="L26" s="27"/>
      <c r="M26" s="16"/>
      <c r="N26" s="16" t="s">
        <v>231</v>
      </c>
      <c r="O26" s="16"/>
      <c r="P26" s="16"/>
      <c r="Q26" s="16"/>
      <c r="R26" s="16"/>
      <c r="S26" s="17"/>
      <c r="T26" s="17"/>
      <c r="U26" s="17"/>
      <c r="V26" s="17"/>
      <c r="W26" s="17"/>
      <c r="X26" s="17">
        <f t="shared" si="1"/>
        <v>6</v>
      </c>
      <c r="Y26" s="18">
        <f t="shared" si="2"/>
        <v>40691630.550964184</v>
      </c>
      <c r="Z26" s="24"/>
      <c r="AA26" s="20"/>
      <c r="AB26" s="21" t="b">
        <v>1</v>
      </c>
      <c r="AC26" s="22">
        <f t="shared" si="3"/>
        <v>0</v>
      </c>
      <c r="AD26" s="28"/>
      <c r="AE26" s="28"/>
    </row>
    <row r="27" spans="1:31">
      <c r="A27" s="10">
        <f t="shared" si="0"/>
        <v>0</v>
      </c>
      <c r="B27" s="13"/>
      <c r="C27" s="13"/>
      <c r="D27" s="13"/>
      <c r="E27" s="13"/>
      <c r="F27" s="13"/>
      <c r="G27" s="13"/>
      <c r="H27" s="13"/>
      <c r="I27" s="13"/>
      <c r="J27" s="13"/>
      <c r="K27" s="13"/>
      <c r="L27" s="27"/>
      <c r="M27" s="16"/>
      <c r="N27" s="16"/>
      <c r="O27" s="16"/>
      <c r="P27" s="16"/>
      <c r="Q27" s="16"/>
      <c r="R27" s="16"/>
      <c r="S27" s="17"/>
      <c r="T27" s="17"/>
      <c r="U27" s="17"/>
      <c r="V27" s="17"/>
      <c r="W27" s="17"/>
      <c r="X27" s="17">
        <f t="shared" si="1"/>
        <v>6</v>
      </c>
      <c r="Y27" s="18">
        <f t="shared" si="2"/>
        <v>40691630.550964184</v>
      </c>
      <c r="Z27" s="24"/>
      <c r="AA27" s="20"/>
      <c r="AB27" s="21" t="b">
        <v>1</v>
      </c>
      <c r="AC27" s="22">
        <f t="shared" si="3"/>
        <v>0</v>
      </c>
      <c r="AD27" s="28"/>
      <c r="AE27" s="28"/>
    </row>
    <row r="28" spans="1:31">
      <c r="A28" s="10">
        <f t="shared" si="0"/>
        <v>0</v>
      </c>
      <c r="B28" s="13"/>
      <c r="C28" s="13"/>
      <c r="D28" s="13"/>
      <c r="E28" s="13"/>
      <c r="F28" s="13"/>
      <c r="G28" s="13"/>
      <c r="H28" s="13"/>
      <c r="I28" s="13"/>
      <c r="J28" s="13"/>
      <c r="K28" s="13"/>
      <c r="L28" s="27"/>
      <c r="M28" s="16"/>
      <c r="N28" s="16"/>
      <c r="O28" s="16"/>
      <c r="P28" s="16"/>
      <c r="Q28" s="16"/>
      <c r="R28" s="16"/>
      <c r="S28" s="17"/>
      <c r="T28" s="17"/>
      <c r="U28" s="17"/>
      <c r="V28" s="17"/>
      <c r="W28" s="17"/>
      <c r="X28" s="17">
        <f t="shared" si="1"/>
        <v>6</v>
      </c>
      <c r="Y28" s="18">
        <f t="shared" si="2"/>
        <v>40691630.550964184</v>
      </c>
      <c r="Z28" s="24"/>
      <c r="AA28" s="20"/>
      <c r="AB28" s="21" t="b">
        <v>1</v>
      </c>
      <c r="AC28" s="22">
        <f t="shared" si="3"/>
        <v>0</v>
      </c>
      <c r="AD28" s="28"/>
      <c r="AE28" s="28"/>
    </row>
    <row r="29" spans="1:31">
      <c r="A29" s="10">
        <f t="shared" si="0"/>
        <v>670726.50728059828</v>
      </c>
      <c r="B29" s="13">
        <v>0.5</v>
      </c>
      <c r="C29" s="13"/>
      <c r="D29" s="13"/>
      <c r="E29" s="13"/>
      <c r="F29" s="13"/>
      <c r="G29" s="13">
        <v>0.8</v>
      </c>
      <c r="H29" s="13"/>
      <c r="I29" s="13"/>
      <c r="J29" s="13"/>
      <c r="K29" s="13">
        <v>0.5</v>
      </c>
      <c r="L29" s="27"/>
      <c r="M29" s="16"/>
      <c r="N29" s="16"/>
      <c r="O29" s="16"/>
      <c r="P29" s="16"/>
      <c r="Q29" s="16"/>
      <c r="R29" s="16"/>
      <c r="S29" s="17"/>
      <c r="T29" s="17"/>
      <c r="U29" s="17"/>
      <c r="V29" s="17"/>
      <c r="W29" s="17"/>
      <c r="X29" s="17">
        <f t="shared" si="1"/>
        <v>6</v>
      </c>
      <c r="Y29" s="18">
        <f t="shared" si="2"/>
        <v>40691630.550964184</v>
      </c>
      <c r="Z29" s="24"/>
      <c r="AA29" s="20"/>
      <c r="AB29" s="21" t="b">
        <v>1</v>
      </c>
      <c r="AC29" s="22">
        <f t="shared" si="3"/>
        <v>0</v>
      </c>
      <c r="AD29" s="28"/>
      <c r="AE29" s="28"/>
    </row>
    <row r="30" spans="1:31">
      <c r="A30" s="10">
        <f t="shared" si="0"/>
        <v>491244.59858323494</v>
      </c>
      <c r="B30" s="13"/>
      <c r="C30" s="13"/>
      <c r="D30" s="13"/>
      <c r="E30" s="13"/>
      <c r="F30" s="13"/>
      <c r="G30" s="13"/>
      <c r="H30" s="13"/>
      <c r="I30" s="13"/>
      <c r="J30" s="13"/>
      <c r="K30" s="13">
        <v>1.5</v>
      </c>
      <c r="L30" s="27"/>
      <c r="M30" s="16"/>
      <c r="N30" s="16"/>
      <c r="O30" s="16"/>
      <c r="P30" s="16"/>
      <c r="Q30" s="16"/>
      <c r="R30" s="16"/>
      <c r="S30" s="17"/>
      <c r="T30" s="17"/>
      <c r="U30" s="17"/>
      <c r="V30" s="17"/>
      <c r="W30" s="17"/>
      <c r="X30" s="17">
        <f t="shared" si="1"/>
        <v>6</v>
      </c>
      <c r="Y30" s="18">
        <f t="shared" si="2"/>
        <v>40691630.550964184</v>
      </c>
      <c r="Z30" s="24"/>
      <c r="AA30" s="20"/>
      <c r="AB30" s="21" t="b">
        <v>1</v>
      </c>
      <c r="AC30" s="22">
        <f t="shared" si="3"/>
        <v>0</v>
      </c>
      <c r="AD30" s="28"/>
      <c r="AE30" s="28"/>
    </row>
    <row r="31" spans="1:31">
      <c r="A31" s="10">
        <f t="shared" si="0"/>
        <v>327496.39905548998</v>
      </c>
      <c r="B31" s="13"/>
      <c r="C31" s="13"/>
      <c r="D31" s="13"/>
      <c r="E31" s="13"/>
      <c r="F31" s="13"/>
      <c r="G31" s="13"/>
      <c r="H31" s="13"/>
      <c r="I31" s="13"/>
      <c r="J31" s="13"/>
      <c r="K31" s="13">
        <v>1</v>
      </c>
      <c r="L31" s="27"/>
      <c r="M31" s="16"/>
      <c r="N31" s="16"/>
      <c r="O31" s="16"/>
      <c r="P31" s="16"/>
      <c r="Q31" s="16"/>
      <c r="R31" s="16"/>
      <c r="S31" s="17"/>
      <c r="T31" s="17"/>
      <c r="U31" s="17"/>
      <c r="V31" s="17"/>
      <c r="W31" s="17"/>
      <c r="X31" s="17">
        <f t="shared" si="1"/>
        <v>6</v>
      </c>
      <c r="Y31" s="18">
        <f t="shared" si="2"/>
        <v>40691630.550964184</v>
      </c>
      <c r="Z31" s="24"/>
      <c r="AA31" s="20"/>
      <c r="AB31" s="21" t="b">
        <v>1</v>
      </c>
      <c r="AC31" s="22">
        <f t="shared" si="3"/>
        <v>0</v>
      </c>
      <c r="AD31" s="28"/>
      <c r="AE31" s="28"/>
    </row>
    <row r="32" spans="1:31">
      <c r="A32" s="10">
        <f t="shared" si="0"/>
        <v>327496.39905548998</v>
      </c>
      <c r="B32" s="13"/>
      <c r="C32" s="13"/>
      <c r="D32" s="13"/>
      <c r="E32" s="13"/>
      <c r="F32" s="13"/>
      <c r="G32" s="13"/>
      <c r="H32" s="13"/>
      <c r="I32" s="13"/>
      <c r="J32" s="13"/>
      <c r="K32" s="13">
        <v>1</v>
      </c>
      <c r="L32" s="27"/>
      <c r="M32" s="16"/>
      <c r="N32" s="16"/>
      <c r="O32" s="16"/>
      <c r="P32" s="16"/>
      <c r="Q32" s="16"/>
      <c r="R32" s="16"/>
      <c r="S32" s="17"/>
      <c r="T32" s="17"/>
      <c r="U32" s="17"/>
      <c r="V32" s="17"/>
      <c r="W32" s="17"/>
      <c r="X32" s="17">
        <f t="shared" si="1"/>
        <v>6</v>
      </c>
      <c r="Y32" s="18">
        <f t="shared" si="2"/>
        <v>40691630.550964184</v>
      </c>
      <c r="Z32" s="24"/>
      <c r="AA32" s="20"/>
      <c r="AB32" s="21" t="b">
        <v>1</v>
      </c>
      <c r="AC32" s="22">
        <f t="shared" si="3"/>
        <v>0</v>
      </c>
      <c r="AD32" s="28"/>
      <c r="AE32" s="28"/>
    </row>
    <row r="33" spans="1:31">
      <c r="A33" s="10">
        <f t="shared" si="0"/>
        <v>0</v>
      </c>
      <c r="B33" s="13"/>
      <c r="C33" s="13"/>
      <c r="D33" s="13"/>
      <c r="E33" s="13"/>
      <c r="F33" s="13"/>
      <c r="G33" s="13"/>
      <c r="H33" s="13"/>
      <c r="I33" s="13"/>
      <c r="J33" s="13"/>
      <c r="K33" s="13"/>
      <c r="L33" s="27"/>
      <c r="M33" s="16"/>
      <c r="N33" s="16"/>
      <c r="O33" s="16"/>
      <c r="P33" s="16"/>
      <c r="Q33" s="16"/>
      <c r="R33" s="16"/>
      <c r="S33" s="17"/>
      <c r="T33" s="17"/>
      <c r="U33" s="17"/>
      <c r="V33" s="17"/>
      <c r="W33" s="17"/>
      <c r="X33" s="17">
        <f t="shared" si="1"/>
        <v>6</v>
      </c>
      <c r="Y33" s="18">
        <f t="shared" si="2"/>
        <v>40691630.550964184</v>
      </c>
      <c r="Z33" s="24"/>
      <c r="AA33" s="20"/>
      <c r="AB33" s="21" t="b">
        <v>1</v>
      </c>
      <c r="AC33" s="22">
        <f t="shared" si="3"/>
        <v>0</v>
      </c>
      <c r="AD33" s="28"/>
      <c r="AE33" s="28"/>
    </row>
    <row r="34" spans="1:31">
      <c r="A34" s="10">
        <f t="shared" si="0"/>
        <v>0</v>
      </c>
      <c r="B34" s="13"/>
      <c r="C34" s="13"/>
      <c r="D34" s="13"/>
      <c r="E34" s="13"/>
      <c r="F34" s="13"/>
      <c r="G34" s="13"/>
      <c r="H34" s="13"/>
      <c r="I34" s="13"/>
      <c r="J34" s="13"/>
      <c r="K34" s="13"/>
      <c r="L34" s="27"/>
      <c r="M34" s="27"/>
      <c r="N34" s="16"/>
      <c r="O34" s="16"/>
      <c r="P34" s="16"/>
      <c r="Q34" s="16"/>
      <c r="R34" s="16"/>
      <c r="S34" s="17"/>
      <c r="T34" s="17"/>
      <c r="U34" s="17"/>
      <c r="V34" s="17"/>
      <c r="W34" s="17"/>
      <c r="X34" s="17">
        <f t="shared" si="1"/>
        <v>6</v>
      </c>
      <c r="Y34" s="18">
        <f t="shared" si="2"/>
        <v>40691630.550964184</v>
      </c>
      <c r="Z34" s="24"/>
      <c r="AA34" s="20"/>
      <c r="AB34" s="21" t="b">
        <v>1</v>
      </c>
      <c r="AC34" s="22">
        <f t="shared" si="3"/>
        <v>0</v>
      </c>
      <c r="AD34" s="28"/>
      <c r="AE34" s="28"/>
    </row>
    <row r="35" spans="1:31">
      <c r="A35" s="10">
        <f t="shared" si="0"/>
        <v>0</v>
      </c>
      <c r="B35" s="13"/>
      <c r="C35" s="13"/>
      <c r="D35" s="13"/>
      <c r="E35" s="13"/>
      <c r="F35" s="13"/>
      <c r="G35" s="13"/>
      <c r="H35" s="13"/>
      <c r="I35" s="13"/>
      <c r="J35" s="13"/>
      <c r="K35" s="13"/>
      <c r="L35" s="27"/>
      <c r="M35" s="16"/>
      <c r="N35" s="31"/>
      <c r="O35" s="16"/>
      <c r="P35" s="16"/>
      <c r="Q35" s="16"/>
      <c r="R35" s="16"/>
      <c r="S35" s="17"/>
      <c r="T35" s="17"/>
      <c r="U35" s="17"/>
      <c r="V35" s="17"/>
      <c r="W35" s="17"/>
      <c r="X35" s="17">
        <f t="shared" si="1"/>
        <v>6</v>
      </c>
      <c r="Y35" s="18">
        <f t="shared" si="2"/>
        <v>40691630.550964184</v>
      </c>
      <c r="Z35" s="24"/>
      <c r="AA35" s="20"/>
      <c r="AB35" s="21" t="b">
        <v>1</v>
      </c>
      <c r="AC35" s="22">
        <f t="shared" si="3"/>
        <v>0</v>
      </c>
      <c r="AD35" s="28"/>
      <c r="AE35" s="28"/>
    </row>
    <row r="36" spans="1:31">
      <c r="A36" s="10">
        <f t="shared" si="0"/>
        <v>0</v>
      </c>
      <c r="B36" s="13"/>
      <c r="C36" s="13"/>
      <c r="D36" s="13"/>
      <c r="E36" s="13"/>
      <c r="F36" s="13"/>
      <c r="G36" s="13"/>
      <c r="H36" s="13"/>
      <c r="I36" s="13"/>
      <c r="J36" s="13"/>
      <c r="K36" s="13"/>
      <c r="L36" s="27"/>
      <c r="M36" s="16"/>
      <c r="N36" s="16"/>
      <c r="O36" s="16"/>
      <c r="P36" s="16"/>
      <c r="Q36" s="16"/>
      <c r="R36" s="16"/>
      <c r="S36" s="17"/>
      <c r="T36" s="17"/>
      <c r="U36" s="17"/>
      <c r="V36" s="17"/>
      <c r="W36" s="17"/>
      <c r="X36" s="17">
        <f t="shared" si="1"/>
        <v>6</v>
      </c>
      <c r="Y36" s="18">
        <f t="shared" si="2"/>
        <v>40691630.550964184</v>
      </c>
      <c r="Z36" s="19"/>
      <c r="AA36" s="30"/>
      <c r="AB36" s="21" t="b">
        <v>1</v>
      </c>
      <c r="AC36" s="22">
        <f t="shared" si="3"/>
        <v>0</v>
      </c>
      <c r="AD36" s="28"/>
      <c r="AE36" s="28"/>
    </row>
    <row r="37" spans="1:31">
      <c r="A37" s="10">
        <f t="shared" si="0"/>
        <v>0</v>
      </c>
      <c r="B37" s="13"/>
      <c r="C37" s="13"/>
      <c r="D37" s="13"/>
      <c r="E37" s="13"/>
      <c r="F37" s="13"/>
      <c r="G37" s="13"/>
      <c r="H37" s="13"/>
      <c r="I37" s="13"/>
      <c r="J37" s="13"/>
      <c r="K37" s="13"/>
      <c r="L37" s="27"/>
      <c r="M37" s="16"/>
      <c r="N37" s="16"/>
      <c r="O37" s="16"/>
      <c r="P37" s="16"/>
      <c r="Q37" s="16"/>
      <c r="R37" s="16"/>
      <c r="S37" s="17"/>
      <c r="T37" s="17"/>
      <c r="U37" s="17"/>
      <c r="V37" s="17"/>
      <c r="W37" s="17"/>
      <c r="X37" s="17">
        <f t="shared" si="1"/>
        <v>6</v>
      </c>
      <c r="Y37" s="18">
        <f t="shared" si="2"/>
        <v>40691630.550964184</v>
      </c>
      <c r="Z37" s="19"/>
      <c r="AA37" s="30"/>
      <c r="AB37" s="21" t="b">
        <v>1</v>
      </c>
      <c r="AC37" s="22">
        <f t="shared" si="3"/>
        <v>0</v>
      </c>
      <c r="AD37" s="28"/>
      <c r="AE37" s="28"/>
    </row>
    <row r="38" spans="1:31">
      <c r="A38" s="10">
        <f t="shared" si="0"/>
        <v>0</v>
      </c>
      <c r="B38" s="13"/>
      <c r="C38" s="13"/>
      <c r="D38" s="13"/>
      <c r="E38" s="13"/>
      <c r="F38" s="13"/>
      <c r="G38" s="13"/>
      <c r="H38" s="13"/>
      <c r="I38" s="13"/>
      <c r="J38" s="13"/>
      <c r="K38" s="13"/>
      <c r="L38" s="27"/>
      <c r="M38" s="16"/>
      <c r="N38" s="16"/>
      <c r="O38" s="16"/>
      <c r="P38" s="17"/>
      <c r="Q38" s="17"/>
      <c r="R38" s="17"/>
      <c r="S38" s="17"/>
      <c r="T38" s="17"/>
      <c r="U38" s="17"/>
      <c r="V38" s="17"/>
      <c r="W38" s="17"/>
      <c r="X38" s="17">
        <f t="shared" si="1"/>
        <v>6</v>
      </c>
      <c r="Y38" s="18">
        <f t="shared" si="2"/>
        <v>40691630.550964184</v>
      </c>
      <c r="Z38" s="24"/>
      <c r="AA38" s="20"/>
      <c r="AB38" s="21" t="b">
        <v>1</v>
      </c>
      <c r="AC38" s="22">
        <f t="shared" si="3"/>
        <v>0</v>
      </c>
      <c r="AD38" s="32"/>
      <c r="AE38" s="32"/>
    </row>
    <row r="39" spans="1:31">
      <c r="A39" s="10">
        <f t="shared" si="0"/>
        <v>0</v>
      </c>
      <c r="B39" s="13"/>
      <c r="C39" s="13"/>
      <c r="D39" s="13"/>
      <c r="E39" s="13"/>
      <c r="F39" s="13"/>
      <c r="G39" s="13"/>
      <c r="H39" s="13"/>
      <c r="I39" s="13"/>
      <c r="J39" s="13"/>
      <c r="K39" s="13"/>
      <c r="L39" s="27"/>
      <c r="M39" s="16"/>
      <c r="N39" s="16"/>
      <c r="O39" s="16"/>
      <c r="P39" s="16"/>
      <c r="Q39" s="16"/>
      <c r="R39" s="16"/>
      <c r="S39" s="17"/>
      <c r="T39" s="17"/>
      <c r="U39" s="17"/>
      <c r="V39" s="17"/>
      <c r="W39" s="17"/>
      <c r="X39" s="17">
        <f t="shared" si="1"/>
        <v>6</v>
      </c>
      <c r="Y39" s="18">
        <f t="shared" si="2"/>
        <v>40691630.550964184</v>
      </c>
      <c r="Z39" s="19"/>
      <c r="AA39" s="20"/>
      <c r="AB39" s="21" t="b">
        <v>1</v>
      </c>
      <c r="AC39" s="22">
        <f t="shared" si="3"/>
        <v>0</v>
      </c>
      <c r="AD39" s="28"/>
      <c r="AE39" s="28"/>
    </row>
    <row r="40" spans="1:31">
      <c r="A40" s="10">
        <f t="shared" si="0"/>
        <v>0</v>
      </c>
      <c r="B40" s="13"/>
      <c r="C40" s="13"/>
      <c r="D40" s="13"/>
      <c r="E40" s="13"/>
      <c r="F40" s="13"/>
      <c r="G40" s="13"/>
      <c r="H40" s="13"/>
      <c r="I40" s="13"/>
      <c r="J40" s="13"/>
      <c r="K40" s="13"/>
      <c r="L40" s="27"/>
      <c r="M40" s="16"/>
      <c r="N40" s="16"/>
      <c r="O40" s="16"/>
      <c r="P40" s="16"/>
      <c r="Q40" s="16"/>
      <c r="R40" s="16"/>
      <c r="S40" s="17"/>
      <c r="T40" s="17"/>
      <c r="U40" s="17"/>
      <c r="V40" s="17"/>
      <c r="W40" s="17"/>
      <c r="X40" s="17">
        <f t="shared" si="1"/>
        <v>6</v>
      </c>
      <c r="Y40" s="18">
        <f t="shared" si="2"/>
        <v>40691630.550964184</v>
      </c>
      <c r="Z40" s="24"/>
      <c r="AA40" s="20"/>
      <c r="AB40" s="21" t="b">
        <v>1</v>
      </c>
      <c r="AC40" s="22">
        <f t="shared" si="3"/>
        <v>0</v>
      </c>
      <c r="AD40" s="32"/>
      <c r="AE40" s="32"/>
    </row>
    <row r="41" spans="1:31">
      <c r="A41" s="10">
        <f t="shared" si="0"/>
        <v>0</v>
      </c>
      <c r="B41" s="13"/>
      <c r="C41" s="13"/>
      <c r="D41" s="13"/>
      <c r="E41" s="13"/>
      <c r="F41" s="13"/>
      <c r="G41" s="13"/>
      <c r="H41" s="13"/>
      <c r="I41" s="13"/>
      <c r="J41" s="13"/>
      <c r="K41" s="13"/>
      <c r="L41" s="27"/>
      <c r="M41" s="16"/>
      <c r="N41" s="16"/>
      <c r="O41" s="16"/>
      <c r="P41" s="16"/>
      <c r="Q41" s="16"/>
      <c r="R41" s="16"/>
      <c r="S41" s="17"/>
      <c r="T41" s="17"/>
      <c r="U41" s="17"/>
      <c r="V41" s="17"/>
      <c r="W41" s="17"/>
      <c r="X41" s="17">
        <f t="shared" si="1"/>
        <v>6</v>
      </c>
      <c r="Y41" s="18">
        <f t="shared" si="2"/>
        <v>40691630.550964184</v>
      </c>
      <c r="Z41" s="24"/>
      <c r="AA41" s="20"/>
      <c r="AB41" s="21" t="b">
        <v>1</v>
      </c>
      <c r="AC41" s="22">
        <f t="shared" si="3"/>
        <v>0</v>
      </c>
      <c r="AD41" s="32"/>
      <c r="AE41" s="32"/>
    </row>
    <row r="42" spans="1:31" ht="15">
      <c r="A42" s="10">
        <f t="shared" si="0"/>
        <v>0</v>
      </c>
      <c r="B42" s="13"/>
      <c r="C42" s="13"/>
      <c r="D42" s="13"/>
      <c r="E42" s="13"/>
      <c r="F42" s="13"/>
      <c r="G42" s="13"/>
      <c r="H42" s="13"/>
      <c r="I42" s="13"/>
      <c r="J42" s="13"/>
      <c r="K42" s="13"/>
      <c r="L42" s="27"/>
      <c r="M42" s="16"/>
      <c r="N42" s="29"/>
      <c r="O42" s="16"/>
      <c r="P42" s="16"/>
      <c r="Q42" s="16"/>
      <c r="R42" s="16"/>
      <c r="S42" s="17"/>
      <c r="T42" s="17"/>
      <c r="U42" s="17"/>
      <c r="V42" s="17"/>
      <c r="W42" s="17"/>
      <c r="X42" s="17">
        <f t="shared" si="1"/>
        <v>6</v>
      </c>
      <c r="Y42" s="18">
        <f t="shared" si="2"/>
        <v>40691630.550964184</v>
      </c>
      <c r="Z42" s="24"/>
      <c r="AA42" s="20"/>
      <c r="AB42" s="21" t="b">
        <v>1</v>
      </c>
      <c r="AC42" s="22">
        <f t="shared" si="3"/>
        <v>0</v>
      </c>
      <c r="AD42" s="28"/>
      <c r="AE42" s="28"/>
    </row>
    <row r="43" spans="1:31" ht="15">
      <c r="A43" s="10">
        <f t="shared" si="0"/>
        <v>0</v>
      </c>
      <c r="B43" s="13"/>
      <c r="C43" s="13"/>
      <c r="D43" s="13"/>
      <c r="E43" s="13"/>
      <c r="F43" s="13"/>
      <c r="G43" s="13"/>
      <c r="H43" s="13"/>
      <c r="I43" s="13"/>
      <c r="J43" s="13"/>
      <c r="K43" s="13"/>
      <c r="L43" s="27"/>
      <c r="M43" s="27"/>
      <c r="N43" s="16"/>
      <c r="O43" s="16"/>
      <c r="P43" s="16"/>
      <c r="Q43" s="16"/>
      <c r="R43" s="16"/>
      <c r="S43" s="17"/>
      <c r="T43" s="17"/>
      <c r="U43" s="17"/>
      <c r="V43" s="17"/>
      <c r="W43" s="17"/>
      <c r="X43" s="17">
        <f t="shared" si="1"/>
        <v>6</v>
      </c>
      <c r="Y43" s="18">
        <f t="shared" si="2"/>
        <v>40691630.550964184</v>
      </c>
      <c r="Z43" s="24"/>
      <c r="AA43" s="20"/>
      <c r="AB43" s="21" t="b">
        <v>1</v>
      </c>
      <c r="AC43" s="22">
        <f t="shared" si="3"/>
        <v>0</v>
      </c>
      <c r="AD43" s="28"/>
      <c r="AE43" s="28"/>
    </row>
    <row r="44" spans="1:31" ht="15">
      <c r="A44" s="10">
        <f t="shared" si="0"/>
        <v>0</v>
      </c>
      <c r="B44" s="13"/>
      <c r="C44" s="13"/>
      <c r="D44" s="13"/>
      <c r="E44" s="13"/>
      <c r="F44" s="13"/>
      <c r="G44" s="13"/>
      <c r="H44" s="13"/>
      <c r="I44" s="13"/>
      <c r="J44" s="13"/>
      <c r="K44" s="13"/>
      <c r="L44" s="27"/>
      <c r="M44" s="16"/>
      <c r="N44" s="16"/>
      <c r="O44" s="16"/>
      <c r="P44" s="16"/>
      <c r="Q44" s="16"/>
      <c r="R44" s="16"/>
      <c r="S44" s="17"/>
      <c r="T44" s="17"/>
      <c r="U44" s="17"/>
      <c r="V44" s="17"/>
      <c r="W44" s="17"/>
      <c r="X44" s="17">
        <f t="shared" si="1"/>
        <v>6</v>
      </c>
      <c r="Y44" s="18">
        <f t="shared" si="2"/>
        <v>40691630.550964184</v>
      </c>
      <c r="Z44" s="24"/>
      <c r="AA44" s="20"/>
      <c r="AB44" s="21" t="b">
        <v>1</v>
      </c>
      <c r="AC44" s="22">
        <f t="shared" si="3"/>
        <v>0</v>
      </c>
      <c r="AD44" s="28"/>
      <c r="AE44" s="28"/>
    </row>
    <row r="45" spans="1:31" ht="15">
      <c r="A45" s="10">
        <f t="shared" si="0"/>
        <v>0</v>
      </c>
      <c r="B45" s="13"/>
      <c r="C45" s="13"/>
      <c r="D45" s="13"/>
      <c r="E45" s="13"/>
      <c r="F45" s="13"/>
      <c r="G45" s="13"/>
      <c r="H45" s="13"/>
      <c r="I45" s="13"/>
      <c r="J45" s="13"/>
      <c r="K45" s="13"/>
      <c r="L45" s="27"/>
      <c r="M45" s="16"/>
      <c r="N45" s="16"/>
      <c r="O45" s="16"/>
      <c r="P45" s="16"/>
      <c r="Q45" s="16"/>
      <c r="R45" s="16"/>
      <c r="S45" s="17"/>
      <c r="T45" s="17"/>
      <c r="U45" s="17"/>
      <c r="V45" s="17"/>
      <c r="W45" s="17"/>
      <c r="X45" s="17">
        <f t="shared" si="1"/>
        <v>6</v>
      </c>
      <c r="Y45" s="18">
        <f t="shared" si="2"/>
        <v>40691630.550964184</v>
      </c>
      <c r="Z45" s="24"/>
      <c r="AA45" s="20"/>
      <c r="AB45" s="21" t="b">
        <v>1</v>
      </c>
      <c r="AC45" s="22">
        <f t="shared" si="3"/>
        <v>0</v>
      </c>
      <c r="AD45" s="28"/>
      <c r="AE45" s="28"/>
    </row>
    <row r="46" spans="1:31" ht="15">
      <c r="A46" s="10">
        <f t="shared" si="0"/>
        <v>0</v>
      </c>
      <c r="B46" s="13"/>
      <c r="C46" s="13"/>
      <c r="D46" s="13"/>
      <c r="E46" s="13"/>
      <c r="F46" s="13"/>
      <c r="G46" s="13"/>
      <c r="H46" s="13"/>
      <c r="I46" s="13"/>
      <c r="J46" s="13"/>
      <c r="K46" s="13"/>
      <c r="L46" s="27"/>
      <c r="M46" s="16"/>
      <c r="N46" s="16"/>
      <c r="O46" s="16"/>
      <c r="P46" s="16"/>
      <c r="Q46" s="16"/>
      <c r="R46" s="16"/>
      <c r="S46" s="17"/>
      <c r="T46" s="17"/>
      <c r="U46" s="17"/>
      <c r="V46" s="17"/>
      <c r="W46" s="17"/>
      <c r="X46" s="17">
        <f t="shared" si="1"/>
        <v>6</v>
      </c>
      <c r="Y46" s="18">
        <f t="shared" si="2"/>
        <v>40691630.550964184</v>
      </c>
      <c r="Z46" s="24"/>
      <c r="AA46" s="20"/>
      <c r="AB46" s="21" t="b">
        <v>1</v>
      </c>
      <c r="AC46" s="22">
        <f t="shared" si="3"/>
        <v>0</v>
      </c>
      <c r="AD46" s="28"/>
      <c r="AE46" s="28"/>
    </row>
    <row r="47" spans="1:31" ht="15">
      <c r="A47" s="10">
        <f t="shared" si="0"/>
        <v>0</v>
      </c>
      <c r="B47" s="13"/>
      <c r="C47" s="13"/>
      <c r="D47" s="13"/>
      <c r="E47" s="13"/>
      <c r="F47" s="13"/>
      <c r="G47" s="13"/>
      <c r="H47" s="13"/>
      <c r="I47" s="13"/>
      <c r="J47" s="13"/>
      <c r="K47" s="13"/>
      <c r="L47" s="27"/>
      <c r="M47" s="16"/>
      <c r="N47" s="16"/>
      <c r="O47" s="16"/>
      <c r="P47" s="16"/>
      <c r="Q47" s="16"/>
      <c r="R47" s="16"/>
      <c r="S47" s="17"/>
      <c r="T47" s="17"/>
      <c r="U47" s="17"/>
      <c r="V47" s="17"/>
      <c r="W47" s="17"/>
      <c r="X47" s="17">
        <f t="shared" si="1"/>
        <v>6</v>
      </c>
      <c r="Y47" s="18">
        <f t="shared" si="2"/>
        <v>40691630.550964184</v>
      </c>
      <c r="Z47" s="24"/>
      <c r="AA47" s="20"/>
      <c r="AB47" s="21" t="b">
        <v>1</v>
      </c>
      <c r="AC47" s="22">
        <f t="shared" si="3"/>
        <v>0</v>
      </c>
      <c r="AD47" s="28"/>
      <c r="AE47" s="28"/>
    </row>
    <row r="48" spans="1:31" ht="15">
      <c r="A48" s="10">
        <f t="shared" si="0"/>
        <v>0</v>
      </c>
      <c r="B48" s="13"/>
      <c r="C48" s="13"/>
      <c r="D48" s="13"/>
      <c r="E48" s="13"/>
      <c r="F48" s="13"/>
      <c r="G48" s="13"/>
      <c r="H48" s="13"/>
      <c r="I48" s="13"/>
      <c r="J48" s="13"/>
      <c r="K48" s="13"/>
      <c r="L48" s="27"/>
      <c r="M48" s="16"/>
      <c r="N48" s="16"/>
      <c r="O48" s="16"/>
      <c r="P48" s="16"/>
      <c r="Q48" s="16"/>
      <c r="R48" s="16"/>
      <c r="S48" s="17"/>
      <c r="T48" s="17"/>
      <c r="U48" s="17"/>
      <c r="V48" s="17"/>
      <c r="W48" s="17"/>
      <c r="X48" s="17">
        <f t="shared" si="1"/>
        <v>6</v>
      </c>
      <c r="Y48" s="18">
        <f t="shared" si="2"/>
        <v>40691630.550964184</v>
      </c>
      <c r="Z48" s="24"/>
      <c r="AA48" s="20"/>
      <c r="AB48" s="21" t="b">
        <v>1</v>
      </c>
      <c r="AC48" s="22">
        <f t="shared" si="3"/>
        <v>0</v>
      </c>
      <c r="AD48" s="32"/>
      <c r="AE48" s="32"/>
    </row>
    <row r="49" spans="1:31" ht="15">
      <c r="A49" s="10">
        <f t="shared" si="0"/>
        <v>0</v>
      </c>
      <c r="B49" s="13"/>
      <c r="C49" s="13"/>
      <c r="D49" s="13"/>
      <c r="E49" s="13"/>
      <c r="F49" s="13"/>
      <c r="G49" s="13"/>
      <c r="H49" s="13"/>
      <c r="I49" s="13"/>
      <c r="J49" s="13"/>
      <c r="K49" s="13"/>
      <c r="L49" s="27"/>
      <c r="M49" s="16"/>
      <c r="N49" s="16"/>
      <c r="O49" s="16"/>
      <c r="P49" s="16"/>
      <c r="Q49" s="16"/>
      <c r="R49" s="16"/>
      <c r="S49" s="17"/>
      <c r="T49" s="17"/>
      <c r="U49" s="17"/>
      <c r="V49" s="17"/>
      <c r="W49" s="17"/>
      <c r="X49" s="17">
        <f t="shared" si="1"/>
        <v>6</v>
      </c>
      <c r="Y49" s="18">
        <f t="shared" si="2"/>
        <v>40691630.550964184</v>
      </c>
      <c r="Z49" s="24"/>
      <c r="AA49" s="20"/>
      <c r="AB49" s="21" t="b">
        <v>1</v>
      </c>
      <c r="AC49" s="22">
        <f t="shared" si="3"/>
        <v>0</v>
      </c>
      <c r="AD49" s="32"/>
      <c r="AE49" s="32"/>
    </row>
    <row r="50" spans="1:31" ht="15">
      <c r="A50" s="10">
        <f t="shared" si="0"/>
        <v>0</v>
      </c>
      <c r="B50" s="13"/>
      <c r="C50" s="13"/>
      <c r="D50" s="13"/>
      <c r="E50" s="13"/>
      <c r="F50" s="13"/>
      <c r="G50" s="13"/>
      <c r="H50" s="13"/>
      <c r="I50" s="13"/>
      <c r="J50" s="13"/>
      <c r="K50" s="13"/>
      <c r="L50" s="27"/>
      <c r="M50" s="27"/>
      <c r="N50" s="16"/>
      <c r="O50" s="16"/>
      <c r="P50" s="16"/>
      <c r="Q50" s="16"/>
      <c r="R50" s="16"/>
      <c r="S50" s="17"/>
      <c r="T50" s="17"/>
      <c r="U50" s="17"/>
      <c r="V50" s="17"/>
      <c r="W50" s="17"/>
      <c r="X50" s="17">
        <f t="shared" si="1"/>
        <v>6</v>
      </c>
      <c r="Y50" s="18">
        <f t="shared" si="2"/>
        <v>40691630.550964184</v>
      </c>
      <c r="Z50" s="24"/>
      <c r="AA50" s="20"/>
      <c r="AB50" s="21" t="b">
        <v>1</v>
      </c>
      <c r="AC50" s="22">
        <f t="shared" si="3"/>
        <v>0</v>
      </c>
      <c r="AD50" s="32"/>
      <c r="AE50" s="32"/>
    </row>
    <row r="51" spans="1:31" ht="15">
      <c r="A51" s="10">
        <f t="shared" si="0"/>
        <v>0</v>
      </c>
      <c r="B51" s="13"/>
      <c r="C51" s="13"/>
      <c r="D51" s="13"/>
      <c r="E51" s="13"/>
      <c r="F51" s="13"/>
      <c r="G51" s="13"/>
      <c r="H51" s="13"/>
      <c r="I51" s="13"/>
      <c r="J51" s="13"/>
      <c r="K51" s="13"/>
      <c r="L51" s="27"/>
      <c r="M51" s="16"/>
      <c r="N51" s="16"/>
      <c r="O51" s="16"/>
      <c r="P51" s="16"/>
      <c r="Q51" s="16"/>
      <c r="R51" s="16"/>
      <c r="S51" s="17"/>
      <c r="T51" s="17"/>
      <c r="U51" s="17"/>
      <c r="V51" s="17"/>
      <c r="W51" s="17"/>
      <c r="X51" s="17">
        <f t="shared" si="1"/>
        <v>6</v>
      </c>
      <c r="Y51" s="18">
        <f t="shared" si="2"/>
        <v>40691630.550964184</v>
      </c>
      <c r="Z51" s="24"/>
      <c r="AA51" s="20"/>
      <c r="AB51" s="21" t="b">
        <v>1</v>
      </c>
      <c r="AC51" s="22">
        <f t="shared" si="3"/>
        <v>0</v>
      </c>
      <c r="AD51" s="32"/>
      <c r="AE51" s="32"/>
    </row>
    <row r="52" spans="1:31" ht="15">
      <c r="A52" s="10">
        <f t="shared" si="0"/>
        <v>0</v>
      </c>
      <c r="B52" s="13"/>
      <c r="C52" s="13"/>
      <c r="D52" s="13"/>
      <c r="E52" s="13"/>
      <c r="F52" s="13"/>
      <c r="G52" s="13"/>
      <c r="H52" s="13"/>
      <c r="I52" s="13"/>
      <c r="J52" s="13"/>
      <c r="K52" s="13"/>
      <c r="L52" s="27"/>
      <c r="M52" s="16"/>
      <c r="N52" s="16"/>
      <c r="O52" s="16"/>
      <c r="P52" s="16"/>
      <c r="Q52" s="16"/>
      <c r="R52" s="16"/>
      <c r="S52" s="17"/>
      <c r="T52" s="17"/>
      <c r="U52" s="17"/>
      <c r="V52" s="17"/>
      <c r="W52" s="17"/>
      <c r="X52" s="17">
        <f t="shared" si="1"/>
        <v>6</v>
      </c>
      <c r="Y52" s="18">
        <f t="shared" si="2"/>
        <v>40691630.550964184</v>
      </c>
      <c r="Z52" s="24"/>
      <c r="AA52" s="20"/>
      <c r="AB52" s="21" t="b">
        <v>1</v>
      </c>
      <c r="AC52" s="22">
        <f t="shared" si="3"/>
        <v>0</v>
      </c>
      <c r="AD52" s="32"/>
      <c r="AE52" s="32"/>
    </row>
    <row r="53" spans="1:31" ht="15">
      <c r="A53" s="10">
        <f t="shared" si="0"/>
        <v>0</v>
      </c>
      <c r="B53" s="13"/>
      <c r="C53" s="13"/>
      <c r="D53" s="13"/>
      <c r="E53" s="13"/>
      <c r="F53" s="13"/>
      <c r="G53" s="13"/>
      <c r="H53" s="13"/>
      <c r="I53" s="13"/>
      <c r="J53" s="13"/>
      <c r="K53" s="13"/>
      <c r="L53" s="27"/>
      <c r="M53" s="27"/>
      <c r="N53" s="16"/>
      <c r="O53" s="16"/>
      <c r="P53" s="16"/>
      <c r="Q53" s="16"/>
      <c r="R53" s="16"/>
      <c r="S53" s="17"/>
      <c r="T53" s="17"/>
      <c r="U53" s="17"/>
      <c r="V53" s="17"/>
      <c r="W53" s="17"/>
      <c r="X53" s="17">
        <f t="shared" si="1"/>
        <v>6</v>
      </c>
      <c r="Y53" s="18">
        <f t="shared" si="2"/>
        <v>40691630.550964184</v>
      </c>
      <c r="Z53" s="24"/>
      <c r="AA53" s="20"/>
      <c r="AB53" s="21" t="b">
        <v>1</v>
      </c>
      <c r="AC53" s="22">
        <f t="shared" si="3"/>
        <v>0</v>
      </c>
      <c r="AD53" s="32"/>
      <c r="AE53" s="32"/>
    </row>
    <row r="54" spans="1:31" ht="15">
      <c r="A54" s="10">
        <f t="shared" si="0"/>
        <v>0</v>
      </c>
      <c r="B54" s="13"/>
      <c r="C54" s="13"/>
      <c r="D54" s="13"/>
      <c r="E54" s="13"/>
      <c r="F54" s="13"/>
      <c r="G54" s="13"/>
      <c r="H54" s="13"/>
      <c r="I54" s="13"/>
      <c r="J54" s="13"/>
      <c r="K54" s="13"/>
      <c r="L54" s="27"/>
      <c r="M54" s="16"/>
      <c r="N54" s="16"/>
      <c r="O54" s="16"/>
      <c r="P54" s="16"/>
      <c r="Q54" s="16"/>
      <c r="R54" s="16"/>
      <c r="S54" s="17"/>
      <c r="T54" s="17"/>
      <c r="U54" s="17"/>
      <c r="V54" s="17"/>
      <c r="W54" s="17"/>
      <c r="X54" s="17">
        <f t="shared" si="1"/>
        <v>6</v>
      </c>
      <c r="Y54" s="18">
        <f t="shared" si="2"/>
        <v>40691630.550964184</v>
      </c>
      <c r="Z54" s="24"/>
      <c r="AA54" s="20"/>
      <c r="AB54" s="21" t="b">
        <v>1</v>
      </c>
      <c r="AC54" s="22">
        <f t="shared" si="3"/>
        <v>0</v>
      </c>
      <c r="AD54" s="32"/>
      <c r="AE54" s="32"/>
    </row>
    <row r="55" spans="1:31" ht="15">
      <c r="A55" s="10">
        <f t="shared" si="0"/>
        <v>0</v>
      </c>
      <c r="B55" s="13"/>
      <c r="C55" s="13"/>
      <c r="D55" s="13"/>
      <c r="E55" s="13"/>
      <c r="F55" s="13"/>
      <c r="G55" s="13"/>
      <c r="H55" s="13"/>
      <c r="I55" s="13"/>
      <c r="J55" s="13"/>
      <c r="K55" s="13"/>
      <c r="L55" s="27"/>
      <c r="M55" s="16"/>
      <c r="N55" s="16"/>
      <c r="O55" s="16"/>
      <c r="P55" s="16"/>
      <c r="Q55" s="16"/>
      <c r="R55" s="16"/>
      <c r="S55" s="17"/>
      <c r="T55" s="17"/>
      <c r="U55" s="17"/>
      <c r="V55" s="17"/>
      <c r="W55" s="17"/>
      <c r="X55" s="17">
        <f t="shared" si="1"/>
        <v>6</v>
      </c>
      <c r="Y55" s="18">
        <f t="shared" si="2"/>
        <v>40691630.550964184</v>
      </c>
      <c r="Z55" s="24"/>
      <c r="AA55" s="20"/>
      <c r="AB55" s="21" t="b">
        <v>1</v>
      </c>
      <c r="AC55" s="22">
        <f t="shared" si="3"/>
        <v>0</v>
      </c>
      <c r="AD55" s="32"/>
      <c r="AE55" s="32"/>
    </row>
    <row r="56" spans="1:31" ht="15">
      <c r="A56" s="10">
        <f t="shared" si="0"/>
        <v>0</v>
      </c>
      <c r="B56" s="13"/>
      <c r="C56" s="13"/>
      <c r="D56" s="13"/>
      <c r="E56" s="13"/>
      <c r="F56" s="13"/>
      <c r="G56" s="13"/>
      <c r="H56" s="13"/>
      <c r="I56" s="13"/>
      <c r="J56" s="13"/>
      <c r="K56" s="13"/>
      <c r="L56" s="27"/>
      <c r="M56" s="16"/>
      <c r="N56" s="16"/>
      <c r="O56" s="16"/>
      <c r="P56" s="16"/>
      <c r="Q56" s="16"/>
      <c r="R56" s="16"/>
      <c r="S56" s="17"/>
      <c r="T56" s="17"/>
      <c r="U56" s="17"/>
      <c r="V56" s="17"/>
      <c r="W56" s="17"/>
      <c r="X56" s="17">
        <f t="shared" si="1"/>
        <v>6</v>
      </c>
      <c r="Y56" s="18">
        <f t="shared" si="2"/>
        <v>40691630.550964184</v>
      </c>
      <c r="Z56" s="24"/>
      <c r="AA56" s="20"/>
      <c r="AB56" s="21" t="b">
        <v>1</v>
      </c>
      <c r="AC56" s="22">
        <f t="shared" si="3"/>
        <v>0</v>
      </c>
      <c r="AD56" s="32"/>
      <c r="AE56" s="32"/>
    </row>
    <row r="57" spans="1:31" ht="15">
      <c r="A57" s="10">
        <f t="shared" si="0"/>
        <v>0</v>
      </c>
      <c r="B57" s="13"/>
      <c r="C57" s="13"/>
      <c r="D57" s="13"/>
      <c r="E57" s="13"/>
      <c r="F57" s="13"/>
      <c r="G57" s="13"/>
      <c r="H57" s="13"/>
      <c r="I57" s="13"/>
      <c r="J57" s="13"/>
      <c r="K57" s="13"/>
      <c r="L57" s="27"/>
      <c r="M57" s="16"/>
      <c r="N57" s="16"/>
      <c r="O57" s="16"/>
      <c r="P57" s="16"/>
      <c r="Q57" s="16"/>
      <c r="R57" s="16"/>
      <c r="S57" s="17"/>
      <c r="T57" s="17"/>
      <c r="U57" s="17"/>
      <c r="V57" s="17"/>
      <c r="W57" s="17"/>
      <c r="X57" s="17">
        <f t="shared" si="1"/>
        <v>6</v>
      </c>
      <c r="Y57" s="18">
        <f t="shared" si="2"/>
        <v>40691630.550964184</v>
      </c>
      <c r="Z57" s="24"/>
      <c r="AA57" s="20"/>
      <c r="AB57" s="21" t="b">
        <v>1</v>
      </c>
      <c r="AC57" s="22">
        <f t="shared" si="3"/>
        <v>0</v>
      </c>
      <c r="AD57" s="32"/>
      <c r="AE57" s="32"/>
    </row>
    <row r="58" spans="1:31" ht="15">
      <c r="A58" s="10">
        <f t="shared" si="0"/>
        <v>0</v>
      </c>
      <c r="B58" s="13"/>
      <c r="C58" s="13"/>
      <c r="D58" s="13"/>
      <c r="E58" s="13"/>
      <c r="F58" s="13"/>
      <c r="G58" s="13"/>
      <c r="H58" s="13"/>
      <c r="I58" s="13"/>
      <c r="J58" s="13"/>
      <c r="K58" s="13"/>
      <c r="L58" s="27"/>
      <c r="M58" s="16"/>
      <c r="N58" s="16"/>
      <c r="O58" s="16"/>
      <c r="P58" s="16"/>
      <c r="Q58" s="16"/>
      <c r="R58" s="16"/>
      <c r="S58" s="17"/>
      <c r="T58" s="17"/>
      <c r="U58" s="17"/>
      <c r="V58" s="17"/>
      <c r="W58" s="17"/>
      <c r="X58" s="17">
        <f t="shared" si="1"/>
        <v>6</v>
      </c>
      <c r="Y58" s="18">
        <f t="shared" si="2"/>
        <v>40691630.550964184</v>
      </c>
      <c r="Z58" s="24"/>
      <c r="AA58" s="20"/>
      <c r="AB58" s="21" t="b">
        <v>1</v>
      </c>
      <c r="AC58" s="22">
        <f t="shared" si="3"/>
        <v>0</v>
      </c>
      <c r="AD58" s="32"/>
      <c r="AE58" s="32"/>
    </row>
    <row r="59" spans="1:31" ht="15">
      <c r="A59" s="10">
        <f t="shared" si="0"/>
        <v>0</v>
      </c>
      <c r="B59" s="13"/>
      <c r="C59" s="13"/>
      <c r="D59" s="13"/>
      <c r="E59" s="13"/>
      <c r="F59" s="13"/>
      <c r="G59" s="13"/>
      <c r="H59" s="13"/>
      <c r="I59" s="13"/>
      <c r="J59" s="13"/>
      <c r="K59" s="13"/>
      <c r="L59" s="27"/>
      <c r="M59" s="16"/>
      <c r="N59" s="16"/>
      <c r="O59" s="16"/>
      <c r="P59" s="16"/>
      <c r="Q59" s="16"/>
      <c r="R59" s="16"/>
      <c r="S59" s="17"/>
      <c r="T59" s="17"/>
      <c r="U59" s="17"/>
      <c r="V59" s="17"/>
      <c r="W59" s="17"/>
      <c r="X59" s="17">
        <f t="shared" si="1"/>
        <v>6</v>
      </c>
      <c r="Y59" s="18">
        <f t="shared" si="2"/>
        <v>40691630.550964184</v>
      </c>
      <c r="Z59" s="24"/>
      <c r="AA59" s="20"/>
      <c r="AB59" s="21" t="b">
        <v>1</v>
      </c>
      <c r="AC59" s="22">
        <f t="shared" si="3"/>
        <v>0</v>
      </c>
      <c r="AD59" s="32"/>
      <c r="AE59" s="32"/>
    </row>
    <row r="60" spans="1:31" ht="15">
      <c r="A60" s="10">
        <f t="shared" si="0"/>
        <v>0</v>
      </c>
      <c r="B60" s="13"/>
      <c r="C60" s="13"/>
      <c r="D60" s="13"/>
      <c r="E60" s="13"/>
      <c r="F60" s="13"/>
      <c r="G60" s="13"/>
      <c r="H60" s="13"/>
      <c r="I60" s="13"/>
      <c r="J60" s="13"/>
      <c r="K60" s="13"/>
      <c r="L60" s="27"/>
      <c r="M60" s="16"/>
      <c r="N60" s="16"/>
      <c r="O60" s="16"/>
      <c r="P60" s="16"/>
      <c r="Q60" s="16"/>
      <c r="R60" s="16"/>
      <c r="S60" s="17"/>
      <c r="T60" s="17"/>
      <c r="U60" s="17"/>
      <c r="V60" s="17"/>
      <c r="W60" s="17"/>
      <c r="X60" s="17">
        <f t="shared" si="1"/>
        <v>6</v>
      </c>
      <c r="Y60" s="18">
        <f t="shared" si="2"/>
        <v>40691630.550964184</v>
      </c>
      <c r="Z60" s="24"/>
      <c r="AA60" s="20"/>
      <c r="AB60" s="21" t="b">
        <v>1</v>
      </c>
      <c r="AC60" s="22">
        <f t="shared" si="3"/>
        <v>0</v>
      </c>
      <c r="AD60" s="32"/>
      <c r="AE60" s="32"/>
    </row>
    <row r="61" spans="1:31" ht="15">
      <c r="A61" s="10">
        <f t="shared" si="0"/>
        <v>0</v>
      </c>
      <c r="B61" s="13"/>
      <c r="C61" s="13"/>
      <c r="D61" s="13"/>
      <c r="E61" s="13"/>
      <c r="F61" s="13"/>
      <c r="G61" s="13"/>
      <c r="H61" s="13"/>
      <c r="I61" s="13"/>
      <c r="J61" s="13"/>
      <c r="K61" s="13"/>
      <c r="L61" s="27"/>
      <c r="M61" s="16"/>
      <c r="N61" s="16"/>
      <c r="O61" s="16"/>
      <c r="P61" s="16"/>
      <c r="Q61" s="16"/>
      <c r="R61" s="16"/>
      <c r="S61" s="17"/>
      <c r="T61" s="17"/>
      <c r="U61" s="17"/>
      <c r="V61" s="17"/>
      <c r="W61" s="17"/>
      <c r="X61" s="17">
        <f t="shared" si="1"/>
        <v>6</v>
      </c>
      <c r="Y61" s="18">
        <f t="shared" si="2"/>
        <v>40691630.550964184</v>
      </c>
      <c r="Z61" s="24"/>
      <c r="AA61" s="20"/>
      <c r="AB61" s="21" t="b">
        <v>1</v>
      </c>
      <c r="AC61" s="22">
        <f t="shared" si="3"/>
        <v>0</v>
      </c>
      <c r="AD61" s="32"/>
      <c r="AE61" s="32"/>
    </row>
    <row r="62" spans="1:31" ht="15">
      <c r="A62" s="10">
        <f t="shared" si="0"/>
        <v>0</v>
      </c>
      <c r="B62" s="13"/>
      <c r="C62" s="13"/>
      <c r="D62" s="13"/>
      <c r="E62" s="13"/>
      <c r="F62" s="13"/>
      <c r="G62" s="13"/>
      <c r="H62" s="13"/>
      <c r="I62" s="13"/>
      <c r="J62" s="13"/>
      <c r="K62" s="13"/>
      <c r="L62" s="27"/>
      <c r="M62" s="16"/>
      <c r="N62" s="16"/>
      <c r="O62" s="16"/>
      <c r="P62" s="16"/>
      <c r="Q62" s="16"/>
      <c r="R62" s="16"/>
      <c r="S62" s="17"/>
      <c r="T62" s="17"/>
      <c r="U62" s="17"/>
      <c r="V62" s="17"/>
      <c r="W62" s="17"/>
      <c r="X62" s="17">
        <f t="shared" si="1"/>
        <v>6</v>
      </c>
      <c r="Y62" s="18">
        <f t="shared" si="2"/>
        <v>40691630.550964184</v>
      </c>
      <c r="Z62" s="24"/>
      <c r="AA62" s="20"/>
      <c r="AB62" s="21" t="b">
        <v>1</v>
      </c>
      <c r="AC62" s="22">
        <f t="shared" si="3"/>
        <v>0</v>
      </c>
      <c r="AD62" s="32"/>
      <c r="AE62" s="32"/>
    </row>
    <row r="63" spans="1:31" ht="15">
      <c r="A63" s="10">
        <f t="shared" si="0"/>
        <v>0</v>
      </c>
      <c r="B63" s="13"/>
      <c r="C63" s="13"/>
      <c r="D63" s="13"/>
      <c r="E63" s="13"/>
      <c r="F63" s="13"/>
      <c r="G63" s="13"/>
      <c r="H63" s="13"/>
      <c r="I63" s="13"/>
      <c r="J63" s="13"/>
      <c r="K63" s="13"/>
      <c r="L63" s="27"/>
      <c r="M63" s="16"/>
      <c r="N63" s="16"/>
      <c r="O63" s="16"/>
      <c r="P63" s="16"/>
      <c r="Q63" s="16"/>
      <c r="R63" s="16"/>
      <c r="S63" s="17"/>
      <c r="T63" s="17"/>
      <c r="U63" s="17"/>
      <c r="V63" s="17"/>
      <c r="W63" s="17"/>
      <c r="X63" s="17">
        <f t="shared" si="1"/>
        <v>6</v>
      </c>
      <c r="Y63" s="18">
        <f t="shared" si="2"/>
        <v>40691630.550964184</v>
      </c>
      <c r="Z63" s="24"/>
      <c r="AA63" s="20"/>
      <c r="AB63" s="21" t="b">
        <v>1</v>
      </c>
      <c r="AC63" s="22">
        <f t="shared" si="3"/>
        <v>0</v>
      </c>
      <c r="AD63" s="32"/>
      <c r="AE63" s="32"/>
    </row>
    <row r="64" spans="1:31" ht="15">
      <c r="A64" s="10">
        <f t="shared" si="0"/>
        <v>0</v>
      </c>
      <c r="B64" s="13"/>
      <c r="C64" s="13"/>
      <c r="D64" s="13"/>
      <c r="E64" s="13"/>
      <c r="F64" s="13"/>
      <c r="G64" s="13"/>
      <c r="H64" s="13"/>
      <c r="I64" s="13"/>
      <c r="J64" s="13"/>
      <c r="K64" s="13"/>
      <c r="L64" s="27"/>
      <c r="M64" s="16"/>
      <c r="N64" s="16"/>
      <c r="O64" s="16"/>
      <c r="P64" s="16"/>
      <c r="Q64" s="16"/>
      <c r="R64" s="16"/>
      <c r="S64" s="17"/>
      <c r="T64" s="17"/>
      <c r="U64" s="17"/>
      <c r="V64" s="17"/>
      <c r="W64" s="17"/>
      <c r="X64" s="17">
        <f t="shared" si="1"/>
        <v>6</v>
      </c>
      <c r="Y64" s="18">
        <f t="shared" si="2"/>
        <v>40691630.550964184</v>
      </c>
      <c r="Z64" s="24"/>
      <c r="AA64" s="20"/>
      <c r="AB64" s="21" t="b">
        <v>1</v>
      </c>
      <c r="AC64" s="22">
        <f t="shared" si="3"/>
        <v>0</v>
      </c>
      <c r="AD64" s="28"/>
      <c r="AE64" s="28"/>
    </row>
    <row r="65" spans="1:31" ht="15">
      <c r="A65" s="10">
        <f t="shared" si="0"/>
        <v>0</v>
      </c>
      <c r="B65" s="13"/>
      <c r="C65" s="13"/>
      <c r="D65" s="13"/>
      <c r="E65" s="13"/>
      <c r="F65" s="13"/>
      <c r="G65" s="13"/>
      <c r="H65" s="13"/>
      <c r="I65" s="13"/>
      <c r="J65" s="13"/>
      <c r="K65" s="13"/>
      <c r="L65" s="27"/>
      <c r="M65" s="16"/>
      <c r="N65" s="16"/>
      <c r="O65" s="16"/>
      <c r="P65" s="16"/>
      <c r="Q65" s="16"/>
      <c r="R65" s="16"/>
      <c r="S65" s="17"/>
      <c r="T65" s="17"/>
      <c r="U65" s="17"/>
      <c r="V65" s="17"/>
      <c r="W65" s="17"/>
      <c r="X65" s="17">
        <f t="shared" si="1"/>
        <v>6</v>
      </c>
      <c r="Y65" s="18">
        <f t="shared" si="2"/>
        <v>40691630.550964184</v>
      </c>
      <c r="Z65" s="24"/>
      <c r="AA65" s="20"/>
      <c r="AB65" s="21" t="b">
        <v>1</v>
      </c>
      <c r="AC65" s="22">
        <f t="shared" si="3"/>
        <v>0</v>
      </c>
      <c r="AD65" s="32"/>
      <c r="AE65" s="32"/>
    </row>
    <row r="66" spans="1:31" ht="15">
      <c r="A66" s="10">
        <f t="shared" si="0"/>
        <v>0</v>
      </c>
      <c r="B66" s="13"/>
      <c r="C66" s="13"/>
      <c r="D66" s="13"/>
      <c r="E66" s="13"/>
      <c r="F66" s="13"/>
      <c r="G66" s="13"/>
      <c r="H66" s="13"/>
      <c r="I66" s="13"/>
      <c r="J66" s="13"/>
      <c r="K66" s="13"/>
      <c r="L66" s="27"/>
      <c r="M66" s="27"/>
      <c r="N66" s="16"/>
      <c r="O66" s="16"/>
      <c r="P66" s="16"/>
      <c r="Q66" s="16"/>
      <c r="R66" s="16"/>
      <c r="S66" s="17"/>
      <c r="T66" s="17"/>
      <c r="U66" s="17"/>
      <c r="V66" s="17"/>
      <c r="W66" s="17"/>
      <c r="X66" s="17">
        <f t="shared" si="1"/>
        <v>6</v>
      </c>
      <c r="Y66" s="18">
        <f t="shared" si="2"/>
        <v>40691630.550964184</v>
      </c>
      <c r="Z66" s="24"/>
      <c r="AA66" s="20"/>
      <c r="AB66" s="21" t="b">
        <v>1</v>
      </c>
      <c r="AC66" s="22">
        <f t="shared" si="3"/>
        <v>0</v>
      </c>
      <c r="AD66" s="32"/>
      <c r="AE66" s="32"/>
    </row>
    <row r="67" spans="1:31" ht="15">
      <c r="A67" s="10">
        <f t="shared" si="0"/>
        <v>0</v>
      </c>
      <c r="B67" s="13"/>
      <c r="C67" s="13"/>
      <c r="D67" s="13"/>
      <c r="E67" s="13"/>
      <c r="F67" s="13"/>
      <c r="G67" s="13"/>
      <c r="H67" s="13"/>
      <c r="I67" s="13"/>
      <c r="J67" s="13"/>
      <c r="K67" s="13"/>
      <c r="L67" s="27"/>
      <c r="M67" s="16"/>
      <c r="N67" s="27"/>
      <c r="O67" s="16"/>
      <c r="P67" s="16"/>
      <c r="Q67" s="16"/>
      <c r="R67" s="16"/>
      <c r="S67" s="17"/>
      <c r="T67" s="17"/>
      <c r="U67" s="17"/>
      <c r="V67" s="17"/>
      <c r="W67" s="17"/>
      <c r="X67" s="17">
        <f t="shared" si="1"/>
        <v>6</v>
      </c>
      <c r="Y67" s="18">
        <f t="shared" si="2"/>
        <v>40691630.550964184</v>
      </c>
      <c r="Z67" s="24"/>
      <c r="AA67" s="20"/>
      <c r="AB67" s="21" t="b">
        <v>1</v>
      </c>
      <c r="AC67" s="22">
        <f t="shared" si="3"/>
        <v>0</v>
      </c>
      <c r="AD67" s="32"/>
      <c r="AE67" s="32"/>
    </row>
    <row r="68" spans="1:31" ht="15">
      <c r="A68" s="10">
        <f t="shared" si="0"/>
        <v>0</v>
      </c>
      <c r="B68" s="13"/>
      <c r="C68" s="13"/>
      <c r="D68" s="13"/>
      <c r="E68" s="13"/>
      <c r="F68" s="13"/>
      <c r="G68" s="13"/>
      <c r="H68" s="13"/>
      <c r="I68" s="13"/>
      <c r="J68" s="13"/>
      <c r="K68" s="13"/>
      <c r="L68" s="27"/>
      <c r="M68" s="16"/>
      <c r="N68" s="16"/>
      <c r="O68" s="16"/>
      <c r="P68" s="16"/>
      <c r="Q68" s="16"/>
      <c r="R68" s="16"/>
      <c r="S68" s="17"/>
      <c r="T68" s="17"/>
      <c r="U68" s="17"/>
      <c r="V68" s="17"/>
      <c r="W68" s="17"/>
      <c r="X68" s="17">
        <f t="shared" si="1"/>
        <v>6</v>
      </c>
      <c r="Y68" s="18">
        <f t="shared" si="2"/>
        <v>40691630.550964184</v>
      </c>
      <c r="Z68" s="24"/>
      <c r="AA68" s="20"/>
      <c r="AB68" s="21" t="b">
        <v>1</v>
      </c>
      <c r="AC68" s="22">
        <f t="shared" si="3"/>
        <v>0</v>
      </c>
      <c r="AD68" s="32"/>
      <c r="AE68" s="32"/>
    </row>
    <row r="69" spans="1:31" ht="15">
      <c r="A69" s="10">
        <f t="shared" si="0"/>
        <v>0</v>
      </c>
      <c r="B69" s="13"/>
      <c r="C69" s="13"/>
      <c r="D69" s="13"/>
      <c r="E69" s="13"/>
      <c r="F69" s="13"/>
      <c r="G69" s="13"/>
      <c r="H69" s="13"/>
      <c r="I69" s="13"/>
      <c r="J69" s="13"/>
      <c r="K69" s="13"/>
      <c r="L69" s="27"/>
      <c r="M69" s="16"/>
      <c r="N69" s="16"/>
      <c r="O69" s="16"/>
      <c r="P69" s="16"/>
      <c r="Q69" s="16"/>
      <c r="R69" s="16"/>
      <c r="S69" s="17"/>
      <c r="T69" s="17"/>
      <c r="U69" s="17"/>
      <c r="V69" s="17"/>
      <c r="W69" s="17"/>
      <c r="X69" s="17">
        <f t="shared" si="1"/>
        <v>6</v>
      </c>
      <c r="Y69" s="18">
        <f t="shared" si="2"/>
        <v>40691630.550964184</v>
      </c>
      <c r="Z69" s="24"/>
      <c r="AA69" s="20"/>
      <c r="AB69" s="21" t="b">
        <v>1</v>
      </c>
      <c r="AC69" s="22">
        <f t="shared" si="3"/>
        <v>0</v>
      </c>
      <c r="AD69" s="32"/>
      <c r="AE69" s="32"/>
    </row>
    <row r="70" spans="1:31" ht="15">
      <c r="A70" s="10">
        <f t="shared" si="0"/>
        <v>0</v>
      </c>
      <c r="B70" s="13"/>
      <c r="C70" s="13"/>
      <c r="D70" s="13"/>
      <c r="E70" s="13"/>
      <c r="F70" s="13"/>
      <c r="G70" s="13"/>
      <c r="H70" s="13"/>
      <c r="I70" s="13"/>
      <c r="J70" s="13"/>
      <c r="K70" s="13"/>
      <c r="L70" s="27"/>
      <c r="M70" s="16"/>
      <c r="N70" s="16"/>
      <c r="O70" s="16"/>
      <c r="P70" s="16"/>
      <c r="Q70" s="16"/>
      <c r="R70" s="16"/>
      <c r="S70" s="17"/>
      <c r="T70" s="17"/>
      <c r="U70" s="17"/>
      <c r="V70" s="17"/>
      <c r="W70" s="17"/>
      <c r="X70" s="17">
        <f t="shared" si="1"/>
        <v>6</v>
      </c>
      <c r="Y70" s="18">
        <f t="shared" si="2"/>
        <v>40691630.550964184</v>
      </c>
      <c r="Z70" s="24"/>
      <c r="AA70" s="20"/>
      <c r="AB70" s="21" t="b">
        <v>1</v>
      </c>
      <c r="AC70" s="22">
        <f t="shared" si="3"/>
        <v>0</v>
      </c>
      <c r="AD70" s="32"/>
      <c r="AE70" s="32"/>
    </row>
    <row r="71" spans="1:31" ht="15">
      <c r="A71" s="10">
        <f t="shared" si="0"/>
        <v>0</v>
      </c>
      <c r="B71" s="13"/>
      <c r="C71" s="13"/>
      <c r="D71" s="13"/>
      <c r="E71" s="13"/>
      <c r="F71" s="13"/>
      <c r="G71" s="13"/>
      <c r="H71" s="13"/>
      <c r="I71" s="13"/>
      <c r="J71" s="13"/>
      <c r="K71" s="13"/>
      <c r="L71" s="27"/>
      <c r="M71" s="16"/>
      <c r="N71" s="16"/>
      <c r="O71" s="16"/>
      <c r="P71" s="16"/>
      <c r="Q71" s="16"/>
      <c r="R71" s="16"/>
      <c r="S71" s="17"/>
      <c r="T71" s="17"/>
      <c r="U71" s="17"/>
      <c r="V71" s="17"/>
      <c r="W71" s="17"/>
      <c r="X71" s="17">
        <f t="shared" si="1"/>
        <v>6</v>
      </c>
      <c r="Y71" s="18">
        <f t="shared" si="2"/>
        <v>40691630.550964184</v>
      </c>
      <c r="Z71" s="24"/>
      <c r="AA71" s="20"/>
      <c r="AB71" s="21" t="b">
        <v>1</v>
      </c>
      <c r="AC71" s="22">
        <f t="shared" si="3"/>
        <v>0</v>
      </c>
      <c r="AD71" s="32"/>
      <c r="AE71" s="32"/>
    </row>
    <row r="72" spans="1:31" ht="15">
      <c r="A72" s="10">
        <f t="shared" si="0"/>
        <v>0</v>
      </c>
      <c r="B72" s="13"/>
      <c r="C72" s="13"/>
      <c r="D72" s="13"/>
      <c r="E72" s="13"/>
      <c r="F72" s="13"/>
      <c r="G72" s="13"/>
      <c r="H72" s="13"/>
      <c r="I72" s="13"/>
      <c r="J72" s="13"/>
      <c r="K72" s="13"/>
      <c r="L72" s="27"/>
      <c r="M72" s="16"/>
      <c r="N72" s="16"/>
      <c r="O72" s="16"/>
      <c r="P72" s="16"/>
      <c r="Q72" s="16"/>
      <c r="R72" s="16"/>
      <c r="S72" s="17"/>
      <c r="T72" s="17"/>
      <c r="U72" s="17"/>
      <c r="V72" s="17"/>
      <c r="W72" s="17"/>
      <c r="X72" s="17">
        <f t="shared" si="1"/>
        <v>6</v>
      </c>
      <c r="Y72" s="18">
        <f t="shared" si="2"/>
        <v>40691630.550964184</v>
      </c>
      <c r="Z72" s="24"/>
      <c r="AA72" s="20"/>
      <c r="AB72" s="21" t="b">
        <v>1</v>
      </c>
      <c r="AC72" s="22">
        <f t="shared" si="3"/>
        <v>0</v>
      </c>
      <c r="AD72" s="32"/>
      <c r="AE72" s="32"/>
    </row>
    <row r="73" spans="1:31" ht="15">
      <c r="A73" s="10">
        <f t="shared" si="0"/>
        <v>0</v>
      </c>
      <c r="B73" s="13"/>
      <c r="C73" s="13"/>
      <c r="D73" s="13"/>
      <c r="E73" s="13"/>
      <c r="F73" s="13"/>
      <c r="G73" s="13"/>
      <c r="H73" s="13"/>
      <c r="I73" s="13"/>
      <c r="J73" s="13"/>
      <c r="K73" s="13"/>
      <c r="L73" s="27"/>
      <c r="M73" s="16"/>
      <c r="N73" s="16"/>
      <c r="O73" s="16"/>
      <c r="P73" s="16"/>
      <c r="Q73" s="16"/>
      <c r="R73" s="16"/>
      <c r="S73" s="17"/>
      <c r="T73" s="17"/>
      <c r="U73" s="17"/>
      <c r="V73" s="17"/>
      <c r="W73" s="17"/>
      <c r="X73" s="17">
        <f t="shared" si="1"/>
        <v>6</v>
      </c>
      <c r="Y73" s="18">
        <f t="shared" si="2"/>
        <v>40691630.550964184</v>
      </c>
      <c r="Z73" s="24"/>
      <c r="AA73" s="20"/>
      <c r="AB73" s="21" t="b">
        <v>1</v>
      </c>
      <c r="AC73" s="22">
        <f t="shared" si="3"/>
        <v>0</v>
      </c>
      <c r="AD73" s="32"/>
      <c r="AE73" s="32"/>
    </row>
    <row r="74" spans="1:31" ht="15">
      <c r="A74" s="10">
        <f t="shared" si="0"/>
        <v>0</v>
      </c>
      <c r="B74" s="13"/>
      <c r="C74" s="13"/>
      <c r="D74" s="13"/>
      <c r="E74" s="13"/>
      <c r="F74" s="13"/>
      <c r="G74" s="13"/>
      <c r="H74" s="13"/>
      <c r="I74" s="13"/>
      <c r="J74" s="13"/>
      <c r="K74" s="13"/>
      <c r="L74" s="27"/>
      <c r="M74" s="27"/>
      <c r="N74" s="16"/>
      <c r="O74" s="16"/>
      <c r="P74" s="16"/>
      <c r="Q74" s="16"/>
      <c r="R74" s="16"/>
      <c r="S74" s="17"/>
      <c r="T74" s="17"/>
      <c r="U74" s="17"/>
      <c r="V74" s="17"/>
      <c r="W74" s="17"/>
      <c r="X74" s="17">
        <f t="shared" si="1"/>
        <v>6</v>
      </c>
      <c r="Y74" s="18">
        <f t="shared" si="2"/>
        <v>40691630.550964184</v>
      </c>
      <c r="Z74" s="24"/>
      <c r="AA74" s="20"/>
      <c r="AB74" s="21" t="b">
        <v>1</v>
      </c>
      <c r="AC74" s="22">
        <f t="shared" si="3"/>
        <v>0</v>
      </c>
      <c r="AD74" s="32"/>
      <c r="AE74" s="32"/>
    </row>
    <row r="75" spans="1:31" ht="15">
      <c r="A75" s="10">
        <f t="shared" si="0"/>
        <v>0</v>
      </c>
      <c r="B75" s="13"/>
      <c r="C75" s="13"/>
      <c r="D75" s="13"/>
      <c r="E75" s="13"/>
      <c r="F75" s="13"/>
      <c r="G75" s="13"/>
      <c r="H75" s="13"/>
      <c r="I75" s="13"/>
      <c r="J75" s="13"/>
      <c r="K75" s="13"/>
      <c r="L75" s="27"/>
      <c r="M75" s="16"/>
      <c r="N75" s="16"/>
      <c r="O75" s="16"/>
      <c r="P75" s="16"/>
      <c r="Q75" s="16"/>
      <c r="R75" s="16"/>
      <c r="S75" s="17"/>
      <c r="T75" s="17"/>
      <c r="U75" s="17"/>
      <c r="V75" s="17"/>
      <c r="W75" s="17"/>
      <c r="X75" s="17">
        <f t="shared" si="1"/>
        <v>6</v>
      </c>
      <c r="Y75" s="18">
        <f t="shared" si="2"/>
        <v>40691630.550964184</v>
      </c>
      <c r="Z75" s="24"/>
      <c r="AA75" s="20"/>
      <c r="AB75" s="21" t="b">
        <v>1</v>
      </c>
      <c r="AC75" s="22">
        <f t="shared" si="3"/>
        <v>0</v>
      </c>
      <c r="AD75" s="28"/>
      <c r="AE75" s="28"/>
    </row>
    <row r="76" spans="1:31" ht="15">
      <c r="A76" s="10">
        <f t="shared" si="0"/>
        <v>0</v>
      </c>
      <c r="B76" s="13"/>
      <c r="C76" s="13"/>
      <c r="D76" s="13"/>
      <c r="E76" s="13"/>
      <c r="F76" s="13"/>
      <c r="G76" s="13"/>
      <c r="H76" s="13"/>
      <c r="I76" s="13"/>
      <c r="J76" s="13"/>
      <c r="K76" s="13"/>
      <c r="L76" s="27"/>
      <c r="M76" s="16"/>
      <c r="N76" s="16"/>
      <c r="O76" s="16"/>
      <c r="P76" s="16"/>
      <c r="Q76" s="16"/>
      <c r="R76" s="16"/>
      <c r="S76" s="17"/>
      <c r="T76" s="17"/>
      <c r="U76" s="17"/>
      <c r="V76" s="17"/>
      <c r="W76" s="17"/>
      <c r="X76" s="17">
        <f t="shared" si="1"/>
        <v>6</v>
      </c>
      <c r="Y76" s="18">
        <f t="shared" si="2"/>
        <v>40691630.550964184</v>
      </c>
      <c r="Z76" s="24"/>
      <c r="AA76" s="20"/>
      <c r="AB76" s="21" t="b">
        <v>1</v>
      </c>
      <c r="AC76" s="22">
        <f t="shared" si="3"/>
        <v>0</v>
      </c>
      <c r="AD76" s="28"/>
      <c r="AE76" s="28"/>
    </row>
    <row r="77" spans="1:31" ht="15">
      <c r="A77" s="10">
        <f t="shared" si="0"/>
        <v>0</v>
      </c>
      <c r="B77" s="13"/>
      <c r="C77" s="13"/>
      <c r="D77" s="13"/>
      <c r="E77" s="13"/>
      <c r="F77" s="13"/>
      <c r="G77" s="13"/>
      <c r="H77" s="13"/>
      <c r="I77" s="13"/>
      <c r="J77" s="13"/>
      <c r="K77" s="13"/>
      <c r="L77" s="27"/>
      <c r="M77" s="16"/>
      <c r="N77" s="16"/>
      <c r="O77" s="16"/>
      <c r="P77" s="16"/>
      <c r="Q77" s="16"/>
      <c r="R77" s="16"/>
      <c r="S77" s="17"/>
      <c r="T77" s="17"/>
      <c r="U77" s="17"/>
      <c r="V77" s="17"/>
      <c r="W77" s="17"/>
      <c r="X77" s="17">
        <f t="shared" si="1"/>
        <v>6</v>
      </c>
      <c r="Y77" s="18">
        <f t="shared" si="2"/>
        <v>40691630.550964184</v>
      </c>
      <c r="Z77" s="24"/>
      <c r="AA77" s="20"/>
      <c r="AB77" s="21" t="b">
        <v>1</v>
      </c>
      <c r="AC77" s="22">
        <f t="shared" si="3"/>
        <v>0</v>
      </c>
      <c r="AD77" s="28"/>
      <c r="AE77" s="28"/>
    </row>
    <row r="78" spans="1:31" ht="15">
      <c r="A78" s="10">
        <f t="shared" si="0"/>
        <v>0</v>
      </c>
      <c r="B78" s="13"/>
      <c r="C78" s="13"/>
      <c r="D78" s="13"/>
      <c r="E78" s="13"/>
      <c r="F78" s="13"/>
      <c r="G78" s="13"/>
      <c r="H78" s="13"/>
      <c r="I78" s="13"/>
      <c r="J78" s="13"/>
      <c r="K78" s="13"/>
      <c r="L78" s="27"/>
      <c r="M78" s="16"/>
      <c r="N78" s="16"/>
      <c r="O78" s="16"/>
      <c r="P78" s="16"/>
      <c r="Q78" s="16"/>
      <c r="R78" s="16"/>
      <c r="S78" s="17"/>
      <c r="T78" s="17"/>
      <c r="U78" s="17"/>
      <c r="V78" s="17"/>
      <c r="W78" s="17"/>
      <c r="X78" s="17">
        <f t="shared" si="1"/>
        <v>6</v>
      </c>
      <c r="Y78" s="18">
        <f t="shared" si="2"/>
        <v>40691630.550964184</v>
      </c>
      <c r="Z78" s="24"/>
      <c r="AA78" s="20"/>
      <c r="AB78" s="21" t="b">
        <v>1</v>
      </c>
      <c r="AC78" s="22">
        <f t="shared" si="3"/>
        <v>0</v>
      </c>
      <c r="AD78" s="28"/>
      <c r="AE78" s="28"/>
    </row>
    <row r="79" spans="1:31" ht="15">
      <c r="A79" s="10">
        <f t="shared" si="0"/>
        <v>0</v>
      </c>
      <c r="B79" s="13"/>
      <c r="C79" s="13"/>
      <c r="D79" s="13"/>
      <c r="E79" s="13"/>
      <c r="F79" s="13"/>
      <c r="G79" s="13"/>
      <c r="H79" s="13"/>
      <c r="I79" s="13"/>
      <c r="J79" s="13"/>
      <c r="K79" s="13"/>
      <c r="L79" s="27"/>
      <c r="M79" s="16"/>
      <c r="N79" s="16"/>
      <c r="O79" s="16"/>
      <c r="P79" s="16"/>
      <c r="Q79" s="16"/>
      <c r="R79" s="16"/>
      <c r="S79" s="17"/>
      <c r="T79" s="17"/>
      <c r="U79" s="17"/>
      <c r="V79" s="17"/>
      <c r="W79" s="17"/>
      <c r="X79" s="17">
        <f t="shared" si="1"/>
        <v>6</v>
      </c>
      <c r="Y79" s="18">
        <f t="shared" si="2"/>
        <v>40691630.550964184</v>
      </c>
      <c r="Z79" s="24"/>
      <c r="AA79" s="20"/>
      <c r="AB79" s="21" t="b">
        <v>1</v>
      </c>
      <c r="AC79" s="22">
        <f t="shared" si="3"/>
        <v>0</v>
      </c>
      <c r="AD79" s="28"/>
      <c r="AE79" s="28"/>
    </row>
    <row r="80" spans="1:31" ht="15">
      <c r="A80" s="10">
        <f t="shared" si="0"/>
        <v>0</v>
      </c>
      <c r="B80" s="13"/>
      <c r="C80" s="23"/>
      <c r="D80" s="13"/>
      <c r="E80" s="23"/>
      <c r="F80" s="13"/>
      <c r="G80" s="23"/>
      <c r="H80" s="23"/>
      <c r="I80" s="23"/>
      <c r="J80" s="23"/>
      <c r="K80" s="23"/>
      <c r="L80" s="27"/>
      <c r="M80" s="16"/>
      <c r="N80" s="16"/>
      <c r="O80" s="16"/>
      <c r="P80" s="16"/>
      <c r="Q80" s="16"/>
      <c r="R80" s="17"/>
      <c r="S80" s="17"/>
      <c r="T80" s="17"/>
      <c r="U80" s="17"/>
      <c r="V80" s="17"/>
      <c r="W80" s="17"/>
      <c r="X80" s="17">
        <f t="shared" si="1"/>
        <v>6</v>
      </c>
      <c r="Y80" s="18">
        <f t="shared" si="2"/>
        <v>40691630.550964184</v>
      </c>
      <c r="Z80" s="24"/>
      <c r="AA80" s="20"/>
      <c r="AB80" s="21" t="b">
        <v>1</v>
      </c>
      <c r="AC80" s="22">
        <f t="shared" si="3"/>
        <v>0</v>
      </c>
      <c r="AD80" s="23"/>
      <c r="AE80" s="23"/>
    </row>
    <row r="81" spans="1:31" ht="15">
      <c r="A81" s="10">
        <f t="shared" si="0"/>
        <v>0</v>
      </c>
      <c r="B81" s="23"/>
      <c r="C81" s="23"/>
      <c r="D81" s="23"/>
      <c r="E81" s="23"/>
      <c r="F81" s="23"/>
      <c r="G81" s="23"/>
      <c r="H81" s="23"/>
      <c r="I81" s="23"/>
      <c r="J81" s="23"/>
      <c r="K81" s="23"/>
      <c r="L81" s="27"/>
      <c r="M81" s="16"/>
      <c r="N81" s="16"/>
      <c r="O81" s="16"/>
      <c r="P81" s="16"/>
      <c r="Q81" s="16"/>
      <c r="R81" s="17"/>
      <c r="S81" s="17"/>
      <c r="T81" s="17"/>
      <c r="U81" s="17"/>
      <c r="V81" s="17"/>
      <c r="W81" s="17"/>
      <c r="X81" s="17">
        <f t="shared" si="1"/>
        <v>6</v>
      </c>
      <c r="Y81" s="18">
        <f t="shared" si="2"/>
        <v>40691630.550964184</v>
      </c>
      <c r="Z81" s="24"/>
      <c r="AA81" s="20"/>
      <c r="AB81" s="21" t="b">
        <v>1</v>
      </c>
      <c r="AC81" s="22">
        <f t="shared" si="3"/>
        <v>0</v>
      </c>
      <c r="AD81" s="23"/>
      <c r="AE81" s="23"/>
    </row>
    <row r="82" spans="1:31" ht="15">
      <c r="A82" s="10">
        <f t="shared" si="0"/>
        <v>0</v>
      </c>
      <c r="B82" s="23"/>
      <c r="C82" s="23"/>
      <c r="D82" s="23"/>
      <c r="E82" s="23"/>
      <c r="F82" s="23"/>
      <c r="G82" s="23"/>
      <c r="H82" s="23"/>
      <c r="I82" s="23"/>
      <c r="J82" s="23"/>
      <c r="K82" s="23"/>
      <c r="L82" s="27"/>
      <c r="M82" s="16"/>
      <c r="N82" s="16"/>
      <c r="O82" s="16"/>
      <c r="P82" s="16"/>
      <c r="Q82" s="16"/>
      <c r="R82" s="17"/>
      <c r="S82" s="17"/>
      <c r="T82" s="17"/>
      <c r="U82" s="17"/>
      <c r="V82" s="17"/>
      <c r="W82" s="17"/>
      <c r="X82" s="17">
        <f t="shared" si="1"/>
        <v>6</v>
      </c>
      <c r="Y82" s="18">
        <f t="shared" si="2"/>
        <v>40691630.550964184</v>
      </c>
      <c r="Z82" s="24"/>
      <c r="AA82" s="20"/>
      <c r="AB82" s="21" t="b">
        <v>1</v>
      </c>
      <c r="AC82" s="22">
        <f t="shared" si="3"/>
        <v>0</v>
      </c>
      <c r="AD82" s="23"/>
      <c r="AE82" s="23"/>
    </row>
    <row r="83" spans="1:31" ht="15">
      <c r="A83" s="10">
        <f t="shared" si="0"/>
        <v>0</v>
      </c>
      <c r="B83" s="23"/>
      <c r="C83" s="23"/>
      <c r="D83" s="13"/>
      <c r="E83" s="23"/>
      <c r="F83" s="13"/>
      <c r="G83" s="23"/>
      <c r="H83" s="23"/>
      <c r="I83" s="23"/>
      <c r="J83" s="23"/>
      <c r="K83" s="23"/>
      <c r="L83" s="27"/>
      <c r="M83" s="16"/>
      <c r="N83" s="16"/>
      <c r="O83" s="16"/>
      <c r="P83" s="16"/>
      <c r="Q83" s="16"/>
      <c r="R83" s="17"/>
      <c r="S83" s="17"/>
      <c r="T83" s="17"/>
      <c r="U83" s="17"/>
      <c r="V83" s="17"/>
      <c r="W83" s="17"/>
      <c r="X83" s="17">
        <f t="shared" si="1"/>
        <v>6</v>
      </c>
      <c r="Y83" s="18">
        <f t="shared" si="2"/>
        <v>40691630.550964184</v>
      </c>
      <c r="Z83" s="24"/>
      <c r="AA83" s="20"/>
      <c r="AB83" s="21" t="b">
        <v>1</v>
      </c>
      <c r="AC83" s="22">
        <f t="shared" si="3"/>
        <v>0</v>
      </c>
      <c r="AD83" s="23"/>
      <c r="AE83" s="23"/>
    </row>
    <row r="84" spans="1:31" ht="15">
      <c r="A84" s="10">
        <f t="shared" si="0"/>
        <v>0</v>
      </c>
      <c r="B84" s="23"/>
      <c r="C84" s="23"/>
      <c r="D84" s="23"/>
      <c r="E84" s="23"/>
      <c r="F84" s="23"/>
      <c r="G84" s="23"/>
      <c r="H84" s="23"/>
      <c r="I84" s="23"/>
      <c r="J84" s="23"/>
      <c r="K84" s="23"/>
      <c r="L84" s="27"/>
      <c r="M84" s="16"/>
      <c r="N84" s="16"/>
      <c r="O84" s="16"/>
      <c r="P84" s="16"/>
      <c r="Q84" s="16"/>
      <c r="R84" s="17"/>
      <c r="S84" s="17"/>
      <c r="T84" s="17"/>
      <c r="U84" s="17"/>
      <c r="V84" s="17"/>
      <c r="W84" s="17"/>
      <c r="X84" s="17">
        <f t="shared" si="1"/>
        <v>6</v>
      </c>
      <c r="Y84" s="18">
        <f t="shared" si="2"/>
        <v>40691630.550964184</v>
      </c>
      <c r="Z84" s="24"/>
      <c r="AA84" s="20"/>
      <c r="AB84" s="21" t="b">
        <v>1</v>
      </c>
      <c r="AC84" s="22">
        <f t="shared" si="3"/>
        <v>0</v>
      </c>
      <c r="AD84" s="23"/>
      <c r="AE84" s="23"/>
    </row>
    <row r="85" spans="1:31" ht="15">
      <c r="A85" s="10">
        <f t="shared" si="0"/>
        <v>0</v>
      </c>
      <c r="B85" s="13"/>
      <c r="C85" s="13"/>
      <c r="D85" s="13"/>
      <c r="E85" s="13"/>
      <c r="F85" s="13"/>
      <c r="G85" s="13"/>
      <c r="H85" s="13"/>
      <c r="I85" s="13"/>
      <c r="J85" s="13"/>
      <c r="K85" s="13"/>
      <c r="L85" s="27"/>
      <c r="M85" s="16"/>
      <c r="N85" s="16"/>
      <c r="O85" s="16"/>
      <c r="P85" s="16"/>
      <c r="Q85" s="16"/>
      <c r="R85" s="16"/>
      <c r="S85" s="17"/>
      <c r="T85" s="17"/>
      <c r="U85" s="17"/>
      <c r="V85" s="17"/>
      <c r="W85" s="17"/>
      <c r="X85" s="17">
        <f t="shared" si="1"/>
        <v>6</v>
      </c>
      <c r="Y85" s="18">
        <f t="shared" si="2"/>
        <v>40691630.550964184</v>
      </c>
      <c r="Z85" s="24"/>
      <c r="AA85" s="20"/>
      <c r="AB85" s="21" t="b">
        <v>1</v>
      </c>
      <c r="AC85" s="22">
        <f t="shared" si="3"/>
        <v>0</v>
      </c>
      <c r="AD85" s="32"/>
      <c r="AE85" s="32"/>
    </row>
    <row r="86" spans="1:31" ht="15">
      <c r="A86" s="10">
        <f t="shared" si="0"/>
        <v>0</v>
      </c>
      <c r="B86" s="13"/>
      <c r="C86" s="13"/>
      <c r="D86" s="13"/>
      <c r="E86" s="13"/>
      <c r="F86" s="13"/>
      <c r="G86" s="13"/>
      <c r="H86" s="13"/>
      <c r="I86" s="13"/>
      <c r="J86" s="13"/>
      <c r="K86" s="13"/>
      <c r="L86" s="27"/>
      <c r="M86" s="16"/>
      <c r="N86" s="16"/>
      <c r="O86" s="16"/>
      <c r="P86" s="16"/>
      <c r="Q86" s="16"/>
      <c r="R86" s="16"/>
      <c r="S86" s="17"/>
      <c r="T86" s="17"/>
      <c r="U86" s="17"/>
      <c r="V86" s="17"/>
      <c r="W86" s="17"/>
      <c r="X86" s="17">
        <f t="shared" si="1"/>
        <v>6</v>
      </c>
      <c r="Y86" s="18">
        <f t="shared" si="2"/>
        <v>40691630.550964184</v>
      </c>
      <c r="Z86" s="19"/>
      <c r="AA86" s="30"/>
      <c r="AB86" s="21" t="b">
        <v>1</v>
      </c>
      <c r="AC86" s="22">
        <f t="shared" si="3"/>
        <v>0</v>
      </c>
      <c r="AD86" s="32"/>
      <c r="AE86" s="32"/>
    </row>
    <row r="87" spans="1:31" ht="15">
      <c r="A87" s="10">
        <f t="shared" si="0"/>
        <v>0</v>
      </c>
      <c r="B87" s="13"/>
      <c r="C87" s="13"/>
      <c r="D87" s="13"/>
      <c r="E87" s="13"/>
      <c r="F87" s="13"/>
      <c r="G87" s="13"/>
      <c r="H87" s="13"/>
      <c r="I87" s="13"/>
      <c r="J87" s="13"/>
      <c r="K87" s="13"/>
      <c r="L87" s="27"/>
      <c r="M87" s="16"/>
      <c r="N87" s="16"/>
      <c r="O87" s="16"/>
      <c r="P87" s="16"/>
      <c r="Q87" s="16"/>
      <c r="R87" s="16"/>
      <c r="S87" s="17"/>
      <c r="T87" s="17"/>
      <c r="U87" s="17"/>
      <c r="V87" s="17"/>
      <c r="W87" s="17"/>
      <c r="X87" s="17">
        <f t="shared" si="1"/>
        <v>6</v>
      </c>
      <c r="Y87" s="18">
        <f t="shared" si="2"/>
        <v>40691630.550964184</v>
      </c>
      <c r="Z87" s="19"/>
      <c r="AA87" s="30"/>
      <c r="AB87" s="21" t="b">
        <v>1</v>
      </c>
      <c r="AC87" s="22">
        <f t="shared" si="3"/>
        <v>0</v>
      </c>
      <c r="AD87" s="32"/>
      <c r="AE87" s="32"/>
    </row>
    <row r="88" spans="1:31" ht="15">
      <c r="A88" s="10">
        <f t="shared" si="0"/>
        <v>0</v>
      </c>
      <c r="B88" s="13"/>
      <c r="C88" s="13"/>
      <c r="D88" s="13"/>
      <c r="E88" s="13"/>
      <c r="F88" s="13"/>
      <c r="G88" s="13"/>
      <c r="H88" s="13"/>
      <c r="I88" s="13"/>
      <c r="J88" s="13"/>
      <c r="K88" s="13"/>
      <c r="L88" s="27"/>
      <c r="M88" s="16"/>
      <c r="N88" s="16"/>
      <c r="O88" s="16"/>
      <c r="P88" s="16"/>
      <c r="Q88" s="16"/>
      <c r="R88" s="16"/>
      <c r="S88" s="17"/>
      <c r="T88" s="17"/>
      <c r="U88" s="17"/>
      <c r="V88" s="17"/>
      <c r="W88" s="17"/>
      <c r="X88" s="17">
        <f t="shared" si="1"/>
        <v>6</v>
      </c>
      <c r="Y88" s="18">
        <f t="shared" si="2"/>
        <v>40691630.550964184</v>
      </c>
      <c r="Z88" s="19"/>
      <c r="AA88" s="30"/>
      <c r="AB88" s="21" t="b">
        <v>1</v>
      </c>
      <c r="AC88" s="22">
        <f t="shared" si="3"/>
        <v>0</v>
      </c>
      <c r="AD88" s="32"/>
      <c r="AE88" s="32"/>
    </row>
    <row r="89" spans="1:31" ht="15">
      <c r="A89" s="10">
        <f t="shared" si="0"/>
        <v>0</v>
      </c>
      <c r="B89" s="13"/>
      <c r="C89" s="13"/>
      <c r="D89" s="13"/>
      <c r="E89" s="13"/>
      <c r="F89" s="13"/>
      <c r="G89" s="13"/>
      <c r="H89" s="13"/>
      <c r="I89" s="13"/>
      <c r="J89" s="13"/>
      <c r="K89" s="13"/>
      <c r="L89" s="27"/>
      <c r="M89" s="16"/>
      <c r="N89" s="16"/>
      <c r="O89" s="16"/>
      <c r="P89" s="16"/>
      <c r="Q89" s="16"/>
      <c r="R89" s="16"/>
      <c r="S89" s="17"/>
      <c r="T89" s="17"/>
      <c r="U89" s="17"/>
      <c r="V89" s="17"/>
      <c r="W89" s="17"/>
      <c r="X89" s="17">
        <f t="shared" si="1"/>
        <v>6</v>
      </c>
      <c r="Y89" s="18">
        <f t="shared" si="2"/>
        <v>40691630.550964184</v>
      </c>
      <c r="Z89" s="19"/>
      <c r="AA89" s="30"/>
      <c r="AB89" s="21" t="b">
        <v>1</v>
      </c>
      <c r="AC89" s="22">
        <f t="shared" si="3"/>
        <v>0</v>
      </c>
      <c r="AD89" s="32"/>
      <c r="AE89" s="32"/>
    </row>
    <row r="90" spans="1:31" ht="15">
      <c r="A90" s="10">
        <f t="shared" si="0"/>
        <v>0</v>
      </c>
      <c r="B90" s="13"/>
      <c r="C90" s="13"/>
      <c r="D90" s="13"/>
      <c r="E90" s="13"/>
      <c r="F90" s="13"/>
      <c r="G90" s="13"/>
      <c r="H90" s="13"/>
      <c r="I90" s="13"/>
      <c r="J90" s="13"/>
      <c r="K90" s="13"/>
      <c r="L90" s="27"/>
      <c r="M90" s="16"/>
      <c r="N90" s="16"/>
      <c r="O90" s="16"/>
      <c r="P90" s="16"/>
      <c r="Q90" s="16"/>
      <c r="R90" s="16"/>
      <c r="S90" s="17"/>
      <c r="T90" s="17"/>
      <c r="U90" s="17"/>
      <c r="V90" s="17"/>
      <c r="W90" s="17"/>
      <c r="X90" s="17">
        <f t="shared" si="1"/>
        <v>6</v>
      </c>
      <c r="Y90" s="18">
        <f t="shared" si="2"/>
        <v>40691630.550964184</v>
      </c>
      <c r="Z90" s="19"/>
      <c r="AA90" s="30"/>
      <c r="AB90" s="21" t="b">
        <v>1</v>
      </c>
      <c r="AC90" s="22">
        <f t="shared" si="3"/>
        <v>0</v>
      </c>
      <c r="AD90" s="32"/>
      <c r="AE90" s="32"/>
    </row>
    <row r="91" spans="1:31" ht="15">
      <c r="A91" s="10">
        <f t="shared" si="0"/>
        <v>0</v>
      </c>
      <c r="B91" s="13"/>
      <c r="C91" s="13"/>
      <c r="D91" s="13"/>
      <c r="E91" s="13"/>
      <c r="F91" s="13"/>
      <c r="G91" s="13"/>
      <c r="H91" s="13"/>
      <c r="I91" s="13"/>
      <c r="J91" s="13"/>
      <c r="K91" s="13"/>
      <c r="L91" s="27"/>
      <c r="M91" s="16"/>
      <c r="N91" s="16"/>
      <c r="O91" s="16"/>
      <c r="P91" s="16"/>
      <c r="Q91" s="16"/>
      <c r="R91" s="16"/>
      <c r="S91" s="17"/>
      <c r="T91" s="17"/>
      <c r="U91" s="17"/>
      <c r="V91" s="17"/>
      <c r="W91" s="17"/>
      <c r="X91" s="17">
        <f t="shared" si="1"/>
        <v>6</v>
      </c>
      <c r="Y91" s="18">
        <f t="shared" si="2"/>
        <v>40691630.550964184</v>
      </c>
      <c r="Z91" s="19"/>
      <c r="AA91" s="30"/>
      <c r="AB91" s="21" t="b">
        <v>1</v>
      </c>
      <c r="AC91" s="22">
        <f t="shared" si="3"/>
        <v>0</v>
      </c>
      <c r="AD91" s="32"/>
      <c r="AE91" s="32"/>
    </row>
    <row r="92" spans="1:31" ht="15">
      <c r="A92" s="10">
        <f t="shared" si="0"/>
        <v>0</v>
      </c>
      <c r="B92" s="13"/>
      <c r="C92" s="13"/>
      <c r="D92" s="13"/>
      <c r="E92" s="13"/>
      <c r="F92" s="13"/>
      <c r="G92" s="13"/>
      <c r="H92" s="13"/>
      <c r="I92" s="13"/>
      <c r="J92" s="13"/>
      <c r="K92" s="13"/>
      <c r="L92" s="27"/>
      <c r="M92" s="16"/>
      <c r="N92" s="16"/>
      <c r="O92" s="16"/>
      <c r="P92" s="16"/>
      <c r="Q92" s="16"/>
      <c r="R92" s="16"/>
      <c r="S92" s="17"/>
      <c r="T92" s="17"/>
      <c r="U92" s="17"/>
      <c r="V92" s="17"/>
      <c r="W92" s="17"/>
      <c r="X92" s="17">
        <f t="shared" si="1"/>
        <v>6</v>
      </c>
      <c r="Y92" s="18">
        <f t="shared" si="2"/>
        <v>40691630.550964184</v>
      </c>
      <c r="Z92" s="19"/>
      <c r="AA92" s="30"/>
      <c r="AB92" s="21" t="b">
        <v>1</v>
      </c>
      <c r="AC92" s="22">
        <f t="shared" si="3"/>
        <v>0</v>
      </c>
      <c r="AD92" s="32"/>
      <c r="AE92" s="32"/>
    </row>
    <row r="93" spans="1:31" ht="15">
      <c r="A93" s="10">
        <f t="shared" si="0"/>
        <v>0</v>
      </c>
      <c r="B93" s="13"/>
      <c r="C93" s="13"/>
      <c r="D93" s="13"/>
      <c r="E93" s="13"/>
      <c r="F93" s="13"/>
      <c r="G93" s="13"/>
      <c r="H93" s="13"/>
      <c r="I93" s="13"/>
      <c r="J93" s="13"/>
      <c r="K93" s="13"/>
      <c r="L93" s="27"/>
      <c r="M93" s="16"/>
      <c r="N93" s="16"/>
      <c r="O93" s="16"/>
      <c r="P93" s="16"/>
      <c r="Q93" s="16"/>
      <c r="R93" s="16"/>
      <c r="S93" s="17"/>
      <c r="T93" s="17"/>
      <c r="U93" s="17"/>
      <c r="V93" s="17"/>
      <c r="W93" s="17"/>
      <c r="X93" s="17">
        <f>COUNTIF($L$2:L95,"&lt;&gt;"&amp;"")</f>
        <v>6</v>
      </c>
      <c r="Y93" s="18">
        <f t="shared" si="2"/>
        <v>40691630.550964184</v>
      </c>
      <c r="Z93" s="19"/>
      <c r="AA93" s="30"/>
      <c r="AB93" s="21" t="b">
        <v>1</v>
      </c>
      <c r="AC93" s="22">
        <f t="shared" si="3"/>
        <v>0</v>
      </c>
      <c r="AD93" s="32"/>
      <c r="AE93" s="32"/>
    </row>
    <row r="94" spans="1:31" ht="15">
      <c r="A94" s="10">
        <f t="shared" si="0"/>
        <v>0</v>
      </c>
      <c r="B94" s="13"/>
      <c r="C94" s="13"/>
      <c r="D94" s="13"/>
      <c r="E94" s="13"/>
      <c r="F94" s="13"/>
      <c r="G94" s="13"/>
      <c r="H94" s="13"/>
      <c r="I94" s="13"/>
      <c r="J94" s="13"/>
      <c r="K94" s="13"/>
      <c r="L94" s="27"/>
      <c r="M94" s="16"/>
      <c r="N94" s="16"/>
      <c r="O94" s="16"/>
      <c r="P94" s="16"/>
      <c r="Q94" s="16"/>
      <c r="R94" s="16"/>
      <c r="S94" s="17"/>
      <c r="T94" s="17"/>
      <c r="U94" s="17"/>
      <c r="V94" s="17"/>
      <c r="W94" s="17"/>
      <c r="X94" s="17">
        <f t="shared" ref="X94:X101" si="4">COUNTIF($L$2:L94,"&lt;&gt;"&amp;"")</f>
        <v>6</v>
      </c>
      <c r="Y94" s="18">
        <f t="shared" si="2"/>
        <v>40691630.550964184</v>
      </c>
      <c r="Z94" s="19"/>
      <c r="AA94" s="30"/>
      <c r="AB94" s="21" t="b">
        <v>1</v>
      </c>
      <c r="AC94" s="22">
        <f t="shared" si="3"/>
        <v>0</v>
      </c>
      <c r="AD94" s="32"/>
      <c r="AE94" s="32"/>
    </row>
    <row r="95" spans="1:31" ht="15">
      <c r="A95" s="10">
        <f t="shared" si="0"/>
        <v>0</v>
      </c>
      <c r="B95" s="13"/>
      <c r="C95" s="13"/>
      <c r="D95" s="13"/>
      <c r="E95" s="13"/>
      <c r="F95" s="13"/>
      <c r="G95" s="13"/>
      <c r="H95" s="13"/>
      <c r="I95" s="13"/>
      <c r="J95" s="13"/>
      <c r="K95" s="13"/>
      <c r="L95" s="27"/>
      <c r="M95" s="16"/>
      <c r="N95" s="16"/>
      <c r="O95" s="16"/>
      <c r="P95" s="16"/>
      <c r="Q95" s="16"/>
      <c r="R95" s="16"/>
      <c r="S95" s="17"/>
      <c r="T95" s="17"/>
      <c r="U95" s="17"/>
      <c r="V95" s="17"/>
      <c r="W95" s="17"/>
      <c r="X95" s="17">
        <f t="shared" si="4"/>
        <v>6</v>
      </c>
      <c r="Y95" s="18">
        <f t="shared" si="2"/>
        <v>40691630.550964184</v>
      </c>
      <c r="Z95" s="19"/>
      <c r="AA95" s="30"/>
      <c r="AB95" s="21" t="b">
        <v>1</v>
      </c>
      <c r="AC95" s="22">
        <f t="shared" si="3"/>
        <v>0</v>
      </c>
      <c r="AD95" s="32"/>
      <c r="AE95" s="32"/>
    </row>
    <row r="96" spans="1:31" ht="15">
      <c r="A96" s="10">
        <f t="shared" si="0"/>
        <v>0</v>
      </c>
      <c r="B96" s="13"/>
      <c r="C96" s="13"/>
      <c r="D96" s="13"/>
      <c r="E96" s="13"/>
      <c r="F96" s="13"/>
      <c r="G96" s="13"/>
      <c r="H96" s="13"/>
      <c r="I96" s="13"/>
      <c r="J96" s="13"/>
      <c r="K96" s="13"/>
      <c r="L96" s="27"/>
      <c r="M96" s="16"/>
      <c r="N96" s="16"/>
      <c r="O96" s="16"/>
      <c r="P96" s="16"/>
      <c r="Q96" s="16"/>
      <c r="R96" s="16"/>
      <c r="S96" s="17"/>
      <c r="T96" s="17"/>
      <c r="U96" s="17"/>
      <c r="V96" s="17"/>
      <c r="W96" s="17"/>
      <c r="X96" s="17">
        <f t="shared" si="4"/>
        <v>6</v>
      </c>
      <c r="Y96" s="18">
        <f t="shared" si="2"/>
        <v>40691630.550964184</v>
      </c>
      <c r="Z96" s="19"/>
      <c r="AA96" s="30"/>
      <c r="AB96" s="21" t="b">
        <v>1</v>
      </c>
      <c r="AC96" s="22">
        <f t="shared" si="3"/>
        <v>0</v>
      </c>
      <c r="AD96" s="32"/>
      <c r="AE96" s="32"/>
    </row>
    <row r="97" spans="1:31" ht="15">
      <c r="A97" s="10">
        <f t="shared" si="0"/>
        <v>0</v>
      </c>
      <c r="B97" s="13"/>
      <c r="C97" s="13"/>
      <c r="D97" s="13"/>
      <c r="E97" s="13"/>
      <c r="F97" s="13"/>
      <c r="G97" s="13"/>
      <c r="H97" s="13"/>
      <c r="I97" s="13"/>
      <c r="J97" s="13"/>
      <c r="K97" s="13"/>
      <c r="L97" s="27"/>
      <c r="M97" s="16"/>
      <c r="N97" s="16"/>
      <c r="O97" s="16"/>
      <c r="P97" s="16"/>
      <c r="Q97" s="16"/>
      <c r="R97" s="16"/>
      <c r="S97" s="17"/>
      <c r="T97" s="17"/>
      <c r="U97" s="17"/>
      <c r="V97" s="17"/>
      <c r="W97" s="17"/>
      <c r="X97" s="17">
        <f t="shared" si="4"/>
        <v>6</v>
      </c>
      <c r="Y97" s="18">
        <f t="shared" si="2"/>
        <v>40691630.550964184</v>
      </c>
      <c r="Z97" s="19"/>
      <c r="AA97" s="30"/>
      <c r="AB97" s="21" t="b">
        <v>1</v>
      </c>
      <c r="AC97" s="22">
        <f t="shared" si="3"/>
        <v>0</v>
      </c>
      <c r="AD97" s="32"/>
      <c r="AE97" s="32"/>
    </row>
    <row r="98" spans="1:31" ht="15">
      <c r="A98" s="10">
        <f t="shared" si="0"/>
        <v>0</v>
      </c>
      <c r="B98" s="13"/>
      <c r="C98" s="13"/>
      <c r="D98" s="13"/>
      <c r="E98" s="13"/>
      <c r="F98" s="13"/>
      <c r="G98" s="13"/>
      <c r="H98" s="13"/>
      <c r="I98" s="13"/>
      <c r="J98" s="13"/>
      <c r="K98" s="13"/>
      <c r="L98" s="27"/>
      <c r="M98" s="16"/>
      <c r="N98" s="16"/>
      <c r="O98" s="16"/>
      <c r="P98" s="16"/>
      <c r="Q98" s="16"/>
      <c r="R98" s="16"/>
      <c r="S98" s="17"/>
      <c r="T98" s="17"/>
      <c r="U98" s="17"/>
      <c r="V98" s="17"/>
      <c r="W98" s="17"/>
      <c r="X98" s="17">
        <f t="shared" si="4"/>
        <v>6</v>
      </c>
      <c r="Y98" s="18">
        <f t="shared" si="2"/>
        <v>40691630.550964184</v>
      </c>
      <c r="Z98" s="19"/>
      <c r="AA98" s="30"/>
      <c r="AB98" s="21" t="b">
        <v>1</v>
      </c>
      <c r="AC98" s="22">
        <f t="shared" si="3"/>
        <v>0</v>
      </c>
      <c r="AD98" s="32"/>
      <c r="AE98" s="32"/>
    </row>
    <row r="99" spans="1:31" ht="15">
      <c r="A99" s="10">
        <f t="shared" si="0"/>
        <v>0</v>
      </c>
      <c r="B99" s="13"/>
      <c r="C99" s="13"/>
      <c r="D99" s="13"/>
      <c r="E99" s="13"/>
      <c r="F99" s="13"/>
      <c r="G99" s="13"/>
      <c r="H99" s="13"/>
      <c r="I99" s="13"/>
      <c r="J99" s="13"/>
      <c r="K99" s="13"/>
      <c r="L99" s="27"/>
      <c r="M99" s="16"/>
      <c r="N99" s="16"/>
      <c r="O99" s="16"/>
      <c r="P99" s="16"/>
      <c r="Q99" s="16"/>
      <c r="R99" s="16"/>
      <c r="S99" s="17"/>
      <c r="T99" s="17"/>
      <c r="U99" s="17"/>
      <c r="V99" s="17"/>
      <c r="W99" s="17"/>
      <c r="X99" s="17">
        <f t="shared" si="4"/>
        <v>6</v>
      </c>
      <c r="Y99" s="18">
        <f t="shared" si="2"/>
        <v>40691630.550964184</v>
      </c>
      <c r="Z99" s="19"/>
      <c r="AA99" s="30"/>
      <c r="AB99" s="21" t="b">
        <v>1</v>
      </c>
      <c r="AC99" s="22">
        <f t="shared" si="3"/>
        <v>0</v>
      </c>
      <c r="AD99" s="32"/>
      <c r="AE99" s="32"/>
    </row>
    <row r="100" spans="1:31" ht="15">
      <c r="A100" s="10">
        <f t="shared" si="0"/>
        <v>0</v>
      </c>
      <c r="B100" s="13"/>
      <c r="C100" s="13"/>
      <c r="D100" s="13"/>
      <c r="E100" s="13"/>
      <c r="F100" s="13"/>
      <c r="G100" s="13"/>
      <c r="H100" s="13"/>
      <c r="I100" s="13"/>
      <c r="J100" s="13"/>
      <c r="K100" s="13"/>
      <c r="L100" s="27"/>
      <c r="M100" s="16"/>
      <c r="N100" s="16"/>
      <c r="O100" s="16"/>
      <c r="P100" s="16"/>
      <c r="Q100" s="16"/>
      <c r="R100" s="16"/>
      <c r="S100" s="17"/>
      <c r="T100" s="17"/>
      <c r="U100" s="17"/>
      <c r="V100" s="17"/>
      <c r="W100" s="17"/>
      <c r="X100" s="17">
        <f t="shared" si="4"/>
        <v>6</v>
      </c>
      <c r="Y100" s="18">
        <f t="shared" si="2"/>
        <v>40691630.550964184</v>
      </c>
      <c r="Z100" s="19"/>
      <c r="AA100" s="30"/>
      <c r="AB100" s="21" t="b">
        <v>1</v>
      </c>
      <c r="AC100" s="22">
        <f t="shared" si="3"/>
        <v>0</v>
      </c>
      <c r="AD100" s="32"/>
      <c r="AE100" s="32"/>
    </row>
    <row r="101" spans="1:31" ht="15">
      <c r="A101" s="10">
        <f t="shared" si="0"/>
        <v>0</v>
      </c>
      <c r="B101" s="13"/>
      <c r="C101" s="13"/>
      <c r="D101" s="13"/>
      <c r="E101" s="13"/>
      <c r="F101" s="13"/>
      <c r="G101" s="13"/>
      <c r="H101" s="13"/>
      <c r="I101" s="13"/>
      <c r="J101" s="13"/>
      <c r="K101" s="13"/>
      <c r="L101" s="27"/>
      <c r="M101" s="16"/>
      <c r="N101" s="16"/>
      <c r="O101" s="16"/>
      <c r="P101" s="16"/>
      <c r="Q101" s="16"/>
      <c r="R101" s="16"/>
      <c r="S101" s="17"/>
      <c r="T101" s="17"/>
      <c r="U101" s="17"/>
      <c r="V101" s="17"/>
      <c r="W101" s="17"/>
      <c r="X101" s="17">
        <f t="shared" si="4"/>
        <v>6</v>
      </c>
      <c r="Y101" s="18">
        <f t="shared" si="2"/>
        <v>40691630.550964184</v>
      </c>
      <c r="Z101" s="19"/>
      <c r="AA101" s="30"/>
      <c r="AB101" s="21" t="b">
        <v>1</v>
      </c>
      <c r="AC101" s="22">
        <f t="shared" si="3"/>
        <v>0</v>
      </c>
      <c r="AD101" s="23"/>
      <c r="AE101" s="23"/>
    </row>
    <row r="102" spans="1:31" ht="15">
      <c r="A102" s="10">
        <f t="shared" si="0"/>
        <v>0</v>
      </c>
      <c r="B102" s="13"/>
      <c r="C102" s="13"/>
      <c r="D102" s="13"/>
      <c r="E102" s="13"/>
      <c r="F102" s="13"/>
      <c r="G102" s="13"/>
      <c r="H102" s="13"/>
      <c r="I102" s="13"/>
      <c r="J102" s="13"/>
      <c r="K102" s="13"/>
      <c r="L102" s="27"/>
      <c r="M102" s="16"/>
      <c r="N102" s="16"/>
      <c r="O102" s="16"/>
      <c r="P102" s="16"/>
      <c r="Q102" s="16"/>
      <c r="R102" s="16"/>
      <c r="S102" s="17"/>
      <c r="T102" s="17"/>
      <c r="U102" s="17"/>
      <c r="V102" s="17"/>
      <c r="W102" s="17"/>
      <c r="X102" s="17">
        <f>COUNTIF($L$2:L106,"&lt;&gt;"&amp;"")</f>
        <v>6</v>
      </c>
      <c r="Y102" s="18">
        <f t="shared" si="2"/>
        <v>40691630.550964184</v>
      </c>
      <c r="Z102" s="19"/>
      <c r="AA102" s="30"/>
      <c r="AB102" s="21" t="b">
        <v>1</v>
      </c>
      <c r="AC102" s="22">
        <f t="shared" si="3"/>
        <v>0</v>
      </c>
      <c r="AD102" s="23"/>
      <c r="AE102" s="23"/>
    </row>
    <row r="103" spans="1:31" ht="15">
      <c r="A103" s="10">
        <f t="shared" si="0"/>
        <v>0</v>
      </c>
      <c r="B103" s="13"/>
      <c r="C103" s="13"/>
      <c r="D103" s="13"/>
      <c r="E103" s="13"/>
      <c r="F103" s="13"/>
      <c r="G103" s="13"/>
      <c r="H103" s="13"/>
      <c r="I103" s="13"/>
      <c r="J103" s="13"/>
      <c r="K103" s="13"/>
      <c r="L103" s="27"/>
      <c r="M103" s="16"/>
      <c r="N103" s="16"/>
      <c r="O103" s="16"/>
      <c r="P103" s="16"/>
      <c r="Q103" s="16"/>
      <c r="R103" s="16"/>
      <c r="S103" s="17"/>
      <c r="T103" s="17"/>
      <c r="U103" s="17"/>
      <c r="V103" s="17"/>
      <c r="W103" s="17"/>
      <c r="X103" s="17">
        <f t="shared" ref="X103:X119" si="5">COUNTIF($L$2:L103,"&lt;&gt;"&amp;"")</f>
        <v>6</v>
      </c>
      <c r="Y103" s="18">
        <f t="shared" si="2"/>
        <v>40691630.550964184</v>
      </c>
      <c r="Z103" s="24"/>
      <c r="AA103" s="20"/>
      <c r="AB103" s="21" t="b">
        <v>1</v>
      </c>
      <c r="AC103" s="22">
        <f t="shared" si="3"/>
        <v>0</v>
      </c>
      <c r="AD103" s="32"/>
      <c r="AE103" s="32"/>
    </row>
    <row r="104" spans="1:31" ht="15">
      <c r="A104" s="10">
        <f t="shared" si="0"/>
        <v>0</v>
      </c>
      <c r="B104" s="13"/>
      <c r="C104" s="13"/>
      <c r="D104" s="13"/>
      <c r="E104" s="13"/>
      <c r="F104" s="13"/>
      <c r="G104" s="13"/>
      <c r="H104" s="13"/>
      <c r="I104" s="13"/>
      <c r="J104" s="13"/>
      <c r="K104" s="13"/>
      <c r="L104" s="27"/>
      <c r="M104" s="16"/>
      <c r="N104" s="16"/>
      <c r="O104" s="16"/>
      <c r="P104" s="16"/>
      <c r="Q104" s="16"/>
      <c r="R104" s="16"/>
      <c r="S104" s="17"/>
      <c r="T104" s="17"/>
      <c r="U104" s="17"/>
      <c r="V104" s="17"/>
      <c r="W104" s="17"/>
      <c r="X104" s="17">
        <f t="shared" si="5"/>
        <v>6</v>
      </c>
      <c r="Y104" s="18">
        <f t="shared" si="2"/>
        <v>40691630.550964184</v>
      </c>
      <c r="Z104" s="24"/>
      <c r="AA104" s="20"/>
      <c r="AB104" s="21" t="b">
        <v>1</v>
      </c>
      <c r="AC104" s="22">
        <f t="shared" si="3"/>
        <v>0</v>
      </c>
      <c r="AD104" s="32"/>
      <c r="AE104" s="32"/>
    </row>
    <row r="105" spans="1:31" ht="15">
      <c r="A105" s="10">
        <f t="shared" si="0"/>
        <v>0</v>
      </c>
      <c r="B105" s="13"/>
      <c r="C105" s="13"/>
      <c r="D105" s="13"/>
      <c r="E105" s="13"/>
      <c r="F105" s="13"/>
      <c r="G105" s="13"/>
      <c r="H105" s="13"/>
      <c r="I105" s="13"/>
      <c r="J105" s="13"/>
      <c r="K105" s="13"/>
      <c r="L105" s="27"/>
      <c r="M105" s="16"/>
      <c r="N105" s="16"/>
      <c r="O105" s="16"/>
      <c r="P105" s="16"/>
      <c r="Q105" s="16"/>
      <c r="R105" s="16"/>
      <c r="S105" s="17"/>
      <c r="T105" s="17"/>
      <c r="U105" s="17"/>
      <c r="V105" s="17"/>
      <c r="W105" s="17"/>
      <c r="X105" s="17">
        <f t="shared" si="5"/>
        <v>6</v>
      </c>
      <c r="Y105" s="18">
        <f t="shared" si="2"/>
        <v>40691630.550964184</v>
      </c>
      <c r="Z105" s="24"/>
      <c r="AA105" s="20"/>
      <c r="AB105" s="21" t="b">
        <v>1</v>
      </c>
      <c r="AC105" s="22">
        <f t="shared" si="3"/>
        <v>0</v>
      </c>
      <c r="AD105" s="32"/>
      <c r="AE105" s="32"/>
    </row>
    <row r="106" spans="1:31" ht="15">
      <c r="A106" s="10">
        <f t="shared" si="0"/>
        <v>0</v>
      </c>
      <c r="B106" s="13"/>
      <c r="C106" s="13"/>
      <c r="D106" s="13"/>
      <c r="E106" s="13"/>
      <c r="F106" s="13"/>
      <c r="G106" s="13"/>
      <c r="H106" s="13"/>
      <c r="I106" s="13"/>
      <c r="J106" s="13"/>
      <c r="K106" s="13"/>
      <c r="L106" s="27"/>
      <c r="M106" s="16"/>
      <c r="N106" s="16"/>
      <c r="O106" s="16"/>
      <c r="P106" s="16"/>
      <c r="Q106" s="16"/>
      <c r="R106" s="16"/>
      <c r="S106" s="17"/>
      <c r="T106" s="17"/>
      <c r="U106" s="17"/>
      <c r="V106" s="17"/>
      <c r="W106" s="17"/>
      <c r="X106" s="17">
        <f t="shared" si="5"/>
        <v>6</v>
      </c>
      <c r="Y106" s="18">
        <f t="shared" si="2"/>
        <v>40691630.550964184</v>
      </c>
      <c r="Z106" s="24"/>
      <c r="AA106" s="20"/>
      <c r="AB106" s="21" t="b">
        <v>1</v>
      </c>
      <c r="AC106" s="22">
        <f t="shared" si="3"/>
        <v>0</v>
      </c>
      <c r="AD106" s="32"/>
      <c r="AE106" s="32"/>
    </row>
    <row r="107" spans="1:31" ht="15">
      <c r="A107" s="10">
        <f t="shared" si="0"/>
        <v>0</v>
      </c>
      <c r="B107" s="13"/>
      <c r="C107" s="13"/>
      <c r="D107" s="13"/>
      <c r="E107" s="13"/>
      <c r="F107" s="13"/>
      <c r="G107" s="13"/>
      <c r="H107" s="13"/>
      <c r="I107" s="13"/>
      <c r="J107" s="13"/>
      <c r="K107" s="13"/>
      <c r="L107" s="27"/>
      <c r="M107" s="16"/>
      <c r="N107" s="16"/>
      <c r="O107" s="16"/>
      <c r="P107" s="16"/>
      <c r="Q107" s="16"/>
      <c r="R107" s="16"/>
      <c r="S107" s="17"/>
      <c r="T107" s="17"/>
      <c r="U107" s="17"/>
      <c r="V107" s="17"/>
      <c r="W107" s="17"/>
      <c r="X107" s="17">
        <f t="shared" si="5"/>
        <v>6</v>
      </c>
      <c r="Y107" s="18">
        <f t="shared" si="2"/>
        <v>40691630.550964184</v>
      </c>
      <c r="Z107" s="24"/>
      <c r="AA107" s="20"/>
      <c r="AB107" s="21" t="b">
        <v>1</v>
      </c>
      <c r="AC107" s="22">
        <f t="shared" si="3"/>
        <v>0</v>
      </c>
      <c r="AD107" s="23"/>
      <c r="AE107" s="23"/>
    </row>
    <row r="108" spans="1:31" ht="15">
      <c r="A108" s="10">
        <f t="shared" si="0"/>
        <v>0</v>
      </c>
      <c r="B108" s="13"/>
      <c r="C108" s="13"/>
      <c r="D108" s="13"/>
      <c r="E108" s="13"/>
      <c r="F108" s="13"/>
      <c r="G108" s="13"/>
      <c r="H108" s="13"/>
      <c r="I108" s="13"/>
      <c r="J108" s="13"/>
      <c r="K108" s="13"/>
      <c r="L108" s="27"/>
      <c r="M108" s="16"/>
      <c r="N108" s="16"/>
      <c r="O108" s="16"/>
      <c r="P108" s="16"/>
      <c r="Q108" s="16"/>
      <c r="R108" s="16"/>
      <c r="S108" s="17"/>
      <c r="T108" s="17"/>
      <c r="U108" s="17"/>
      <c r="V108" s="17"/>
      <c r="W108" s="17"/>
      <c r="X108" s="17">
        <f t="shared" si="5"/>
        <v>6</v>
      </c>
      <c r="Y108" s="18">
        <f t="shared" si="2"/>
        <v>40691630.550964184</v>
      </c>
      <c r="Z108" s="24"/>
      <c r="AA108" s="20"/>
      <c r="AB108" s="21" t="b">
        <v>1</v>
      </c>
      <c r="AC108" s="22">
        <f t="shared" si="3"/>
        <v>0</v>
      </c>
      <c r="AD108" s="23"/>
      <c r="AE108" s="23"/>
    </row>
    <row r="109" spans="1:31" ht="15">
      <c r="A109" s="10">
        <f t="shared" si="0"/>
        <v>0</v>
      </c>
      <c r="B109" s="13"/>
      <c r="C109" s="13"/>
      <c r="D109" s="13"/>
      <c r="E109" s="13"/>
      <c r="F109" s="13"/>
      <c r="G109" s="13"/>
      <c r="H109" s="13"/>
      <c r="I109" s="13"/>
      <c r="J109" s="13"/>
      <c r="K109" s="13"/>
      <c r="L109" s="27"/>
      <c r="M109" s="16"/>
      <c r="N109" s="16"/>
      <c r="O109" s="16"/>
      <c r="P109" s="16"/>
      <c r="Q109" s="16"/>
      <c r="R109" s="16"/>
      <c r="S109" s="17"/>
      <c r="T109" s="17"/>
      <c r="U109" s="17"/>
      <c r="V109" s="17"/>
      <c r="W109" s="17"/>
      <c r="X109" s="17">
        <f t="shared" si="5"/>
        <v>6</v>
      </c>
      <c r="Y109" s="18">
        <f t="shared" si="2"/>
        <v>40691630.550964184</v>
      </c>
      <c r="Z109" s="24"/>
      <c r="AA109" s="20"/>
      <c r="AB109" s="21" t="b">
        <v>1</v>
      </c>
      <c r="AC109" s="22">
        <f t="shared" si="3"/>
        <v>0</v>
      </c>
      <c r="AD109" s="23"/>
      <c r="AE109" s="23"/>
    </row>
    <row r="110" spans="1:31" ht="15">
      <c r="A110" s="10">
        <f t="shared" si="0"/>
        <v>0</v>
      </c>
      <c r="B110" s="13"/>
      <c r="C110" s="13"/>
      <c r="D110" s="13"/>
      <c r="E110" s="13"/>
      <c r="F110" s="13"/>
      <c r="G110" s="13"/>
      <c r="H110" s="13"/>
      <c r="I110" s="13"/>
      <c r="J110" s="13"/>
      <c r="K110" s="13"/>
      <c r="L110" s="27"/>
      <c r="M110" s="16"/>
      <c r="N110" s="16"/>
      <c r="O110" s="16"/>
      <c r="P110" s="16"/>
      <c r="Q110" s="16"/>
      <c r="R110" s="16"/>
      <c r="S110" s="17"/>
      <c r="T110" s="17"/>
      <c r="U110" s="17"/>
      <c r="V110" s="17"/>
      <c r="W110" s="17"/>
      <c r="X110" s="17">
        <f t="shared" si="5"/>
        <v>6</v>
      </c>
      <c r="Y110" s="18">
        <f t="shared" si="2"/>
        <v>40691630.550964184</v>
      </c>
      <c r="Z110" s="24"/>
      <c r="AA110" s="20"/>
      <c r="AB110" s="21" t="b">
        <v>1</v>
      </c>
      <c r="AC110" s="22">
        <f t="shared" si="3"/>
        <v>0</v>
      </c>
      <c r="AD110" s="23"/>
      <c r="AE110" s="23"/>
    </row>
    <row r="111" spans="1:31" ht="15">
      <c r="A111" s="10">
        <f t="shared" si="0"/>
        <v>0</v>
      </c>
      <c r="B111" s="13"/>
      <c r="C111" s="13"/>
      <c r="D111" s="13"/>
      <c r="E111" s="13"/>
      <c r="F111" s="13"/>
      <c r="G111" s="13"/>
      <c r="H111" s="13"/>
      <c r="I111" s="13"/>
      <c r="J111" s="13"/>
      <c r="K111" s="13"/>
      <c r="L111" s="27"/>
      <c r="M111" s="16"/>
      <c r="N111" s="16"/>
      <c r="O111" s="16"/>
      <c r="P111" s="16"/>
      <c r="Q111" s="16"/>
      <c r="R111" s="17"/>
      <c r="S111" s="17"/>
      <c r="T111" s="17"/>
      <c r="U111" s="17"/>
      <c r="V111" s="17"/>
      <c r="W111" s="17"/>
      <c r="X111" s="17">
        <f t="shared" si="5"/>
        <v>6</v>
      </c>
      <c r="Y111" s="18">
        <f t="shared" si="2"/>
        <v>40691630.550964184</v>
      </c>
      <c r="Z111" s="24"/>
      <c r="AA111" s="20"/>
      <c r="AB111" s="21" t="b">
        <v>1</v>
      </c>
      <c r="AC111" s="22">
        <f t="shared" si="3"/>
        <v>0</v>
      </c>
      <c r="AD111" s="23"/>
      <c r="AE111" s="23"/>
    </row>
    <row r="112" spans="1:31" ht="15">
      <c r="A112" s="10">
        <f t="shared" si="0"/>
        <v>0</v>
      </c>
      <c r="B112" s="23"/>
      <c r="C112" s="23"/>
      <c r="D112" s="23"/>
      <c r="E112" s="23"/>
      <c r="F112" s="23"/>
      <c r="G112" s="23"/>
      <c r="H112" s="23"/>
      <c r="I112" s="23"/>
      <c r="J112" s="23"/>
      <c r="K112" s="23"/>
      <c r="L112" s="27"/>
      <c r="M112" s="16"/>
      <c r="N112" s="16"/>
      <c r="O112" s="16"/>
      <c r="P112" s="16"/>
      <c r="Q112" s="16"/>
      <c r="R112" s="17"/>
      <c r="S112" s="17"/>
      <c r="T112" s="17"/>
      <c r="U112" s="17"/>
      <c r="V112" s="17"/>
      <c r="W112" s="17"/>
      <c r="X112" s="17">
        <f t="shared" si="5"/>
        <v>6</v>
      </c>
      <c r="Y112" s="18">
        <f t="shared" si="2"/>
        <v>40691630.550964184</v>
      </c>
      <c r="Z112" s="24"/>
      <c r="AA112" s="20"/>
      <c r="AB112" s="21" t="b">
        <v>1</v>
      </c>
      <c r="AC112" s="22">
        <f t="shared" si="3"/>
        <v>0</v>
      </c>
      <c r="AD112" s="23"/>
      <c r="AE112" s="23"/>
    </row>
    <row r="113" spans="1:31" ht="15">
      <c r="A113" s="10">
        <f t="shared" si="0"/>
        <v>0</v>
      </c>
      <c r="B113" s="23"/>
      <c r="C113" s="23"/>
      <c r="D113" s="23"/>
      <c r="E113" s="23"/>
      <c r="F113" s="23"/>
      <c r="G113" s="23"/>
      <c r="H113" s="23"/>
      <c r="I113" s="23"/>
      <c r="J113" s="23"/>
      <c r="K113" s="23"/>
      <c r="L113" s="27"/>
      <c r="M113" s="16"/>
      <c r="N113" s="16"/>
      <c r="O113" s="16"/>
      <c r="P113" s="16"/>
      <c r="Q113" s="16"/>
      <c r="R113" s="17"/>
      <c r="S113" s="17"/>
      <c r="T113" s="17"/>
      <c r="U113" s="17"/>
      <c r="V113" s="17"/>
      <c r="W113" s="17"/>
      <c r="X113" s="17">
        <f t="shared" si="5"/>
        <v>6</v>
      </c>
      <c r="Y113" s="18">
        <f t="shared" si="2"/>
        <v>40691630.550964184</v>
      </c>
      <c r="Z113" s="24"/>
      <c r="AA113" s="20"/>
      <c r="AB113" s="21" t="b">
        <v>1</v>
      </c>
      <c r="AC113" s="22">
        <f t="shared" si="3"/>
        <v>0</v>
      </c>
      <c r="AD113" s="23"/>
      <c r="AE113" s="23"/>
    </row>
    <row r="114" spans="1:31" ht="15">
      <c r="A114" s="10">
        <f t="shared" si="0"/>
        <v>0</v>
      </c>
      <c r="B114" s="13"/>
      <c r="C114" s="13"/>
      <c r="D114" s="13"/>
      <c r="E114" s="13"/>
      <c r="F114" s="13"/>
      <c r="G114" s="13"/>
      <c r="H114" s="13"/>
      <c r="I114" s="13"/>
      <c r="J114" s="13"/>
      <c r="K114" s="13"/>
      <c r="L114" s="27"/>
      <c r="M114" s="16"/>
      <c r="N114" s="16"/>
      <c r="O114" s="16"/>
      <c r="P114" s="16"/>
      <c r="Q114" s="16"/>
      <c r="R114" s="17"/>
      <c r="S114" s="17"/>
      <c r="T114" s="17"/>
      <c r="U114" s="17"/>
      <c r="V114" s="17"/>
      <c r="W114" s="17"/>
      <c r="X114" s="17">
        <f t="shared" si="5"/>
        <v>6</v>
      </c>
      <c r="Y114" s="18">
        <f t="shared" si="2"/>
        <v>40691630.550964184</v>
      </c>
      <c r="Z114" s="24"/>
      <c r="AA114" s="20"/>
      <c r="AB114" s="21" t="b">
        <v>1</v>
      </c>
      <c r="AC114" s="22">
        <f t="shared" si="3"/>
        <v>0</v>
      </c>
      <c r="AD114" s="23"/>
      <c r="AE114" s="23"/>
    </row>
    <row r="115" spans="1:31" ht="15">
      <c r="A115" s="10">
        <f t="shared" si="0"/>
        <v>0</v>
      </c>
      <c r="B115" s="23"/>
      <c r="C115" s="23"/>
      <c r="D115" s="23"/>
      <c r="E115" s="23"/>
      <c r="F115" s="23"/>
      <c r="G115" s="23"/>
      <c r="H115" s="23"/>
      <c r="I115" s="23"/>
      <c r="J115" s="23"/>
      <c r="K115" s="23"/>
      <c r="L115" s="27"/>
      <c r="M115" s="16"/>
      <c r="N115" s="16"/>
      <c r="O115" s="16"/>
      <c r="P115" s="16"/>
      <c r="Q115" s="16"/>
      <c r="R115" s="17"/>
      <c r="S115" s="17"/>
      <c r="T115" s="17"/>
      <c r="U115" s="17"/>
      <c r="V115" s="17"/>
      <c r="W115" s="17"/>
      <c r="X115" s="17">
        <f t="shared" si="5"/>
        <v>6</v>
      </c>
      <c r="Y115" s="18">
        <f t="shared" si="2"/>
        <v>40691630.550964184</v>
      </c>
      <c r="Z115" s="24"/>
      <c r="AA115" s="20"/>
      <c r="AB115" s="21" t="b">
        <v>1</v>
      </c>
      <c r="AC115" s="22">
        <f t="shared" si="3"/>
        <v>0</v>
      </c>
      <c r="AD115" s="23"/>
      <c r="AE115" s="23"/>
    </row>
    <row r="116" spans="1:31" ht="15">
      <c r="A116" s="10">
        <f t="shared" si="0"/>
        <v>0</v>
      </c>
      <c r="B116" s="23"/>
      <c r="C116" s="23"/>
      <c r="D116" s="23"/>
      <c r="E116" s="23"/>
      <c r="F116" s="23"/>
      <c r="G116" s="23"/>
      <c r="H116" s="23"/>
      <c r="I116" s="23"/>
      <c r="J116" s="23"/>
      <c r="K116" s="23"/>
      <c r="L116" s="27"/>
      <c r="M116" s="16"/>
      <c r="N116" s="16"/>
      <c r="O116" s="16"/>
      <c r="P116" s="16"/>
      <c r="Q116" s="16"/>
      <c r="R116" s="17"/>
      <c r="S116" s="17"/>
      <c r="T116" s="17"/>
      <c r="U116" s="17"/>
      <c r="V116" s="17"/>
      <c r="W116" s="17"/>
      <c r="X116" s="17">
        <f t="shared" si="5"/>
        <v>6</v>
      </c>
      <c r="Y116" s="18">
        <f t="shared" si="2"/>
        <v>40691630.550964184</v>
      </c>
      <c r="Z116" s="24"/>
      <c r="AA116" s="20"/>
      <c r="AB116" s="21" t="b">
        <v>1</v>
      </c>
      <c r="AC116" s="22">
        <f t="shared" si="3"/>
        <v>0</v>
      </c>
      <c r="AD116" s="23"/>
      <c r="AE116" s="23"/>
    </row>
    <row r="117" spans="1:31" ht="15">
      <c r="A117" s="10">
        <f t="shared" si="0"/>
        <v>0</v>
      </c>
      <c r="B117" s="23"/>
      <c r="C117" s="23"/>
      <c r="D117" s="23"/>
      <c r="E117" s="23"/>
      <c r="F117" s="23"/>
      <c r="G117" s="23"/>
      <c r="H117" s="23"/>
      <c r="I117" s="23"/>
      <c r="J117" s="23"/>
      <c r="K117" s="23"/>
      <c r="L117" s="27"/>
      <c r="M117" s="16"/>
      <c r="N117" s="16"/>
      <c r="O117" s="16"/>
      <c r="P117" s="16"/>
      <c r="Q117" s="16"/>
      <c r="R117" s="17"/>
      <c r="S117" s="17"/>
      <c r="T117" s="17"/>
      <c r="U117" s="17"/>
      <c r="V117" s="17"/>
      <c r="W117" s="17"/>
      <c r="X117" s="17">
        <f t="shared" si="5"/>
        <v>6</v>
      </c>
      <c r="Y117" s="18">
        <f t="shared" si="2"/>
        <v>40691630.550964184</v>
      </c>
      <c r="Z117" s="24"/>
      <c r="AA117" s="20"/>
      <c r="AB117" s="21" t="b">
        <v>1</v>
      </c>
      <c r="AC117" s="22">
        <f t="shared" si="3"/>
        <v>0</v>
      </c>
      <c r="AD117" s="23"/>
      <c r="AE117" s="23"/>
    </row>
    <row r="118" spans="1:31" ht="15">
      <c r="A118" s="10">
        <f t="shared" si="0"/>
        <v>0</v>
      </c>
      <c r="B118" s="23"/>
      <c r="C118" s="23"/>
      <c r="D118" s="23"/>
      <c r="E118" s="23"/>
      <c r="F118" s="23"/>
      <c r="G118" s="23"/>
      <c r="H118" s="23"/>
      <c r="I118" s="23"/>
      <c r="J118" s="23"/>
      <c r="K118" s="23"/>
      <c r="L118" s="27"/>
      <c r="M118" s="16"/>
      <c r="N118" s="16"/>
      <c r="O118" s="17"/>
      <c r="P118" s="17"/>
      <c r="Q118" s="17"/>
      <c r="R118" s="17"/>
      <c r="S118" s="17"/>
      <c r="T118" s="17"/>
      <c r="U118" s="17"/>
      <c r="V118" s="17"/>
      <c r="W118" s="17"/>
      <c r="X118" s="17">
        <f t="shared" si="5"/>
        <v>6</v>
      </c>
      <c r="Y118" s="18">
        <f t="shared" si="2"/>
        <v>40691630.550964184</v>
      </c>
      <c r="Z118" s="24"/>
      <c r="AA118" s="20"/>
      <c r="AB118" s="21" t="b">
        <v>1</v>
      </c>
      <c r="AC118" s="22">
        <f t="shared" si="3"/>
        <v>0</v>
      </c>
      <c r="AD118" s="23"/>
      <c r="AE118" s="23"/>
    </row>
    <row r="119" spans="1:31" ht="15">
      <c r="A119" s="10">
        <f t="shared" si="0"/>
        <v>0</v>
      </c>
      <c r="B119" s="23"/>
      <c r="C119" s="23"/>
      <c r="D119" s="23"/>
      <c r="E119" s="23"/>
      <c r="F119" s="23"/>
      <c r="G119" s="23"/>
      <c r="H119" s="23"/>
      <c r="I119" s="23"/>
      <c r="J119" s="23"/>
      <c r="K119" s="23"/>
      <c r="L119" s="27"/>
      <c r="M119" s="16"/>
      <c r="N119" s="16"/>
      <c r="O119" s="17"/>
      <c r="P119" s="17"/>
      <c r="Q119" s="17"/>
      <c r="R119" s="17"/>
      <c r="S119" s="17"/>
      <c r="T119" s="17"/>
      <c r="U119" s="17"/>
      <c r="V119" s="17"/>
      <c r="W119" s="17"/>
      <c r="X119" s="17">
        <f t="shared" si="5"/>
        <v>6</v>
      </c>
      <c r="Y119" s="18">
        <f t="shared" si="2"/>
        <v>40691630.550964184</v>
      </c>
      <c r="Z119" s="24"/>
      <c r="AA119" s="20"/>
      <c r="AB119" s="21" t="b">
        <v>1</v>
      </c>
      <c r="AC119" s="22">
        <f t="shared" si="3"/>
        <v>0</v>
      </c>
      <c r="AD119" s="23"/>
      <c r="AE119" s="23"/>
    </row>
    <row r="120" spans="1:31" ht="12.75">
      <c r="A120" s="33"/>
      <c r="B120" s="33"/>
      <c r="C120" s="33"/>
      <c r="D120" s="33"/>
      <c r="E120" s="33"/>
      <c r="F120" s="33"/>
      <c r="G120" s="33"/>
      <c r="H120" s="33"/>
      <c r="I120" s="33"/>
      <c r="J120" s="33"/>
      <c r="K120" s="33"/>
      <c r="L120" s="34"/>
      <c r="M120" s="34"/>
      <c r="N120" s="35"/>
      <c r="O120" s="35" t="s">
        <v>20</v>
      </c>
      <c r="P120" s="34"/>
      <c r="Q120" s="34"/>
      <c r="R120" s="34"/>
      <c r="S120" s="34"/>
      <c r="T120" s="34"/>
      <c r="U120" s="34"/>
      <c r="V120" s="34"/>
      <c r="W120" s="34"/>
      <c r="X120" s="34"/>
      <c r="Y120" s="34"/>
      <c r="Z120" s="34"/>
      <c r="AA120" s="34"/>
      <c r="AB120" s="34"/>
      <c r="AC120" s="34"/>
      <c r="AD120" s="23"/>
      <c r="AE120" s="23"/>
    </row>
    <row r="121" spans="1:31" ht="15">
      <c r="A121" s="36">
        <f>ROW()</f>
        <v>121</v>
      </c>
      <c r="B121" s="23">
        <f t="shared" ref="B121:K121" si="6">SUM(B2:B120)</f>
        <v>18.5</v>
      </c>
      <c r="C121" s="23">
        <f t="shared" si="6"/>
        <v>12</v>
      </c>
      <c r="D121" s="23">
        <f t="shared" si="6"/>
        <v>0</v>
      </c>
      <c r="E121" s="23">
        <f t="shared" si="6"/>
        <v>0</v>
      </c>
      <c r="F121" s="23">
        <f t="shared" si="6"/>
        <v>0</v>
      </c>
      <c r="G121" s="23">
        <f t="shared" si="6"/>
        <v>5.8</v>
      </c>
      <c r="H121" s="23">
        <f t="shared" si="6"/>
        <v>0</v>
      </c>
      <c r="I121" s="23">
        <f t="shared" si="6"/>
        <v>33</v>
      </c>
      <c r="J121" s="23">
        <f t="shared" si="6"/>
        <v>0</v>
      </c>
      <c r="K121" s="23">
        <f t="shared" si="6"/>
        <v>4</v>
      </c>
      <c r="L121" s="27"/>
      <c r="M121" s="16"/>
      <c r="N121" s="16"/>
      <c r="O121" s="17"/>
      <c r="P121" s="23"/>
      <c r="Q121" s="23"/>
      <c r="R121" s="23"/>
      <c r="S121" s="23"/>
      <c r="T121" s="23"/>
      <c r="U121" s="23"/>
      <c r="V121" s="23"/>
      <c r="W121" s="13"/>
      <c r="X121" s="23"/>
      <c r="Y121" s="23"/>
      <c r="Z121" s="23"/>
      <c r="AA121" s="23"/>
      <c r="AB121" s="23"/>
      <c r="AC121" s="37"/>
      <c r="AD121" s="23"/>
      <c r="AE121" s="23"/>
    </row>
    <row r="122" spans="1:31" ht="12.75">
      <c r="A122" s="23"/>
      <c r="B122" s="23"/>
      <c r="C122" s="38"/>
      <c r="D122" s="38"/>
      <c r="E122" s="38"/>
      <c r="F122" s="38"/>
      <c r="G122" s="38"/>
      <c r="H122" s="38"/>
      <c r="I122" s="130" t="s">
        <v>21</v>
      </c>
      <c r="J122" s="117"/>
      <c r="K122" s="117"/>
      <c r="L122" s="117"/>
      <c r="M122" s="131">
        <f>400000+120000</f>
        <v>520000</v>
      </c>
      <c r="N122" s="117"/>
      <c r="O122" s="117"/>
      <c r="P122" s="23"/>
      <c r="Q122" s="23"/>
      <c r="R122" s="23"/>
      <c r="S122" s="38"/>
      <c r="T122" s="38"/>
      <c r="U122" s="38"/>
      <c r="V122" s="23"/>
      <c r="W122" s="23"/>
      <c r="X122" s="23"/>
      <c r="Y122" s="23"/>
      <c r="Z122" s="23"/>
      <c r="AA122" s="23"/>
      <c r="AB122" s="23"/>
      <c r="AC122" s="37"/>
      <c r="AD122" s="23"/>
      <c r="AE122" s="23"/>
    </row>
    <row r="123" spans="1:31" ht="15">
      <c r="A123" s="23"/>
      <c r="B123" s="23"/>
      <c r="C123" s="38"/>
      <c r="D123" s="39" t="s">
        <v>22</v>
      </c>
      <c r="E123" s="40">
        <v>1750905</v>
      </c>
      <c r="F123" s="41" t="s">
        <v>23</v>
      </c>
      <c r="G123" s="42">
        <v>249095</v>
      </c>
      <c r="H123" s="38"/>
      <c r="I123" s="43" t="s">
        <v>24</v>
      </c>
      <c r="J123" s="44">
        <v>0.18</v>
      </c>
      <c r="K123" s="44"/>
      <c r="L123" s="45" t="s">
        <v>25</v>
      </c>
      <c r="M123" s="46">
        <f>2.7/12</f>
        <v>0.22500000000000001</v>
      </c>
      <c r="N123" s="47" t="s">
        <v>26</v>
      </c>
      <c r="O123" s="48">
        <f>40*4.2*((244-2)/260)</f>
        <v>156.36923076923077</v>
      </c>
      <c r="P123" s="38"/>
      <c r="Q123" s="43" t="s">
        <v>27</v>
      </c>
      <c r="R123" s="49"/>
      <c r="S123" s="38"/>
      <c r="T123" s="50">
        <v>8</v>
      </c>
      <c r="U123" s="51" t="s">
        <v>28</v>
      </c>
      <c r="V123" s="52"/>
      <c r="W123" s="23"/>
      <c r="X123" s="23"/>
      <c r="Y123" s="23"/>
      <c r="Z123" s="23"/>
      <c r="AA123" s="23"/>
      <c r="AB123" s="23"/>
      <c r="AC123" s="37"/>
      <c r="AD123" s="23"/>
      <c r="AE123" s="23"/>
    </row>
    <row r="124" spans="1:31" ht="12.75">
      <c r="A124" s="23"/>
      <c r="B124" s="23"/>
      <c r="C124" s="127" t="s">
        <v>29</v>
      </c>
      <c r="D124" s="117"/>
      <c r="E124" s="117"/>
      <c r="F124" s="127" t="s">
        <v>30</v>
      </c>
      <c r="G124" s="117"/>
      <c r="H124" s="117"/>
      <c r="I124" s="127" t="s">
        <v>31</v>
      </c>
      <c r="J124" s="117"/>
      <c r="K124" s="117"/>
      <c r="L124" s="117"/>
      <c r="M124" s="127" t="s">
        <v>32</v>
      </c>
      <c r="N124" s="117"/>
      <c r="O124" s="117"/>
      <c r="P124" s="127" t="s">
        <v>33</v>
      </c>
      <c r="Q124" s="117"/>
      <c r="R124" s="117"/>
      <c r="S124" s="38"/>
      <c r="T124" s="38"/>
      <c r="U124" s="53" t="s">
        <v>26</v>
      </c>
      <c r="V124" s="127" t="s">
        <v>34</v>
      </c>
      <c r="W124" s="117"/>
      <c r="X124" s="117"/>
      <c r="Y124" s="23"/>
      <c r="Z124" s="23"/>
      <c r="AA124" s="23"/>
      <c r="AB124" s="23"/>
      <c r="AC124" s="37"/>
      <c r="AD124" s="23"/>
      <c r="AE124" s="23"/>
    </row>
    <row r="125" spans="1:31" ht="12.75">
      <c r="A125" s="54" t="s">
        <v>35</v>
      </c>
      <c r="B125" s="53" t="str">
        <f>B1</f>
        <v>DB</v>
      </c>
      <c r="C125" s="116">
        <v>6480000</v>
      </c>
      <c r="D125" s="117"/>
      <c r="E125" s="117"/>
      <c r="F125" s="116">
        <v>1080000</v>
      </c>
      <c r="G125" s="117"/>
      <c r="H125" s="117"/>
      <c r="I125" s="116">
        <v>0</v>
      </c>
      <c r="J125" s="117"/>
      <c r="K125" s="117"/>
      <c r="L125" s="117"/>
      <c r="M125" s="116">
        <f t="shared" ref="M125:M134" si="7">C125*(1+$J$123+$M$123)+F125+I125+$M$122+IF(($E$123*2)&gt;=C125,$G$123,0)</f>
        <v>10704400</v>
      </c>
      <c r="N125" s="117"/>
      <c r="O125" s="117"/>
      <c r="P125" s="124">
        <f t="shared" ref="P125:P134" si="8">M125/$O$123*(1+$R$123)</f>
        <v>68455.922865013781</v>
      </c>
      <c r="Q125" s="117"/>
      <c r="R125" s="117"/>
      <c r="S125" s="38"/>
      <c r="T125" s="38"/>
      <c r="U125" s="23">
        <f t="shared" ref="U125:U134" si="9">HLOOKUP(B125,$B$1:$K$121,$A$121,0)*$T$123</f>
        <v>148</v>
      </c>
      <c r="W125" s="55">
        <f t="shared" ref="W125:W134" si="10">P125*U125</f>
        <v>10131476.58402204</v>
      </c>
      <c r="Y125" s="23"/>
      <c r="Z125" s="23"/>
      <c r="AA125" s="23"/>
      <c r="AB125" s="23"/>
      <c r="AC125" s="37"/>
      <c r="AD125" s="23"/>
      <c r="AE125" s="23"/>
    </row>
    <row r="126" spans="1:31" ht="12.75">
      <c r="A126" s="54" t="s">
        <v>36</v>
      </c>
      <c r="B126" s="53" t="str">
        <f>C1</f>
        <v>UX</v>
      </c>
      <c r="C126" s="116">
        <v>3240000</v>
      </c>
      <c r="D126" s="117"/>
      <c r="E126" s="117"/>
      <c r="F126" s="116">
        <v>540000</v>
      </c>
      <c r="G126" s="117"/>
      <c r="H126" s="117"/>
      <c r="I126" s="116">
        <v>0</v>
      </c>
      <c r="J126" s="117"/>
      <c r="K126" s="117"/>
      <c r="L126" s="117"/>
      <c r="M126" s="116">
        <f t="shared" si="7"/>
        <v>5861295</v>
      </c>
      <c r="N126" s="117"/>
      <c r="O126" s="117"/>
      <c r="P126" s="124">
        <f t="shared" si="8"/>
        <v>37483.685064935067</v>
      </c>
      <c r="Q126" s="117"/>
      <c r="R126" s="117"/>
      <c r="S126" s="38"/>
      <c r="T126" s="38"/>
      <c r="U126" s="23">
        <f t="shared" si="9"/>
        <v>96</v>
      </c>
      <c r="W126" s="55">
        <f t="shared" si="10"/>
        <v>3598433.7662337665</v>
      </c>
      <c r="Y126" s="23"/>
      <c r="Z126" s="23"/>
      <c r="AA126" s="23"/>
      <c r="AB126" s="23"/>
      <c r="AC126" s="37"/>
      <c r="AD126" s="23"/>
      <c r="AE126" s="23"/>
    </row>
    <row r="127" spans="1:31" ht="12.75">
      <c r="A127" s="54" t="s">
        <v>37</v>
      </c>
      <c r="B127" s="53" t="str">
        <f>D1</f>
        <v>FM</v>
      </c>
      <c r="C127" s="116">
        <v>3240000</v>
      </c>
      <c r="D127" s="117"/>
      <c r="E127" s="117"/>
      <c r="F127" s="116">
        <v>540000</v>
      </c>
      <c r="G127" s="117"/>
      <c r="H127" s="117"/>
      <c r="I127" s="116">
        <v>0</v>
      </c>
      <c r="J127" s="117"/>
      <c r="K127" s="117"/>
      <c r="L127" s="117"/>
      <c r="M127" s="116">
        <f t="shared" si="7"/>
        <v>5861295</v>
      </c>
      <c r="N127" s="117"/>
      <c r="O127" s="117"/>
      <c r="P127" s="124">
        <f t="shared" si="8"/>
        <v>37483.685064935067</v>
      </c>
      <c r="Q127" s="117"/>
      <c r="R127" s="117"/>
      <c r="S127" s="38"/>
      <c r="T127" s="38"/>
      <c r="U127" s="23">
        <f t="shared" si="9"/>
        <v>0</v>
      </c>
      <c r="W127" s="55">
        <f t="shared" si="10"/>
        <v>0</v>
      </c>
      <c r="Y127" s="23"/>
      <c r="Z127" s="23"/>
      <c r="AA127" s="23"/>
      <c r="AB127" s="23"/>
      <c r="AC127" s="37"/>
      <c r="AD127" s="23"/>
      <c r="AE127" s="23"/>
    </row>
    <row r="128" spans="1:31" ht="12.75">
      <c r="A128" s="54" t="s">
        <v>38</v>
      </c>
      <c r="B128" s="53" t="str">
        <f>E1</f>
        <v>BS</v>
      </c>
      <c r="C128" s="116">
        <v>4320000</v>
      </c>
      <c r="D128" s="117"/>
      <c r="E128" s="117"/>
      <c r="F128" s="116">
        <v>1620000</v>
      </c>
      <c r="G128" s="117"/>
      <c r="H128" s="117"/>
      <c r="I128" s="116">
        <v>0</v>
      </c>
      <c r="J128" s="117"/>
      <c r="K128" s="117"/>
      <c r="L128" s="117"/>
      <c r="M128" s="116">
        <f t="shared" si="7"/>
        <v>8209600</v>
      </c>
      <c r="N128" s="117"/>
      <c r="O128" s="117"/>
      <c r="P128" s="124">
        <f t="shared" si="8"/>
        <v>52501.377410468318</v>
      </c>
      <c r="Q128" s="117"/>
      <c r="R128" s="117"/>
      <c r="S128" s="38"/>
      <c r="T128" s="38"/>
      <c r="U128" s="23">
        <f t="shared" si="9"/>
        <v>0</v>
      </c>
      <c r="W128" s="55">
        <f t="shared" si="10"/>
        <v>0</v>
      </c>
      <c r="Y128" s="23"/>
      <c r="Z128" s="23"/>
      <c r="AA128" s="23"/>
      <c r="AB128" s="23"/>
      <c r="AC128" s="37"/>
      <c r="AD128" s="23"/>
      <c r="AE128" s="23"/>
    </row>
    <row r="129" spans="1:31" ht="12.75">
      <c r="A129" s="54" t="s">
        <v>39</v>
      </c>
      <c r="B129" s="53" t="str">
        <f>F1</f>
        <v>BM</v>
      </c>
      <c r="C129" s="116">
        <v>3780000</v>
      </c>
      <c r="D129" s="117"/>
      <c r="E129" s="117"/>
      <c r="F129" s="116">
        <v>1080000</v>
      </c>
      <c r="G129" s="117"/>
      <c r="H129" s="117"/>
      <c r="I129" s="116">
        <v>0</v>
      </c>
      <c r="J129" s="117"/>
      <c r="K129" s="117"/>
      <c r="L129" s="117"/>
      <c r="M129" s="116">
        <f t="shared" si="7"/>
        <v>6910900</v>
      </c>
      <c r="N129" s="117"/>
      <c r="O129" s="117"/>
      <c r="P129" s="124">
        <f t="shared" si="8"/>
        <v>44196.035025580481</v>
      </c>
      <c r="Q129" s="117"/>
      <c r="R129" s="117"/>
      <c r="S129" s="38"/>
      <c r="T129" s="38"/>
      <c r="U129" s="23">
        <f t="shared" si="9"/>
        <v>0</v>
      </c>
      <c r="W129" s="55">
        <f t="shared" si="10"/>
        <v>0</v>
      </c>
      <c r="Y129" s="23"/>
      <c r="Z129" s="23"/>
      <c r="AA129" s="23"/>
      <c r="AB129" s="23"/>
      <c r="AC129" s="37"/>
      <c r="AD129" s="23"/>
      <c r="AE129" s="23"/>
    </row>
    <row r="130" spans="1:31" ht="12.75">
      <c r="A130" s="54" t="s">
        <v>40</v>
      </c>
      <c r="B130" s="53" t="str">
        <f>G1</f>
        <v>QA</v>
      </c>
      <c r="C130" s="116">
        <v>2700000</v>
      </c>
      <c r="D130" s="117"/>
      <c r="E130" s="117"/>
      <c r="F130" s="116">
        <v>1080000</v>
      </c>
      <c r="G130" s="117"/>
      <c r="H130" s="117"/>
      <c r="I130" s="116">
        <v>54000</v>
      </c>
      <c r="J130" s="117"/>
      <c r="K130" s="117"/>
      <c r="L130" s="117"/>
      <c r="M130" s="116">
        <f t="shared" si="7"/>
        <v>5696595</v>
      </c>
      <c r="N130" s="117"/>
      <c r="O130" s="117"/>
      <c r="P130" s="124">
        <f t="shared" si="8"/>
        <v>36430.408795749703</v>
      </c>
      <c r="Q130" s="117"/>
      <c r="R130" s="117"/>
      <c r="S130" s="38"/>
      <c r="T130" s="38"/>
      <c r="U130" s="23">
        <f t="shared" si="9"/>
        <v>46.4</v>
      </c>
      <c r="W130" s="55">
        <f t="shared" si="10"/>
        <v>1690370.9681227861</v>
      </c>
      <c r="Y130" s="23"/>
      <c r="Z130" s="23"/>
      <c r="AA130" s="23"/>
      <c r="AB130" s="23"/>
      <c r="AC130" s="37"/>
      <c r="AD130" s="23"/>
      <c r="AE130" s="23"/>
    </row>
    <row r="131" spans="1:31" ht="12.75">
      <c r="A131" s="54" t="s">
        <v>41</v>
      </c>
      <c r="B131" s="53" t="str">
        <f>H1</f>
        <v>IM</v>
      </c>
      <c r="C131" s="116">
        <v>2700000</v>
      </c>
      <c r="D131" s="117"/>
      <c r="E131" s="117"/>
      <c r="F131" s="116">
        <v>1080000</v>
      </c>
      <c r="G131" s="117"/>
      <c r="H131" s="117"/>
      <c r="I131" s="116">
        <v>0</v>
      </c>
      <c r="J131" s="117"/>
      <c r="K131" s="117"/>
      <c r="L131" s="117"/>
      <c r="M131" s="116">
        <f t="shared" si="7"/>
        <v>5642595</v>
      </c>
      <c r="N131" s="117"/>
      <c r="O131" s="117"/>
      <c r="P131" s="124">
        <f t="shared" si="8"/>
        <v>36085.07231404959</v>
      </c>
      <c r="Q131" s="117"/>
      <c r="R131" s="117"/>
      <c r="S131" s="38"/>
      <c r="T131" s="38"/>
      <c r="U131" s="23">
        <f t="shared" si="9"/>
        <v>0</v>
      </c>
      <c r="W131" s="55">
        <f t="shared" si="10"/>
        <v>0</v>
      </c>
      <c r="Y131" s="23"/>
      <c r="Z131" s="23"/>
      <c r="AA131" s="23"/>
      <c r="AB131" s="23"/>
      <c r="AC131" s="37"/>
      <c r="AD131" s="23"/>
      <c r="AE131" s="23"/>
    </row>
    <row r="132" spans="1:31" ht="12.75">
      <c r="A132" s="54" t="s">
        <v>42</v>
      </c>
      <c r="B132" s="53" t="str">
        <f>I1</f>
        <v>MS</v>
      </c>
      <c r="C132" s="116">
        <v>8100000</v>
      </c>
      <c r="D132" s="117"/>
      <c r="E132" s="117"/>
      <c r="F132" s="116">
        <v>2160000</v>
      </c>
      <c r="G132" s="117"/>
      <c r="H132" s="117"/>
      <c r="I132" s="116">
        <v>132000</v>
      </c>
      <c r="J132" s="117"/>
      <c r="K132" s="117"/>
      <c r="L132" s="117"/>
      <c r="M132" s="116">
        <f t="shared" si="7"/>
        <v>14192500</v>
      </c>
      <c r="N132" s="117"/>
      <c r="O132" s="117"/>
      <c r="P132" s="124">
        <f t="shared" si="8"/>
        <v>90762.741046831958</v>
      </c>
      <c r="Q132" s="117"/>
      <c r="R132" s="117"/>
      <c r="S132" s="38"/>
      <c r="T132" s="38"/>
      <c r="U132" s="23">
        <f t="shared" si="9"/>
        <v>264</v>
      </c>
      <c r="W132" s="55">
        <f t="shared" si="10"/>
        <v>23961363.636363637</v>
      </c>
      <c r="Y132" s="23"/>
      <c r="Z132" s="23"/>
      <c r="AA132" s="23"/>
      <c r="AB132" s="23"/>
      <c r="AC132" s="37"/>
      <c r="AD132" s="23"/>
      <c r="AE132" s="23"/>
    </row>
    <row r="133" spans="1:31" ht="12.75">
      <c r="A133" s="54" t="s">
        <v>43</v>
      </c>
      <c r="B133" s="53" t="str">
        <f>J1</f>
        <v>MM</v>
      </c>
      <c r="C133" s="116">
        <v>3240000</v>
      </c>
      <c r="D133" s="117"/>
      <c r="E133" s="117"/>
      <c r="F133" s="116">
        <v>1080000</v>
      </c>
      <c r="G133" s="117"/>
      <c r="H133" s="117"/>
      <c r="I133" s="116">
        <v>132000</v>
      </c>
      <c r="J133" s="117"/>
      <c r="K133" s="117"/>
      <c r="L133" s="117"/>
      <c r="M133" s="116">
        <f t="shared" si="7"/>
        <v>6533295</v>
      </c>
      <c r="N133" s="117"/>
      <c r="O133" s="117"/>
      <c r="P133" s="124">
        <f t="shared" si="8"/>
        <v>41781.205726092092</v>
      </c>
      <c r="Q133" s="117"/>
      <c r="R133" s="117"/>
      <c r="S133" s="38"/>
      <c r="T133" s="38"/>
      <c r="U133" s="23">
        <f t="shared" si="9"/>
        <v>0</v>
      </c>
      <c r="W133" s="55">
        <f t="shared" si="10"/>
        <v>0</v>
      </c>
      <c r="Y133" s="23"/>
      <c r="Z133" s="23"/>
      <c r="AA133" s="23"/>
      <c r="AB133" s="23"/>
      <c r="AC133" s="37"/>
      <c r="AD133" s="23"/>
      <c r="AE133" s="23"/>
    </row>
    <row r="134" spans="1:31" ht="12.75">
      <c r="A134" s="54" t="s">
        <v>44</v>
      </c>
      <c r="B134" s="53" t="s">
        <v>10</v>
      </c>
      <c r="C134" s="116">
        <v>3240000</v>
      </c>
      <c r="D134" s="117"/>
      <c r="E134" s="117"/>
      <c r="F134" s="116">
        <v>1080000</v>
      </c>
      <c r="G134" s="117"/>
      <c r="H134" s="117"/>
      <c r="I134" s="116"/>
      <c r="J134" s="117"/>
      <c r="K134" s="117"/>
      <c r="L134" s="117"/>
      <c r="M134" s="116">
        <f t="shared" si="7"/>
        <v>6401295</v>
      </c>
      <c r="N134" s="117"/>
      <c r="O134" s="117"/>
      <c r="P134" s="124">
        <f t="shared" si="8"/>
        <v>40937.049881936247</v>
      </c>
      <c r="Q134" s="117"/>
      <c r="R134" s="117"/>
      <c r="S134" s="38"/>
      <c r="T134" s="38"/>
      <c r="U134" s="23">
        <f t="shared" si="9"/>
        <v>32</v>
      </c>
      <c r="W134" s="55">
        <f t="shared" si="10"/>
        <v>1309985.5962219599</v>
      </c>
      <c r="Y134" s="23"/>
      <c r="Z134" s="23"/>
      <c r="AA134" s="23"/>
      <c r="AB134" s="23"/>
      <c r="AC134" s="37"/>
      <c r="AD134" s="23"/>
      <c r="AE134" s="23"/>
    </row>
    <row r="135" spans="1:31" ht="12.75">
      <c r="A135" s="54"/>
      <c r="B135" s="53"/>
      <c r="C135" s="38"/>
      <c r="D135" s="38"/>
      <c r="E135" s="38"/>
      <c r="F135" s="38"/>
      <c r="G135" s="38"/>
      <c r="H135" s="38"/>
      <c r="I135" s="23"/>
      <c r="J135" s="23"/>
      <c r="K135" s="23"/>
      <c r="L135" s="23"/>
      <c r="M135" s="23"/>
      <c r="N135" s="23"/>
      <c r="O135" s="23"/>
      <c r="P135" s="125">
        <f>SUM(P125:P134)</f>
        <v>486117.18319559225</v>
      </c>
      <c r="Q135" s="117"/>
      <c r="R135" s="117"/>
      <c r="S135" s="38"/>
      <c r="T135" s="38"/>
      <c r="U135" s="38"/>
      <c r="W135" s="56">
        <f>SUM(W125:W134)</f>
        <v>40691630.550964192</v>
      </c>
      <c r="Y135" s="23"/>
      <c r="Z135" s="23"/>
      <c r="AA135" s="23"/>
      <c r="AB135" s="23"/>
      <c r="AC135" s="37"/>
      <c r="AD135" s="23"/>
      <c r="AE135" s="23"/>
    </row>
    <row r="136" spans="1:31" ht="12.75">
      <c r="A136" s="23"/>
      <c r="B136" s="23"/>
      <c r="C136" s="57"/>
      <c r="D136" s="57"/>
      <c r="E136" s="23"/>
      <c r="F136" s="23"/>
      <c r="G136" s="23"/>
      <c r="H136" s="38"/>
      <c r="I136" s="23"/>
      <c r="J136" s="23"/>
      <c r="K136" s="23"/>
      <c r="L136" s="38"/>
      <c r="M136" s="23"/>
      <c r="N136" s="23"/>
      <c r="O136" s="23"/>
      <c r="P136" s="23"/>
      <c r="Q136" s="23"/>
      <c r="R136" s="23"/>
      <c r="S136" s="23"/>
      <c r="T136" s="23"/>
      <c r="U136" s="23"/>
      <c r="V136" s="23"/>
      <c r="W136" s="23"/>
      <c r="X136" s="23"/>
      <c r="Y136" s="23"/>
      <c r="Z136" s="23"/>
      <c r="AA136" s="23"/>
      <c r="AB136" s="23"/>
      <c r="AC136" s="37"/>
      <c r="AD136" s="23"/>
      <c r="AE136" s="23"/>
    </row>
    <row r="137" spans="1:31" ht="12.7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37"/>
      <c r="AD137" s="23"/>
      <c r="AE137" s="23"/>
    </row>
    <row r="138" spans="1:31" ht="12.75">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9"/>
      <c r="AD138" s="58"/>
      <c r="AE138" s="58"/>
    </row>
    <row r="139" spans="1:31" ht="15">
      <c r="A139" s="58"/>
      <c r="B139" s="58"/>
      <c r="C139" s="118"/>
      <c r="D139" s="119"/>
      <c r="E139" s="119"/>
      <c r="F139" s="120"/>
      <c r="G139" s="121"/>
      <c r="H139" s="122"/>
      <c r="I139" s="122"/>
      <c r="J139" s="123"/>
      <c r="K139" s="60"/>
      <c r="L139" s="126"/>
      <c r="M139" s="122"/>
      <c r="N139" s="122"/>
      <c r="O139" s="123"/>
      <c r="P139" s="121"/>
      <c r="Q139" s="122"/>
      <c r="R139" s="122"/>
      <c r="S139" s="123"/>
      <c r="T139" s="126"/>
      <c r="U139" s="122"/>
      <c r="V139" s="122"/>
      <c r="W139" s="123"/>
      <c r="X139" s="121"/>
      <c r="Y139" s="122"/>
      <c r="Z139" s="123"/>
      <c r="AA139" s="126"/>
      <c r="AB139" s="122"/>
      <c r="AC139" s="123"/>
      <c r="AD139" s="61"/>
      <c r="AE139" s="58"/>
    </row>
    <row r="140" spans="1:31" ht="12.75">
      <c r="A140" s="62" t="e">
        <f t="array" aca="1" ref="A140:A146" ca="1">unique(L1:L120)</f>
        <v>#NAME?</v>
      </c>
      <c r="B140" s="63"/>
      <c r="C140" s="64"/>
      <c r="D140" s="64"/>
      <c r="E140" s="64"/>
      <c r="F140" s="65"/>
      <c r="G140" s="66" t="s">
        <v>45</v>
      </c>
      <c r="H140" s="66" t="s">
        <v>46</v>
      </c>
      <c r="I140" s="66" t="s">
        <v>47</v>
      </c>
      <c r="J140" s="66" t="s">
        <v>48</v>
      </c>
      <c r="K140" s="66" t="s">
        <v>49</v>
      </c>
      <c r="L140" s="67" t="s">
        <v>50</v>
      </c>
      <c r="M140" s="67" t="s">
        <v>51</v>
      </c>
      <c r="N140" s="67" t="s">
        <v>52</v>
      </c>
      <c r="O140" s="67" t="s">
        <v>53</v>
      </c>
      <c r="P140" s="66" t="s">
        <v>54</v>
      </c>
      <c r="Q140" s="66"/>
      <c r="R140" s="66"/>
      <c r="S140" s="66"/>
      <c r="T140" s="67"/>
      <c r="U140" s="67"/>
      <c r="V140" s="67"/>
      <c r="W140" s="67"/>
      <c r="X140" s="66"/>
      <c r="Y140" s="66"/>
      <c r="Z140" s="66"/>
      <c r="AA140" s="67"/>
      <c r="AB140" s="67"/>
      <c r="AC140" s="68"/>
      <c r="AD140" s="67"/>
      <c r="AE140" s="58"/>
    </row>
    <row r="141" spans="1:31" ht="12.75">
      <c r="A141" s="69" t="e">
        <f ca="1"/>
        <v>#NAME?</v>
      </c>
      <c r="B141" s="70"/>
      <c r="C141" s="71"/>
      <c r="D141" s="71" t="s">
        <v>55</v>
      </c>
      <c r="E141" s="71"/>
      <c r="F141" s="72"/>
      <c r="G141" s="73"/>
      <c r="H141" s="73"/>
      <c r="I141" s="73"/>
      <c r="J141" s="73"/>
      <c r="K141" s="73"/>
      <c r="L141" s="74"/>
      <c r="M141" s="74"/>
      <c r="N141" s="74"/>
      <c r="O141" s="75"/>
      <c r="P141" s="76"/>
      <c r="Q141" s="76"/>
      <c r="R141" s="76"/>
      <c r="S141" s="76"/>
      <c r="T141" s="75"/>
      <c r="U141" s="75"/>
      <c r="V141" s="75"/>
      <c r="W141" s="75"/>
      <c r="X141" s="76"/>
      <c r="Y141" s="76"/>
      <c r="Z141" s="76"/>
      <c r="AA141" s="75"/>
      <c r="AB141" s="75"/>
      <c r="AC141" s="77"/>
      <c r="AD141" s="75"/>
      <c r="AE141" s="58"/>
    </row>
    <row r="142" spans="1:31" ht="12.75">
      <c r="A142" s="69" t="e">
        <f ca="1"/>
        <v>#NAME?</v>
      </c>
      <c r="B142" s="70"/>
      <c r="C142" s="71"/>
      <c r="D142" s="71"/>
      <c r="E142" s="71"/>
      <c r="F142" s="72"/>
      <c r="G142" s="73"/>
      <c r="H142" s="73"/>
      <c r="I142" s="73"/>
      <c r="J142" s="73"/>
      <c r="K142" s="73"/>
      <c r="L142" s="74"/>
      <c r="M142" s="75"/>
      <c r="N142" s="75"/>
      <c r="O142" s="75"/>
      <c r="P142" s="76"/>
      <c r="Q142" s="76"/>
      <c r="R142" s="76"/>
      <c r="S142" s="76"/>
      <c r="T142" s="75"/>
      <c r="U142" s="75"/>
      <c r="V142" s="75"/>
      <c r="W142" s="75"/>
      <c r="X142" s="76"/>
      <c r="Y142" s="76"/>
      <c r="Z142" s="76"/>
      <c r="AA142" s="75"/>
      <c r="AB142" s="75"/>
      <c r="AC142" s="77"/>
      <c r="AD142" s="75"/>
      <c r="AE142" s="58"/>
    </row>
    <row r="143" spans="1:31" ht="12.75">
      <c r="A143" s="69" t="e">
        <f ca="1"/>
        <v>#NAME?</v>
      </c>
      <c r="B143" s="70"/>
      <c r="C143" s="71"/>
      <c r="D143" s="71"/>
      <c r="E143" s="71"/>
      <c r="F143" s="72"/>
      <c r="G143" s="73"/>
      <c r="H143" s="73"/>
      <c r="I143" s="73"/>
      <c r="J143" s="73"/>
      <c r="K143" s="73"/>
      <c r="L143" s="74"/>
      <c r="M143" s="74"/>
      <c r="N143" s="74"/>
      <c r="O143" s="74"/>
      <c r="P143" s="76"/>
      <c r="Q143" s="76"/>
      <c r="R143" s="76"/>
      <c r="S143" s="76"/>
      <c r="T143" s="75"/>
      <c r="U143" s="75"/>
      <c r="V143" s="75"/>
      <c r="W143" s="75"/>
      <c r="X143" s="76"/>
      <c r="Y143" s="76"/>
      <c r="Z143" s="76"/>
      <c r="AA143" s="75"/>
      <c r="AB143" s="75"/>
      <c r="AC143" s="77"/>
      <c r="AD143" s="75"/>
      <c r="AE143" s="58"/>
    </row>
    <row r="144" spans="1:31" ht="12.75">
      <c r="A144" s="69" t="e">
        <f ca="1"/>
        <v>#NAME?</v>
      </c>
      <c r="B144" s="70"/>
      <c r="C144" s="71"/>
      <c r="D144" s="71"/>
      <c r="E144" s="71"/>
      <c r="F144" s="72"/>
      <c r="G144" s="73"/>
      <c r="H144" s="73"/>
      <c r="I144" s="73"/>
      <c r="J144" s="73"/>
      <c r="K144" s="73"/>
      <c r="L144" s="74"/>
      <c r="M144" s="74"/>
      <c r="N144" s="74"/>
      <c r="O144" s="75"/>
      <c r="P144" s="76"/>
      <c r="Q144" s="76"/>
      <c r="R144" s="76"/>
      <c r="S144" s="76"/>
      <c r="T144" s="75"/>
      <c r="U144" s="75"/>
      <c r="V144" s="75"/>
      <c r="W144" s="75"/>
      <c r="X144" s="76"/>
      <c r="Y144" s="76"/>
      <c r="Z144" s="76"/>
      <c r="AA144" s="75"/>
      <c r="AB144" s="75"/>
      <c r="AC144" s="77"/>
      <c r="AD144" s="75"/>
      <c r="AE144" s="58"/>
    </row>
    <row r="145" spans="1:31" ht="12.75">
      <c r="A145" s="69" t="e">
        <f ca="1"/>
        <v>#NAME?</v>
      </c>
      <c r="B145" s="70"/>
      <c r="C145" s="71"/>
      <c r="D145" s="71"/>
      <c r="E145" s="71"/>
      <c r="F145" s="72"/>
      <c r="G145" s="73"/>
      <c r="H145" s="73"/>
      <c r="I145" s="73"/>
      <c r="J145" s="73"/>
      <c r="K145" s="73"/>
      <c r="L145" s="74"/>
      <c r="M145" s="74"/>
      <c r="N145" s="74"/>
      <c r="O145" s="74"/>
      <c r="P145" s="76"/>
      <c r="Q145" s="76"/>
      <c r="R145" s="76"/>
      <c r="S145" s="76"/>
      <c r="T145" s="75"/>
      <c r="U145" s="75"/>
      <c r="V145" s="75"/>
      <c r="W145" s="75"/>
      <c r="X145" s="76"/>
      <c r="Y145" s="76"/>
      <c r="Z145" s="76"/>
      <c r="AA145" s="75"/>
      <c r="AB145" s="75"/>
      <c r="AC145" s="77"/>
      <c r="AD145" s="75"/>
      <c r="AE145" s="58"/>
    </row>
    <row r="146" spans="1:31" ht="12.75">
      <c r="A146" s="69" t="e">
        <f ca="1"/>
        <v>#NAME?</v>
      </c>
      <c r="B146" s="70"/>
      <c r="C146" s="71"/>
      <c r="D146" s="71"/>
      <c r="E146" s="71"/>
      <c r="F146" s="72"/>
      <c r="G146" s="73"/>
      <c r="H146" s="73"/>
      <c r="I146" s="73"/>
      <c r="J146" s="73"/>
      <c r="K146" s="73"/>
      <c r="L146" s="74"/>
      <c r="M146" s="74"/>
      <c r="N146" s="74"/>
      <c r="O146" s="75"/>
      <c r="P146" s="73"/>
      <c r="Q146" s="76"/>
      <c r="R146" s="76"/>
      <c r="S146" s="76"/>
      <c r="T146" s="75"/>
      <c r="U146" s="75"/>
      <c r="V146" s="75"/>
      <c r="W146" s="75"/>
      <c r="X146" s="76"/>
      <c r="Y146" s="76"/>
      <c r="Z146" s="76"/>
      <c r="AA146" s="75"/>
      <c r="AB146" s="75"/>
      <c r="AC146" s="77"/>
      <c r="AD146" s="75"/>
      <c r="AE146" s="58"/>
    </row>
    <row r="147" spans="1:31" ht="12.75">
      <c r="A147" s="69"/>
      <c r="B147" s="70"/>
      <c r="C147" s="71"/>
      <c r="D147" s="71"/>
      <c r="E147" s="71"/>
      <c r="F147" s="72"/>
      <c r="G147" s="73"/>
      <c r="H147" s="73"/>
      <c r="I147" s="73"/>
      <c r="J147" s="73"/>
      <c r="K147" s="73"/>
      <c r="L147" s="74"/>
      <c r="M147" s="74"/>
      <c r="N147" s="74"/>
      <c r="O147" s="75"/>
      <c r="P147" s="73"/>
      <c r="Q147" s="76"/>
      <c r="R147" s="76"/>
      <c r="S147" s="76"/>
      <c r="T147" s="75"/>
      <c r="U147" s="75"/>
      <c r="V147" s="75"/>
      <c r="W147" s="75"/>
      <c r="X147" s="76"/>
      <c r="Y147" s="76"/>
      <c r="Z147" s="76"/>
      <c r="AA147" s="75"/>
      <c r="AB147" s="75"/>
      <c r="AC147" s="77"/>
      <c r="AD147" s="75"/>
      <c r="AE147" s="58"/>
    </row>
    <row r="148" spans="1:31" ht="12.75">
      <c r="A148" s="69"/>
      <c r="B148" s="70"/>
      <c r="C148" s="71"/>
      <c r="D148" s="71"/>
      <c r="E148" s="71"/>
      <c r="F148" s="72"/>
      <c r="G148" s="73"/>
      <c r="H148" s="73"/>
      <c r="I148" s="73"/>
      <c r="J148" s="73"/>
      <c r="K148" s="73"/>
      <c r="L148" s="74"/>
      <c r="M148" s="74"/>
      <c r="N148" s="74"/>
      <c r="O148" s="74"/>
      <c r="P148" s="73"/>
      <c r="Q148" s="76"/>
      <c r="R148" s="76"/>
      <c r="S148" s="76"/>
      <c r="T148" s="75"/>
      <c r="U148" s="75"/>
      <c r="V148" s="75"/>
      <c r="W148" s="75"/>
      <c r="X148" s="76"/>
      <c r="Y148" s="76"/>
      <c r="Z148" s="76"/>
      <c r="AA148" s="75"/>
      <c r="AB148" s="75"/>
      <c r="AC148" s="77"/>
      <c r="AD148" s="75"/>
      <c r="AE148" s="58"/>
    </row>
    <row r="149" spans="1:31" ht="12.75">
      <c r="A149" s="69"/>
      <c r="B149" s="70"/>
      <c r="C149" s="71"/>
      <c r="D149" s="71"/>
      <c r="E149" s="71"/>
      <c r="F149" s="72"/>
      <c r="G149" s="73"/>
      <c r="H149" s="73"/>
      <c r="I149" s="73"/>
      <c r="J149" s="73"/>
      <c r="K149" s="73"/>
      <c r="L149" s="74"/>
      <c r="M149" s="74"/>
      <c r="N149" s="74"/>
      <c r="O149" s="75"/>
      <c r="P149" s="76"/>
      <c r="Q149" s="76"/>
      <c r="R149" s="76"/>
      <c r="S149" s="76"/>
      <c r="T149" s="75"/>
      <c r="U149" s="75"/>
      <c r="V149" s="75"/>
      <c r="W149" s="75"/>
      <c r="X149" s="76"/>
      <c r="Y149" s="76"/>
      <c r="Z149" s="76"/>
      <c r="AA149" s="75"/>
      <c r="AB149" s="75"/>
      <c r="AC149" s="77"/>
      <c r="AD149" s="75"/>
      <c r="AE149" s="58"/>
    </row>
    <row r="150" spans="1:31" ht="12.75">
      <c r="A150" s="69"/>
      <c r="B150" s="70"/>
      <c r="C150" s="71"/>
      <c r="D150" s="71"/>
      <c r="E150" s="71"/>
      <c r="F150" s="72"/>
      <c r="G150" s="73"/>
      <c r="H150" s="73"/>
      <c r="I150" s="73"/>
      <c r="J150" s="73"/>
      <c r="K150" s="73"/>
      <c r="L150" s="74"/>
      <c r="M150" s="74"/>
      <c r="N150" s="74"/>
      <c r="O150" s="75"/>
      <c r="P150" s="76"/>
      <c r="Q150" s="76"/>
      <c r="R150" s="76"/>
      <c r="S150" s="76"/>
      <c r="T150" s="75"/>
      <c r="U150" s="75"/>
      <c r="V150" s="75"/>
      <c r="W150" s="75"/>
      <c r="X150" s="76"/>
      <c r="Y150" s="76"/>
      <c r="Z150" s="76"/>
      <c r="AA150" s="75"/>
      <c r="AB150" s="75"/>
      <c r="AC150" s="77"/>
      <c r="AD150" s="75"/>
      <c r="AE150" s="58"/>
    </row>
    <row r="151" spans="1:31" ht="12.75">
      <c r="A151" s="69"/>
      <c r="B151" s="70"/>
      <c r="C151" s="71"/>
      <c r="D151" s="71"/>
      <c r="E151" s="71"/>
      <c r="F151" s="72"/>
      <c r="G151" s="73"/>
      <c r="H151" s="73"/>
      <c r="I151" s="73"/>
      <c r="J151" s="73"/>
      <c r="K151" s="73"/>
      <c r="L151" s="74"/>
      <c r="M151" s="74"/>
      <c r="N151" s="74"/>
      <c r="O151" s="75"/>
      <c r="P151" s="76"/>
      <c r="Q151" s="76"/>
      <c r="R151" s="76"/>
      <c r="S151" s="76"/>
      <c r="T151" s="75"/>
      <c r="U151" s="75"/>
      <c r="V151" s="75"/>
      <c r="W151" s="75"/>
      <c r="X151" s="76"/>
      <c r="Y151" s="76"/>
      <c r="Z151" s="76"/>
      <c r="AA151" s="75"/>
      <c r="AB151" s="75"/>
      <c r="AC151" s="77"/>
      <c r="AD151" s="75"/>
      <c r="AE151" s="58"/>
    </row>
    <row r="152" spans="1:31" ht="12.75">
      <c r="A152" s="69"/>
      <c r="B152" s="70"/>
      <c r="C152" s="71"/>
      <c r="D152" s="71"/>
      <c r="E152" s="71"/>
      <c r="F152" s="72"/>
      <c r="G152" s="73"/>
      <c r="H152" s="73"/>
      <c r="I152" s="73"/>
      <c r="J152" s="73"/>
      <c r="K152" s="73"/>
      <c r="L152" s="74"/>
      <c r="M152" s="74"/>
      <c r="N152" s="74"/>
      <c r="O152" s="75"/>
      <c r="P152" s="76"/>
      <c r="Q152" s="76"/>
      <c r="R152" s="76"/>
      <c r="S152" s="76"/>
      <c r="T152" s="75"/>
      <c r="U152" s="75"/>
      <c r="V152" s="75"/>
      <c r="W152" s="75"/>
      <c r="X152" s="76"/>
      <c r="Y152" s="76"/>
      <c r="Z152" s="76"/>
      <c r="AA152" s="75"/>
      <c r="AB152" s="75"/>
      <c r="AC152" s="77"/>
      <c r="AD152" s="75"/>
      <c r="AE152" s="58"/>
    </row>
    <row r="153" spans="1:31" ht="12.75">
      <c r="A153" s="69"/>
      <c r="B153" s="70"/>
      <c r="C153" s="71"/>
      <c r="D153" s="71"/>
      <c r="E153" s="71"/>
      <c r="F153" s="72"/>
      <c r="G153" s="73"/>
      <c r="H153" s="73"/>
      <c r="I153" s="73"/>
      <c r="J153" s="73"/>
      <c r="K153" s="73"/>
      <c r="L153" s="74"/>
      <c r="M153" s="74"/>
      <c r="N153" s="74"/>
      <c r="O153" s="75"/>
      <c r="P153" s="76"/>
      <c r="Q153" s="76"/>
      <c r="R153" s="76"/>
      <c r="S153" s="76"/>
      <c r="T153" s="75"/>
      <c r="U153" s="75"/>
      <c r="V153" s="75"/>
      <c r="W153" s="75"/>
      <c r="X153" s="76"/>
      <c r="Y153" s="76"/>
      <c r="Z153" s="76"/>
      <c r="AA153" s="75"/>
      <c r="AB153" s="75"/>
      <c r="AC153" s="77"/>
      <c r="AD153" s="75"/>
      <c r="AE153" s="58"/>
    </row>
    <row r="154" spans="1:31" ht="12.75">
      <c r="A154" s="69"/>
      <c r="B154" s="70"/>
      <c r="C154" s="71"/>
      <c r="D154" s="71"/>
      <c r="E154" s="71"/>
      <c r="F154" s="72"/>
      <c r="G154" s="73"/>
      <c r="H154" s="73"/>
      <c r="I154" s="73"/>
      <c r="J154" s="73"/>
      <c r="K154" s="73"/>
      <c r="L154" s="74"/>
      <c r="M154" s="74"/>
      <c r="N154" s="74"/>
      <c r="O154" s="75"/>
      <c r="P154" s="76"/>
      <c r="Q154" s="76"/>
      <c r="R154" s="76"/>
      <c r="S154" s="76"/>
      <c r="T154" s="75"/>
      <c r="U154" s="75"/>
      <c r="V154" s="75"/>
      <c r="W154" s="75"/>
      <c r="X154" s="76"/>
      <c r="Y154" s="76"/>
      <c r="Z154" s="76"/>
      <c r="AA154" s="75"/>
      <c r="AB154" s="75"/>
      <c r="AC154" s="77"/>
      <c r="AD154" s="75"/>
      <c r="AE154" s="58"/>
    </row>
    <row r="155" spans="1:31" ht="12.75">
      <c r="A155" s="69"/>
      <c r="B155" s="70"/>
      <c r="C155" s="71"/>
      <c r="D155" s="71"/>
      <c r="E155" s="71"/>
      <c r="F155" s="72"/>
      <c r="G155" s="73"/>
      <c r="H155" s="73"/>
      <c r="I155" s="73"/>
      <c r="J155" s="73"/>
      <c r="K155" s="73"/>
      <c r="L155" s="74"/>
      <c r="M155" s="74"/>
      <c r="N155" s="74"/>
      <c r="O155" s="75"/>
      <c r="P155" s="76"/>
      <c r="Q155" s="76"/>
      <c r="R155" s="76"/>
      <c r="S155" s="76"/>
      <c r="T155" s="75"/>
      <c r="U155" s="75"/>
      <c r="V155" s="75"/>
      <c r="W155" s="75"/>
      <c r="X155" s="76"/>
      <c r="Y155" s="76"/>
      <c r="Z155" s="76"/>
      <c r="AA155" s="75"/>
      <c r="AB155" s="75"/>
      <c r="AC155" s="77"/>
      <c r="AD155" s="75"/>
      <c r="AE155" s="58"/>
    </row>
    <row r="156" spans="1:31" ht="12.75">
      <c r="A156" s="69"/>
      <c r="B156" s="70"/>
      <c r="C156" s="71"/>
      <c r="D156" s="71"/>
      <c r="E156" s="71"/>
      <c r="F156" s="72"/>
      <c r="G156" s="73"/>
      <c r="H156" s="73"/>
      <c r="I156" s="73"/>
      <c r="J156" s="73"/>
      <c r="K156" s="73"/>
      <c r="L156" s="74"/>
      <c r="M156" s="74"/>
      <c r="N156" s="74"/>
      <c r="O156" s="75"/>
      <c r="P156" s="76"/>
      <c r="Q156" s="76"/>
      <c r="R156" s="76"/>
      <c r="S156" s="76"/>
      <c r="T156" s="75"/>
      <c r="U156" s="75"/>
      <c r="V156" s="75"/>
      <c r="W156" s="75"/>
      <c r="X156" s="76"/>
      <c r="Y156" s="76"/>
      <c r="Z156" s="76"/>
      <c r="AA156" s="75"/>
      <c r="AB156" s="75"/>
      <c r="AC156" s="77"/>
      <c r="AD156" s="75"/>
      <c r="AE156" s="58"/>
    </row>
    <row r="157" spans="1:31" ht="12.75">
      <c r="A157" s="69"/>
      <c r="B157" s="70"/>
      <c r="C157" s="71"/>
      <c r="D157" s="71"/>
      <c r="E157" s="71"/>
      <c r="F157" s="72"/>
      <c r="G157" s="73"/>
      <c r="H157" s="73"/>
      <c r="I157" s="73"/>
      <c r="J157" s="73"/>
      <c r="K157" s="73"/>
      <c r="L157" s="74"/>
      <c r="M157" s="74"/>
      <c r="N157" s="74"/>
      <c r="O157" s="75"/>
      <c r="P157" s="76"/>
      <c r="Q157" s="76"/>
      <c r="R157" s="76"/>
      <c r="S157" s="76"/>
      <c r="T157" s="75"/>
      <c r="U157" s="75"/>
      <c r="V157" s="75"/>
      <c r="W157" s="75"/>
      <c r="X157" s="76"/>
      <c r="Y157" s="76"/>
      <c r="Z157" s="76"/>
      <c r="AA157" s="75"/>
      <c r="AB157" s="75"/>
      <c r="AC157" s="77"/>
      <c r="AD157" s="75"/>
      <c r="AE157" s="58"/>
    </row>
    <row r="158" spans="1:31" ht="12.75">
      <c r="A158" s="69"/>
      <c r="B158" s="70"/>
      <c r="C158" s="71"/>
      <c r="D158" s="71"/>
      <c r="E158" s="71"/>
      <c r="F158" s="72"/>
      <c r="G158" s="73"/>
      <c r="H158" s="73"/>
      <c r="I158" s="73"/>
      <c r="J158" s="73"/>
      <c r="K158" s="73"/>
      <c r="L158" s="74"/>
      <c r="M158" s="74"/>
      <c r="N158" s="74"/>
      <c r="O158" s="75"/>
      <c r="P158" s="76"/>
      <c r="Q158" s="76"/>
      <c r="R158" s="76"/>
      <c r="S158" s="76"/>
      <c r="T158" s="75"/>
      <c r="U158" s="75"/>
      <c r="V158" s="75"/>
      <c r="W158" s="75"/>
      <c r="X158" s="76"/>
      <c r="Y158" s="76"/>
      <c r="Z158" s="76"/>
      <c r="AA158" s="75"/>
      <c r="AB158" s="75"/>
      <c r="AC158" s="77"/>
      <c r="AD158" s="75"/>
      <c r="AE158" s="58"/>
    </row>
    <row r="159" spans="1:31" ht="12.75">
      <c r="A159" s="69"/>
      <c r="B159" s="70"/>
      <c r="C159" s="71"/>
      <c r="D159" s="71"/>
      <c r="E159" s="71"/>
      <c r="F159" s="72"/>
      <c r="G159" s="73"/>
      <c r="H159" s="73"/>
      <c r="I159" s="73"/>
      <c r="J159" s="73"/>
      <c r="K159" s="73"/>
      <c r="L159" s="74"/>
      <c r="M159" s="74"/>
      <c r="N159" s="74"/>
      <c r="O159" s="75"/>
      <c r="P159" s="76"/>
      <c r="Q159" s="76"/>
      <c r="R159" s="76"/>
      <c r="S159" s="76"/>
      <c r="T159" s="75"/>
      <c r="U159" s="75"/>
      <c r="V159" s="75"/>
      <c r="W159" s="75"/>
      <c r="X159" s="76"/>
      <c r="Y159" s="76"/>
      <c r="Z159" s="76"/>
      <c r="AA159" s="75"/>
      <c r="AB159" s="75"/>
      <c r="AC159" s="77"/>
      <c r="AD159" s="75"/>
      <c r="AE159" s="58"/>
    </row>
    <row r="160" spans="1:31" ht="12.75">
      <c r="A160" s="69"/>
      <c r="B160" s="70"/>
      <c r="C160" s="71"/>
      <c r="D160" s="71"/>
      <c r="E160" s="71"/>
      <c r="F160" s="72"/>
      <c r="G160" s="73"/>
      <c r="H160" s="73"/>
      <c r="I160" s="73"/>
      <c r="J160" s="73"/>
      <c r="K160" s="73"/>
      <c r="L160" s="74"/>
      <c r="M160" s="74"/>
      <c r="N160" s="74"/>
      <c r="O160" s="75"/>
      <c r="P160" s="76"/>
      <c r="Q160" s="76"/>
      <c r="R160" s="76"/>
      <c r="S160" s="76"/>
      <c r="T160" s="75"/>
      <c r="U160" s="75"/>
      <c r="V160" s="75"/>
      <c r="W160" s="75"/>
      <c r="X160" s="76"/>
      <c r="Y160" s="76"/>
      <c r="Z160" s="76"/>
      <c r="AA160" s="75"/>
      <c r="AB160" s="75"/>
      <c r="AC160" s="77"/>
      <c r="AD160" s="75"/>
      <c r="AE160" s="58"/>
    </row>
    <row r="161" spans="1:31" ht="12.75">
      <c r="A161" s="69"/>
      <c r="B161" s="70"/>
      <c r="C161" s="71"/>
      <c r="D161" s="71"/>
      <c r="E161" s="71"/>
      <c r="F161" s="72"/>
      <c r="G161" s="73"/>
      <c r="H161" s="73"/>
      <c r="I161" s="73"/>
      <c r="J161" s="73"/>
      <c r="K161" s="73"/>
      <c r="L161" s="74"/>
      <c r="M161" s="74"/>
      <c r="N161" s="74"/>
      <c r="O161" s="75"/>
      <c r="P161" s="76"/>
      <c r="Q161" s="76"/>
      <c r="R161" s="76"/>
      <c r="S161" s="76"/>
      <c r="T161" s="75"/>
      <c r="U161" s="75"/>
      <c r="V161" s="75"/>
      <c r="W161" s="75"/>
      <c r="X161" s="76"/>
      <c r="Y161" s="76"/>
      <c r="Z161" s="76"/>
      <c r="AA161" s="75"/>
      <c r="AB161" s="75"/>
      <c r="AC161" s="77"/>
      <c r="AD161" s="75"/>
      <c r="AE161" s="58"/>
    </row>
    <row r="162" spans="1:31" ht="12.75">
      <c r="A162" s="69"/>
      <c r="B162" s="70"/>
      <c r="C162" s="71"/>
      <c r="D162" s="71"/>
      <c r="E162" s="71"/>
      <c r="F162" s="72"/>
      <c r="G162" s="73"/>
      <c r="H162" s="73"/>
      <c r="I162" s="73"/>
      <c r="J162" s="73"/>
      <c r="K162" s="73"/>
      <c r="L162" s="74"/>
      <c r="M162" s="74"/>
      <c r="N162" s="74"/>
      <c r="O162" s="75"/>
      <c r="P162" s="76"/>
      <c r="Q162" s="76"/>
      <c r="R162" s="76"/>
      <c r="S162" s="76"/>
      <c r="T162" s="75"/>
      <c r="U162" s="75"/>
      <c r="V162" s="75"/>
      <c r="W162" s="75"/>
      <c r="X162" s="76"/>
      <c r="Y162" s="76"/>
      <c r="Z162" s="76"/>
      <c r="AA162" s="75"/>
      <c r="AB162" s="75"/>
      <c r="AC162" s="77"/>
      <c r="AD162" s="75"/>
      <c r="AE162" s="58"/>
    </row>
    <row r="163" spans="1:31" ht="12.75">
      <c r="A163" s="69"/>
      <c r="B163" s="70"/>
      <c r="C163" s="71"/>
      <c r="D163" s="71"/>
      <c r="E163" s="71"/>
      <c r="F163" s="72"/>
      <c r="G163" s="73"/>
      <c r="H163" s="73"/>
      <c r="I163" s="73"/>
      <c r="J163" s="73"/>
      <c r="K163" s="73"/>
      <c r="L163" s="74"/>
      <c r="M163" s="74"/>
      <c r="N163" s="75"/>
      <c r="O163" s="75"/>
      <c r="P163" s="76"/>
      <c r="Q163" s="76"/>
      <c r="R163" s="76"/>
      <c r="S163" s="76"/>
      <c r="T163" s="75"/>
      <c r="U163" s="75"/>
      <c r="V163" s="75"/>
      <c r="W163" s="75"/>
      <c r="X163" s="76"/>
      <c r="Y163" s="76"/>
      <c r="Z163" s="76"/>
      <c r="AA163" s="75"/>
      <c r="AB163" s="75"/>
      <c r="AC163" s="77"/>
      <c r="AD163" s="75"/>
      <c r="AE163" s="58"/>
    </row>
    <row r="164" spans="1:31" ht="12.75">
      <c r="A164" s="69"/>
      <c r="B164" s="70"/>
      <c r="C164" s="71"/>
      <c r="D164" s="71"/>
      <c r="E164" s="71"/>
      <c r="F164" s="72"/>
      <c r="G164" s="73"/>
      <c r="H164" s="73"/>
      <c r="I164" s="73"/>
      <c r="J164" s="73"/>
      <c r="K164" s="73"/>
      <c r="L164" s="74"/>
      <c r="M164" s="74"/>
      <c r="N164" s="75"/>
      <c r="O164" s="75"/>
      <c r="P164" s="76"/>
      <c r="Q164" s="76"/>
      <c r="R164" s="76"/>
      <c r="S164" s="76"/>
      <c r="T164" s="75"/>
      <c r="U164" s="75"/>
      <c r="V164" s="75"/>
      <c r="W164" s="75"/>
      <c r="X164" s="76"/>
      <c r="Y164" s="76"/>
      <c r="Z164" s="76"/>
      <c r="AA164" s="75"/>
      <c r="AB164" s="75"/>
      <c r="AC164" s="77"/>
      <c r="AD164" s="75"/>
      <c r="AE164" s="58"/>
    </row>
    <row r="165" spans="1:31" ht="12.75">
      <c r="A165" s="23"/>
      <c r="B165" s="23"/>
      <c r="C165" s="23"/>
      <c r="D165" s="23"/>
      <c r="E165" s="23"/>
      <c r="F165" s="23"/>
      <c r="G165" s="23"/>
      <c r="H165" s="13"/>
      <c r="I165" s="13"/>
      <c r="J165" s="13"/>
      <c r="K165" s="13"/>
      <c r="L165" s="13"/>
      <c r="M165" s="13"/>
      <c r="N165" s="23"/>
      <c r="O165" s="23"/>
      <c r="P165" s="23"/>
      <c r="Q165" s="23"/>
      <c r="R165" s="23"/>
      <c r="S165" s="23"/>
      <c r="T165" s="23"/>
      <c r="U165" s="23"/>
      <c r="V165" s="23"/>
      <c r="W165" s="23"/>
      <c r="X165" s="23"/>
      <c r="Y165" s="23"/>
      <c r="Z165" s="23"/>
      <c r="AA165" s="23"/>
      <c r="AB165" s="23"/>
      <c r="AC165" s="37"/>
      <c r="AD165" s="23"/>
      <c r="AE165" s="58"/>
    </row>
    <row r="166" spans="1:31" ht="12.7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37"/>
      <c r="AD166" s="23"/>
      <c r="AE166" s="23"/>
    </row>
    <row r="167" spans="1:31" ht="12.7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37"/>
      <c r="AD167" s="23"/>
      <c r="AE167" s="23"/>
    </row>
  </sheetData>
  <mergeCells count="68">
    <mergeCell ref="C129:E129"/>
    <mergeCell ref="F129:H129"/>
    <mergeCell ref="C126:E126"/>
    <mergeCell ref="C127:E127"/>
    <mergeCell ref="F127:H127"/>
    <mergeCell ref="C128:E128"/>
    <mergeCell ref="F128:H128"/>
    <mergeCell ref="C130:E130"/>
    <mergeCell ref="F130:H130"/>
    <mergeCell ref="I130:L130"/>
    <mergeCell ref="M130:O130"/>
    <mergeCell ref="P130:R130"/>
    <mergeCell ref="F126:H126"/>
    <mergeCell ref="P126:R126"/>
    <mergeCell ref="I128:L128"/>
    <mergeCell ref="I129:L129"/>
    <mergeCell ref="M129:O129"/>
    <mergeCell ref="P129:R129"/>
    <mergeCell ref="I126:L126"/>
    <mergeCell ref="M126:O126"/>
    <mergeCell ref="I127:L127"/>
    <mergeCell ref="M127:O127"/>
    <mergeCell ref="P127:R127"/>
    <mergeCell ref="M128:O128"/>
    <mergeCell ref="P128:R128"/>
    <mergeCell ref="C125:E125"/>
    <mergeCell ref="F125:H125"/>
    <mergeCell ref="I125:L125"/>
    <mergeCell ref="M125:O125"/>
    <mergeCell ref="P125:R125"/>
    <mergeCell ref="I122:L122"/>
    <mergeCell ref="M122:O122"/>
    <mergeCell ref="C124:E124"/>
    <mergeCell ref="F124:H124"/>
    <mergeCell ref="I124:L124"/>
    <mergeCell ref="M124:O124"/>
    <mergeCell ref="P124:R124"/>
    <mergeCell ref="V124:X124"/>
    <mergeCell ref="M1:N1"/>
    <mergeCell ref="O1:U1"/>
    <mergeCell ref="AA139:AC139"/>
    <mergeCell ref="I132:L132"/>
    <mergeCell ref="M132:O132"/>
    <mergeCell ref="I133:L133"/>
    <mergeCell ref="M133:O133"/>
    <mergeCell ref="P133:R133"/>
    <mergeCell ref="I134:L134"/>
    <mergeCell ref="M134:O134"/>
    <mergeCell ref="P135:R135"/>
    <mergeCell ref="L139:O139"/>
    <mergeCell ref="P139:S139"/>
    <mergeCell ref="T139:W139"/>
    <mergeCell ref="X139:Z139"/>
    <mergeCell ref="M131:O131"/>
    <mergeCell ref="P131:R131"/>
    <mergeCell ref="F132:H132"/>
    <mergeCell ref="P132:R132"/>
    <mergeCell ref="P134:R134"/>
    <mergeCell ref="C139:F139"/>
    <mergeCell ref="G139:J139"/>
    <mergeCell ref="C131:E131"/>
    <mergeCell ref="F131:H131"/>
    <mergeCell ref="I131:L131"/>
    <mergeCell ref="C132:E132"/>
    <mergeCell ref="C133:E133"/>
    <mergeCell ref="F133:H133"/>
    <mergeCell ref="C134:E134"/>
    <mergeCell ref="F134:H134"/>
  </mergeCells>
  <conditionalFormatting sqref="C141:AD164">
    <cfRule type="notContainsBlanks" dxfId="54" priority="1">
      <formula>LEN(TRIM(C141))&gt;0</formula>
    </cfRule>
  </conditionalFormatting>
  <conditionalFormatting sqref="Y2:Y119">
    <cfRule type="expression" dxfId="53" priority="2">
      <formula>$L2&lt;&gt;""</formula>
    </cfRule>
  </conditionalFormatting>
  <conditionalFormatting sqref="Z1:Z119">
    <cfRule type="notContainsBlanks" dxfId="52" priority="3">
      <formula>LEN(TRIM(Z1))&gt;0</formula>
    </cfRule>
  </conditionalFormatting>
  <conditionalFormatting sqref="AA1:AA119">
    <cfRule type="notContainsBlanks" dxfId="51" priority="4">
      <formula>LEN(TRIM(AA1))&gt;0</formula>
    </cfRule>
  </conditionalFormatting>
  <conditionalFormatting sqref="AB2:AB119">
    <cfRule type="cellIs" dxfId="50" priority="5" operator="equal">
      <formula>FALSE()</formula>
    </cfRule>
  </conditionalFormatting>
  <dataValidations count="1">
    <dataValidation type="decimal" operator="greaterThanOrEqual" allowBlank="1" showDropDown="1" showErrorMessage="1" sqref="B2:K120">
      <formula1>0</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67"/>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4" width="5" customWidth="1"/>
    <col min="5" max="5" width="6.7109375" customWidth="1"/>
    <col min="6" max="8" width="5" customWidth="1"/>
    <col min="9" max="22" width="4.5703125" customWidth="1"/>
    <col min="23" max="23" width="19.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ht="25.5">
      <c r="A1" s="1" t="s">
        <v>0</v>
      </c>
      <c r="B1" s="2" t="s">
        <v>1</v>
      </c>
      <c r="C1" s="2" t="s">
        <v>2</v>
      </c>
      <c r="D1" s="2" t="s">
        <v>3</v>
      </c>
      <c r="E1" s="2" t="s">
        <v>4</v>
      </c>
      <c r="F1" s="2" t="s">
        <v>5</v>
      </c>
      <c r="G1" s="2" t="s">
        <v>6</v>
      </c>
      <c r="H1" s="2" t="s">
        <v>7</v>
      </c>
      <c r="I1" s="2" t="s">
        <v>8</v>
      </c>
      <c r="J1" s="2" t="s">
        <v>9</v>
      </c>
      <c r="K1" s="2" t="s">
        <v>10</v>
      </c>
      <c r="L1" s="3"/>
      <c r="M1" s="128" t="s">
        <v>11</v>
      </c>
      <c r="N1" s="117"/>
      <c r="O1" s="129" t="s">
        <v>12</v>
      </c>
      <c r="P1" s="117"/>
      <c r="Q1" s="117"/>
      <c r="R1" s="117"/>
      <c r="S1" s="117"/>
      <c r="T1" s="117"/>
      <c r="U1" s="117"/>
      <c r="V1" s="3"/>
      <c r="W1" s="4">
        <v>46049</v>
      </c>
      <c r="X1" s="3"/>
      <c r="Y1" s="5">
        <f>SUMIFS(Y2:Y120,L2:L120,"&lt;&gt;"&amp;"")</f>
        <v>6036642.3455332555</v>
      </c>
      <c r="Z1" s="6" t="s">
        <v>13</v>
      </c>
      <c r="AA1" s="7" t="s">
        <v>14</v>
      </c>
      <c r="AB1" s="8" t="s">
        <v>15</v>
      </c>
      <c r="AC1" s="9">
        <f>SUM(AC2:AC120)</f>
        <v>6036642.3455332555</v>
      </c>
      <c r="AD1" s="3"/>
      <c r="AE1" s="3"/>
    </row>
    <row r="2" spans="1:31" ht="18">
      <c r="A2" s="10">
        <f t="shared" ref="A2:A119" si="0">(B2*$P$125+C2*$P$126+D2*$P$127+E2*$P$128+F2*$P$129+G2*$P$130+H2*$P$131+I2*$P$132+J2*$P$133+K2*$P$134)*$T$123</f>
        <v>2482964.1873278241</v>
      </c>
      <c r="B2" s="83">
        <v>3</v>
      </c>
      <c r="C2" s="12"/>
      <c r="D2" s="12"/>
      <c r="E2" s="84">
        <v>2</v>
      </c>
      <c r="F2" s="12"/>
      <c r="G2" s="12"/>
      <c r="H2" s="12"/>
      <c r="I2" s="12"/>
      <c r="J2" s="13"/>
      <c r="K2" s="13"/>
      <c r="L2" s="14" t="s">
        <v>16</v>
      </c>
      <c r="M2" s="15"/>
      <c r="N2" s="16"/>
      <c r="O2" s="17"/>
      <c r="P2" s="17"/>
      <c r="Q2" s="17"/>
      <c r="R2" s="17"/>
      <c r="S2" s="17"/>
      <c r="T2" s="17"/>
      <c r="U2" s="17"/>
      <c r="V2" s="17"/>
      <c r="W2" s="17"/>
      <c r="X2" s="17">
        <f t="shared" ref="X2:X92" si="1">COUNTIF($L$2:L2,"&lt;&gt;"&amp;"")</f>
        <v>1</v>
      </c>
      <c r="Y2" s="18">
        <f t="shared" ref="Y2:Y119" si="2">SUMIF($X$2:$X$120,X2,$A$2:$A$120)</f>
        <v>2482964.1873278241</v>
      </c>
      <c r="Z2" s="19"/>
      <c r="AA2" s="20"/>
      <c r="AB2" s="21" t="b">
        <v>1</v>
      </c>
      <c r="AC2" s="22">
        <f t="shared" ref="AC2:AC23" si="3">IF(L2="",0,IF(AB2=FALSE(),0,Y2))</f>
        <v>2482964.1873278241</v>
      </c>
      <c r="AD2" s="23"/>
      <c r="AE2" s="23"/>
    </row>
    <row r="3" spans="1:31" ht="15">
      <c r="A3" s="10">
        <f t="shared" si="0"/>
        <v>2398955.8441558443</v>
      </c>
      <c r="B3" s="12"/>
      <c r="C3" s="11">
        <v>4</v>
      </c>
      <c r="D3" s="11">
        <v>4</v>
      </c>
      <c r="E3" s="12"/>
      <c r="F3" s="84"/>
      <c r="G3" s="12"/>
      <c r="H3" s="12"/>
      <c r="I3" s="12"/>
      <c r="J3" s="13"/>
      <c r="K3" s="13"/>
      <c r="L3" s="14" t="s">
        <v>17</v>
      </c>
      <c r="M3" s="16"/>
      <c r="N3" s="16"/>
      <c r="O3" s="17"/>
      <c r="P3" s="17"/>
      <c r="Q3" s="17"/>
      <c r="R3" s="17"/>
      <c r="S3" s="17"/>
      <c r="T3" s="17"/>
      <c r="U3" s="17"/>
      <c r="V3" s="17"/>
      <c r="W3" s="17"/>
      <c r="X3" s="17">
        <f t="shared" si="1"/>
        <v>2</v>
      </c>
      <c r="Y3" s="18">
        <f t="shared" si="2"/>
        <v>2398955.8441558443</v>
      </c>
      <c r="Z3" s="24"/>
      <c r="AA3" s="20"/>
      <c r="AB3" s="21" t="b">
        <v>1</v>
      </c>
      <c r="AC3" s="22">
        <f t="shared" si="3"/>
        <v>2398955.8441558443</v>
      </c>
      <c r="AD3" s="23"/>
      <c r="AE3" s="23"/>
    </row>
    <row r="4" spans="1:31" ht="15">
      <c r="A4" s="10">
        <f t="shared" si="0"/>
        <v>1154722.3140495869</v>
      </c>
      <c r="B4" s="12"/>
      <c r="C4" s="12"/>
      <c r="D4" s="12"/>
      <c r="E4" s="12"/>
      <c r="F4" s="12"/>
      <c r="G4" s="12"/>
      <c r="H4" s="11">
        <v>4</v>
      </c>
      <c r="I4" s="12"/>
      <c r="J4" s="13"/>
      <c r="K4" s="13"/>
      <c r="L4" s="14" t="s">
        <v>18</v>
      </c>
      <c r="M4" s="16"/>
      <c r="N4" s="16"/>
      <c r="O4" s="17"/>
      <c r="P4" s="17"/>
      <c r="Q4" s="17"/>
      <c r="R4" s="17"/>
      <c r="S4" s="17"/>
      <c r="T4" s="17"/>
      <c r="U4" s="17"/>
      <c r="V4" s="17"/>
      <c r="W4" s="17"/>
      <c r="X4" s="17">
        <f t="shared" si="1"/>
        <v>3</v>
      </c>
      <c r="Y4" s="18">
        <f t="shared" si="2"/>
        <v>1154722.3140495869</v>
      </c>
      <c r="Z4" s="24"/>
      <c r="AA4" s="25"/>
      <c r="AB4" s="21" t="b">
        <v>1</v>
      </c>
      <c r="AC4" s="22">
        <f t="shared" si="3"/>
        <v>1154722.3140495869</v>
      </c>
      <c r="AD4" s="23"/>
      <c r="AE4" s="23"/>
    </row>
    <row r="5" spans="1:31" ht="15">
      <c r="A5" s="10">
        <f t="shared" si="0"/>
        <v>0</v>
      </c>
      <c r="B5" s="13"/>
      <c r="C5" s="13"/>
      <c r="D5" s="13"/>
      <c r="E5" s="13"/>
      <c r="F5" s="13"/>
      <c r="G5" s="13"/>
      <c r="H5" s="13"/>
      <c r="I5" s="13"/>
      <c r="J5" s="13"/>
      <c r="K5" s="13"/>
      <c r="L5" s="26" t="s">
        <v>19</v>
      </c>
      <c r="M5" s="16"/>
      <c r="N5" s="16"/>
      <c r="O5" s="17"/>
      <c r="P5" s="17"/>
      <c r="Q5" s="17"/>
      <c r="R5" s="17"/>
      <c r="S5" s="17"/>
      <c r="T5" s="17"/>
      <c r="U5" s="17"/>
      <c r="V5" s="17"/>
      <c r="W5" s="17"/>
      <c r="X5" s="17">
        <f t="shared" si="1"/>
        <v>4</v>
      </c>
      <c r="Y5" s="18">
        <f t="shared" si="2"/>
        <v>0</v>
      </c>
      <c r="Z5" s="24"/>
      <c r="AA5" s="25"/>
      <c r="AB5" s="21" t="b">
        <v>1</v>
      </c>
      <c r="AC5" s="22">
        <f t="shared" si="3"/>
        <v>0</v>
      </c>
      <c r="AD5" s="23"/>
      <c r="AE5" s="23"/>
    </row>
    <row r="6" spans="1:31" ht="15">
      <c r="A6" s="10">
        <f t="shared" si="0"/>
        <v>0</v>
      </c>
      <c r="B6" s="13"/>
      <c r="C6" s="13"/>
      <c r="D6" s="13"/>
      <c r="E6" s="13"/>
      <c r="F6" s="13"/>
      <c r="G6" s="13"/>
      <c r="H6" s="13"/>
      <c r="I6" s="13"/>
      <c r="J6" s="13"/>
      <c r="K6" s="13"/>
      <c r="L6" s="27"/>
      <c r="M6" s="16"/>
      <c r="N6" s="16"/>
      <c r="O6" s="17"/>
      <c r="P6" s="17"/>
      <c r="Q6" s="17"/>
      <c r="R6" s="17"/>
      <c r="S6" s="17"/>
      <c r="T6" s="17"/>
      <c r="U6" s="17"/>
      <c r="V6" s="17"/>
      <c r="W6" s="17"/>
      <c r="X6" s="17">
        <f t="shared" si="1"/>
        <v>4</v>
      </c>
      <c r="Y6" s="18">
        <f t="shared" si="2"/>
        <v>0</v>
      </c>
      <c r="Z6" s="19"/>
      <c r="AA6" s="20"/>
      <c r="AB6" s="21" t="b">
        <v>1</v>
      </c>
      <c r="AC6" s="22">
        <f t="shared" si="3"/>
        <v>0</v>
      </c>
      <c r="AD6" s="23"/>
      <c r="AE6" s="23"/>
    </row>
    <row r="7" spans="1:31" ht="15">
      <c r="A7" s="10">
        <f t="shared" si="0"/>
        <v>0</v>
      </c>
      <c r="B7" s="13"/>
      <c r="C7" s="13"/>
      <c r="D7" s="13"/>
      <c r="E7" s="13"/>
      <c r="F7" s="13"/>
      <c r="G7" s="13"/>
      <c r="H7" s="13"/>
      <c r="I7" s="13"/>
      <c r="J7" s="13"/>
      <c r="K7" s="13"/>
      <c r="L7" s="27" t="s">
        <v>232</v>
      </c>
      <c r="M7" s="16"/>
      <c r="N7" s="16"/>
      <c r="O7" s="17"/>
      <c r="P7" s="17"/>
      <c r="Q7" s="17"/>
      <c r="R7" s="17"/>
      <c r="S7" s="17"/>
      <c r="T7" s="17"/>
      <c r="U7" s="17"/>
      <c r="V7" s="17"/>
      <c r="W7" s="17"/>
      <c r="X7" s="17">
        <f t="shared" si="1"/>
        <v>5</v>
      </c>
      <c r="Y7" s="18">
        <f t="shared" si="2"/>
        <v>0</v>
      </c>
      <c r="Z7" s="24"/>
      <c r="AA7" s="25"/>
      <c r="AB7" s="21" t="b">
        <v>1</v>
      </c>
      <c r="AC7" s="22">
        <f t="shared" si="3"/>
        <v>0</v>
      </c>
      <c r="AD7" s="23"/>
      <c r="AE7" s="23"/>
    </row>
    <row r="8" spans="1:31" ht="15">
      <c r="A8" s="10">
        <f t="shared" si="0"/>
        <v>0</v>
      </c>
      <c r="B8" s="13"/>
      <c r="C8" s="13"/>
      <c r="D8" s="13"/>
      <c r="E8" s="13"/>
      <c r="F8" s="13"/>
      <c r="G8" s="13"/>
      <c r="H8" s="13"/>
      <c r="I8" s="13"/>
      <c r="J8" s="13"/>
      <c r="K8" s="13"/>
      <c r="L8" s="26"/>
      <c r="M8" s="16" t="s">
        <v>233</v>
      </c>
      <c r="N8" s="16"/>
      <c r="O8" s="16"/>
      <c r="P8" s="16"/>
      <c r="Q8" s="16"/>
      <c r="R8" s="17"/>
      <c r="S8" s="17"/>
      <c r="T8" s="17"/>
      <c r="U8" s="17"/>
      <c r="V8" s="17"/>
      <c r="W8" s="17"/>
      <c r="X8" s="17">
        <f t="shared" si="1"/>
        <v>5</v>
      </c>
      <c r="Y8" s="18">
        <f t="shared" si="2"/>
        <v>0</v>
      </c>
      <c r="Z8" s="24"/>
      <c r="AA8" s="20"/>
      <c r="AB8" s="21" t="b">
        <v>1</v>
      </c>
      <c r="AC8" s="22">
        <f t="shared" si="3"/>
        <v>0</v>
      </c>
      <c r="AD8" s="28"/>
      <c r="AE8" s="28"/>
    </row>
    <row r="9" spans="1:31" ht="12.75">
      <c r="A9" s="10">
        <f t="shared" si="0"/>
        <v>0</v>
      </c>
      <c r="B9" s="13"/>
      <c r="C9" s="13"/>
      <c r="D9" s="13"/>
      <c r="E9" s="13"/>
      <c r="F9" s="13"/>
      <c r="G9" s="13"/>
      <c r="H9" s="13"/>
      <c r="I9" s="13"/>
      <c r="J9" s="13"/>
      <c r="K9" s="13"/>
      <c r="L9" s="16"/>
      <c r="M9" s="85" t="s">
        <v>234</v>
      </c>
      <c r="N9" s="16"/>
      <c r="O9" s="16"/>
      <c r="P9" s="16"/>
      <c r="Q9" s="16"/>
      <c r="R9" s="17"/>
      <c r="S9" s="17"/>
      <c r="T9" s="17"/>
      <c r="U9" s="17"/>
      <c r="V9" s="17"/>
      <c r="W9" s="17"/>
      <c r="X9" s="17">
        <f t="shared" si="1"/>
        <v>5</v>
      </c>
      <c r="Y9" s="18">
        <f t="shared" si="2"/>
        <v>0</v>
      </c>
      <c r="Z9" s="24"/>
      <c r="AA9" s="20"/>
      <c r="AB9" s="21" t="b">
        <v>1</v>
      </c>
      <c r="AC9" s="22">
        <f t="shared" si="3"/>
        <v>0</v>
      </c>
      <c r="AD9" s="28"/>
      <c r="AE9" s="28"/>
    </row>
    <row r="10" spans="1:31" ht="12.75">
      <c r="A10" s="10">
        <f t="shared" si="0"/>
        <v>0</v>
      </c>
      <c r="B10" s="13"/>
      <c r="C10" s="13"/>
      <c r="D10" s="13"/>
      <c r="E10" s="13"/>
      <c r="F10" s="13"/>
      <c r="G10" s="13"/>
      <c r="H10" s="13"/>
      <c r="I10" s="13"/>
      <c r="J10" s="13"/>
      <c r="K10" s="13"/>
      <c r="L10" s="16"/>
      <c r="M10" s="16"/>
      <c r="N10" s="16" t="s">
        <v>235</v>
      </c>
      <c r="O10" s="16"/>
      <c r="P10" s="16"/>
      <c r="Q10" s="16"/>
      <c r="R10" s="17"/>
      <c r="S10" s="17"/>
      <c r="T10" s="17"/>
      <c r="U10" s="17"/>
      <c r="V10" s="17"/>
      <c r="W10" s="17"/>
      <c r="X10" s="17">
        <f t="shared" si="1"/>
        <v>5</v>
      </c>
      <c r="Y10" s="18">
        <f t="shared" si="2"/>
        <v>0</v>
      </c>
      <c r="Z10" s="24"/>
      <c r="AA10" s="20"/>
      <c r="AB10" s="21" t="b">
        <v>1</v>
      </c>
      <c r="AC10" s="22">
        <f t="shared" si="3"/>
        <v>0</v>
      </c>
      <c r="AD10" s="28"/>
      <c r="AE10" s="28"/>
    </row>
    <row r="11" spans="1:31" ht="12.75">
      <c r="A11" s="10">
        <f t="shared" si="0"/>
        <v>0</v>
      </c>
      <c r="B11" s="13"/>
      <c r="C11" s="13"/>
      <c r="D11" s="13"/>
      <c r="E11" s="13"/>
      <c r="F11" s="13"/>
      <c r="G11" s="13"/>
      <c r="H11" s="13"/>
      <c r="I11" s="13"/>
      <c r="J11" s="13"/>
      <c r="K11" s="13"/>
      <c r="L11" s="16"/>
      <c r="M11" s="16"/>
      <c r="N11" s="16" t="s">
        <v>236</v>
      </c>
      <c r="O11" s="16"/>
      <c r="P11" s="16"/>
      <c r="Q11" s="16"/>
      <c r="R11" s="17"/>
      <c r="S11" s="17"/>
      <c r="T11" s="17"/>
      <c r="U11" s="17"/>
      <c r="V11" s="17"/>
      <c r="W11" s="17"/>
      <c r="X11" s="17">
        <f t="shared" si="1"/>
        <v>5</v>
      </c>
      <c r="Y11" s="18">
        <f t="shared" si="2"/>
        <v>0</v>
      </c>
      <c r="Z11" s="24"/>
      <c r="AA11" s="20"/>
      <c r="AB11" s="21" t="b">
        <v>1</v>
      </c>
      <c r="AC11" s="22">
        <f t="shared" si="3"/>
        <v>0</v>
      </c>
      <c r="AD11" s="28"/>
      <c r="AE11" s="28"/>
    </row>
    <row r="12" spans="1:31" ht="12.75">
      <c r="A12" s="10">
        <f t="shared" si="0"/>
        <v>0</v>
      </c>
      <c r="B12" s="13"/>
      <c r="C12" s="13"/>
      <c r="D12" s="13"/>
      <c r="E12" s="13"/>
      <c r="F12" s="13"/>
      <c r="G12" s="13"/>
      <c r="H12" s="13"/>
      <c r="I12" s="13"/>
      <c r="J12" s="13"/>
      <c r="K12" s="13"/>
      <c r="L12" s="16"/>
      <c r="M12" s="85"/>
      <c r="N12" s="16" t="s">
        <v>237</v>
      </c>
      <c r="O12" s="16"/>
      <c r="P12" s="16"/>
      <c r="Q12" s="16"/>
      <c r="R12" s="17"/>
      <c r="S12" s="17"/>
      <c r="T12" s="17"/>
      <c r="U12" s="17"/>
      <c r="V12" s="17"/>
      <c r="W12" s="17"/>
      <c r="X12" s="17">
        <f t="shared" si="1"/>
        <v>5</v>
      </c>
      <c r="Y12" s="18">
        <f t="shared" si="2"/>
        <v>0</v>
      </c>
      <c r="Z12" s="24"/>
      <c r="AA12" s="20"/>
      <c r="AB12" s="21" t="b">
        <v>1</v>
      </c>
      <c r="AC12" s="22">
        <f t="shared" si="3"/>
        <v>0</v>
      </c>
      <c r="AD12" s="28"/>
      <c r="AE12" s="28"/>
    </row>
    <row r="13" spans="1:31" ht="12.75">
      <c r="A13" s="10">
        <f t="shared" si="0"/>
        <v>0</v>
      </c>
      <c r="B13" s="13"/>
      <c r="C13" s="13"/>
      <c r="D13" s="13"/>
      <c r="E13" s="13"/>
      <c r="F13" s="13"/>
      <c r="G13" s="13"/>
      <c r="H13" s="13"/>
      <c r="I13" s="13"/>
      <c r="J13" s="13"/>
      <c r="K13" s="13"/>
      <c r="L13" s="16"/>
      <c r="M13" s="16"/>
      <c r="N13" s="16" t="s">
        <v>238</v>
      </c>
      <c r="O13" s="16"/>
      <c r="P13" s="16"/>
      <c r="Q13" s="16"/>
      <c r="R13" s="17"/>
      <c r="S13" s="17"/>
      <c r="T13" s="17"/>
      <c r="U13" s="17"/>
      <c r="V13" s="17"/>
      <c r="W13" s="17"/>
      <c r="X13" s="17">
        <f t="shared" si="1"/>
        <v>5</v>
      </c>
      <c r="Y13" s="18">
        <f t="shared" si="2"/>
        <v>0</v>
      </c>
      <c r="Z13" s="24"/>
      <c r="AA13" s="20"/>
      <c r="AB13" s="21" t="b">
        <v>1</v>
      </c>
      <c r="AC13" s="22">
        <f t="shared" si="3"/>
        <v>0</v>
      </c>
      <c r="AD13" s="28"/>
      <c r="AE13" s="28"/>
    </row>
    <row r="14" spans="1:31" ht="15">
      <c r="A14" s="10">
        <f t="shared" si="0"/>
        <v>0</v>
      </c>
      <c r="B14" s="13"/>
      <c r="C14" s="13"/>
      <c r="D14" s="13"/>
      <c r="E14" s="13"/>
      <c r="F14" s="13"/>
      <c r="G14" s="13"/>
      <c r="H14" s="13"/>
      <c r="I14" s="13"/>
      <c r="J14" s="13"/>
      <c r="K14" s="13"/>
      <c r="L14" s="27"/>
      <c r="M14" s="16"/>
      <c r="N14" s="16" t="s">
        <v>239</v>
      </c>
      <c r="O14" s="16"/>
      <c r="P14" s="16"/>
      <c r="Q14" s="16"/>
      <c r="R14" s="17"/>
      <c r="S14" s="17"/>
      <c r="T14" s="17"/>
      <c r="U14" s="17"/>
      <c r="V14" s="17"/>
      <c r="W14" s="17"/>
      <c r="X14" s="17">
        <f t="shared" si="1"/>
        <v>5</v>
      </c>
      <c r="Y14" s="18">
        <f t="shared" si="2"/>
        <v>0</v>
      </c>
      <c r="Z14" s="24"/>
      <c r="AA14" s="20"/>
      <c r="AB14" s="21" t="b">
        <v>1</v>
      </c>
      <c r="AC14" s="22">
        <f t="shared" si="3"/>
        <v>0</v>
      </c>
      <c r="AD14" s="28"/>
      <c r="AE14" s="28"/>
    </row>
    <row r="15" spans="1:31" ht="12.75">
      <c r="A15" s="10">
        <f t="shared" si="0"/>
        <v>0</v>
      </c>
      <c r="B15" s="13"/>
      <c r="C15" s="13"/>
      <c r="D15" s="13"/>
      <c r="E15" s="13"/>
      <c r="F15" s="13"/>
      <c r="G15" s="13"/>
      <c r="H15" s="13"/>
      <c r="I15" s="13"/>
      <c r="J15" s="13"/>
      <c r="K15" s="13"/>
      <c r="L15" s="16"/>
      <c r="M15" s="85"/>
      <c r="N15" s="16" t="s">
        <v>240</v>
      </c>
      <c r="O15" s="16"/>
      <c r="P15" s="16"/>
      <c r="Q15" s="16"/>
      <c r="R15" s="17"/>
      <c r="S15" s="17"/>
      <c r="T15" s="17"/>
      <c r="U15" s="17"/>
      <c r="V15" s="17"/>
      <c r="W15" s="17"/>
      <c r="X15" s="17">
        <f t="shared" si="1"/>
        <v>5</v>
      </c>
      <c r="Y15" s="18">
        <f t="shared" si="2"/>
        <v>0</v>
      </c>
      <c r="Z15" s="24"/>
      <c r="AA15" s="20"/>
      <c r="AB15" s="21" t="b">
        <v>1</v>
      </c>
      <c r="AC15" s="22">
        <f t="shared" si="3"/>
        <v>0</v>
      </c>
      <c r="AD15" s="28"/>
      <c r="AE15" s="28"/>
    </row>
    <row r="16" spans="1:31" ht="12.75">
      <c r="A16" s="10">
        <f t="shared" si="0"/>
        <v>0</v>
      </c>
      <c r="B16" s="13"/>
      <c r="C16" s="13"/>
      <c r="D16" s="13"/>
      <c r="E16" s="13"/>
      <c r="F16" s="13"/>
      <c r="G16" s="13"/>
      <c r="H16" s="13"/>
      <c r="I16" s="13"/>
      <c r="J16" s="13"/>
      <c r="K16" s="13"/>
      <c r="L16" s="16"/>
      <c r="M16" s="16"/>
      <c r="N16" s="16" t="s">
        <v>241</v>
      </c>
      <c r="O16" s="16"/>
      <c r="P16" s="16"/>
      <c r="Q16" s="16"/>
      <c r="R16" s="16"/>
      <c r="S16" s="17"/>
      <c r="T16" s="17"/>
      <c r="U16" s="17"/>
      <c r="V16" s="17"/>
      <c r="W16" s="17"/>
      <c r="X16" s="17">
        <f t="shared" si="1"/>
        <v>5</v>
      </c>
      <c r="Y16" s="18">
        <f t="shared" si="2"/>
        <v>0</v>
      </c>
      <c r="Z16" s="24"/>
      <c r="AA16" s="20"/>
      <c r="AB16" s="21" t="b">
        <v>1</v>
      </c>
      <c r="AC16" s="22">
        <f t="shared" si="3"/>
        <v>0</v>
      </c>
      <c r="AD16" s="28"/>
      <c r="AE16" s="28"/>
    </row>
    <row r="17" spans="1:31" ht="12.75">
      <c r="A17" s="10">
        <f t="shared" si="0"/>
        <v>0</v>
      </c>
      <c r="B17" s="13"/>
      <c r="C17" s="13"/>
      <c r="D17" s="13"/>
      <c r="E17" s="13"/>
      <c r="F17" s="13"/>
      <c r="G17" s="13"/>
      <c r="H17" s="13"/>
      <c r="I17" s="13"/>
      <c r="J17" s="13"/>
      <c r="K17" s="13"/>
      <c r="L17" s="16"/>
      <c r="M17" s="16"/>
      <c r="N17" s="16" t="s">
        <v>242</v>
      </c>
      <c r="O17" s="16"/>
      <c r="P17" s="16"/>
      <c r="Q17" s="16"/>
      <c r="R17" s="16"/>
      <c r="S17" s="16"/>
      <c r="T17" s="17"/>
      <c r="U17" s="17"/>
      <c r="V17" s="17"/>
      <c r="W17" s="17"/>
      <c r="X17" s="17">
        <f t="shared" si="1"/>
        <v>5</v>
      </c>
      <c r="Y17" s="18">
        <f t="shared" si="2"/>
        <v>0</v>
      </c>
      <c r="Z17" s="24"/>
      <c r="AA17" s="20"/>
      <c r="AB17" s="21" t="b">
        <v>1</v>
      </c>
      <c r="AC17" s="22">
        <f t="shared" si="3"/>
        <v>0</v>
      </c>
      <c r="AD17" s="28"/>
      <c r="AE17" s="28"/>
    </row>
    <row r="18" spans="1:31" ht="15">
      <c r="A18" s="10">
        <f t="shared" si="0"/>
        <v>0</v>
      </c>
      <c r="B18" s="13"/>
      <c r="C18" s="13"/>
      <c r="D18" s="13"/>
      <c r="E18" s="13"/>
      <c r="F18" s="13"/>
      <c r="G18" s="13"/>
      <c r="H18" s="13"/>
      <c r="I18" s="13"/>
      <c r="J18" s="13"/>
      <c r="K18" s="13"/>
      <c r="L18" s="27"/>
      <c r="M18" s="81" t="s">
        <v>243</v>
      </c>
      <c r="N18" s="93"/>
      <c r="O18" s="16"/>
      <c r="P18" s="16"/>
      <c r="Q18" s="16"/>
      <c r="R18" s="16"/>
      <c r="S18" s="16"/>
      <c r="T18" s="17"/>
      <c r="U18" s="17"/>
      <c r="V18" s="17"/>
      <c r="W18" s="17"/>
      <c r="X18" s="17">
        <f t="shared" si="1"/>
        <v>5</v>
      </c>
      <c r="Y18" s="18">
        <f t="shared" si="2"/>
        <v>0</v>
      </c>
      <c r="Z18" s="24"/>
      <c r="AA18" s="20"/>
      <c r="AB18" s="21" t="b">
        <v>1</v>
      </c>
      <c r="AC18" s="22">
        <f t="shared" si="3"/>
        <v>0</v>
      </c>
      <c r="AD18" s="28"/>
      <c r="AE18" s="28"/>
    </row>
    <row r="19" spans="1:31" ht="15">
      <c r="A19" s="10">
        <f t="shared" si="0"/>
        <v>0</v>
      </c>
      <c r="B19" s="13"/>
      <c r="C19" s="13"/>
      <c r="D19" s="13"/>
      <c r="E19" s="13"/>
      <c r="F19" s="13"/>
      <c r="G19" s="13"/>
      <c r="H19" s="13"/>
      <c r="I19" s="13"/>
      <c r="J19" s="13"/>
      <c r="K19" s="13"/>
      <c r="L19" s="27"/>
      <c r="N19" s="82" t="s">
        <v>244</v>
      </c>
      <c r="O19" s="16"/>
      <c r="P19" s="16"/>
      <c r="Q19" s="16"/>
      <c r="R19" s="16"/>
      <c r="S19" s="16"/>
      <c r="T19" s="17"/>
      <c r="U19" s="17"/>
      <c r="V19" s="17"/>
      <c r="W19" s="17"/>
      <c r="X19" s="17">
        <f t="shared" si="1"/>
        <v>5</v>
      </c>
      <c r="Y19" s="18">
        <f t="shared" si="2"/>
        <v>0</v>
      </c>
      <c r="Z19" s="24"/>
      <c r="AA19" s="20"/>
      <c r="AB19" s="21" t="b">
        <v>1</v>
      </c>
      <c r="AC19" s="22">
        <f t="shared" si="3"/>
        <v>0</v>
      </c>
      <c r="AD19" s="28"/>
      <c r="AE19" s="28"/>
    </row>
    <row r="20" spans="1:31" ht="12.75">
      <c r="A20" s="10">
        <f t="shared" si="0"/>
        <v>0</v>
      </c>
      <c r="B20" s="13"/>
      <c r="C20" s="13"/>
      <c r="D20" s="13"/>
      <c r="E20" s="13"/>
      <c r="F20" s="13"/>
      <c r="G20" s="13"/>
      <c r="H20" s="13"/>
      <c r="I20" s="13"/>
      <c r="J20" s="13"/>
      <c r="K20" s="13"/>
      <c r="L20" s="16"/>
      <c r="M20" s="16"/>
      <c r="N20" s="82" t="s">
        <v>245</v>
      </c>
      <c r="P20" s="16"/>
      <c r="Q20" s="17"/>
      <c r="R20" s="17"/>
      <c r="S20" s="17"/>
      <c r="T20" s="17"/>
      <c r="U20" s="17"/>
      <c r="V20" s="17"/>
      <c r="W20" s="17"/>
      <c r="X20" s="17">
        <f t="shared" si="1"/>
        <v>5</v>
      </c>
      <c r="Y20" s="18">
        <f t="shared" si="2"/>
        <v>0</v>
      </c>
      <c r="Z20" s="19"/>
      <c r="AA20" s="20"/>
      <c r="AB20" s="21" t="b">
        <v>1</v>
      </c>
      <c r="AC20" s="22">
        <f t="shared" si="3"/>
        <v>0</v>
      </c>
      <c r="AD20" s="28"/>
      <c r="AE20" s="28"/>
    </row>
    <row r="21" spans="1:31" ht="12.75">
      <c r="A21" s="10">
        <f t="shared" si="0"/>
        <v>0</v>
      </c>
      <c r="B21" s="13"/>
      <c r="C21" s="13"/>
      <c r="D21" s="13"/>
      <c r="E21" s="13"/>
      <c r="F21" s="13"/>
      <c r="G21" s="13"/>
      <c r="H21" s="13"/>
      <c r="I21" s="13"/>
      <c r="J21" s="13"/>
      <c r="K21" s="13"/>
      <c r="L21" s="16"/>
      <c r="M21" s="85" t="s">
        <v>246</v>
      </c>
      <c r="P21" s="16"/>
      <c r="Q21" s="16"/>
      <c r="R21" s="16"/>
      <c r="S21" s="17"/>
      <c r="T21" s="17"/>
      <c r="U21" s="17"/>
      <c r="V21" s="17"/>
      <c r="W21" s="17"/>
      <c r="X21" s="17">
        <f t="shared" si="1"/>
        <v>5</v>
      </c>
      <c r="Y21" s="18">
        <f t="shared" si="2"/>
        <v>0</v>
      </c>
      <c r="Z21" s="24"/>
      <c r="AA21" s="20"/>
      <c r="AB21" s="21" t="b">
        <v>1</v>
      </c>
      <c r="AC21" s="22">
        <f t="shared" si="3"/>
        <v>0</v>
      </c>
      <c r="AD21" s="28"/>
      <c r="AE21" s="28"/>
    </row>
    <row r="22" spans="1:31" ht="12.75">
      <c r="A22" s="10">
        <f t="shared" si="0"/>
        <v>0</v>
      </c>
      <c r="B22" s="13"/>
      <c r="C22" s="13"/>
      <c r="D22" s="13"/>
      <c r="E22" s="13"/>
      <c r="F22" s="13"/>
      <c r="G22" s="13"/>
      <c r="H22" s="13"/>
      <c r="I22" s="13"/>
      <c r="J22" s="13"/>
      <c r="K22" s="13"/>
      <c r="L22" s="16"/>
      <c r="M22" s="16"/>
      <c r="N22" s="82" t="s">
        <v>247</v>
      </c>
      <c r="P22" s="16"/>
      <c r="Q22" s="16"/>
      <c r="R22" s="16"/>
      <c r="S22" s="17"/>
      <c r="T22" s="17"/>
      <c r="U22" s="17"/>
      <c r="V22" s="17"/>
      <c r="W22" s="17"/>
      <c r="X22" s="17">
        <f t="shared" si="1"/>
        <v>5</v>
      </c>
      <c r="Y22" s="18">
        <f t="shared" si="2"/>
        <v>0</v>
      </c>
      <c r="Z22" s="24"/>
      <c r="AA22" s="20"/>
      <c r="AB22" s="21" t="b">
        <v>1</v>
      </c>
      <c r="AC22" s="22">
        <f t="shared" si="3"/>
        <v>0</v>
      </c>
      <c r="AD22" s="28"/>
      <c r="AE22" s="28"/>
    </row>
    <row r="23" spans="1:31" ht="12.75">
      <c r="A23" s="10">
        <f t="shared" si="0"/>
        <v>0</v>
      </c>
      <c r="B23" s="13"/>
      <c r="C23" s="13"/>
      <c r="D23" s="13"/>
      <c r="E23" s="13"/>
      <c r="F23" s="13"/>
      <c r="G23" s="13"/>
      <c r="H23" s="13"/>
      <c r="I23" s="13"/>
      <c r="J23" s="13"/>
      <c r="K23" s="13"/>
      <c r="L23" s="16"/>
      <c r="M23" s="16"/>
      <c r="N23" s="82" t="s">
        <v>248</v>
      </c>
      <c r="P23" s="16"/>
      <c r="Q23" s="16"/>
      <c r="R23" s="16"/>
      <c r="S23" s="17"/>
      <c r="T23" s="17"/>
      <c r="U23" s="17"/>
      <c r="V23" s="17"/>
      <c r="W23" s="17"/>
      <c r="X23" s="17">
        <f t="shared" si="1"/>
        <v>5</v>
      </c>
      <c r="Y23" s="18">
        <f t="shared" si="2"/>
        <v>0</v>
      </c>
      <c r="Z23" s="24"/>
      <c r="AA23" s="20"/>
      <c r="AB23" s="21" t="b">
        <v>1</v>
      </c>
      <c r="AC23" s="22">
        <f t="shared" si="3"/>
        <v>0</v>
      </c>
      <c r="AD23" s="28"/>
      <c r="AE23" s="28"/>
    </row>
    <row r="24" spans="1:31" ht="15">
      <c r="A24" s="10">
        <f t="shared" si="0"/>
        <v>0</v>
      </c>
      <c r="B24" s="13"/>
      <c r="C24" s="13"/>
      <c r="D24" s="13"/>
      <c r="E24" s="13"/>
      <c r="F24" s="13"/>
      <c r="G24" s="13"/>
      <c r="H24" s="13"/>
      <c r="I24" s="13"/>
      <c r="J24" s="13"/>
      <c r="K24" s="13"/>
      <c r="M24" s="27"/>
      <c r="N24" s="16" t="s">
        <v>249</v>
      </c>
      <c r="O24" s="16"/>
      <c r="P24" s="16"/>
      <c r="Q24" s="16"/>
      <c r="R24" s="16"/>
      <c r="S24" s="17"/>
      <c r="T24" s="17"/>
      <c r="U24" s="17"/>
      <c r="V24" s="17"/>
      <c r="W24" s="17"/>
      <c r="X24" s="17">
        <f t="shared" si="1"/>
        <v>5</v>
      </c>
      <c r="Y24" s="18">
        <f t="shared" si="2"/>
        <v>0</v>
      </c>
      <c r="Z24" s="19"/>
      <c r="AA24" s="30"/>
      <c r="AB24" s="21" t="b">
        <v>1</v>
      </c>
      <c r="AC24" s="22">
        <f>IF(M24="",0,IF(AB24=FALSE(),0,Y24))</f>
        <v>0</v>
      </c>
      <c r="AD24" s="28"/>
      <c r="AE24" s="28"/>
    </row>
    <row r="25" spans="1:31" ht="15">
      <c r="A25" s="10">
        <f t="shared" si="0"/>
        <v>0</v>
      </c>
      <c r="B25" s="13"/>
      <c r="C25" s="13"/>
      <c r="D25" s="13"/>
      <c r="E25" s="13"/>
      <c r="F25" s="13"/>
      <c r="G25" s="13"/>
      <c r="H25" s="13"/>
      <c r="I25" s="13"/>
      <c r="J25" s="13"/>
      <c r="K25" s="13"/>
      <c r="L25" s="27"/>
      <c r="M25" s="16"/>
      <c r="N25" s="16" t="s">
        <v>250</v>
      </c>
      <c r="O25" s="16"/>
      <c r="P25" s="16"/>
      <c r="Q25" s="16"/>
      <c r="R25" s="16"/>
      <c r="S25" s="17"/>
      <c r="T25" s="17"/>
      <c r="U25" s="17"/>
      <c r="V25" s="17"/>
      <c r="W25" s="17"/>
      <c r="X25" s="17">
        <f t="shared" si="1"/>
        <v>5</v>
      </c>
      <c r="Y25" s="18">
        <f t="shared" si="2"/>
        <v>0</v>
      </c>
      <c r="Z25" s="24"/>
      <c r="AA25" s="20"/>
      <c r="AB25" s="21" t="b">
        <v>1</v>
      </c>
      <c r="AC25" s="22">
        <f t="shared" ref="AC25:AC119" si="4">IF(L25="",0,IF(AB25=FALSE(),0,Y25))</f>
        <v>0</v>
      </c>
      <c r="AD25" s="28"/>
      <c r="AE25" s="28"/>
    </row>
    <row r="26" spans="1:31" ht="15">
      <c r="A26" s="10">
        <f t="shared" si="0"/>
        <v>0</v>
      </c>
      <c r="B26" s="13"/>
      <c r="C26" s="13"/>
      <c r="D26" s="13"/>
      <c r="E26" s="13"/>
      <c r="F26" s="13"/>
      <c r="G26" s="13"/>
      <c r="H26" s="13"/>
      <c r="I26" s="13"/>
      <c r="J26" s="13"/>
      <c r="K26" s="13"/>
      <c r="L26" s="27"/>
      <c r="M26" s="16"/>
      <c r="N26" s="16" t="s">
        <v>251</v>
      </c>
      <c r="O26" s="16"/>
      <c r="P26" s="16"/>
      <c r="Q26" s="16"/>
      <c r="R26" s="16"/>
      <c r="S26" s="17"/>
      <c r="T26" s="17"/>
      <c r="U26" s="17"/>
      <c r="V26" s="17"/>
      <c r="W26" s="17"/>
      <c r="X26" s="17">
        <f t="shared" si="1"/>
        <v>5</v>
      </c>
      <c r="Y26" s="18">
        <f t="shared" si="2"/>
        <v>0</v>
      </c>
      <c r="Z26" s="24"/>
      <c r="AA26" s="20"/>
      <c r="AB26" s="21" t="b">
        <v>1</v>
      </c>
      <c r="AC26" s="22">
        <f t="shared" si="4"/>
        <v>0</v>
      </c>
      <c r="AD26" s="28"/>
      <c r="AE26" s="28"/>
    </row>
    <row r="27" spans="1:31" ht="15">
      <c r="A27" s="10">
        <f t="shared" si="0"/>
        <v>0</v>
      </c>
      <c r="B27" s="13"/>
      <c r="C27" s="13"/>
      <c r="D27" s="13"/>
      <c r="E27" s="13"/>
      <c r="F27" s="13"/>
      <c r="G27" s="13"/>
      <c r="H27" s="13"/>
      <c r="I27" s="13"/>
      <c r="J27" s="13"/>
      <c r="K27" s="13"/>
      <c r="L27" s="27"/>
      <c r="M27" s="16"/>
      <c r="N27" s="16" t="s">
        <v>252</v>
      </c>
      <c r="O27" s="16"/>
      <c r="P27" s="16"/>
      <c r="Q27" s="16"/>
      <c r="R27" s="16"/>
      <c r="S27" s="17"/>
      <c r="T27" s="17"/>
      <c r="U27" s="17"/>
      <c r="V27" s="17"/>
      <c r="W27" s="17"/>
      <c r="X27" s="17">
        <f t="shared" si="1"/>
        <v>5</v>
      </c>
      <c r="Y27" s="18">
        <f t="shared" si="2"/>
        <v>0</v>
      </c>
      <c r="Z27" s="24"/>
      <c r="AA27" s="20"/>
      <c r="AB27" s="21" t="b">
        <v>1</v>
      </c>
      <c r="AC27" s="22">
        <f t="shared" si="4"/>
        <v>0</v>
      </c>
      <c r="AD27" s="28"/>
      <c r="AE27" s="28"/>
    </row>
    <row r="28" spans="1:31" ht="15">
      <c r="A28" s="10">
        <f t="shared" si="0"/>
        <v>0</v>
      </c>
      <c r="B28" s="13"/>
      <c r="C28" s="13"/>
      <c r="D28" s="13"/>
      <c r="E28" s="13"/>
      <c r="F28" s="13"/>
      <c r="G28" s="13"/>
      <c r="H28" s="13"/>
      <c r="I28" s="13"/>
      <c r="J28" s="13"/>
      <c r="K28" s="13"/>
      <c r="L28" s="27"/>
      <c r="M28" s="16"/>
      <c r="N28" s="16" t="s">
        <v>253</v>
      </c>
      <c r="O28" s="16"/>
      <c r="P28" s="16"/>
      <c r="Q28" s="16"/>
      <c r="R28" s="16"/>
      <c r="S28" s="17"/>
      <c r="T28" s="17"/>
      <c r="U28" s="17"/>
      <c r="V28" s="17"/>
      <c r="W28" s="17"/>
      <c r="X28" s="17">
        <f t="shared" si="1"/>
        <v>5</v>
      </c>
      <c r="Y28" s="18">
        <f t="shared" si="2"/>
        <v>0</v>
      </c>
      <c r="Z28" s="24"/>
      <c r="AA28" s="20"/>
      <c r="AB28" s="21" t="b">
        <v>1</v>
      </c>
      <c r="AC28" s="22">
        <f t="shared" si="4"/>
        <v>0</v>
      </c>
      <c r="AD28" s="28"/>
      <c r="AE28" s="28"/>
    </row>
    <row r="29" spans="1:31" ht="15">
      <c r="A29" s="10">
        <f t="shared" si="0"/>
        <v>0</v>
      </c>
      <c r="B29" s="13"/>
      <c r="C29" s="13"/>
      <c r="D29" s="13"/>
      <c r="E29" s="13"/>
      <c r="F29" s="13"/>
      <c r="G29" s="13"/>
      <c r="H29" s="13"/>
      <c r="I29" s="13"/>
      <c r="J29" s="13"/>
      <c r="K29" s="13"/>
      <c r="L29" s="27"/>
      <c r="M29" s="16"/>
      <c r="N29" s="16" t="s">
        <v>254</v>
      </c>
      <c r="O29" s="16"/>
      <c r="P29" s="16"/>
      <c r="Q29" s="16"/>
      <c r="R29" s="16"/>
      <c r="S29" s="17"/>
      <c r="T29" s="17"/>
      <c r="U29" s="17"/>
      <c r="V29" s="17"/>
      <c r="W29" s="17"/>
      <c r="X29" s="17">
        <f t="shared" si="1"/>
        <v>5</v>
      </c>
      <c r="Y29" s="18">
        <f t="shared" si="2"/>
        <v>0</v>
      </c>
      <c r="Z29" s="24"/>
      <c r="AA29" s="20"/>
      <c r="AB29" s="21" t="b">
        <v>1</v>
      </c>
      <c r="AC29" s="22">
        <f t="shared" si="4"/>
        <v>0</v>
      </c>
      <c r="AD29" s="28"/>
      <c r="AE29" s="28"/>
    </row>
    <row r="30" spans="1:31" ht="15">
      <c r="A30" s="10">
        <f t="shared" si="0"/>
        <v>0</v>
      </c>
      <c r="B30" s="13"/>
      <c r="C30" s="13"/>
      <c r="D30" s="13"/>
      <c r="E30" s="13"/>
      <c r="F30" s="13"/>
      <c r="G30" s="13"/>
      <c r="H30" s="13"/>
      <c r="I30" s="13"/>
      <c r="J30" s="13"/>
      <c r="K30" s="13"/>
      <c r="L30" s="27"/>
      <c r="M30" s="85" t="s">
        <v>255</v>
      </c>
      <c r="N30" s="16"/>
      <c r="O30" s="16"/>
      <c r="P30" s="16"/>
      <c r="Q30" s="16"/>
      <c r="R30" s="16"/>
      <c r="S30" s="17"/>
      <c r="T30" s="17"/>
      <c r="U30" s="17"/>
      <c r="V30" s="17"/>
      <c r="W30" s="17"/>
      <c r="X30" s="17">
        <f t="shared" si="1"/>
        <v>5</v>
      </c>
      <c r="Y30" s="18">
        <f t="shared" si="2"/>
        <v>0</v>
      </c>
      <c r="Z30" s="24"/>
      <c r="AA30" s="20"/>
      <c r="AB30" s="21" t="b">
        <v>1</v>
      </c>
      <c r="AC30" s="22">
        <f t="shared" si="4"/>
        <v>0</v>
      </c>
      <c r="AD30" s="28"/>
      <c r="AE30" s="28"/>
    </row>
    <row r="31" spans="1:31" ht="15">
      <c r="A31" s="10">
        <f t="shared" si="0"/>
        <v>0</v>
      </c>
      <c r="B31" s="13"/>
      <c r="C31" s="13"/>
      <c r="D31" s="13"/>
      <c r="E31" s="13"/>
      <c r="F31" s="13"/>
      <c r="G31" s="13"/>
      <c r="H31" s="13"/>
      <c r="I31" s="13"/>
      <c r="J31" s="13"/>
      <c r="K31" s="13"/>
      <c r="L31" s="27"/>
      <c r="M31" s="16"/>
      <c r="N31" s="16" t="s">
        <v>256</v>
      </c>
      <c r="O31" s="16"/>
      <c r="P31" s="16"/>
      <c r="Q31" s="16"/>
      <c r="R31" s="16"/>
      <c r="S31" s="17"/>
      <c r="T31" s="17"/>
      <c r="U31" s="17"/>
      <c r="V31" s="17"/>
      <c r="W31" s="17"/>
      <c r="X31" s="17">
        <f t="shared" si="1"/>
        <v>5</v>
      </c>
      <c r="Y31" s="18">
        <f t="shared" si="2"/>
        <v>0</v>
      </c>
      <c r="Z31" s="24"/>
      <c r="AA31" s="20"/>
      <c r="AB31" s="21" t="b">
        <v>1</v>
      </c>
      <c r="AC31" s="22">
        <f t="shared" si="4"/>
        <v>0</v>
      </c>
      <c r="AD31" s="28"/>
      <c r="AE31" s="28"/>
    </row>
    <row r="32" spans="1:31" ht="15">
      <c r="A32" s="10">
        <f t="shared" si="0"/>
        <v>0</v>
      </c>
      <c r="B32" s="13"/>
      <c r="C32" s="13"/>
      <c r="D32" s="13"/>
      <c r="E32" s="13"/>
      <c r="F32" s="13"/>
      <c r="G32" s="13"/>
      <c r="H32" s="13"/>
      <c r="I32" s="13"/>
      <c r="J32" s="13"/>
      <c r="K32" s="13"/>
      <c r="L32" s="27"/>
      <c r="M32" s="16"/>
      <c r="N32" s="16" t="s">
        <v>257</v>
      </c>
      <c r="O32" s="16"/>
      <c r="P32" s="16"/>
      <c r="Q32" s="16"/>
      <c r="R32" s="16"/>
      <c r="S32" s="17"/>
      <c r="T32" s="17"/>
      <c r="U32" s="17"/>
      <c r="V32" s="17"/>
      <c r="W32" s="17"/>
      <c r="X32" s="17">
        <f t="shared" si="1"/>
        <v>5</v>
      </c>
      <c r="Y32" s="18">
        <f t="shared" si="2"/>
        <v>0</v>
      </c>
      <c r="Z32" s="24"/>
      <c r="AA32" s="20"/>
      <c r="AB32" s="21" t="b">
        <v>1</v>
      </c>
      <c r="AC32" s="22">
        <f t="shared" si="4"/>
        <v>0</v>
      </c>
      <c r="AD32" s="28"/>
      <c r="AE32" s="28"/>
    </row>
    <row r="33" spans="1:31" ht="15">
      <c r="A33" s="10">
        <f t="shared" si="0"/>
        <v>0</v>
      </c>
      <c r="B33" s="13"/>
      <c r="C33" s="13"/>
      <c r="D33" s="13"/>
      <c r="E33" s="13"/>
      <c r="F33" s="13"/>
      <c r="G33" s="13"/>
      <c r="H33" s="13"/>
      <c r="I33" s="13"/>
      <c r="J33" s="13"/>
      <c r="K33" s="13"/>
      <c r="L33" s="27"/>
      <c r="M33" s="16"/>
      <c r="N33" s="16" t="s">
        <v>258</v>
      </c>
      <c r="O33" s="16"/>
      <c r="P33" s="16"/>
      <c r="Q33" s="16"/>
      <c r="R33" s="16"/>
      <c r="S33" s="17"/>
      <c r="T33" s="17"/>
      <c r="U33" s="17"/>
      <c r="V33" s="17"/>
      <c r="W33" s="17"/>
      <c r="X33" s="17">
        <f t="shared" si="1"/>
        <v>5</v>
      </c>
      <c r="Y33" s="18">
        <f t="shared" si="2"/>
        <v>0</v>
      </c>
      <c r="Z33" s="24"/>
      <c r="AA33" s="20"/>
      <c r="AB33" s="21" t="b">
        <v>1</v>
      </c>
      <c r="AC33" s="22">
        <f t="shared" si="4"/>
        <v>0</v>
      </c>
      <c r="AD33" s="28"/>
      <c r="AE33" s="28"/>
    </row>
    <row r="34" spans="1:31" ht="15">
      <c r="A34" s="10">
        <f t="shared" si="0"/>
        <v>0</v>
      </c>
      <c r="B34" s="13"/>
      <c r="C34" s="13"/>
      <c r="D34" s="13"/>
      <c r="E34" s="13"/>
      <c r="F34" s="13"/>
      <c r="G34" s="13"/>
      <c r="H34" s="13"/>
      <c r="I34" s="13"/>
      <c r="J34" s="13"/>
      <c r="K34" s="13"/>
      <c r="L34" s="27"/>
      <c r="M34" s="27"/>
      <c r="N34" s="16" t="s">
        <v>259</v>
      </c>
      <c r="O34" s="16"/>
      <c r="P34" s="16"/>
      <c r="Q34" s="16"/>
      <c r="R34" s="16"/>
      <c r="S34" s="17"/>
      <c r="T34" s="17"/>
      <c r="U34" s="17"/>
      <c r="V34" s="17"/>
      <c r="W34" s="17"/>
      <c r="X34" s="17">
        <f t="shared" si="1"/>
        <v>5</v>
      </c>
      <c r="Y34" s="18">
        <f t="shared" si="2"/>
        <v>0</v>
      </c>
      <c r="Z34" s="24"/>
      <c r="AA34" s="20"/>
      <c r="AB34" s="21" t="b">
        <v>1</v>
      </c>
      <c r="AC34" s="22">
        <f t="shared" si="4"/>
        <v>0</v>
      </c>
      <c r="AD34" s="28"/>
      <c r="AE34" s="28"/>
    </row>
    <row r="35" spans="1:31" ht="15">
      <c r="A35" s="10">
        <f t="shared" si="0"/>
        <v>0</v>
      </c>
      <c r="B35" s="13"/>
      <c r="C35" s="13"/>
      <c r="D35" s="13"/>
      <c r="E35" s="13"/>
      <c r="F35" s="13"/>
      <c r="G35" s="13"/>
      <c r="H35" s="13"/>
      <c r="I35" s="13"/>
      <c r="J35" s="13"/>
      <c r="K35" s="13"/>
      <c r="L35" s="27"/>
      <c r="M35" s="85"/>
      <c r="N35" s="31" t="s">
        <v>260</v>
      </c>
      <c r="O35" s="16"/>
      <c r="P35" s="16"/>
      <c r="Q35" s="16"/>
      <c r="R35" s="16"/>
      <c r="S35" s="17"/>
      <c r="T35" s="17"/>
      <c r="U35" s="17"/>
      <c r="V35" s="17"/>
      <c r="W35" s="17"/>
      <c r="X35" s="17">
        <f t="shared" si="1"/>
        <v>5</v>
      </c>
      <c r="Y35" s="18">
        <f t="shared" si="2"/>
        <v>0</v>
      </c>
      <c r="Z35" s="24"/>
      <c r="AA35" s="20"/>
      <c r="AB35" s="21" t="b">
        <v>1</v>
      </c>
      <c r="AC35" s="22">
        <f t="shared" si="4"/>
        <v>0</v>
      </c>
      <c r="AD35" s="28"/>
      <c r="AE35" s="28"/>
    </row>
    <row r="36" spans="1:31" ht="15">
      <c r="A36" s="10">
        <f t="shared" si="0"/>
        <v>0</v>
      </c>
      <c r="B36" s="13"/>
      <c r="C36" s="13"/>
      <c r="D36" s="13"/>
      <c r="E36" s="13"/>
      <c r="F36" s="13"/>
      <c r="G36" s="13"/>
      <c r="H36" s="13"/>
      <c r="I36" s="13"/>
      <c r="J36" s="13"/>
      <c r="K36" s="13"/>
      <c r="L36" s="27"/>
      <c r="M36" s="16"/>
      <c r="N36" s="16" t="s">
        <v>261</v>
      </c>
      <c r="O36" s="16"/>
      <c r="P36" s="16"/>
      <c r="Q36" s="16"/>
      <c r="R36" s="16"/>
      <c r="S36" s="17"/>
      <c r="T36" s="17"/>
      <c r="U36" s="17"/>
      <c r="V36" s="17"/>
      <c r="W36" s="17"/>
      <c r="X36" s="17">
        <f t="shared" si="1"/>
        <v>5</v>
      </c>
      <c r="Y36" s="18">
        <f t="shared" si="2"/>
        <v>0</v>
      </c>
      <c r="Z36" s="19"/>
      <c r="AA36" s="30"/>
      <c r="AB36" s="21" t="b">
        <v>1</v>
      </c>
      <c r="AC36" s="22">
        <f t="shared" si="4"/>
        <v>0</v>
      </c>
      <c r="AD36" s="28"/>
      <c r="AE36" s="28"/>
    </row>
    <row r="37" spans="1:31" ht="15">
      <c r="A37" s="10">
        <f t="shared" si="0"/>
        <v>0</v>
      </c>
      <c r="B37" s="13"/>
      <c r="C37" s="13"/>
      <c r="D37" s="13"/>
      <c r="E37" s="13"/>
      <c r="F37" s="13"/>
      <c r="G37" s="13"/>
      <c r="H37" s="13"/>
      <c r="I37" s="13"/>
      <c r="J37" s="13"/>
      <c r="K37" s="13"/>
      <c r="L37" s="27"/>
      <c r="M37" s="85" t="s">
        <v>262</v>
      </c>
      <c r="N37" s="16"/>
      <c r="O37" s="16"/>
      <c r="P37" s="16"/>
      <c r="Q37" s="16"/>
      <c r="R37" s="16"/>
      <c r="S37" s="17"/>
      <c r="T37" s="17"/>
      <c r="U37" s="17"/>
      <c r="V37" s="17"/>
      <c r="W37" s="17"/>
      <c r="X37" s="17">
        <f t="shared" si="1"/>
        <v>5</v>
      </c>
      <c r="Y37" s="18">
        <f t="shared" si="2"/>
        <v>0</v>
      </c>
      <c r="Z37" s="19"/>
      <c r="AA37" s="30"/>
      <c r="AB37" s="21" t="b">
        <v>1</v>
      </c>
      <c r="AC37" s="22">
        <f t="shared" si="4"/>
        <v>0</v>
      </c>
      <c r="AD37" s="28"/>
      <c r="AE37" s="28"/>
    </row>
    <row r="38" spans="1:31" ht="15">
      <c r="A38" s="10">
        <f t="shared" si="0"/>
        <v>0</v>
      </c>
      <c r="B38" s="13"/>
      <c r="C38" s="13"/>
      <c r="D38" s="13"/>
      <c r="E38" s="13"/>
      <c r="F38" s="13"/>
      <c r="G38" s="13"/>
      <c r="H38" s="13"/>
      <c r="I38" s="13"/>
      <c r="J38" s="13"/>
      <c r="K38" s="13"/>
      <c r="L38" s="27"/>
      <c r="M38" s="16"/>
      <c r="N38" s="16" t="s">
        <v>263</v>
      </c>
      <c r="O38" s="16"/>
      <c r="P38" s="17"/>
      <c r="Q38" s="17"/>
      <c r="R38" s="17"/>
      <c r="S38" s="17"/>
      <c r="T38" s="17"/>
      <c r="U38" s="17"/>
      <c r="V38" s="17"/>
      <c r="W38" s="17"/>
      <c r="X38" s="17">
        <f t="shared" si="1"/>
        <v>5</v>
      </c>
      <c r="Y38" s="18">
        <f t="shared" si="2"/>
        <v>0</v>
      </c>
      <c r="Z38" s="24"/>
      <c r="AA38" s="20"/>
      <c r="AB38" s="21" t="b">
        <v>1</v>
      </c>
      <c r="AC38" s="22">
        <f t="shared" si="4"/>
        <v>0</v>
      </c>
      <c r="AD38" s="32"/>
      <c r="AE38" s="32"/>
    </row>
    <row r="39" spans="1:31" ht="15">
      <c r="A39" s="10">
        <f t="shared" si="0"/>
        <v>0</v>
      </c>
      <c r="B39" s="13"/>
      <c r="C39" s="13"/>
      <c r="D39" s="13"/>
      <c r="E39" s="13"/>
      <c r="F39" s="13"/>
      <c r="G39" s="13"/>
      <c r="H39" s="13"/>
      <c r="I39" s="13"/>
      <c r="J39" s="13"/>
      <c r="K39" s="13"/>
      <c r="L39" s="27"/>
      <c r="M39" s="85"/>
      <c r="N39" s="16" t="s">
        <v>264</v>
      </c>
      <c r="O39" s="16"/>
      <c r="P39" s="16"/>
      <c r="Q39" s="16"/>
      <c r="R39" s="16"/>
      <c r="S39" s="17"/>
      <c r="T39" s="17"/>
      <c r="U39" s="17"/>
      <c r="V39" s="17"/>
      <c r="W39" s="17"/>
      <c r="X39" s="17">
        <f t="shared" si="1"/>
        <v>5</v>
      </c>
      <c r="Y39" s="18">
        <f t="shared" si="2"/>
        <v>0</v>
      </c>
      <c r="Z39" s="19"/>
      <c r="AA39" s="20"/>
      <c r="AB39" s="21" t="b">
        <v>1</v>
      </c>
      <c r="AC39" s="22">
        <f t="shared" si="4"/>
        <v>0</v>
      </c>
      <c r="AD39" s="28"/>
      <c r="AE39" s="28"/>
    </row>
    <row r="40" spans="1:31" ht="15">
      <c r="A40" s="10">
        <f t="shared" si="0"/>
        <v>0</v>
      </c>
      <c r="B40" s="13"/>
      <c r="C40" s="13"/>
      <c r="D40" s="13"/>
      <c r="E40" s="13"/>
      <c r="F40" s="13"/>
      <c r="G40" s="13"/>
      <c r="H40" s="13"/>
      <c r="I40" s="13"/>
      <c r="J40" s="13"/>
      <c r="K40" s="13"/>
      <c r="L40" s="27"/>
      <c r="N40" s="16" t="s">
        <v>265</v>
      </c>
      <c r="O40" s="16"/>
      <c r="P40" s="16"/>
      <c r="Q40" s="16"/>
      <c r="R40" s="16"/>
      <c r="S40" s="17"/>
      <c r="T40" s="17"/>
      <c r="U40" s="17"/>
      <c r="V40" s="17"/>
      <c r="W40" s="17"/>
      <c r="X40" s="17">
        <f t="shared" si="1"/>
        <v>5</v>
      </c>
      <c r="Y40" s="18">
        <f t="shared" si="2"/>
        <v>0</v>
      </c>
      <c r="Z40" s="24"/>
      <c r="AA40" s="20"/>
      <c r="AB40" s="21" t="b">
        <v>1</v>
      </c>
      <c r="AC40" s="22">
        <f t="shared" si="4"/>
        <v>0</v>
      </c>
      <c r="AD40" s="32"/>
      <c r="AE40" s="32"/>
    </row>
    <row r="41" spans="1:31" ht="15">
      <c r="A41" s="10">
        <f t="shared" si="0"/>
        <v>0</v>
      </c>
      <c r="B41" s="13"/>
      <c r="C41" s="13"/>
      <c r="D41" s="13"/>
      <c r="E41" s="13"/>
      <c r="F41" s="13"/>
      <c r="G41" s="13"/>
      <c r="H41" s="13"/>
      <c r="I41" s="13"/>
      <c r="J41" s="13"/>
      <c r="K41" s="13"/>
      <c r="L41" s="27"/>
      <c r="N41" s="16" t="s">
        <v>266</v>
      </c>
      <c r="O41" s="16"/>
      <c r="P41" s="16"/>
      <c r="Q41" s="16"/>
      <c r="R41" s="16"/>
      <c r="S41" s="17"/>
      <c r="T41" s="17"/>
      <c r="U41" s="17"/>
      <c r="V41" s="17"/>
      <c r="W41" s="17"/>
      <c r="X41" s="17">
        <f t="shared" si="1"/>
        <v>5</v>
      </c>
      <c r="Y41" s="18">
        <f t="shared" si="2"/>
        <v>0</v>
      </c>
      <c r="Z41" s="24"/>
      <c r="AA41" s="20"/>
      <c r="AB41" s="21" t="b">
        <v>1</v>
      </c>
      <c r="AC41" s="22">
        <f t="shared" si="4"/>
        <v>0</v>
      </c>
      <c r="AD41" s="32"/>
      <c r="AE41" s="32"/>
    </row>
    <row r="42" spans="1:31" ht="15">
      <c r="A42" s="10">
        <f t="shared" si="0"/>
        <v>0</v>
      </c>
      <c r="B42" s="13"/>
      <c r="C42" s="13"/>
      <c r="D42" s="13"/>
      <c r="E42" s="13"/>
      <c r="F42" s="13"/>
      <c r="G42" s="13"/>
      <c r="H42" s="13"/>
      <c r="I42" s="13"/>
      <c r="J42" s="13"/>
      <c r="K42" s="13"/>
      <c r="L42" s="27"/>
      <c r="N42" s="16" t="s">
        <v>267</v>
      </c>
      <c r="O42" s="16"/>
      <c r="P42" s="16"/>
      <c r="Q42" s="16"/>
      <c r="R42" s="16"/>
      <c r="S42" s="17"/>
      <c r="T42" s="17"/>
      <c r="U42" s="17"/>
      <c r="V42" s="17"/>
      <c r="W42" s="17"/>
      <c r="X42" s="17">
        <f t="shared" si="1"/>
        <v>5</v>
      </c>
      <c r="Y42" s="18">
        <f t="shared" si="2"/>
        <v>0</v>
      </c>
      <c r="Z42" s="24"/>
      <c r="AA42" s="20"/>
      <c r="AB42" s="21" t="b">
        <v>1</v>
      </c>
      <c r="AC42" s="22">
        <f t="shared" si="4"/>
        <v>0</v>
      </c>
      <c r="AD42" s="28"/>
      <c r="AE42" s="28"/>
    </row>
    <row r="43" spans="1:31" ht="15">
      <c r="A43" s="10">
        <f t="shared" si="0"/>
        <v>0</v>
      </c>
      <c r="B43" s="13"/>
      <c r="C43" s="13"/>
      <c r="D43" s="13"/>
      <c r="E43" s="13"/>
      <c r="F43" s="13"/>
      <c r="G43" s="13"/>
      <c r="H43" s="13"/>
      <c r="I43" s="13"/>
      <c r="J43" s="13"/>
      <c r="K43" s="13"/>
      <c r="L43" s="27"/>
      <c r="N43" s="16" t="s">
        <v>268</v>
      </c>
      <c r="O43" s="16"/>
      <c r="P43" s="16"/>
      <c r="Q43" s="16"/>
      <c r="R43" s="16"/>
      <c r="S43" s="17"/>
      <c r="T43" s="17"/>
      <c r="U43" s="17"/>
      <c r="V43" s="17"/>
      <c r="W43" s="17"/>
      <c r="X43" s="17">
        <f t="shared" si="1"/>
        <v>5</v>
      </c>
      <c r="Y43" s="18">
        <f t="shared" si="2"/>
        <v>0</v>
      </c>
      <c r="Z43" s="24"/>
      <c r="AA43" s="20"/>
      <c r="AB43" s="21" t="b">
        <v>1</v>
      </c>
      <c r="AC43" s="22">
        <f t="shared" si="4"/>
        <v>0</v>
      </c>
      <c r="AD43" s="28"/>
      <c r="AE43" s="28"/>
    </row>
    <row r="44" spans="1:31" ht="15">
      <c r="A44" s="10">
        <f t="shared" si="0"/>
        <v>0</v>
      </c>
      <c r="B44" s="13"/>
      <c r="C44" s="13"/>
      <c r="D44" s="13"/>
      <c r="E44" s="13"/>
      <c r="F44" s="13"/>
      <c r="G44" s="13"/>
      <c r="H44" s="13"/>
      <c r="I44" s="13"/>
      <c r="J44" s="13"/>
      <c r="K44" s="13"/>
      <c r="L44" s="27"/>
      <c r="M44" s="81" t="s">
        <v>269</v>
      </c>
      <c r="N44" s="16"/>
      <c r="O44" s="16"/>
      <c r="P44" s="16"/>
      <c r="Q44" s="16"/>
      <c r="R44" s="16"/>
      <c r="S44" s="17"/>
      <c r="T44" s="17"/>
      <c r="U44" s="17"/>
      <c r="V44" s="17"/>
      <c r="W44" s="17"/>
      <c r="X44" s="17">
        <f t="shared" si="1"/>
        <v>5</v>
      </c>
      <c r="Y44" s="18">
        <f t="shared" si="2"/>
        <v>0</v>
      </c>
      <c r="Z44" s="24"/>
      <c r="AA44" s="20"/>
      <c r="AB44" s="21" t="b">
        <v>1</v>
      </c>
      <c r="AC44" s="22">
        <f t="shared" si="4"/>
        <v>0</v>
      </c>
      <c r="AD44" s="28"/>
      <c r="AE44" s="28"/>
    </row>
    <row r="45" spans="1:31" ht="15">
      <c r="A45" s="10">
        <f t="shared" si="0"/>
        <v>0</v>
      </c>
      <c r="B45" s="13"/>
      <c r="C45" s="13"/>
      <c r="D45" s="13"/>
      <c r="E45" s="13"/>
      <c r="F45" s="13"/>
      <c r="G45" s="13"/>
      <c r="H45" s="13"/>
      <c r="I45" s="13"/>
      <c r="J45" s="13"/>
      <c r="K45" s="13"/>
      <c r="L45" s="27"/>
      <c r="N45" s="16" t="s">
        <v>270</v>
      </c>
      <c r="O45" s="16"/>
      <c r="P45" s="16"/>
      <c r="Q45" s="16"/>
      <c r="R45" s="16"/>
      <c r="S45" s="17"/>
      <c r="T45" s="17"/>
      <c r="U45" s="17"/>
      <c r="V45" s="17"/>
      <c r="W45" s="17"/>
      <c r="X45" s="17">
        <f t="shared" si="1"/>
        <v>5</v>
      </c>
      <c r="Y45" s="18">
        <f t="shared" si="2"/>
        <v>0</v>
      </c>
      <c r="Z45" s="24"/>
      <c r="AA45" s="20"/>
      <c r="AB45" s="21" t="b">
        <v>1</v>
      </c>
      <c r="AC45" s="22">
        <f t="shared" si="4"/>
        <v>0</v>
      </c>
      <c r="AD45" s="28"/>
      <c r="AE45" s="28"/>
    </row>
    <row r="46" spans="1:31" ht="15">
      <c r="A46" s="10">
        <f t="shared" si="0"/>
        <v>0</v>
      </c>
      <c r="B46" s="13"/>
      <c r="C46" s="13"/>
      <c r="D46" s="13"/>
      <c r="E46" s="13"/>
      <c r="F46" s="13"/>
      <c r="G46" s="13"/>
      <c r="H46" s="13"/>
      <c r="I46" s="13"/>
      <c r="J46" s="13"/>
      <c r="K46" s="13"/>
      <c r="L46" s="27"/>
      <c r="M46" s="85"/>
      <c r="N46" s="16"/>
      <c r="O46" s="16" t="s">
        <v>270</v>
      </c>
      <c r="P46" s="16"/>
      <c r="Q46" s="16"/>
      <c r="R46" s="16"/>
      <c r="S46" s="17"/>
      <c r="T46" s="17"/>
      <c r="U46" s="17"/>
      <c r="V46" s="17"/>
      <c r="W46" s="17"/>
      <c r="X46" s="17">
        <f t="shared" si="1"/>
        <v>5</v>
      </c>
      <c r="Y46" s="18">
        <f t="shared" si="2"/>
        <v>0</v>
      </c>
      <c r="Z46" s="24"/>
      <c r="AA46" s="20"/>
      <c r="AB46" s="21" t="b">
        <v>1</v>
      </c>
      <c r="AC46" s="22">
        <f t="shared" si="4"/>
        <v>0</v>
      </c>
      <c r="AD46" s="28"/>
      <c r="AE46" s="28"/>
    </row>
    <row r="47" spans="1:31" ht="15">
      <c r="A47" s="10">
        <f t="shared" si="0"/>
        <v>0</v>
      </c>
      <c r="B47" s="13"/>
      <c r="C47" s="13"/>
      <c r="D47" s="13"/>
      <c r="E47" s="13"/>
      <c r="F47" s="13"/>
      <c r="G47" s="13"/>
      <c r="H47" s="13"/>
      <c r="I47" s="13"/>
      <c r="J47" s="13"/>
      <c r="K47" s="13"/>
      <c r="L47" s="27"/>
      <c r="M47" s="16"/>
      <c r="N47" s="16"/>
      <c r="O47" s="16" t="s">
        <v>271</v>
      </c>
      <c r="P47" s="16"/>
      <c r="Q47" s="16"/>
      <c r="R47" s="16"/>
      <c r="S47" s="17"/>
      <c r="T47" s="17"/>
      <c r="U47" s="17"/>
      <c r="V47" s="17"/>
      <c r="W47" s="17"/>
      <c r="X47" s="17">
        <f t="shared" si="1"/>
        <v>5</v>
      </c>
      <c r="Y47" s="18">
        <f t="shared" si="2"/>
        <v>0</v>
      </c>
      <c r="Z47" s="24"/>
      <c r="AA47" s="20"/>
      <c r="AB47" s="21" t="b">
        <v>1</v>
      </c>
      <c r="AC47" s="22">
        <f t="shared" si="4"/>
        <v>0</v>
      </c>
      <c r="AD47" s="28"/>
      <c r="AE47" s="28"/>
    </row>
    <row r="48" spans="1:31" ht="15">
      <c r="A48" s="10">
        <f t="shared" si="0"/>
        <v>0</v>
      </c>
      <c r="B48" s="13"/>
      <c r="C48" s="13"/>
      <c r="D48" s="13"/>
      <c r="E48" s="13"/>
      <c r="F48" s="13"/>
      <c r="G48" s="13"/>
      <c r="H48" s="13"/>
      <c r="I48" s="13"/>
      <c r="J48" s="13"/>
      <c r="K48" s="13"/>
      <c r="L48" s="27"/>
      <c r="M48" s="16"/>
      <c r="N48" s="16"/>
      <c r="O48" s="16" t="s">
        <v>272</v>
      </c>
      <c r="P48" s="16"/>
      <c r="Q48" s="16"/>
      <c r="R48" s="16"/>
      <c r="S48" s="17"/>
      <c r="T48" s="17"/>
      <c r="U48" s="17"/>
      <c r="V48" s="17"/>
      <c r="W48" s="17"/>
      <c r="X48" s="17">
        <f t="shared" si="1"/>
        <v>5</v>
      </c>
      <c r="Y48" s="18">
        <f t="shared" si="2"/>
        <v>0</v>
      </c>
      <c r="Z48" s="24"/>
      <c r="AA48" s="20"/>
      <c r="AB48" s="21" t="b">
        <v>1</v>
      </c>
      <c r="AC48" s="22">
        <f t="shared" si="4"/>
        <v>0</v>
      </c>
      <c r="AD48" s="32"/>
      <c r="AE48" s="32"/>
    </row>
    <row r="49" spans="1:31" ht="15">
      <c r="A49" s="10">
        <f t="shared" si="0"/>
        <v>0</v>
      </c>
      <c r="B49" s="13"/>
      <c r="C49" s="13"/>
      <c r="D49" s="13"/>
      <c r="E49" s="13"/>
      <c r="F49" s="13"/>
      <c r="G49" s="13"/>
      <c r="H49" s="13"/>
      <c r="I49" s="13"/>
      <c r="J49" s="13"/>
      <c r="K49" s="13"/>
      <c r="L49" s="27"/>
      <c r="M49" s="16"/>
      <c r="N49" s="16"/>
      <c r="O49" s="16" t="s">
        <v>273</v>
      </c>
      <c r="P49" s="16"/>
      <c r="Q49" s="16"/>
      <c r="R49" s="16"/>
      <c r="S49" s="17"/>
      <c r="T49" s="17"/>
      <c r="U49" s="17"/>
      <c r="V49" s="17"/>
      <c r="W49" s="17"/>
      <c r="X49" s="17">
        <f t="shared" si="1"/>
        <v>5</v>
      </c>
      <c r="Y49" s="18">
        <f t="shared" si="2"/>
        <v>0</v>
      </c>
      <c r="Z49" s="24"/>
      <c r="AA49" s="20"/>
      <c r="AB49" s="21" t="b">
        <v>1</v>
      </c>
      <c r="AC49" s="22">
        <f t="shared" si="4"/>
        <v>0</v>
      </c>
      <c r="AD49" s="32"/>
      <c r="AE49" s="32"/>
    </row>
    <row r="50" spans="1:31" ht="15">
      <c r="A50" s="10">
        <f t="shared" si="0"/>
        <v>0</v>
      </c>
      <c r="B50" s="13"/>
      <c r="C50" s="13"/>
      <c r="D50" s="13"/>
      <c r="E50" s="13"/>
      <c r="F50" s="13"/>
      <c r="G50" s="13"/>
      <c r="H50" s="13"/>
      <c r="I50" s="13"/>
      <c r="J50" s="13"/>
      <c r="K50" s="13"/>
      <c r="L50" s="27"/>
      <c r="M50" s="27" t="s">
        <v>274</v>
      </c>
      <c r="N50" s="16"/>
      <c r="O50" s="16"/>
      <c r="P50" s="16"/>
      <c r="Q50" s="16"/>
      <c r="R50" s="16"/>
      <c r="S50" s="17"/>
      <c r="T50" s="17"/>
      <c r="U50" s="17"/>
      <c r="V50" s="17"/>
      <c r="W50" s="17"/>
      <c r="X50" s="17">
        <f t="shared" si="1"/>
        <v>5</v>
      </c>
      <c r="Y50" s="18">
        <f t="shared" si="2"/>
        <v>0</v>
      </c>
      <c r="Z50" s="24"/>
      <c r="AA50" s="20"/>
      <c r="AB50" s="21" t="b">
        <v>1</v>
      </c>
      <c r="AC50" s="22">
        <f t="shared" si="4"/>
        <v>0</v>
      </c>
      <c r="AD50" s="32"/>
      <c r="AE50" s="32"/>
    </row>
    <row r="51" spans="1:31" ht="15">
      <c r="A51" s="10">
        <f t="shared" si="0"/>
        <v>0</v>
      </c>
      <c r="B51" s="13"/>
      <c r="C51" s="13"/>
      <c r="D51" s="13"/>
      <c r="E51" s="13"/>
      <c r="F51" s="13"/>
      <c r="G51" s="13"/>
      <c r="H51" s="13"/>
      <c r="I51" s="13"/>
      <c r="J51" s="13"/>
      <c r="K51" s="13"/>
      <c r="L51" s="27"/>
      <c r="M51" s="16"/>
      <c r="N51" s="16" t="s">
        <v>275</v>
      </c>
      <c r="O51" s="16"/>
      <c r="P51" s="16"/>
      <c r="Q51" s="16"/>
      <c r="R51" s="16"/>
      <c r="S51" s="17"/>
      <c r="T51" s="17"/>
      <c r="U51" s="17"/>
      <c r="V51" s="17"/>
      <c r="W51" s="17"/>
      <c r="X51" s="17">
        <f t="shared" si="1"/>
        <v>5</v>
      </c>
      <c r="Y51" s="18">
        <f t="shared" si="2"/>
        <v>0</v>
      </c>
      <c r="Z51" s="24"/>
      <c r="AA51" s="20"/>
      <c r="AB51" s="21" t="b">
        <v>1</v>
      </c>
      <c r="AC51" s="22">
        <f t="shared" si="4"/>
        <v>0</v>
      </c>
      <c r="AD51" s="32"/>
      <c r="AE51" s="32"/>
    </row>
    <row r="52" spans="1:31" ht="15">
      <c r="A52" s="10">
        <f t="shared" si="0"/>
        <v>0</v>
      </c>
      <c r="B52" s="13"/>
      <c r="C52" s="13"/>
      <c r="D52" s="13"/>
      <c r="E52" s="13"/>
      <c r="F52" s="13"/>
      <c r="G52" s="13"/>
      <c r="H52" s="13"/>
      <c r="I52" s="13"/>
      <c r="J52" s="13"/>
      <c r="K52" s="13"/>
      <c r="L52" s="27"/>
      <c r="M52" s="16"/>
      <c r="N52" s="16" t="s">
        <v>276</v>
      </c>
      <c r="O52" s="16"/>
      <c r="P52" s="16"/>
      <c r="Q52" s="16"/>
      <c r="R52" s="16"/>
      <c r="S52" s="17"/>
      <c r="T52" s="17"/>
      <c r="U52" s="17"/>
      <c r="V52" s="17"/>
      <c r="W52" s="17"/>
      <c r="X52" s="17">
        <f t="shared" si="1"/>
        <v>5</v>
      </c>
      <c r="Y52" s="18">
        <f t="shared" si="2"/>
        <v>0</v>
      </c>
      <c r="Z52" s="24"/>
      <c r="AA52" s="20"/>
      <c r="AB52" s="21" t="b">
        <v>1</v>
      </c>
      <c r="AC52" s="22">
        <f t="shared" si="4"/>
        <v>0</v>
      </c>
      <c r="AD52" s="32"/>
      <c r="AE52" s="32"/>
    </row>
    <row r="53" spans="1:31" ht="15">
      <c r="A53" s="10">
        <f t="shared" si="0"/>
        <v>0</v>
      </c>
      <c r="B53" s="13"/>
      <c r="C53" s="13"/>
      <c r="D53" s="13"/>
      <c r="E53" s="13"/>
      <c r="F53" s="13"/>
      <c r="G53" s="13"/>
      <c r="H53" s="13"/>
      <c r="I53" s="13"/>
      <c r="J53" s="13"/>
      <c r="K53" s="13"/>
      <c r="L53" s="27"/>
      <c r="M53" s="85"/>
      <c r="N53" s="82" t="s">
        <v>258</v>
      </c>
      <c r="O53" s="16"/>
      <c r="P53" s="16"/>
      <c r="Q53" s="16"/>
      <c r="R53" s="16"/>
      <c r="S53" s="17"/>
      <c r="T53" s="17"/>
      <c r="U53" s="17"/>
      <c r="V53" s="17"/>
      <c r="W53" s="17"/>
      <c r="X53" s="17">
        <f t="shared" si="1"/>
        <v>5</v>
      </c>
      <c r="Y53" s="18">
        <f t="shared" si="2"/>
        <v>0</v>
      </c>
      <c r="Z53" s="24"/>
      <c r="AA53" s="20"/>
      <c r="AB53" s="21" t="b">
        <v>1</v>
      </c>
      <c r="AC53" s="22">
        <f t="shared" si="4"/>
        <v>0</v>
      </c>
      <c r="AD53" s="32"/>
      <c r="AE53" s="32"/>
    </row>
    <row r="54" spans="1:31" ht="15">
      <c r="A54" s="10">
        <f t="shared" si="0"/>
        <v>0</v>
      </c>
      <c r="B54" s="13"/>
      <c r="C54" s="13"/>
      <c r="D54" s="13"/>
      <c r="E54" s="13"/>
      <c r="F54" s="13"/>
      <c r="G54" s="13"/>
      <c r="H54" s="13"/>
      <c r="I54" s="13"/>
      <c r="J54" s="13"/>
      <c r="K54" s="13"/>
      <c r="L54" s="27"/>
      <c r="M54" s="85"/>
      <c r="N54" s="16" t="s">
        <v>259</v>
      </c>
      <c r="O54" s="16"/>
      <c r="P54" s="16"/>
      <c r="Q54" s="16"/>
      <c r="R54" s="16"/>
      <c r="S54" s="17"/>
      <c r="T54" s="17"/>
      <c r="U54" s="17"/>
      <c r="V54" s="17"/>
      <c r="W54" s="17"/>
      <c r="X54" s="17">
        <f t="shared" si="1"/>
        <v>5</v>
      </c>
      <c r="Y54" s="18">
        <f t="shared" si="2"/>
        <v>0</v>
      </c>
      <c r="Z54" s="24"/>
      <c r="AA54" s="20"/>
      <c r="AB54" s="21" t="b">
        <v>1</v>
      </c>
      <c r="AC54" s="22">
        <f t="shared" si="4"/>
        <v>0</v>
      </c>
      <c r="AD54" s="32"/>
      <c r="AE54" s="32"/>
    </row>
    <row r="55" spans="1:31" ht="17.25" customHeight="1">
      <c r="A55" s="10">
        <f t="shared" si="0"/>
        <v>0</v>
      </c>
      <c r="B55" s="13"/>
      <c r="C55" s="13"/>
      <c r="D55" s="13"/>
      <c r="E55" s="13"/>
      <c r="F55" s="13"/>
      <c r="G55" s="13"/>
      <c r="H55" s="13"/>
      <c r="I55" s="13"/>
      <c r="J55" s="13"/>
      <c r="K55" s="13"/>
      <c r="L55" s="27"/>
      <c r="M55" s="16"/>
      <c r="N55" s="16" t="s">
        <v>277</v>
      </c>
      <c r="O55" s="16"/>
      <c r="P55" s="16"/>
      <c r="Q55" s="16"/>
      <c r="R55" s="16"/>
      <c r="S55" s="17"/>
      <c r="T55" s="17"/>
      <c r="U55" s="17"/>
      <c r="V55" s="17"/>
      <c r="W55" s="17"/>
      <c r="X55" s="17">
        <f t="shared" si="1"/>
        <v>5</v>
      </c>
      <c r="Y55" s="18">
        <f t="shared" si="2"/>
        <v>0</v>
      </c>
      <c r="Z55" s="24"/>
      <c r="AA55" s="20"/>
      <c r="AB55" s="21" t="b">
        <v>1</v>
      </c>
      <c r="AC55" s="22">
        <f t="shared" si="4"/>
        <v>0</v>
      </c>
      <c r="AD55" s="32"/>
      <c r="AE55" s="32"/>
    </row>
    <row r="56" spans="1:31" ht="15">
      <c r="A56" s="10">
        <f t="shared" si="0"/>
        <v>0</v>
      </c>
      <c r="B56" s="13"/>
      <c r="C56" s="13"/>
      <c r="D56" s="13"/>
      <c r="E56" s="13"/>
      <c r="F56" s="13"/>
      <c r="G56" s="13"/>
      <c r="H56" s="13"/>
      <c r="I56" s="13"/>
      <c r="J56" s="13"/>
      <c r="K56" s="13"/>
      <c r="L56" s="27"/>
      <c r="M56" s="85"/>
      <c r="N56" s="16" t="s">
        <v>278</v>
      </c>
      <c r="O56" s="16"/>
      <c r="P56" s="16"/>
      <c r="Q56" s="16"/>
      <c r="R56" s="16"/>
      <c r="S56" s="17"/>
      <c r="T56" s="17"/>
      <c r="U56" s="17"/>
      <c r="V56" s="17"/>
      <c r="W56" s="17"/>
      <c r="X56" s="17">
        <f t="shared" si="1"/>
        <v>5</v>
      </c>
      <c r="Y56" s="18">
        <f t="shared" si="2"/>
        <v>0</v>
      </c>
      <c r="Z56" s="24"/>
      <c r="AA56" s="20"/>
      <c r="AB56" s="21" t="b">
        <v>1</v>
      </c>
      <c r="AC56" s="22">
        <f t="shared" si="4"/>
        <v>0</v>
      </c>
      <c r="AD56" s="32"/>
      <c r="AE56" s="32"/>
    </row>
    <row r="57" spans="1:31" ht="15">
      <c r="A57" s="10">
        <f t="shared" si="0"/>
        <v>0</v>
      </c>
      <c r="B57" s="13"/>
      <c r="C57" s="13"/>
      <c r="D57" s="13"/>
      <c r="E57" s="13"/>
      <c r="F57" s="13"/>
      <c r="G57" s="13"/>
      <c r="H57" s="13"/>
      <c r="I57" s="13"/>
      <c r="J57" s="13"/>
      <c r="K57" s="13"/>
      <c r="L57" s="27"/>
      <c r="M57" s="16"/>
      <c r="N57" s="16" t="s">
        <v>279</v>
      </c>
      <c r="O57" s="16"/>
      <c r="P57" s="16"/>
      <c r="Q57" s="16"/>
      <c r="R57" s="16"/>
      <c r="S57" s="17"/>
      <c r="T57" s="17"/>
      <c r="U57" s="17"/>
      <c r="V57" s="17"/>
      <c r="W57" s="17"/>
      <c r="X57" s="17">
        <f t="shared" si="1"/>
        <v>5</v>
      </c>
      <c r="Y57" s="18">
        <f t="shared" si="2"/>
        <v>0</v>
      </c>
      <c r="Z57" s="24"/>
      <c r="AA57" s="20"/>
      <c r="AB57" s="21" t="b">
        <v>1</v>
      </c>
      <c r="AC57" s="22">
        <f t="shared" si="4"/>
        <v>0</v>
      </c>
      <c r="AD57" s="32"/>
      <c r="AE57" s="32"/>
    </row>
    <row r="58" spans="1:31" ht="15">
      <c r="A58" s="10">
        <f t="shared" si="0"/>
        <v>0</v>
      </c>
      <c r="B58" s="13"/>
      <c r="C58" s="13"/>
      <c r="D58" s="13"/>
      <c r="E58" s="13"/>
      <c r="F58" s="13"/>
      <c r="G58" s="13"/>
      <c r="H58" s="13"/>
      <c r="I58" s="13"/>
      <c r="J58" s="13"/>
      <c r="K58" s="13"/>
      <c r="L58" s="27"/>
      <c r="M58" s="27" t="s">
        <v>262</v>
      </c>
      <c r="N58" s="16"/>
      <c r="O58" s="16"/>
      <c r="P58" s="16"/>
      <c r="Q58" s="16"/>
      <c r="R58" s="16"/>
      <c r="S58" s="17"/>
      <c r="T58" s="17"/>
      <c r="U58" s="17"/>
      <c r="V58" s="17"/>
      <c r="W58" s="17"/>
      <c r="X58" s="17">
        <f t="shared" si="1"/>
        <v>5</v>
      </c>
      <c r="Y58" s="18">
        <f t="shared" si="2"/>
        <v>0</v>
      </c>
      <c r="Z58" s="24"/>
      <c r="AA58" s="20"/>
      <c r="AB58" s="21" t="b">
        <v>1</v>
      </c>
      <c r="AC58" s="22">
        <f t="shared" si="4"/>
        <v>0</v>
      </c>
      <c r="AD58" s="32"/>
      <c r="AE58" s="32"/>
    </row>
    <row r="59" spans="1:31" ht="15">
      <c r="A59" s="10">
        <f t="shared" si="0"/>
        <v>0</v>
      </c>
      <c r="B59" s="13"/>
      <c r="C59" s="13"/>
      <c r="D59" s="13"/>
      <c r="E59" s="13"/>
      <c r="F59" s="13"/>
      <c r="G59" s="13"/>
      <c r="H59" s="13"/>
      <c r="I59" s="13"/>
      <c r="J59" s="13"/>
      <c r="K59" s="13"/>
      <c r="L59" s="27"/>
      <c r="M59" s="85"/>
      <c r="N59" s="16" t="s">
        <v>263</v>
      </c>
      <c r="O59" s="16"/>
      <c r="P59" s="16"/>
      <c r="Q59" s="16"/>
      <c r="R59" s="16"/>
      <c r="S59" s="17"/>
      <c r="T59" s="17"/>
      <c r="U59" s="17"/>
      <c r="V59" s="17"/>
      <c r="W59" s="17"/>
      <c r="X59" s="17">
        <f t="shared" si="1"/>
        <v>5</v>
      </c>
      <c r="Y59" s="18">
        <f t="shared" si="2"/>
        <v>0</v>
      </c>
      <c r="Z59" s="24"/>
      <c r="AA59" s="20"/>
      <c r="AB59" s="21" t="b">
        <v>1</v>
      </c>
      <c r="AC59" s="22">
        <f t="shared" si="4"/>
        <v>0</v>
      </c>
      <c r="AD59" s="32"/>
      <c r="AE59" s="32"/>
    </row>
    <row r="60" spans="1:31" ht="15">
      <c r="A60" s="10">
        <f t="shared" si="0"/>
        <v>0</v>
      </c>
      <c r="B60" s="13"/>
      <c r="C60" s="13"/>
      <c r="D60" s="13"/>
      <c r="E60" s="13"/>
      <c r="F60" s="13"/>
      <c r="G60" s="13"/>
      <c r="H60" s="13"/>
      <c r="I60" s="13"/>
      <c r="J60" s="13"/>
      <c r="K60" s="13"/>
      <c r="L60" s="27"/>
      <c r="M60" s="16"/>
      <c r="N60" s="16" t="s">
        <v>280</v>
      </c>
      <c r="O60" s="16"/>
      <c r="P60" s="16"/>
      <c r="Q60" s="16"/>
      <c r="R60" s="16"/>
      <c r="S60" s="17"/>
      <c r="T60" s="17"/>
      <c r="U60" s="17"/>
      <c r="V60" s="17"/>
      <c r="W60" s="17"/>
      <c r="X60" s="17">
        <f t="shared" si="1"/>
        <v>5</v>
      </c>
      <c r="Y60" s="18">
        <f t="shared" si="2"/>
        <v>0</v>
      </c>
      <c r="Z60" s="24"/>
      <c r="AA60" s="20"/>
      <c r="AB60" s="21" t="b">
        <v>1</v>
      </c>
      <c r="AC60" s="22">
        <f t="shared" si="4"/>
        <v>0</v>
      </c>
      <c r="AD60" s="32"/>
      <c r="AE60" s="32"/>
    </row>
    <row r="61" spans="1:31" ht="15">
      <c r="A61" s="10">
        <f t="shared" si="0"/>
        <v>0</v>
      </c>
      <c r="B61" s="13"/>
      <c r="C61" s="13"/>
      <c r="D61" s="13"/>
      <c r="E61" s="13"/>
      <c r="F61" s="13"/>
      <c r="G61" s="13"/>
      <c r="H61" s="13"/>
      <c r="I61" s="13"/>
      <c r="J61" s="13"/>
      <c r="K61" s="13"/>
      <c r="L61" s="27"/>
      <c r="M61" s="16"/>
      <c r="N61" s="16" t="s">
        <v>281</v>
      </c>
      <c r="O61" s="16"/>
      <c r="P61" s="16"/>
      <c r="Q61" s="16"/>
      <c r="R61" s="16"/>
      <c r="S61" s="17"/>
      <c r="T61" s="17"/>
      <c r="U61" s="17"/>
      <c r="V61" s="17"/>
      <c r="W61" s="17"/>
      <c r="X61" s="17">
        <f t="shared" si="1"/>
        <v>5</v>
      </c>
      <c r="Y61" s="18">
        <f t="shared" si="2"/>
        <v>0</v>
      </c>
      <c r="Z61" s="24"/>
      <c r="AA61" s="20"/>
      <c r="AB61" s="21" t="b">
        <v>1</v>
      </c>
      <c r="AC61" s="22">
        <f t="shared" si="4"/>
        <v>0</v>
      </c>
      <c r="AD61" s="32"/>
      <c r="AE61" s="32"/>
    </row>
    <row r="62" spans="1:31" ht="15">
      <c r="A62" s="10">
        <f t="shared" si="0"/>
        <v>0</v>
      </c>
      <c r="B62" s="13"/>
      <c r="C62" s="13"/>
      <c r="D62" s="13"/>
      <c r="E62" s="13"/>
      <c r="F62" s="13"/>
      <c r="G62" s="13"/>
      <c r="H62" s="13"/>
      <c r="I62" s="13"/>
      <c r="J62" s="13"/>
      <c r="K62" s="13"/>
      <c r="L62" s="27"/>
      <c r="M62" s="16"/>
      <c r="N62" s="16" t="s">
        <v>266</v>
      </c>
      <c r="O62" s="16"/>
      <c r="P62" s="16"/>
      <c r="Q62" s="16"/>
      <c r="R62" s="16"/>
      <c r="S62" s="17"/>
      <c r="T62" s="17"/>
      <c r="U62" s="17"/>
      <c r="V62" s="17"/>
      <c r="W62" s="17"/>
      <c r="X62" s="17">
        <f t="shared" si="1"/>
        <v>5</v>
      </c>
      <c r="Y62" s="18">
        <f t="shared" si="2"/>
        <v>0</v>
      </c>
      <c r="Z62" s="24"/>
      <c r="AA62" s="20"/>
      <c r="AB62" s="21" t="b">
        <v>1</v>
      </c>
      <c r="AC62" s="22">
        <f t="shared" si="4"/>
        <v>0</v>
      </c>
      <c r="AD62" s="32"/>
      <c r="AE62" s="32"/>
    </row>
    <row r="63" spans="1:31" ht="15">
      <c r="A63" s="10">
        <f t="shared" si="0"/>
        <v>0</v>
      </c>
      <c r="B63" s="13"/>
      <c r="C63" s="13"/>
      <c r="D63" s="13"/>
      <c r="E63" s="13"/>
      <c r="F63" s="13"/>
      <c r="G63" s="13"/>
      <c r="H63" s="13"/>
      <c r="I63" s="13"/>
      <c r="J63" s="13"/>
      <c r="K63" s="13"/>
      <c r="L63" s="27"/>
      <c r="M63" s="16"/>
      <c r="N63" s="16" t="s">
        <v>267</v>
      </c>
      <c r="O63" s="16"/>
      <c r="P63" s="16"/>
      <c r="Q63" s="16"/>
      <c r="R63" s="16"/>
      <c r="S63" s="17"/>
      <c r="T63" s="17"/>
      <c r="U63" s="17"/>
      <c r="V63" s="17"/>
      <c r="W63" s="17"/>
      <c r="X63" s="17">
        <f t="shared" si="1"/>
        <v>5</v>
      </c>
      <c r="Y63" s="18">
        <f t="shared" si="2"/>
        <v>0</v>
      </c>
      <c r="Z63" s="24"/>
      <c r="AA63" s="20"/>
      <c r="AB63" s="21" t="b">
        <v>1</v>
      </c>
      <c r="AC63" s="22">
        <f t="shared" si="4"/>
        <v>0</v>
      </c>
      <c r="AD63" s="32"/>
      <c r="AE63" s="32"/>
    </row>
    <row r="64" spans="1:31" ht="15">
      <c r="A64" s="10">
        <f t="shared" si="0"/>
        <v>0</v>
      </c>
      <c r="B64" s="13"/>
      <c r="C64" s="13"/>
      <c r="D64" s="13"/>
      <c r="E64" s="13"/>
      <c r="F64" s="13"/>
      <c r="G64" s="13"/>
      <c r="H64" s="13"/>
      <c r="I64" s="13"/>
      <c r="J64" s="13"/>
      <c r="K64" s="13"/>
      <c r="L64" s="27"/>
      <c r="M64" s="16"/>
      <c r="N64" s="16" t="s">
        <v>268</v>
      </c>
      <c r="O64" s="16"/>
      <c r="P64" s="16"/>
      <c r="Q64" s="16"/>
      <c r="R64" s="16"/>
      <c r="S64" s="17"/>
      <c r="T64" s="17"/>
      <c r="U64" s="17"/>
      <c r="V64" s="17"/>
      <c r="W64" s="17"/>
      <c r="X64" s="17">
        <f t="shared" si="1"/>
        <v>5</v>
      </c>
      <c r="Y64" s="18">
        <f t="shared" si="2"/>
        <v>0</v>
      </c>
      <c r="Z64" s="24"/>
      <c r="AA64" s="20"/>
      <c r="AB64" s="21" t="b">
        <v>1</v>
      </c>
      <c r="AC64" s="22">
        <f t="shared" si="4"/>
        <v>0</v>
      </c>
      <c r="AD64" s="28"/>
      <c r="AE64" s="28"/>
    </row>
    <row r="65" spans="1:31" ht="15">
      <c r="A65" s="10">
        <f t="shared" si="0"/>
        <v>0</v>
      </c>
      <c r="B65" s="13"/>
      <c r="C65" s="13"/>
      <c r="D65" s="13"/>
      <c r="E65" s="13"/>
      <c r="F65" s="13"/>
      <c r="G65" s="13"/>
      <c r="H65" s="13"/>
      <c r="I65" s="13"/>
      <c r="J65" s="13"/>
      <c r="K65" s="13"/>
      <c r="L65" s="27"/>
      <c r="M65" s="27" t="s">
        <v>269</v>
      </c>
      <c r="N65" s="16"/>
      <c r="O65" s="16"/>
      <c r="P65" s="16"/>
      <c r="Q65" s="16"/>
      <c r="R65" s="16"/>
      <c r="S65" s="17"/>
      <c r="T65" s="17"/>
      <c r="U65" s="17"/>
      <c r="V65" s="17"/>
      <c r="W65" s="17"/>
      <c r="X65" s="17">
        <f t="shared" si="1"/>
        <v>5</v>
      </c>
      <c r="Y65" s="18">
        <f t="shared" si="2"/>
        <v>0</v>
      </c>
      <c r="Z65" s="24"/>
      <c r="AA65" s="20"/>
      <c r="AB65" s="21" t="b">
        <v>1</v>
      </c>
      <c r="AC65" s="22">
        <f t="shared" si="4"/>
        <v>0</v>
      </c>
      <c r="AD65" s="32"/>
      <c r="AE65" s="32"/>
    </row>
    <row r="66" spans="1:31" ht="15">
      <c r="A66" s="10">
        <f t="shared" si="0"/>
        <v>0</v>
      </c>
      <c r="B66" s="13"/>
      <c r="C66" s="13"/>
      <c r="D66" s="13"/>
      <c r="E66" s="13"/>
      <c r="F66" s="13"/>
      <c r="G66" s="13"/>
      <c r="H66" s="13"/>
      <c r="I66" s="13"/>
      <c r="J66" s="13"/>
      <c r="K66" s="13"/>
      <c r="L66" s="27"/>
      <c r="M66" s="27"/>
      <c r="N66" s="16" t="s">
        <v>282</v>
      </c>
      <c r="O66" s="16"/>
      <c r="P66" s="16"/>
      <c r="Q66" s="16"/>
      <c r="R66" s="16"/>
      <c r="S66" s="17"/>
      <c r="T66" s="17"/>
      <c r="U66" s="17"/>
      <c r="V66" s="17"/>
      <c r="W66" s="17"/>
      <c r="X66" s="17">
        <f t="shared" si="1"/>
        <v>5</v>
      </c>
      <c r="Y66" s="18">
        <f t="shared" si="2"/>
        <v>0</v>
      </c>
      <c r="Z66" s="24"/>
      <c r="AA66" s="20"/>
      <c r="AB66" s="21" t="b">
        <v>1</v>
      </c>
      <c r="AC66" s="22">
        <f t="shared" si="4"/>
        <v>0</v>
      </c>
      <c r="AD66" s="32"/>
      <c r="AE66" s="32"/>
    </row>
    <row r="67" spans="1:31" ht="15">
      <c r="A67" s="10">
        <f t="shared" si="0"/>
        <v>0</v>
      </c>
      <c r="B67" s="13"/>
      <c r="C67" s="13"/>
      <c r="D67" s="13"/>
      <c r="E67" s="13"/>
      <c r="F67" s="13"/>
      <c r="G67" s="13"/>
      <c r="H67" s="13"/>
      <c r="I67" s="13"/>
      <c r="J67" s="13"/>
      <c r="K67" s="13"/>
      <c r="L67" s="27"/>
      <c r="M67" s="16"/>
      <c r="N67" s="27"/>
      <c r="O67" s="16" t="s">
        <v>283</v>
      </c>
      <c r="P67" s="16"/>
      <c r="Q67" s="16"/>
      <c r="R67" s="16"/>
      <c r="S67" s="17"/>
      <c r="T67" s="17"/>
      <c r="U67" s="17"/>
      <c r="V67" s="17"/>
      <c r="W67" s="17"/>
      <c r="X67" s="17">
        <f t="shared" si="1"/>
        <v>5</v>
      </c>
      <c r="Y67" s="18">
        <f t="shared" si="2"/>
        <v>0</v>
      </c>
      <c r="Z67" s="24"/>
      <c r="AA67" s="20"/>
      <c r="AB67" s="21" t="b">
        <v>1</v>
      </c>
      <c r="AC67" s="22">
        <f t="shared" si="4"/>
        <v>0</v>
      </c>
      <c r="AD67" s="32"/>
      <c r="AE67" s="32"/>
    </row>
    <row r="68" spans="1:31" ht="15">
      <c r="A68" s="10">
        <f t="shared" si="0"/>
        <v>0</v>
      </c>
      <c r="B68" s="13"/>
      <c r="C68" s="13"/>
      <c r="D68" s="13"/>
      <c r="E68" s="13"/>
      <c r="F68" s="13"/>
      <c r="G68" s="13"/>
      <c r="H68" s="13"/>
      <c r="I68" s="13"/>
      <c r="J68" s="13"/>
      <c r="K68" s="13"/>
      <c r="L68" s="27"/>
      <c r="M68" s="16"/>
      <c r="N68" s="16"/>
      <c r="O68" s="16" t="s">
        <v>284</v>
      </c>
      <c r="P68" s="16"/>
      <c r="Q68" s="16"/>
      <c r="R68" s="16"/>
      <c r="S68" s="17"/>
      <c r="T68" s="17"/>
      <c r="U68" s="17"/>
      <c r="V68" s="17"/>
      <c r="W68" s="17"/>
      <c r="X68" s="17">
        <f t="shared" si="1"/>
        <v>5</v>
      </c>
      <c r="Y68" s="18">
        <f t="shared" si="2"/>
        <v>0</v>
      </c>
      <c r="Z68" s="24"/>
      <c r="AA68" s="20"/>
      <c r="AB68" s="21" t="b">
        <v>1</v>
      </c>
      <c r="AC68" s="22">
        <f t="shared" si="4"/>
        <v>0</v>
      </c>
      <c r="AD68" s="32"/>
      <c r="AE68" s="32"/>
    </row>
    <row r="69" spans="1:31" ht="15">
      <c r="A69" s="10">
        <f t="shared" si="0"/>
        <v>0</v>
      </c>
      <c r="B69" s="13"/>
      <c r="C69" s="13"/>
      <c r="D69" s="13"/>
      <c r="E69" s="13"/>
      <c r="F69" s="13"/>
      <c r="G69" s="13"/>
      <c r="H69" s="13"/>
      <c r="I69" s="13"/>
      <c r="J69" s="13"/>
      <c r="K69" s="13"/>
      <c r="L69" s="27"/>
      <c r="M69" s="16"/>
      <c r="N69" s="16"/>
      <c r="O69" s="16" t="s">
        <v>285</v>
      </c>
      <c r="P69" s="16"/>
      <c r="Q69" s="16"/>
      <c r="R69" s="16"/>
      <c r="S69" s="17"/>
      <c r="T69" s="17"/>
      <c r="U69" s="17"/>
      <c r="V69" s="17"/>
      <c r="W69" s="17"/>
      <c r="X69" s="17">
        <f t="shared" si="1"/>
        <v>5</v>
      </c>
      <c r="Y69" s="18">
        <f t="shared" si="2"/>
        <v>0</v>
      </c>
      <c r="Z69" s="24"/>
      <c r="AA69" s="20"/>
      <c r="AB69" s="21" t="b">
        <v>1</v>
      </c>
      <c r="AC69" s="22">
        <f t="shared" si="4"/>
        <v>0</v>
      </c>
      <c r="AD69" s="32"/>
      <c r="AE69" s="32"/>
    </row>
    <row r="70" spans="1:31" ht="15">
      <c r="A70" s="10">
        <f t="shared" si="0"/>
        <v>0</v>
      </c>
      <c r="B70" s="13"/>
      <c r="C70" s="13"/>
      <c r="D70" s="13"/>
      <c r="E70" s="13"/>
      <c r="F70" s="13"/>
      <c r="G70" s="13"/>
      <c r="H70" s="13"/>
      <c r="I70" s="13"/>
      <c r="J70" s="13"/>
      <c r="K70" s="13"/>
      <c r="L70" s="27"/>
      <c r="M70" s="16"/>
      <c r="N70" s="16"/>
      <c r="O70" s="16" t="s">
        <v>286</v>
      </c>
      <c r="P70" s="16"/>
      <c r="Q70" s="16"/>
      <c r="R70" s="16"/>
      <c r="S70" s="17"/>
      <c r="T70" s="17"/>
      <c r="U70" s="17"/>
      <c r="V70" s="17"/>
      <c r="W70" s="17"/>
      <c r="X70" s="17">
        <f t="shared" si="1"/>
        <v>5</v>
      </c>
      <c r="Y70" s="18">
        <f t="shared" si="2"/>
        <v>0</v>
      </c>
      <c r="Z70" s="24"/>
      <c r="AA70" s="20"/>
      <c r="AB70" s="21" t="b">
        <v>1</v>
      </c>
      <c r="AC70" s="22">
        <f t="shared" si="4"/>
        <v>0</v>
      </c>
      <c r="AD70" s="32"/>
      <c r="AE70" s="32"/>
    </row>
    <row r="71" spans="1:31" ht="15">
      <c r="A71" s="10">
        <f t="shared" si="0"/>
        <v>0</v>
      </c>
      <c r="B71" s="13"/>
      <c r="C71" s="13"/>
      <c r="D71" s="13"/>
      <c r="E71" s="13"/>
      <c r="F71" s="13"/>
      <c r="G71" s="13"/>
      <c r="H71" s="13"/>
      <c r="I71" s="13"/>
      <c r="J71" s="13"/>
      <c r="K71" s="13"/>
      <c r="L71" s="27"/>
      <c r="M71" s="27" t="s">
        <v>287</v>
      </c>
      <c r="N71" s="16"/>
      <c r="O71" s="16"/>
      <c r="P71" s="16"/>
      <c r="Q71" s="16"/>
      <c r="R71" s="16"/>
      <c r="S71" s="17"/>
      <c r="T71" s="17"/>
      <c r="U71" s="17"/>
      <c r="V71" s="17"/>
      <c r="W71" s="17"/>
      <c r="X71" s="17">
        <f t="shared" si="1"/>
        <v>5</v>
      </c>
      <c r="Y71" s="18">
        <f t="shared" si="2"/>
        <v>0</v>
      </c>
      <c r="Z71" s="24"/>
      <c r="AA71" s="20"/>
      <c r="AB71" s="21" t="b">
        <v>1</v>
      </c>
      <c r="AC71" s="22">
        <f t="shared" si="4"/>
        <v>0</v>
      </c>
      <c r="AD71" s="32"/>
      <c r="AE71" s="32"/>
    </row>
    <row r="72" spans="1:31" ht="15">
      <c r="A72" s="10">
        <f t="shared" si="0"/>
        <v>0</v>
      </c>
      <c r="B72" s="13"/>
      <c r="C72" s="13"/>
      <c r="D72" s="13"/>
      <c r="E72" s="13"/>
      <c r="F72" s="13"/>
      <c r="G72" s="13"/>
      <c r="H72" s="13"/>
      <c r="I72" s="13"/>
      <c r="J72" s="13"/>
      <c r="K72" s="13"/>
      <c r="L72" s="27"/>
      <c r="M72" s="27" t="s">
        <v>288</v>
      </c>
      <c r="N72" s="16"/>
      <c r="O72" s="16"/>
      <c r="P72" s="16"/>
      <c r="Q72" s="16"/>
      <c r="R72" s="16"/>
      <c r="S72" s="17"/>
      <c r="T72" s="17"/>
      <c r="U72" s="17"/>
      <c r="V72" s="17"/>
      <c r="W72" s="17"/>
      <c r="X72" s="17">
        <f t="shared" si="1"/>
        <v>5</v>
      </c>
      <c r="Y72" s="18">
        <f t="shared" si="2"/>
        <v>0</v>
      </c>
      <c r="Z72" s="24"/>
      <c r="AA72" s="20"/>
      <c r="AB72" s="21" t="b">
        <v>1</v>
      </c>
      <c r="AC72" s="22">
        <f t="shared" si="4"/>
        <v>0</v>
      </c>
      <c r="AD72" s="32"/>
      <c r="AE72" s="32"/>
    </row>
    <row r="73" spans="1:31" ht="15">
      <c r="A73" s="10">
        <f t="shared" si="0"/>
        <v>0</v>
      </c>
      <c r="B73" s="13"/>
      <c r="C73" s="13"/>
      <c r="D73" s="13"/>
      <c r="E73" s="13"/>
      <c r="F73" s="13"/>
      <c r="G73" s="13"/>
      <c r="H73" s="13"/>
      <c r="I73" s="13"/>
      <c r="J73" s="13"/>
      <c r="K73" s="13"/>
      <c r="L73" s="27"/>
      <c r="M73" s="16"/>
      <c r="N73" s="16"/>
      <c r="O73" s="16"/>
      <c r="P73" s="16"/>
      <c r="Q73" s="16"/>
      <c r="R73" s="16"/>
      <c r="S73" s="17"/>
      <c r="T73" s="17"/>
      <c r="U73" s="17"/>
      <c r="V73" s="17"/>
      <c r="W73" s="17"/>
      <c r="X73" s="17">
        <f t="shared" si="1"/>
        <v>5</v>
      </c>
      <c r="Y73" s="18">
        <f t="shared" si="2"/>
        <v>0</v>
      </c>
      <c r="Z73" s="24"/>
      <c r="AA73" s="20"/>
      <c r="AB73" s="21" t="b">
        <v>1</v>
      </c>
      <c r="AC73" s="22">
        <f t="shared" si="4"/>
        <v>0</v>
      </c>
      <c r="AD73" s="32"/>
      <c r="AE73" s="32"/>
    </row>
    <row r="74" spans="1:31" ht="15">
      <c r="A74" s="10">
        <f t="shared" si="0"/>
        <v>0</v>
      </c>
      <c r="B74" s="13"/>
      <c r="C74" s="13"/>
      <c r="D74" s="13"/>
      <c r="E74" s="13"/>
      <c r="F74" s="13"/>
      <c r="G74" s="13"/>
      <c r="H74" s="13"/>
      <c r="I74" s="13"/>
      <c r="J74" s="13"/>
      <c r="K74" s="13"/>
      <c r="L74" s="27"/>
      <c r="M74" s="27" t="s">
        <v>289</v>
      </c>
      <c r="N74" s="16"/>
      <c r="O74" s="16"/>
      <c r="P74" s="16"/>
      <c r="Q74" s="16"/>
      <c r="R74" s="16"/>
      <c r="S74" s="17"/>
      <c r="T74" s="17"/>
      <c r="U74" s="17"/>
      <c r="V74" s="17"/>
      <c r="W74" s="17"/>
      <c r="X74" s="17">
        <f t="shared" si="1"/>
        <v>5</v>
      </c>
      <c r="Y74" s="18">
        <f t="shared" si="2"/>
        <v>0</v>
      </c>
      <c r="Z74" s="24"/>
      <c r="AA74" s="20"/>
      <c r="AB74" s="21" t="b">
        <v>1</v>
      </c>
      <c r="AC74" s="22">
        <f t="shared" si="4"/>
        <v>0</v>
      </c>
      <c r="AD74" s="32"/>
      <c r="AE74" s="32"/>
    </row>
    <row r="75" spans="1:31" ht="15">
      <c r="A75" s="10">
        <f t="shared" si="0"/>
        <v>0</v>
      </c>
      <c r="B75" s="13"/>
      <c r="C75" s="13"/>
      <c r="D75" s="13"/>
      <c r="E75" s="13"/>
      <c r="F75" s="13"/>
      <c r="G75" s="13"/>
      <c r="H75" s="13"/>
      <c r="I75" s="13"/>
      <c r="J75" s="13"/>
      <c r="K75" s="13"/>
      <c r="L75" s="27"/>
      <c r="M75" s="16"/>
      <c r="N75" s="16" t="s">
        <v>290</v>
      </c>
      <c r="O75" s="16"/>
      <c r="P75" s="16"/>
      <c r="Q75" s="16"/>
      <c r="R75" s="16"/>
      <c r="S75" s="17"/>
      <c r="T75" s="17"/>
      <c r="U75" s="17"/>
      <c r="V75" s="17"/>
      <c r="W75" s="17"/>
      <c r="X75" s="17">
        <f t="shared" si="1"/>
        <v>5</v>
      </c>
      <c r="Y75" s="18">
        <f t="shared" si="2"/>
        <v>0</v>
      </c>
      <c r="Z75" s="24"/>
      <c r="AA75" s="20"/>
      <c r="AB75" s="21" t="b">
        <v>1</v>
      </c>
      <c r="AC75" s="22">
        <f t="shared" si="4"/>
        <v>0</v>
      </c>
      <c r="AD75" s="28"/>
      <c r="AE75" s="28"/>
    </row>
    <row r="76" spans="1:31" ht="15">
      <c r="A76" s="10">
        <f t="shared" si="0"/>
        <v>0</v>
      </c>
      <c r="B76" s="13"/>
      <c r="C76" s="13"/>
      <c r="D76" s="13"/>
      <c r="E76" s="13"/>
      <c r="F76" s="13"/>
      <c r="G76" s="13"/>
      <c r="H76" s="13"/>
      <c r="I76" s="13"/>
      <c r="J76" s="13"/>
      <c r="K76" s="13"/>
      <c r="L76" s="27"/>
      <c r="M76" s="16"/>
      <c r="N76" s="85" t="s">
        <v>291</v>
      </c>
      <c r="O76" s="16"/>
      <c r="P76" s="16"/>
      <c r="Q76" s="16"/>
      <c r="R76" s="16"/>
      <c r="S76" s="17"/>
      <c r="T76" s="17"/>
      <c r="U76" s="17"/>
      <c r="V76" s="17"/>
      <c r="W76" s="17"/>
      <c r="X76" s="17">
        <f t="shared" si="1"/>
        <v>5</v>
      </c>
      <c r="Y76" s="18">
        <f t="shared" si="2"/>
        <v>0</v>
      </c>
      <c r="Z76" s="24"/>
      <c r="AA76" s="20"/>
      <c r="AB76" s="21" t="b">
        <v>1</v>
      </c>
      <c r="AC76" s="22">
        <f t="shared" si="4"/>
        <v>0</v>
      </c>
      <c r="AD76" s="28"/>
      <c r="AE76" s="28"/>
    </row>
    <row r="77" spans="1:31" ht="15">
      <c r="A77" s="10">
        <f t="shared" si="0"/>
        <v>0</v>
      </c>
      <c r="B77" s="13"/>
      <c r="C77" s="13"/>
      <c r="D77" s="13"/>
      <c r="E77" s="13"/>
      <c r="F77" s="13"/>
      <c r="G77" s="13"/>
      <c r="H77" s="13"/>
      <c r="I77" s="13"/>
      <c r="J77" s="13"/>
      <c r="K77" s="13"/>
      <c r="L77" s="27"/>
      <c r="M77" s="16"/>
      <c r="N77" s="85" t="s">
        <v>292</v>
      </c>
      <c r="O77" s="16"/>
      <c r="P77" s="16"/>
      <c r="Q77" s="16"/>
      <c r="R77" s="16"/>
      <c r="S77" s="17"/>
      <c r="T77" s="17"/>
      <c r="U77" s="17"/>
      <c r="V77" s="17"/>
      <c r="W77" s="17"/>
      <c r="X77" s="17">
        <f t="shared" si="1"/>
        <v>5</v>
      </c>
      <c r="Y77" s="18">
        <f t="shared" si="2"/>
        <v>0</v>
      </c>
      <c r="Z77" s="24"/>
      <c r="AA77" s="20"/>
      <c r="AB77" s="21" t="b">
        <v>1</v>
      </c>
      <c r="AC77" s="22">
        <f t="shared" si="4"/>
        <v>0</v>
      </c>
      <c r="AD77" s="28"/>
      <c r="AE77" s="28"/>
    </row>
    <row r="78" spans="1:31" ht="15">
      <c r="A78" s="10">
        <f t="shared" si="0"/>
        <v>0</v>
      </c>
      <c r="B78" s="13"/>
      <c r="C78" s="13"/>
      <c r="D78" s="13"/>
      <c r="E78" s="13"/>
      <c r="F78" s="13"/>
      <c r="G78" s="13"/>
      <c r="H78" s="13"/>
      <c r="I78" s="13"/>
      <c r="J78" s="13"/>
      <c r="K78" s="13"/>
      <c r="L78" s="27"/>
      <c r="M78" s="16"/>
      <c r="N78" s="16"/>
      <c r="O78" s="16" t="s">
        <v>293</v>
      </c>
      <c r="P78" s="16"/>
      <c r="Q78" s="16"/>
      <c r="R78" s="16"/>
      <c r="S78" s="17"/>
      <c r="T78" s="17"/>
      <c r="U78" s="17"/>
      <c r="V78" s="17"/>
      <c r="W78" s="17"/>
      <c r="X78" s="17">
        <f t="shared" si="1"/>
        <v>5</v>
      </c>
      <c r="Y78" s="18">
        <f t="shared" si="2"/>
        <v>0</v>
      </c>
      <c r="Z78" s="24"/>
      <c r="AA78" s="20"/>
      <c r="AB78" s="21" t="b">
        <v>1</v>
      </c>
      <c r="AC78" s="22">
        <f t="shared" si="4"/>
        <v>0</v>
      </c>
      <c r="AD78" s="28"/>
      <c r="AE78" s="28"/>
    </row>
    <row r="79" spans="1:31" ht="15">
      <c r="A79" s="10">
        <f t="shared" si="0"/>
        <v>0</v>
      </c>
      <c r="B79" s="13"/>
      <c r="C79" s="13"/>
      <c r="D79" s="13"/>
      <c r="E79" s="13"/>
      <c r="F79" s="13"/>
      <c r="G79" s="13"/>
      <c r="H79" s="13"/>
      <c r="I79" s="13"/>
      <c r="J79" s="13"/>
      <c r="K79" s="13"/>
      <c r="L79" s="27"/>
      <c r="M79" s="16"/>
      <c r="N79" s="16"/>
      <c r="O79" s="16" t="s">
        <v>294</v>
      </c>
      <c r="P79" s="16"/>
      <c r="Q79" s="16"/>
      <c r="R79" s="16"/>
      <c r="S79" s="17"/>
      <c r="T79" s="17"/>
      <c r="U79" s="17"/>
      <c r="V79" s="17"/>
      <c r="W79" s="17"/>
      <c r="X79" s="17">
        <f t="shared" si="1"/>
        <v>5</v>
      </c>
      <c r="Y79" s="18">
        <f t="shared" si="2"/>
        <v>0</v>
      </c>
      <c r="Z79" s="24"/>
      <c r="AA79" s="20"/>
      <c r="AB79" s="21" t="b">
        <v>1</v>
      </c>
      <c r="AC79" s="22">
        <f t="shared" si="4"/>
        <v>0</v>
      </c>
      <c r="AD79" s="28"/>
      <c r="AE79" s="28"/>
    </row>
    <row r="80" spans="1:31" ht="15">
      <c r="A80" s="10">
        <f t="shared" si="0"/>
        <v>0</v>
      </c>
      <c r="B80" s="13"/>
      <c r="C80" s="23"/>
      <c r="D80" s="13"/>
      <c r="E80" s="23"/>
      <c r="F80" s="13"/>
      <c r="G80" s="23"/>
      <c r="H80" s="23"/>
      <c r="I80" s="23"/>
      <c r="J80" s="23"/>
      <c r="K80" s="23"/>
      <c r="L80" s="27"/>
      <c r="M80" s="16"/>
      <c r="N80" s="16"/>
      <c r="O80" s="16" t="s">
        <v>295</v>
      </c>
      <c r="P80" s="16"/>
      <c r="Q80" s="16"/>
      <c r="R80" s="17"/>
      <c r="S80" s="17"/>
      <c r="T80" s="17"/>
      <c r="U80" s="17"/>
      <c r="V80" s="17"/>
      <c r="W80" s="17"/>
      <c r="X80" s="17">
        <f t="shared" si="1"/>
        <v>5</v>
      </c>
      <c r="Y80" s="18">
        <f t="shared" si="2"/>
        <v>0</v>
      </c>
      <c r="Z80" s="24"/>
      <c r="AA80" s="20"/>
      <c r="AB80" s="21" t="b">
        <v>1</v>
      </c>
      <c r="AC80" s="22">
        <f t="shared" si="4"/>
        <v>0</v>
      </c>
      <c r="AD80" s="23"/>
      <c r="AE80" s="23"/>
    </row>
    <row r="81" spans="1:31" ht="15">
      <c r="A81" s="10">
        <f t="shared" si="0"/>
        <v>0</v>
      </c>
      <c r="B81" s="23"/>
      <c r="C81" s="23"/>
      <c r="D81" s="23"/>
      <c r="E81" s="23"/>
      <c r="F81" s="23"/>
      <c r="G81" s="23"/>
      <c r="H81" s="23"/>
      <c r="I81" s="23"/>
      <c r="J81" s="23"/>
      <c r="K81" s="23"/>
      <c r="L81" s="27"/>
      <c r="M81" s="16"/>
      <c r="N81" s="16"/>
      <c r="O81" s="16" t="s">
        <v>296</v>
      </c>
      <c r="P81" s="16"/>
      <c r="Q81" s="16"/>
      <c r="R81" s="17"/>
      <c r="S81" s="17"/>
      <c r="T81" s="17"/>
      <c r="U81" s="17"/>
      <c r="V81" s="17"/>
      <c r="W81" s="17"/>
      <c r="X81" s="17">
        <f t="shared" si="1"/>
        <v>5</v>
      </c>
      <c r="Y81" s="18">
        <f t="shared" si="2"/>
        <v>0</v>
      </c>
      <c r="Z81" s="24"/>
      <c r="AA81" s="20"/>
      <c r="AB81" s="21" t="b">
        <v>1</v>
      </c>
      <c r="AC81" s="22">
        <f t="shared" si="4"/>
        <v>0</v>
      </c>
      <c r="AD81" s="23"/>
      <c r="AE81" s="23"/>
    </row>
    <row r="82" spans="1:31" ht="15">
      <c r="A82" s="10">
        <f t="shared" si="0"/>
        <v>0</v>
      </c>
      <c r="B82" s="23"/>
      <c r="C82" s="23"/>
      <c r="D82" s="23"/>
      <c r="E82" s="23"/>
      <c r="F82" s="23"/>
      <c r="G82" s="23"/>
      <c r="H82" s="23"/>
      <c r="I82" s="23"/>
      <c r="J82" s="23"/>
      <c r="K82" s="23"/>
      <c r="L82" s="27"/>
      <c r="M82" s="16"/>
      <c r="N82" s="16"/>
      <c r="O82" s="16" t="s">
        <v>297</v>
      </c>
      <c r="P82" s="16"/>
      <c r="Q82" s="16"/>
      <c r="R82" s="17"/>
      <c r="S82" s="17"/>
      <c r="T82" s="17"/>
      <c r="U82" s="17"/>
      <c r="V82" s="17"/>
      <c r="W82" s="17"/>
      <c r="X82" s="17">
        <f t="shared" si="1"/>
        <v>5</v>
      </c>
      <c r="Y82" s="18">
        <f t="shared" si="2"/>
        <v>0</v>
      </c>
      <c r="Z82" s="24"/>
      <c r="AA82" s="20"/>
      <c r="AB82" s="21" t="b">
        <v>1</v>
      </c>
      <c r="AC82" s="22">
        <f t="shared" si="4"/>
        <v>0</v>
      </c>
      <c r="AD82" s="23"/>
      <c r="AE82" s="23"/>
    </row>
    <row r="83" spans="1:31" ht="15">
      <c r="A83" s="10">
        <f t="shared" si="0"/>
        <v>0</v>
      </c>
      <c r="B83" s="23"/>
      <c r="C83" s="23"/>
      <c r="D83" s="13"/>
      <c r="E83" s="23"/>
      <c r="F83" s="13"/>
      <c r="G83" s="23"/>
      <c r="H83" s="23"/>
      <c r="I83" s="23"/>
      <c r="J83" s="23"/>
      <c r="K83" s="23"/>
      <c r="L83" s="27"/>
      <c r="M83" s="16"/>
      <c r="N83" s="16"/>
      <c r="O83" s="16" t="s">
        <v>298</v>
      </c>
      <c r="P83" s="16"/>
      <c r="Q83" s="16"/>
      <c r="R83" s="17"/>
      <c r="S83" s="17"/>
      <c r="T83" s="17"/>
      <c r="U83" s="17"/>
      <c r="V83" s="17"/>
      <c r="W83" s="17"/>
      <c r="X83" s="17">
        <f t="shared" si="1"/>
        <v>5</v>
      </c>
      <c r="Y83" s="18">
        <f t="shared" si="2"/>
        <v>0</v>
      </c>
      <c r="Z83" s="24"/>
      <c r="AA83" s="20"/>
      <c r="AB83" s="21" t="b">
        <v>1</v>
      </c>
      <c r="AC83" s="22">
        <f t="shared" si="4"/>
        <v>0</v>
      </c>
      <c r="AD83" s="23"/>
      <c r="AE83" s="23"/>
    </row>
    <row r="84" spans="1:31" ht="15">
      <c r="A84" s="10">
        <f t="shared" si="0"/>
        <v>0</v>
      </c>
      <c r="B84" s="23"/>
      <c r="C84" s="23"/>
      <c r="D84" s="23"/>
      <c r="E84" s="23"/>
      <c r="F84" s="23"/>
      <c r="G84" s="23"/>
      <c r="H84" s="23"/>
      <c r="I84" s="23"/>
      <c r="J84" s="23"/>
      <c r="K84" s="23"/>
      <c r="L84" s="27"/>
      <c r="M84" s="16"/>
      <c r="N84" s="85" t="s">
        <v>299</v>
      </c>
      <c r="O84" s="16"/>
      <c r="P84" s="16"/>
      <c r="Q84" s="16"/>
      <c r="R84" s="17"/>
      <c r="S84" s="17"/>
      <c r="T84" s="17"/>
      <c r="U84" s="17"/>
      <c r="V84" s="17"/>
      <c r="W84" s="17"/>
      <c r="X84" s="17">
        <f t="shared" si="1"/>
        <v>5</v>
      </c>
      <c r="Y84" s="18">
        <f t="shared" si="2"/>
        <v>0</v>
      </c>
      <c r="Z84" s="24"/>
      <c r="AA84" s="20"/>
      <c r="AB84" s="21" t="b">
        <v>1</v>
      </c>
      <c r="AC84" s="22">
        <f t="shared" si="4"/>
        <v>0</v>
      </c>
      <c r="AD84" s="23"/>
      <c r="AE84" s="23"/>
    </row>
    <row r="85" spans="1:31" ht="15">
      <c r="A85" s="10">
        <f t="shared" si="0"/>
        <v>0</v>
      </c>
      <c r="B85" s="13"/>
      <c r="C85" s="13"/>
      <c r="D85" s="13"/>
      <c r="E85" s="13"/>
      <c r="F85" s="13"/>
      <c r="G85" s="13"/>
      <c r="H85" s="13"/>
      <c r="I85" s="13"/>
      <c r="J85" s="13"/>
      <c r="K85" s="13"/>
      <c r="L85" s="27"/>
      <c r="M85" s="16"/>
      <c r="N85" s="16"/>
      <c r="O85" s="16" t="s">
        <v>300</v>
      </c>
      <c r="P85" s="16"/>
      <c r="Q85" s="16"/>
      <c r="R85" s="16"/>
      <c r="S85" s="17"/>
      <c r="T85" s="17"/>
      <c r="U85" s="17"/>
      <c r="V85" s="17"/>
      <c r="W85" s="17"/>
      <c r="X85" s="17">
        <f t="shared" si="1"/>
        <v>5</v>
      </c>
      <c r="Y85" s="18">
        <f t="shared" si="2"/>
        <v>0</v>
      </c>
      <c r="Z85" s="24"/>
      <c r="AA85" s="20"/>
      <c r="AB85" s="21" t="b">
        <v>1</v>
      </c>
      <c r="AC85" s="22">
        <f t="shared" si="4"/>
        <v>0</v>
      </c>
      <c r="AD85" s="32"/>
      <c r="AE85" s="32"/>
    </row>
    <row r="86" spans="1:31" ht="15">
      <c r="A86" s="10">
        <f t="shared" si="0"/>
        <v>0</v>
      </c>
      <c r="B86" s="13"/>
      <c r="C86" s="13"/>
      <c r="D86" s="13"/>
      <c r="E86" s="13"/>
      <c r="F86" s="13"/>
      <c r="G86" s="13"/>
      <c r="H86" s="13"/>
      <c r="I86" s="13"/>
      <c r="J86" s="13"/>
      <c r="K86" s="13"/>
      <c r="L86" s="27"/>
      <c r="M86" s="16"/>
      <c r="N86" s="16"/>
      <c r="O86" s="16" t="s">
        <v>301</v>
      </c>
      <c r="P86" s="16"/>
      <c r="Q86" s="16"/>
      <c r="R86" s="16"/>
      <c r="S86" s="17"/>
      <c r="T86" s="17"/>
      <c r="U86" s="17"/>
      <c r="V86" s="17"/>
      <c r="W86" s="17"/>
      <c r="X86" s="17">
        <f t="shared" si="1"/>
        <v>5</v>
      </c>
      <c r="Y86" s="18">
        <f t="shared" si="2"/>
        <v>0</v>
      </c>
      <c r="Z86" s="19"/>
      <c r="AA86" s="30"/>
      <c r="AB86" s="21" t="b">
        <v>1</v>
      </c>
      <c r="AC86" s="22">
        <f t="shared" si="4"/>
        <v>0</v>
      </c>
      <c r="AD86" s="32"/>
      <c r="AE86" s="32"/>
    </row>
    <row r="87" spans="1:31" ht="15">
      <c r="A87" s="10">
        <f t="shared" si="0"/>
        <v>0</v>
      </c>
      <c r="B87" s="13"/>
      <c r="C87" s="13"/>
      <c r="D87" s="13"/>
      <c r="E87" s="13"/>
      <c r="F87" s="13"/>
      <c r="G87" s="13"/>
      <c r="H87" s="13"/>
      <c r="I87" s="13"/>
      <c r="J87" s="13"/>
      <c r="K87" s="13"/>
      <c r="L87" s="27"/>
      <c r="M87" s="16"/>
      <c r="N87" s="85" t="s">
        <v>302</v>
      </c>
      <c r="O87" s="16"/>
      <c r="P87" s="16"/>
      <c r="Q87" s="16"/>
      <c r="R87" s="16"/>
      <c r="S87" s="17"/>
      <c r="T87" s="17"/>
      <c r="U87" s="17"/>
      <c r="V87" s="17"/>
      <c r="W87" s="17"/>
      <c r="X87" s="17">
        <f t="shared" si="1"/>
        <v>5</v>
      </c>
      <c r="Y87" s="18">
        <f t="shared" si="2"/>
        <v>0</v>
      </c>
      <c r="Z87" s="19"/>
      <c r="AA87" s="30"/>
      <c r="AB87" s="21" t="b">
        <v>1</v>
      </c>
      <c r="AC87" s="22">
        <f t="shared" si="4"/>
        <v>0</v>
      </c>
      <c r="AD87" s="32"/>
      <c r="AE87" s="32"/>
    </row>
    <row r="88" spans="1:31" ht="15">
      <c r="A88" s="10">
        <f t="shared" si="0"/>
        <v>0</v>
      </c>
      <c r="B88" s="13"/>
      <c r="C88" s="13"/>
      <c r="D88" s="13"/>
      <c r="E88" s="13"/>
      <c r="F88" s="13"/>
      <c r="G88" s="13"/>
      <c r="H88" s="13"/>
      <c r="I88" s="13"/>
      <c r="J88" s="13"/>
      <c r="K88" s="13"/>
      <c r="L88" s="27"/>
      <c r="M88" s="16"/>
      <c r="N88" s="16"/>
      <c r="O88" s="16" t="s">
        <v>300</v>
      </c>
      <c r="P88" s="16"/>
      <c r="Q88" s="16"/>
      <c r="R88" s="16"/>
      <c r="S88" s="17"/>
      <c r="T88" s="17"/>
      <c r="U88" s="17"/>
      <c r="V88" s="17"/>
      <c r="W88" s="17"/>
      <c r="X88" s="17">
        <f t="shared" si="1"/>
        <v>5</v>
      </c>
      <c r="Y88" s="18">
        <f t="shared" si="2"/>
        <v>0</v>
      </c>
      <c r="Z88" s="19"/>
      <c r="AA88" s="30"/>
      <c r="AB88" s="21" t="b">
        <v>1</v>
      </c>
      <c r="AC88" s="22">
        <f t="shared" si="4"/>
        <v>0</v>
      </c>
      <c r="AD88" s="32"/>
      <c r="AE88" s="32"/>
    </row>
    <row r="89" spans="1:31" ht="15">
      <c r="A89" s="10">
        <f t="shared" si="0"/>
        <v>0</v>
      </c>
      <c r="B89" s="13"/>
      <c r="C89" s="13"/>
      <c r="D89" s="13"/>
      <c r="E89" s="13"/>
      <c r="F89" s="13"/>
      <c r="G89" s="13"/>
      <c r="H89" s="13"/>
      <c r="I89" s="13"/>
      <c r="J89" s="13"/>
      <c r="K89" s="13"/>
      <c r="L89" s="27"/>
      <c r="M89" s="16"/>
      <c r="N89" s="16"/>
      <c r="O89" s="16" t="s">
        <v>301</v>
      </c>
      <c r="P89" s="16"/>
      <c r="Q89" s="16"/>
      <c r="R89" s="16"/>
      <c r="S89" s="17"/>
      <c r="T89" s="17"/>
      <c r="U89" s="17"/>
      <c r="V89" s="17"/>
      <c r="W89" s="17"/>
      <c r="X89" s="17">
        <f t="shared" si="1"/>
        <v>5</v>
      </c>
      <c r="Y89" s="18">
        <f t="shared" si="2"/>
        <v>0</v>
      </c>
      <c r="Z89" s="19"/>
      <c r="AA89" s="30"/>
      <c r="AB89" s="21" t="b">
        <v>1</v>
      </c>
      <c r="AC89" s="22">
        <f t="shared" si="4"/>
        <v>0</v>
      </c>
      <c r="AD89" s="32"/>
      <c r="AE89" s="32"/>
    </row>
    <row r="90" spans="1:31" ht="15">
      <c r="A90" s="10">
        <f t="shared" si="0"/>
        <v>0</v>
      </c>
      <c r="B90" s="13"/>
      <c r="C90" s="13"/>
      <c r="D90" s="13"/>
      <c r="E90" s="13"/>
      <c r="F90" s="13"/>
      <c r="G90" s="13"/>
      <c r="H90" s="13"/>
      <c r="I90" s="13"/>
      <c r="J90" s="13"/>
      <c r="K90" s="13"/>
      <c r="L90" s="27"/>
      <c r="M90" s="16"/>
      <c r="N90" s="16"/>
      <c r="O90" s="16"/>
      <c r="P90" s="16"/>
      <c r="Q90" s="16"/>
      <c r="R90" s="16"/>
      <c r="S90" s="17"/>
      <c r="T90" s="17"/>
      <c r="U90" s="17"/>
      <c r="V90" s="17"/>
      <c r="W90" s="17"/>
      <c r="X90" s="17">
        <f t="shared" si="1"/>
        <v>5</v>
      </c>
      <c r="Y90" s="18">
        <f t="shared" si="2"/>
        <v>0</v>
      </c>
      <c r="Z90" s="19"/>
      <c r="AA90" s="30"/>
      <c r="AB90" s="21" t="b">
        <v>1</v>
      </c>
      <c r="AC90" s="22">
        <f t="shared" si="4"/>
        <v>0</v>
      </c>
      <c r="AD90" s="32"/>
      <c r="AE90" s="32"/>
    </row>
    <row r="91" spans="1:31" ht="15">
      <c r="A91" s="10">
        <f t="shared" si="0"/>
        <v>0</v>
      </c>
      <c r="B91" s="13"/>
      <c r="C91" s="13"/>
      <c r="D91" s="13"/>
      <c r="E91" s="13"/>
      <c r="F91" s="13"/>
      <c r="G91" s="13"/>
      <c r="H91" s="13"/>
      <c r="I91" s="13"/>
      <c r="J91" s="13"/>
      <c r="K91" s="13"/>
      <c r="L91" s="27"/>
      <c r="M91" s="16"/>
      <c r="N91" s="85" t="s">
        <v>303</v>
      </c>
      <c r="O91" s="16"/>
      <c r="P91" s="16"/>
      <c r="Q91" s="16"/>
      <c r="R91" s="16"/>
      <c r="S91" s="17"/>
      <c r="T91" s="17"/>
      <c r="U91" s="17"/>
      <c r="V91" s="17"/>
      <c r="W91" s="17"/>
      <c r="X91" s="17">
        <f t="shared" si="1"/>
        <v>5</v>
      </c>
      <c r="Y91" s="18">
        <f t="shared" si="2"/>
        <v>0</v>
      </c>
      <c r="Z91" s="19"/>
      <c r="AA91" s="30"/>
      <c r="AB91" s="21" t="b">
        <v>1</v>
      </c>
      <c r="AC91" s="22">
        <f t="shared" si="4"/>
        <v>0</v>
      </c>
      <c r="AD91" s="32"/>
      <c r="AE91" s="32"/>
    </row>
    <row r="92" spans="1:31" ht="15">
      <c r="A92" s="10">
        <f t="shared" si="0"/>
        <v>0</v>
      </c>
      <c r="B92" s="13"/>
      <c r="C92" s="13"/>
      <c r="D92" s="13"/>
      <c r="E92" s="13"/>
      <c r="F92" s="13"/>
      <c r="G92" s="13"/>
      <c r="H92" s="13"/>
      <c r="I92" s="13"/>
      <c r="J92" s="13"/>
      <c r="K92" s="13"/>
      <c r="L92" s="27"/>
      <c r="M92" s="16"/>
      <c r="N92" s="16"/>
      <c r="O92" s="16" t="s">
        <v>304</v>
      </c>
      <c r="P92" s="16"/>
      <c r="Q92" s="16"/>
      <c r="R92" s="16"/>
      <c r="S92" s="17"/>
      <c r="T92" s="17"/>
      <c r="U92" s="17"/>
      <c r="V92" s="17"/>
      <c r="W92" s="17"/>
      <c r="X92" s="17">
        <f t="shared" si="1"/>
        <v>5</v>
      </c>
      <c r="Y92" s="18">
        <f t="shared" si="2"/>
        <v>0</v>
      </c>
      <c r="Z92" s="19"/>
      <c r="AA92" s="30"/>
      <c r="AB92" s="21" t="b">
        <v>1</v>
      </c>
      <c r="AC92" s="22">
        <f t="shared" si="4"/>
        <v>0</v>
      </c>
      <c r="AD92" s="32"/>
      <c r="AE92" s="32"/>
    </row>
    <row r="93" spans="1:31" ht="15">
      <c r="A93" s="10">
        <f t="shared" si="0"/>
        <v>0</v>
      </c>
      <c r="B93" s="13"/>
      <c r="C93" s="13"/>
      <c r="D93" s="13"/>
      <c r="E93" s="13"/>
      <c r="F93" s="13"/>
      <c r="G93" s="13"/>
      <c r="H93" s="13"/>
      <c r="I93" s="13"/>
      <c r="J93" s="13"/>
      <c r="K93" s="13"/>
      <c r="L93" s="27"/>
      <c r="M93" s="16"/>
      <c r="N93" s="16"/>
      <c r="O93" s="16" t="s">
        <v>305</v>
      </c>
      <c r="P93" s="16"/>
      <c r="Q93" s="16"/>
      <c r="R93" s="16"/>
      <c r="S93" s="17"/>
      <c r="T93" s="17"/>
      <c r="U93" s="17"/>
      <c r="V93" s="17"/>
      <c r="W93" s="17"/>
      <c r="X93" s="17">
        <f>COUNTIF($L$2:L95,"&lt;&gt;"&amp;"")</f>
        <v>5</v>
      </c>
      <c r="Y93" s="18">
        <f t="shared" si="2"/>
        <v>0</v>
      </c>
      <c r="Z93" s="19"/>
      <c r="AA93" s="30"/>
      <c r="AB93" s="21" t="b">
        <v>1</v>
      </c>
      <c r="AC93" s="22">
        <f t="shared" si="4"/>
        <v>0</v>
      </c>
      <c r="AD93" s="32"/>
      <c r="AE93" s="32"/>
    </row>
    <row r="94" spans="1:31" ht="15">
      <c r="A94" s="10">
        <f t="shared" si="0"/>
        <v>0</v>
      </c>
      <c r="B94" s="13"/>
      <c r="C94" s="13"/>
      <c r="D94" s="13"/>
      <c r="E94" s="13"/>
      <c r="F94" s="13"/>
      <c r="G94" s="13"/>
      <c r="H94" s="13"/>
      <c r="I94" s="13"/>
      <c r="J94" s="13"/>
      <c r="K94" s="13"/>
      <c r="L94" s="27"/>
      <c r="M94" s="16"/>
      <c r="N94" s="16"/>
      <c r="P94" s="16" t="s">
        <v>293</v>
      </c>
      <c r="Q94" s="16"/>
      <c r="R94" s="16"/>
      <c r="S94" s="17"/>
      <c r="T94" s="17"/>
      <c r="U94" s="17"/>
      <c r="V94" s="17"/>
      <c r="W94" s="17"/>
      <c r="X94" s="17">
        <f t="shared" ref="X94:X101" si="5">COUNTIF($L$2:L94,"&lt;&gt;"&amp;"")</f>
        <v>5</v>
      </c>
      <c r="Y94" s="18">
        <f t="shared" si="2"/>
        <v>0</v>
      </c>
      <c r="Z94" s="19"/>
      <c r="AA94" s="30"/>
      <c r="AB94" s="21" t="b">
        <v>1</v>
      </c>
      <c r="AC94" s="22">
        <f t="shared" si="4"/>
        <v>0</v>
      </c>
      <c r="AD94" s="32"/>
      <c r="AE94" s="32"/>
    </row>
    <row r="95" spans="1:31" ht="15">
      <c r="A95" s="10">
        <f t="shared" si="0"/>
        <v>0</v>
      </c>
      <c r="B95" s="13"/>
      <c r="C95" s="13"/>
      <c r="D95" s="13"/>
      <c r="E95" s="13"/>
      <c r="F95" s="13"/>
      <c r="G95" s="13"/>
      <c r="H95" s="13"/>
      <c r="I95" s="13"/>
      <c r="J95" s="13"/>
      <c r="K95" s="13"/>
      <c r="L95" s="27"/>
      <c r="M95" s="16"/>
      <c r="N95" s="16"/>
      <c r="P95" s="16" t="s">
        <v>294</v>
      </c>
      <c r="Q95" s="16"/>
      <c r="R95" s="16"/>
      <c r="S95" s="17"/>
      <c r="T95" s="17"/>
      <c r="U95" s="17"/>
      <c r="V95" s="17"/>
      <c r="W95" s="17"/>
      <c r="X95" s="17">
        <f t="shared" si="5"/>
        <v>5</v>
      </c>
      <c r="Y95" s="18">
        <f t="shared" si="2"/>
        <v>0</v>
      </c>
      <c r="Z95" s="19"/>
      <c r="AA95" s="30"/>
      <c r="AB95" s="21" t="b">
        <v>1</v>
      </c>
      <c r="AC95" s="22">
        <f t="shared" si="4"/>
        <v>0</v>
      </c>
      <c r="AD95" s="32"/>
      <c r="AE95" s="32"/>
    </row>
    <row r="96" spans="1:31" ht="15">
      <c r="A96" s="10">
        <f t="shared" si="0"/>
        <v>0</v>
      </c>
      <c r="B96" s="13"/>
      <c r="C96" s="13"/>
      <c r="D96" s="13"/>
      <c r="E96" s="13"/>
      <c r="F96" s="13"/>
      <c r="G96" s="13"/>
      <c r="H96" s="13"/>
      <c r="I96" s="13"/>
      <c r="J96" s="13"/>
      <c r="K96" s="13"/>
      <c r="L96" s="27"/>
      <c r="M96" s="16"/>
      <c r="N96" s="16"/>
      <c r="P96" s="16" t="s">
        <v>295</v>
      </c>
      <c r="Q96" s="16"/>
      <c r="R96" s="16"/>
      <c r="S96" s="17"/>
      <c r="T96" s="17"/>
      <c r="U96" s="17"/>
      <c r="V96" s="17"/>
      <c r="W96" s="17"/>
      <c r="X96" s="17">
        <f t="shared" si="5"/>
        <v>5</v>
      </c>
      <c r="Y96" s="18">
        <f t="shared" si="2"/>
        <v>0</v>
      </c>
      <c r="Z96" s="19"/>
      <c r="AA96" s="30"/>
      <c r="AB96" s="21" t="b">
        <v>1</v>
      </c>
      <c r="AC96" s="22">
        <f t="shared" si="4"/>
        <v>0</v>
      </c>
      <c r="AD96" s="32"/>
      <c r="AE96" s="32"/>
    </row>
    <row r="97" spans="1:31" ht="15">
      <c r="A97" s="10">
        <f t="shared" si="0"/>
        <v>0</v>
      </c>
      <c r="B97" s="13"/>
      <c r="C97" s="13"/>
      <c r="D97" s="13"/>
      <c r="E97" s="13"/>
      <c r="F97" s="13"/>
      <c r="G97" s="13"/>
      <c r="H97" s="13"/>
      <c r="I97" s="13"/>
      <c r="J97" s="13"/>
      <c r="K97" s="13"/>
      <c r="L97" s="27"/>
      <c r="M97" s="16"/>
      <c r="N97" s="16"/>
      <c r="P97" s="16" t="s">
        <v>296</v>
      </c>
      <c r="Q97" s="16"/>
      <c r="R97" s="16"/>
      <c r="S97" s="17"/>
      <c r="T97" s="17"/>
      <c r="U97" s="17"/>
      <c r="V97" s="17"/>
      <c r="W97" s="17"/>
      <c r="X97" s="17">
        <f t="shared" si="5"/>
        <v>5</v>
      </c>
      <c r="Y97" s="18">
        <f t="shared" si="2"/>
        <v>0</v>
      </c>
      <c r="Z97" s="19"/>
      <c r="AA97" s="30"/>
      <c r="AB97" s="21" t="b">
        <v>1</v>
      </c>
      <c r="AC97" s="22">
        <f t="shared" si="4"/>
        <v>0</v>
      </c>
      <c r="AD97" s="32"/>
      <c r="AE97" s="32"/>
    </row>
    <row r="98" spans="1:31" ht="15">
      <c r="A98" s="10">
        <f t="shared" si="0"/>
        <v>0</v>
      </c>
      <c r="B98" s="13"/>
      <c r="C98" s="13"/>
      <c r="D98" s="13"/>
      <c r="E98" s="13"/>
      <c r="F98" s="13"/>
      <c r="G98" s="13"/>
      <c r="H98" s="13"/>
      <c r="I98" s="13"/>
      <c r="J98" s="13"/>
      <c r="K98" s="13"/>
      <c r="L98" s="27"/>
      <c r="M98" s="16"/>
      <c r="N98" s="16"/>
      <c r="P98" s="16" t="s">
        <v>297</v>
      </c>
      <c r="Q98" s="16"/>
      <c r="R98" s="16"/>
      <c r="S98" s="17"/>
      <c r="T98" s="17"/>
      <c r="U98" s="17"/>
      <c r="V98" s="17"/>
      <c r="W98" s="17"/>
      <c r="X98" s="17">
        <f t="shared" si="5"/>
        <v>5</v>
      </c>
      <c r="Y98" s="18">
        <f t="shared" si="2"/>
        <v>0</v>
      </c>
      <c r="Z98" s="19"/>
      <c r="AA98" s="30"/>
      <c r="AB98" s="21" t="b">
        <v>1</v>
      </c>
      <c r="AC98" s="22">
        <f t="shared" si="4"/>
        <v>0</v>
      </c>
      <c r="AD98" s="32"/>
      <c r="AE98" s="32"/>
    </row>
    <row r="99" spans="1:31" ht="15">
      <c r="A99" s="10">
        <f t="shared" si="0"/>
        <v>0</v>
      </c>
      <c r="B99" s="13"/>
      <c r="C99" s="13"/>
      <c r="D99" s="13"/>
      <c r="E99" s="13"/>
      <c r="F99" s="13"/>
      <c r="G99" s="13"/>
      <c r="H99" s="13"/>
      <c r="I99" s="13"/>
      <c r="J99" s="13"/>
      <c r="K99" s="13"/>
      <c r="L99" s="27"/>
      <c r="M99" s="16"/>
      <c r="N99" s="16"/>
      <c r="P99" s="16" t="s">
        <v>298</v>
      </c>
      <c r="Q99" s="16"/>
      <c r="R99" s="16"/>
      <c r="S99" s="17"/>
      <c r="T99" s="17"/>
      <c r="U99" s="17"/>
      <c r="V99" s="17"/>
      <c r="W99" s="17"/>
      <c r="X99" s="17">
        <f t="shared" si="5"/>
        <v>5</v>
      </c>
      <c r="Y99" s="18">
        <f t="shared" si="2"/>
        <v>0</v>
      </c>
      <c r="Z99" s="19"/>
      <c r="AA99" s="30"/>
      <c r="AB99" s="21" t="b">
        <v>1</v>
      </c>
      <c r="AC99" s="22">
        <f t="shared" si="4"/>
        <v>0</v>
      </c>
      <c r="AD99" s="32"/>
      <c r="AE99" s="32"/>
    </row>
    <row r="100" spans="1:31" ht="15">
      <c r="A100" s="10">
        <f t="shared" si="0"/>
        <v>0</v>
      </c>
      <c r="B100" s="13"/>
      <c r="C100" s="13"/>
      <c r="D100" s="13"/>
      <c r="E100" s="13"/>
      <c r="F100" s="13"/>
      <c r="G100" s="13"/>
      <c r="H100" s="13"/>
      <c r="I100" s="13"/>
      <c r="J100" s="13"/>
      <c r="K100" s="13"/>
      <c r="L100" s="27"/>
      <c r="M100" s="16"/>
      <c r="N100" s="16"/>
      <c r="O100" s="16"/>
      <c r="P100" s="16"/>
      <c r="Q100" s="16"/>
      <c r="R100" s="16"/>
      <c r="S100" s="17"/>
      <c r="T100" s="17"/>
      <c r="U100" s="17"/>
      <c r="V100" s="17"/>
      <c r="W100" s="17"/>
      <c r="X100" s="17">
        <f t="shared" si="5"/>
        <v>5</v>
      </c>
      <c r="Y100" s="18">
        <f t="shared" si="2"/>
        <v>0</v>
      </c>
      <c r="Z100" s="19"/>
      <c r="AA100" s="30"/>
      <c r="AB100" s="21" t="b">
        <v>1</v>
      </c>
      <c r="AC100" s="22">
        <f t="shared" si="4"/>
        <v>0</v>
      </c>
      <c r="AD100" s="32"/>
      <c r="AE100" s="32"/>
    </row>
    <row r="101" spans="1:31" ht="15">
      <c r="A101" s="10">
        <f t="shared" si="0"/>
        <v>0</v>
      </c>
      <c r="B101" s="13"/>
      <c r="C101" s="13"/>
      <c r="D101" s="13"/>
      <c r="E101" s="13"/>
      <c r="F101" s="13"/>
      <c r="G101" s="13"/>
      <c r="H101" s="13"/>
      <c r="I101" s="13"/>
      <c r="J101" s="13"/>
      <c r="K101" s="13"/>
      <c r="L101" s="27"/>
      <c r="M101" s="16"/>
      <c r="N101" s="85" t="s">
        <v>306</v>
      </c>
      <c r="O101" s="16"/>
      <c r="P101" s="16"/>
      <c r="Q101" s="16"/>
      <c r="R101" s="16"/>
      <c r="S101" s="17"/>
      <c r="T101" s="17"/>
      <c r="U101" s="17"/>
      <c r="V101" s="17"/>
      <c r="W101" s="17"/>
      <c r="X101" s="17">
        <f t="shared" si="5"/>
        <v>5</v>
      </c>
      <c r="Y101" s="18">
        <f t="shared" si="2"/>
        <v>0</v>
      </c>
      <c r="Z101" s="19"/>
      <c r="AA101" s="30"/>
      <c r="AB101" s="21" t="b">
        <v>1</v>
      </c>
      <c r="AC101" s="22">
        <f t="shared" si="4"/>
        <v>0</v>
      </c>
      <c r="AD101" s="23"/>
      <c r="AE101" s="23"/>
    </row>
    <row r="102" spans="1:31" ht="15">
      <c r="A102" s="10">
        <f t="shared" si="0"/>
        <v>0</v>
      </c>
      <c r="B102" s="13"/>
      <c r="C102" s="13"/>
      <c r="D102" s="13"/>
      <c r="E102" s="13"/>
      <c r="F102" s="13"/>
      <c r="G102" s="13"/>
      <c r="H102" s="13"/>
      <c r="I102" s="13"/>
      <c r="J102" s="13"/>
      <c r="K102" s="13"/>
      <c r="L102" s="27"/>
      <c r="M102" s="16"/>
      <c r="N102" s="85" t="s">
        <v>307</v>
      </c>
      <c r="O102" s="16"/>
      <c r="P102" s="16"/>
      <c r="Q102" s="16"/>
      <c r="R102" s="16"/>
      <c r="S102" s="17"/>
      <c r="T102" s="17"/>
      <c r="U102" s="17"/>
      <c r="V102" s="17"/>
      <c r="W102" s="17"/>
      <c r="X102" s="17">
        <f>COUNTIF($L$2:L106,"&lt;&gt;"&amp;"")</f>
        <v>7</v>
      </c>
      <c r="Y102" s="18">
        <f t="shared" si="2"/>
        <v>0</v>
      </c>
      <c r="Z102" s="19"/>
      <c r="AA102" s="30"/>
      <c r="AB102" s="21" t="b">
        <v>1</v>
      </c>
      <c r="AC102" s="22">
        <f t="shared" si="4"/>
        <v>0</v>
      </c>
      <c r="AD102" s="23"/>
      <c r="AE102" s="23"/>
    </row>
    <row r="103" spans="1:31" ht="15">
      <c r="A103" s="10">
        <f t="shared" si="0"/>
        <v>0</v>
      </c>
      <c r="B103" s="13"/>
      <c r="C103" s="13"/>
      <c r="D103" s="13"/>
      <c r="E103" s="13"/>
      <c r="F103" s="13"/>
      <c r="G103" s="13"/>
      <c r="H103" s="13"/>
      <c r="I103" s="13"/>
      <c r="J103" s="13"/>
      <c r="K103" s="13"/>
      <c r="L103" s="27" t="s">
        <v>308</v>
      </c>
      <c r="M103" s="16"/>
      <c r="N103" s="16"/>
      <c r="O103" s="16"/>
      <c r="P103" s="16"/>
      <c r="Q103" s="16"/>
      <c r="R103" s="16"/>
      <c r="S103" s="17"/>
      <c r="T103" s="17"/>
      <c r="U103" s="17"/>
      <c r="V103" s="17"/>
      <c r="W103" s="17"/>
      <c r="X103" s="17">
        <f t="shared" ref="X103:X119" si="6">COUNTIF($L$2:L103,"&lt;&gt;"&amp;"")</f>
        <v>6</v>
      </c>
      <c r="Y103" s="18">
        <f t="shared" si="2"/>
        <v>0</v>
      </c>
      <c r="Z103" s="24"/>
      <c r="AA103" s="20"/>
      <c r="AB103" s="21" t="b">
        <v>1</v>
      </c>
      <c r="AC103" s="22">
        <f t="shared" si="4"/>
        <v>0</v>
      </c>
      <c r="AD103" s="32"/>
      <c r="AE103" s="32"/>
    </row>
    <row r="104" spans="1:31" ht="15">
      <c r="A104" s="10">
        <f t="shared" si="0"/>
        <v>0</v>
      </c>
      <c r="B104" s="13"/>
      <c r="C104" s="13"/>
      <c r="D104" s="13"/>
      <c r="E104" s="13"/>
      <c r="F104" s="13"/>
      <c r="G104" s="13"/>
      <c r="H104" s="13"/>
      <c r="I104" s="13"/>
      <c r="J104" s="13"/>
      <c r="K104" s="13"/>
      <c r="L104" s="27"/>
      <c r="M104" s="16" t="s">
        <v>309</v>
      </c>
      <c r="N104" s="16"/>
      <c r="O104" s="16"/>
      <c r="P104" s="16"/>
      <c r="Q104" s="16"/>
      <c r="R104" s="16"/>
      <c r="S104" s="17"/>
      <c r="T104" s="17"/>
      <c r="U104" s="17"/>
      <c r="V104" s="17"/>
      <c r="W104" s="17"/>
      <c r="X104" s="17">
        <f t="shared" si="6"/>
        <v>6</v>
      </c>
      <c r="Y104" s="18">
        <f t="shared" si="2"/>
        <v>0</v>
      </c>
      <c r="Z104" s="24"/>
      <c r="AA104" s="20"/>
      <c r="AB104" s="21" t="b">
        <v>1</v>
      </c>
      <c r="AC104" s="22">
        <f t="shared" si="4"/>
        <v>0</v>
      </c>
      <c r="AD104" s="32"/>
      <c r="AE104" s="32"/>
    </row>
    <row r="105" spans="1:31" ht="15">
      <c r="A105" s="10">
        <f t="shared" si="0"/>
        <v>0</v>
      </c>
      <c r="B105" s="13"/>
      <c r="C105" s="13"/>
      <c r="D105" s="13"/>
      <c r="E105" s="13"/>
      <c r="F105" s="13"/>
      <c r="G105" s="13"/>
      <c r="H105" s="13"/>
      <c r="I105" s="13"/>
      <c r="J105" s="13"/>
      <c r="K105" s="13"/>
      <c r="L105" s="27"/>
      <c r="M105" s="16" t="s">
        <v>310</v>
      </c>
      <c r="N105" s="16"/>
      <c r="O105" s="16"/>
      <c r="P105" s="16"/>
      <c r="Q105" s="16"/>
      <c r="R105" s="16"/>
      <c r="S105" s="17"/>
      <c r="T105" s="17"/>
      <c r="U105" s="17"/>
      <c r="V105" s="17"/>
      <c r="W105" s="17"/>
      <c r="X105" s="17">
        <f t="shared" si="6"/>
        <v>6</v>
      </c>
      <c r="Y105" s="18">
        <f t="shared" si="2"/>
        <v>0</v>
      </c>
      <c r="Z105" s="24"/>
      <c r="AA105" s="20"/>
      <c r="AB105" s="21" t="b">
        <v>1</v>
      </c>
      <c r="AC105" s="22">
        <f t="shared" si="4"/>
        <v>0</v>
      </c>
      <c r="AD105" s="32"/>
      <c r="AE105" s="32"/>
    </row>
    <row r="106" spans="1:31" ht="15">
      <c r="A106" s="10">
        <f t="shared" si="0"/>
        <v>0</v>
      </c>
      <c r="B106" s="13"/>
      <c r="C106" s="13"/>
      <c r="D106" s="13"/>
      <c r="E106" s="13"/>
      <c r="F106" s="13"/>
      <c r="G106" s="13"/>
      <c r="H106" s="13"/>
      <c r="I106" s="13"/>
      <c r="J106" s="13"/>
      <c r="K106" s="13"/>
      <c r="L106" s="27" t="s">
        <v>311</v>
      </c>
      <c r="M106" s="16"/>
      <c r="N106" s="16"/>
      <c r="O106" s="16"/>
      <c r="P106" s="16"/>
      <c r="Q106" s="16"/>
      <c r="R106" s="16"/>
      <c r="S106" s="17"/>
      <c r="T106" s="17"/>
      <c r="U106" s="17"/>
      <c r="V106" s="17"/>
      <c r="W106" s="17"/>
      <c r="X106" s="17">
        <f t="shared" si="6"/>
        <v>7</v>
      </c>
      <c r="Y106" s="18">
        <f t="shared" si="2"/>
        <v>0</v>
      </c>
      <c r="Z106" s="24"/>
      <c r="AA106" s="20"/>
      <c r="AB106" s="21" t="b">
        <v>1</v>
      </c>
      <c r="AC106" s="22">
        <f t="shared" si="4"/>
        <v>0</v>
      </c>
      <c r="AD106" s="32"/>
      <c r="AE106" s="32"/>
    </row>
    <row r="107" spans="1:31" ht="15">
      <c r="A107" s="10">
        <f t="shared" si="0"/>
        <v>0</v>
      </c>
      <c r="B107" s="13"/>
      <c r="C107" s="13"/>
      <c r="D107" s="13"/>
      <c r="E107" s="13"/>
      <c r="F107" s="13"/>
      <c r="G107" s="13"/>
      <c r="H107" s="13"/>
      <c r="I107" s="13"/>
      <c r="J107" s="13"/>
      <c r="K107" s="13"/>
      <c r="L107" s="27"/>
      <c r="M107" s="16" t="s">
        <v>312</v>
      </c>
      <c r="N107" s="16"/>
      <c r="O107" s="16"/>
      <c r="P107" s="16"/>
      <c r="Q107" s="16"/>
      <c r="R107" s="16"/>
      <c r="S107" s="17"/>
      <c r="T107" s="17"/>
      <c r="U107" s="17"/>
      <c r="V107" s="17"/>
      <c r="W107" s="17"/>
      <c r="X107" s="17">
        <f t="shared" si="6"/>
        <v>7</v>
      </c>
      <c r="Y107" s="18">
        <f t="shared" si="2"/>
        <v>0</v>
      </c>
      <c r="Z107" s="24"/>
      <c r="AA107" s="20"/>
      <c r="AB107" s="21" t="b">
        <v>1</v>
      </c>
      <c r="AC107" s="22">
        <f t="shared" si="4"/>
        <v>0</v>
      </c>
      <c r="AD107" s="23"/>
      <c r="AE107" s="23"/>
    </row>
    <row r="108" spans="1:31" ht="15">
      <c r="A108" s="10">
        <f t="shared" si="0"/>
        <v>0</v>
      </c>
      <c r="B108" s="13"/>
      <c r="C108" s="13"/>
      <c r="D108" s="13"/>
      <c r="E108" s="13"/>
      <c r="F108" s="13"/>
      <c r="G108" s="13"/>
      <c r="H108" s="13"/>
      <c r="I108" s="13"/>
      <c r="J108" s="13"/>
      <c r="K108" s="13"/>
      <c r="L108" s="27"/>
      <c r="M108" s="16" t="s">
        <v>310</v>
      </c>
      <c r="N108" s="16"/>
      <c r="O108" s="16"/>
      <c r="P108" s="16"/>
      <c r="Q108" s="16"/>
      <c r="R108" s="16"/>
      <c r="S108" s="17"/>
      <c r="T108" s="17"/>
      <c r="U108" s="17"/>
      <c r="V108" s="17"/>
      <c r="W108" s="17"/>
      <c r="X108" s="17">
        <f t="shared" si="6"/>
        <v>7</v>
      </c>
      <c r="Y108" s="18">
        <f t="shared" si="2"/>
        <v>0</v>
      </c>
      <c r="Z108" s="24"/>
      <c r="AA108" s="20"/>
      <c r="AB108" s="21" t="b">
        <v>1</v>
      </c>
      <c r="AC108" s="22">
        <f t="shared" si="4"/>
        <v>0</v>
      </c>
      <c r="AD108" s="23"/>
      <c r="AE108" s="23"/>
    </row>
    <row r="109" spans="1:31" ht="15">
      <c r="A109" s="10">
        <f t="shared" si="0"/>
        <v>0</v>
      </c>
      <c r="B109" s="13"/>
      <c r="C109" s="13"/>
      <c r="D109" s="13"/>
      <c r="E109" s="13"/>
      <c r="F109" s="13"/>
      <c r="G109" s="13"/>
      <c r="H109" s="13"/>
      <c r="I109" s="13"/>
      <c r="J109" s="13"/>
      <c r="K109" s="13"/>
      <c r="L109" s="27"/>
      <c r="M109" s="16"/>
      <c r="N109" s="16"/>
      <c r="O109" s="16"/>
      <c r="P109" s="16"/>
      <c r="Q109" s="16"/>
      <c r="R109" s="16"/>
      <c r="S109" s="17"/>
      <c r="T109" s="17"/>
      <c r="U109" s="17"/>
      <c r="V109" s="17"/>
      <c r="W109" s="17"/>
      <c r="X109" s="17">
        <f t="shared" si="6"/>
        <v>7</v>
      </c>
      <c r="Y109" s="18">
        <f t="shared" si="2"/>
        <v>0</v>
      </c>
      <c r="Z109" s="24"/>
      <c r="AA109" s="20"/>
      <c r="AB109" s="21" t="b">
        <v>1</v>
      </c>
      <c r="AC109" s="22">
        <f t="shared" si="4"/>
        <v>0</v>
      </c>
      <c r="AD109" s="23"/>
      <c r="AE109" s="23"/>
    </row>
    <row r="110" spans="1:31" ht="15">
      <c r="A110" s="10">
        <f t="shared" si="0"/>
        <v>0</v>
      </c>
      <c r="B110" s="13"/>
      <c r="C110" s="13"/>
      <c r="D110" s="13"/>
      <c r="E110" s="13"/>
      <c r="F110" s="13"/>
      <c r="G110" s="13"/>
      <c r="H110" s="13"/>
      <c r="I110" s="13"/>
      <c r="J110" s="13"/>
      <c r="K110" s="13"/>
      <c r="L110" s="27"/>
      <c r="M110" s="16"/>
      <c r="N110" s="16"/>
      <c r="O110" s="16"/>
      <c r="P110" s="16"/>
      <c r="Q110" s="16"/>
      <c r="R110" s="16"/>
      <c r="S110" s="17"/>
      <c r="T110" s="17"/>
      <c r="U110" s="17"/>
      <c r="V110" s="17"/>
      <c r="W110" s="17"/>
      <c r="X110" s="17">
        <f t="shared" si="6"/>
        <v>7</v>
      </c>
      <c r="Y110" s="18">
        <f t="shared" si="2"/>
        <v>0</v>
      </c>
      <c r="Z110" s="24"/>
      <c r="AA110" s="20"/>
      <c r="AB110" s="21" t="b">
        <v>1</v>
      </c>
      <c r="AC110" s="22">
        <f t="shared" si="4"/>
        <v>0</v>
      </c>
      <c r="AD110" s="23"/>
      <c r="AE110" s="23"/>
    </row>
    <row r="111" spans="1:31" ht="15">
      <c r="A111" s="10">
        <f t="shared" si="0"/>
        <v>0</v>
      </c>
      <c r="B111" s="13"/>
      <c r="C111" s="13"/>
      <c r="D111" s="13"/>
      <c r="E111" s="13"/>
      <c r="F111" s="13"/>
      <c r="G111" s="13"/>
      <c r="H111" s="13"/>
      <c r="I111" s="13"/>
      <c r="J111" s="13"/>
      <c r="K111" s="13"/>
      <c r="L111" s="27"/>
      <c r="M111" s="16"/>
      <c r="N111" s="16"/>
      <c r="O111" s="16"/>
      <c r="P111" s="16"/>
      <c r="Q111" s="16"/>
      <c r="R111" s="17"/>
      <c r="S111" s="17"/>
      <c r="T111" s="17"/>
      <c r="U111" s="17"/>
      <c r="V111" s="17"/>
      <c r="W111" s="17"/>
      <c r="X111" s="17">
        <f t="shared" si="6"/>
        <v>7</v>
      </c>
      <c r="Y111" s="18">
        <f t="shared" si="2"/>
        <v>0</v>
      </c>
      <c r="Z111" s="24"/>
      <c r="AA111" s="20"/>
      <c r="AB111" s="21" t="b">
        <v>1</v>
      </c>
      <c r="AC111" s="22">
        <f t="shared" si="4"/>
        <v>0</v>
      </c>
      <c r="AD111" s="23"/>
      <c r="AE111" s="23"/>
    </row>
    <row r="112" spans="1:31" ht="15">
      <c r="A112" s="10">
        <f t="shared" si="0"/>
        <v>0</v>
      </c>
      <c r="B112" s="23"/>
      <c r="C112" s="23"/>
      <c r="D112" s="23"/>
      <c r="E112" s="23"/>
      <c r="F112" s="23"/>
      <c r="G112" s="23"/>
      <c r="H112" s="23"/>
      <c r="I112" s="23"/>
      <c r="J112" s="23"/>
      <c r="K112" s="23"/>
      <c r="L112" s="27"/>
      <c r="M112" s="16"/>
      <c r="N112" s="16"/>
      <c r="O112" s="16"/>
      <c r="P112" s="16"/>
      <c r="Q112" s="16"/>
      <c r="R112" s="17"/>
      <c r="S112" s="17"/>
      <c r="T112" s="17"/>
      <c r="U112" s="17"/>
      <c r="V112" s="17"/>
      <c r="W112" s="17"/>
      <c r="X112" s="17">
        <f t="shared" si="6"/>
        <v>7</v>
      </c>
      <c r="Y112" s="18">
        <f t="shared" si="2"/>
        <v>0</v>
      </c>
      <c r="Z112" s="24"/>
      <c r="AA112" s="20"/>
      <c r="AB112" s="21" t="b">
        <v>1</v>
      </c>
      <c r="AC112" s="22">
        <f t="shared" si="4"/>
        <v>0</v>
      </c>
      <c r="AD112" s="23"/>
      <c r="AE112" s="23"/>
    </row>
    <row r="113" spans="1:31" ht="15">
      <c r="A113" s="10">
        <f t="shared" si="0"/>
        <v>0</v>
      </c>
      <c r="B113" s="23"/>
      <c r="C113" s="23"/>
      <c r="D113" s="23"/>
      <c r="E113" s="23"/>
      <c r="F113" s="23"/>
      <c r="G113" s="23"/>
      <c r="H113" s="23"/>
      <c r="I113" s="23"/>
      <c r="J113" s="23"/>
      <c r="K113" s="23"/>
      <c r="L113" s="27"/>
      <c r="M113" s="16"/>
      <c r="N113" s="16"/>
      <c r="O113" s="16"/>
      <c r="P113" s="16"/>
      <c r="Q113" s="16"/>
      <c r="R113" s="17"/>
      <c r="S113" s="17"/>
      <c r="T113" s="17"/>
      <c r="U113" s="17"/>
      <c r="V113" s="17"/>
      <c r="W113" s="17"/>
      <c r="X113" s="17">
        <f t="shared" si="6"/>
        <v>7</v>
      </c>
      <c r="Y113" s="18">
        <f t="shared" si="2"/>
        <v>0</v>
      </c>
      <c r="Z113" s="24"/>
      <c r="AA113" s="20"/>
      <c r="AB113" s="21" t="b">
        <v>1</v>
      </c>
      <c r="AC113" s="22">
        <f t="shared" si="4"/>
        <v>0</v>
      </c>
      <c r="AD113" s="23"/>
      <c r="AE113" s="23"/>
    </row>
    <row r="114" spans="1:31" ht="15">
      <c r="A114" s="10">
        <f t="shared" si="0"/>
        <v>0</v>
      </c>
      <c r="B114" s="13"/>
      <c r="C114" s="13"/>
      <c r="D114" s="13"/>
      <c r="E114" s="13"/>
      <c r="F114" s="13"/>
      <c r="G114" s="13"/>
      <c r="H114" s="13"/>
      <c r="I114" s="13"/>
      <c r="J114" s="13"/>
      <c r="K114" s="13"/>
      <c r="L114" s="27"/>
      <c r="M114" s="16"/>
      <c r="N114" s="16"/>
      <c r="O114" s="16"/>
      <c r="P114" s="16"/>
      <c r="Q114" s="16"/>
      <c r="R114" s="17"/>
      <c r="S114" s="17"/>
      <c r="T114" s="17"/>
      <c r="U114" s="17"/>
      <c r="V114" s="17"/>
      <c r="W114" s="17"/>
      <c r="X114" s="17">
        <f t="shared" si="6"/>
        <v>7</v>
      </c>
      <c r="Y114" s="18">
        <f t="shared" si="2"/>
        <v>0</v>
      </c>
      <c r="Z114" s="24"/>
      <c r="AA114" s="20"/>
      <c r="AB114" s="21" t="b">
        <v>1</v>
      </c>
      <c r="AC114" s="22">
        <f t="shared" si="4"/>
        <v>0</v>
      </c>
      <c r="AD114" s="23"/>
      <c r="AE114" s="23"/>
    </row>
    <row r="115" spans="1:31" ht="15">
      <c r="A115" s="10">
        <f t="shared" si="0"/>
        <v>0</v>
      </c>
      <c r="B115" s="23"/>
      <c r="C115" s="23"/>
      <c r="D115" s="23"/>
      <c r="E115" s="23"/>
      <c r="F115" s="23"/>
      <c r="G115" s="23"/>
      <c r="H115" s="23"/>
      <c r="I115" s="23"/>
      <c r="J115" s="23"/>
      <c r="K115" s="23"/>
      <c r="L115" s="27"/>
      <c r="M115" s="16"/>
      <c r="N115" s="16"/>
      <c r="O115" s="16"/>
      <c r="P115" s="16"/>
      <c r="Q115" s="16"/>
      <c r="R115" s="17"/>
      <c r="S115" s="17"/>
      <c r="T115" s="17"/>
      <c r="U115" s="17"/>
      <c r="V115" s="17"/>
      <c r="W115" s="17"/>
      <c r="X115" s="17">
        <f t="shared" si="6"/>
        <v>7</v>
      </c>
      <c r="Y115" s="18">
        <f t="shared" si="2"/>
        <v>0</v>
      </c>
      <c r="Z115" s="24"/>
      <c r="AA115" s="20"/>
      <c r="AB115" s="21" t="b">
        <v>1</v>
      </c>
      <c r="AC115" s="22">
        <f t="shared" si="4"/>
        <v>0</v>
      </c>
      <c r="AD115" s="23"/>
      <c r="AE115" s="23"/>
    </row>
    <row r="116" spans="1:31" ht="15">
      <c r="A116" s="10">
        <f t="shared" si="0"/>
        <v>0</v>
      </c>
      <c r="B116" s="23"/>
      <c r="C116" s="23"/>
      <c r="D116" s="23"/>
      <c r="E116" s="23"/>
      <c r="F116" s="23"/>
      <c r="G116" s="23"/>
      <c r="H116" s="23"/>
      <c r="I116" s="23"/>
      <c r="J116" s="23"/>
      <c r="K116" s="23"/>
      <c r="L116" s="27"/>
      <c r="M116" s="16"/>
      <c r="N116" s="16"/>
      <c r="O116" s="16"/>
      <c r="P116" s="16"/>
      <c r="Q116" s="16"/>
      <c r="R116" s="17"/>
      <c r="S116" s="17"/>
      <c r="T116" s="17"/>
      <c r="U116" s="17"/>
      <c r="V116" s="17"/>
      <c r="W116" s="17"/>
      <c r="X116" s="17">
        <f t="shared" si="6"/>
        <v>7</v>
      </c>
      <c r="Y116" s="18">
        <f t="shared" si="2"/>
        <v>0</v>
      </c>
      <c r="Z116" s="24"/>
      <c r="AA116" s="20"/>
      <c r="AB116" s="21" t="b">
        <v>1</v>
      </c>
      <c r="AC116" s="22">
        <f t="shared" si="4"/>
        <v>0</v>
      </c>
      <c r="AD116" s="23"/>
      <c r="AE116" s="23"/>
    </row>
    <row r="117" spans="1:31" ht="15">
      <c r="A117" s="10">
        <f t="shared" si="0"/>
        <v>0</v>
      </c>
      <c r="B117" s="23"/>
      <c r="C117" s="23"/>
      <c r="D117" s="23"/>
      <c r="E117" s="23"/>
      <c r="F117" s="23"/>
      <c r="G117" s="23"/>
      <c r="H117" s="23"/>
      <c r="I117" s="23"/>
      <c r="J117" s="23"/>
      <c r="K117" s="23"/>
      <c r="L117" s="27"/>
      <c r="M117" s="16"/>
      <c r="N117" s="16"/>
      <c r="O117" s="16"/>
      <c r="P117" s="16"/>
      <c r="Q117" s="16"/>
      <c r="R117" s="17"/>
      <c r="S117" s="17"/>
      <c r="T117" s="17"/>
      <c r="U117" s="17"/>
      <c r="V117" s="17"/>
      <c r="W117" s="17"/>
      <c r="X117" s="17">
        <f t="shared" si="6"/>
        <v>7</v>
      </c>
      <c r="Y117" s="18">
        <f t="shared" si="2"/>
        <v>0</v>
      </c>
      <c r="Z117" s="24"/>
      <c r="AA117" s="20"/>
      <c r="AB117" s="21" t="b">
        <v>1</v>
      </c>
      <c r="AC117" s="22">
        <f t="shared" si="4"/>
        <v>0</v>
      </c>
      <c r="AD117" s="23"/>
      <c r="AE117" s="23"/>
    </row>
    <row r="118" spans="1:31" ht="15">
      <c r="A118" s="10">
        <f t="shared" si="0"/>
        <v>0</v>
      </c>
      <c r="B118" s="23"/>
      <c r="C118" s="23"/>
      <c r="D118" s="23"/>
      <c r="E118" s="23"/>
      <c r="F118" s="23"/>
      <c r="G118" s="23"/>
      <c r="H118" s="23"/>
      <c r="I118" s="23"/>
      <c r="J118" s="23"/>
      <c r="K118" s="23"/>
      <c r="L118" s="27"/>
      <c r="M118" s="16"/>
      <c r="N118" s="16"/>
      <c r="O118" s="17"/>
      <c r="P118" s="17"/>
      <c r="Q118" s="17"/>
      <c r="R118" s="17"/>
      <c r="S118" s="17"/>
      <c r="T118" s="17"/>
      <c r="U118" s="17"/>
      <c r="V118" s="17"/>
      <c r="W118" s="17"/>
      <c r="X118" s="17">
        <f t="shared" si="6"/>
        <v>7</v>
      </c>
      <c r="Y118" s="18">
        <f t="shared" si="2"/>
        <v>0</v>
      </c>
      <c r="Z118" s="24"/>
      <c r="AA118" s="20"/>
      <c r="AB118" s="21" t="b">
        <v>1</v>
      </c>
      <c r="AC118" s="22">
        <f t="shared" si="4"/>
        <v>0</v>
      </c>
      <c r="AD118" s="23"/>
      <c r="AE118" s="23"/>
    </row>
    <row r="119" spans="1:31" ht="15">
      <c r="A119" s="10">
        <f t="shared" si="0"/>
        <v>0</v>
      </c>
      <c r="B119" s="23"/>
      <c r="C119" s="23"/>
      <c r="D119" s="23"/>
      <c r="E119" s="23"/>
      <c r="F119" s="23"/>
      <c r="G119" s="23"/>
      <c r="H119" s="23"/>
      <c r="I119" s="23"/>
      <c r="J119" s="23"/>
      <c r="K119" s="23"/>
      <c r="L119" s="27"/>
      <c r="M119" s="16"/>
      <c r="N119" s="16"/>
      <c r="O119" s="17"/>
      <c r="P119" s="17"/>
      <c r="Q119" s="17"/>
      <c r="R119" s="17"/>
      <c r="S119" s="17"/>
      <c r="T119" s="17"/>
      <c r="U119" s="17"/>
      <c r="V119" s="17"/>
      <c r="W119" s="17"/>
      <c r="X119" s="17">
        <f t="shared" si="6"/>
        <v>7</v>
      </c>
      <c r="Y119" s="18">
        <f t="shared" si="2"/>
        <v>0</v>
      </c>
      <c r="Z119" s="24"/>
      <c r="AA119" s="20"/>
      <c r="AB119" s="21" t="b">
        <v>1</v>
      </c>
      <c r="AC119" s="22">
        <f t="shared" si="4"/>
        <v>0</v>
      </c>
      <c r="AD119" s="23"/>
      <c r="AE119" s="23"/>
    </row>
    <row r="120" spans="1:31" ht="12.75">
      <c r="A120" s="33"/>
      <c r="B120" s="33"/>
      <c r="C120" s="33"/>
      <c r="D120" s="33"/>
      <c r="E120" s="33"/>
      <c r="F120" s="33"/>
      <c r="G120" s="33"/>
      <c r="H120" s="33"/>
      <c r="I120" s="33"/>
      <c r="J120" s="33"/>
      <c r="K120" s="33"/>
      <c r="L120" s="34"/>
      <c r="M120" s="34"/>
      <c r="N120" s="35"/>
      <c r="O120" s="35" t="s">
        <v>20</v>
      </c>
      <c r="P120" s="34"/>
      <c r="Q120" s="34"/>
      <c r="R120" s="34"/>
      <c r="S120" s="34"/>
      <c r="T120" s="34"/>
      <c r="U120" s="34"/>
      <c r="V120" s="34"/>
      <c r="W120" s="34"/>
      <c r="X120" s="34"/>
      <c r="Y120" s="34"/>
      <c r="Z120" s="34"/>
      <c r="AA120" s="34"/>
      <c r="AB120" s="34"/>
      <c r="AC120" s="34"/>
      <c r="AD120" s="23"/>
      <c r="AE120" s="23"/>
    </row>
    <row r="121" spans="1:31" ht="15">
      <c r="A121" s="36">
        <f>ROW()</f>
        <v>121</v>
      </c>
      <c r="B121" s="23">
        <f t="shared" ref="B121:K121" si="7">SUM(B2:B120)</f>
        <v>3</v>
      </c>
      <c r="C121" s="23">
        <f t="shared" si="7"/>
        <v>4</v>
      </c>
      <c r="D121" s="23">
        <f t="shared" si="7"/>
        <v>4</v>
      </c>
      <c r="E121" s="23">
        <f t="shared" si="7"/>
        <v>2</v>
      </c>
      <c r="F121" s="23">
        <f t="shared" si="7"/>
        <v>0</v>
      </c>
      <c r="G121" s="23">
        <f t="shared" si="7"/>
        <v>0</v>
      </c>
      <c r="H121" s="23">
        <f t="shared" si="7"/>
        <v>4</v>
      </c>
      <c r="I121" s="23">
        <f t="shared" si="7"/>
        <v>0</v>
      </c>
      <c r="J121" s="23">
        <f t="shared" si="7"/>
        <v>0</v>
      </c>
      <c r="K121" s="23">
        <f t="shared" si="7"/>
        <v>0</v>
      </c>
      <c r="L121" s="27"/>
      <c r="M121" s="16"/>
      <c r="N121" s="16"/>
      <c r="O121" s="17"/>
      <c r="P121" s="23"/>
      <c r="Q121" s="23"/>
      <c r="R121" s="23"/>
      <c r="S121" s="23"/>
      <c r="T121" s="23"/>
      <c r="U121" s="23"/>
      <c r="V121" s="23"/>
      <c r="W121" s="13"/>
      <c r="X121" s="23"/>
      <c r="Y121" s="23"/>
      <c r="Z121" s="23"/>
      <c r="AA121" s="23"/>
      <c r="AB121" s="23"/>
      <c r="AC121" s="37"/>
      <c r="AD121" s="23"/>
      <c r="AE121" s="23"/>
    </row>
    <row r="122" spans="1:31" ht="12.75">
      <c r="A122" s="23"/>
      <c r="B122" s="23"/>
      <c r="C122" s="38"/>
      <c r="D122" s="38"/>
      <c r="E122" s="38"/>
      <c r="F122" s="38"/>
      <c r="G122" s="38"/>
      <c r="H122" s="38"/>
      <c r="I122" s="130" t="s">
        <v>21</v>
      </c>
      <c r="J122" s="117"/>
      <c r="K122" s="117"/>
      <c r="L122" s="117"/>
      <c r="M122" s="131">
        <f>400000+120000</f>
        <v>520000</v>
      </c>
      <c r="N122" s="117"/>
      <c r="O122" s="117"/>
      <c r="P122" s="23"/>
      <c r="Q122" s="23"/>
      <c r="R122" s="23"/>
      <c r="S122" s="38"/>
      <c r="T122" s="38"/>
      <c r="U122" s="38"/>
      <c r="V122" s="23"/>
      <c r="W122" s="23"/>
      <c r="X122" s="23"/>
      <c r="Y122" s="23"/>
      <c r="Z122" s="23"/>
      <c r="AA122" s="23"/>
      <c r="AB122" s="23"/>
      <c r="AC122" s="37"/>
      <c r="AD122" s="23"/>
      <c r="AE122" s="23"/>
    </row>
    <row r="123" spans="1:31" ht="15">
      <c r="A123" s="23"/>
      <c r="B123" s="23"/>
      <c r="C123" s="38"/>
      <c r="D123" s="39" t="s">
        <v>22</v>
      </c>
      <c r="E123" s="40">
        <v>1750905</v>
      </c>
      <c r="F123" s="41" t="s">
        <v>23</v>
      </c>
      <c r="G123" s="42">
        <v>249095</v>
      </c>
      <c r="H123" s="38"/>
      <c r="I123" s="43" t="s">
        <v>24</v>
      </c>
      <c r="J123" s="44">
        <v>0.18</v>
      </c>
      <c r="K123" s="44"/>
      <c r="L123" s="45" t="s">
        <v>25</v>
      </c>
      <c r="M123" s="46">
        <f>2.7/12</f>
        <v>0.22500000000000001</v>
      </c>
      <c r="N123" s="47" t="s">
        <v>26</v>
      </c>
      <c r="O123" s="48">
        <f>40*4.2*((244-2)/260)</f>
        <v>156.36923076923077</v>
      </c>
      <c r="P123" s="38"/>
      <c r="Q123" s="43" t="s">
        <v>27</v>
      </c>
      <c r="R123" s="49"/>
      <c r="S123" s="38"/>
      <c r="T123" s="50">
        <v>8</v>
      </c>
      <c r="U123" s="51" t="s">
        <v>28</v>
      </c>
      <c r="V123" s="52"/>
      <c r="W123" s="23"/>
      <c r="X123" s="23"/>
      <c r="Y123" s="23"/>
      <c r="Z123" s="23"/>
      <c r="AA123" s="23"/>
      <c r="AB123" s="23"/>
      <c r="AC123" s="37"/>
      <c r="AD123" s="23"/>
      <c r="AE123" s="23"/>
    </row>
    <row r="124" spans="1:31" ht="12.75">
      <c r="A124" s="23"/>
      <c r="B124" s="23"/>
      <c r="C124" s="127" t="s">
        <v>29</v>
      </c>
      <c r="D124" s="117"/>
      <c r="E124" s="117"/>
      <c r="F124" s="127" t="s">
        <v>30</v>
      </c>
      <c r="G124" s="117"/>
      <c r="H124" s="117"/>
      <c r="I124" s="127" t="s">
        <v>31</v>
      </c>
      <c r="J124" s="117"/>
      <c r="K124" s="117"/>
      <c r="L124" s="117"/>
      <c r="M124" s="127" t="s">
        <v>32</v>
      </c>
      <c r="N124" s="117"/>
      <c r="O124" s="117"/>
      <c r="P124" s="127" t="s">
        <v>33</v>
      </c>
      <c r="Q124" s="117"/>
      <c r="R124" s="117"/>
      <c r="S124" s="38"/>
      <c r="T124" s="38"/>
      <c r="U124" s="53" t="s">
        <v>26</v>
      </c>
      <c r="V124" s="127" t="s">
        <v>34</v>
      </c>
      <c r="W124" s="117"/>
      <c r="X124" s="117"/>
      <c r="Y124" s="23"/>
      <c r="Z124" s="23"/>
      <c r="AA124" s="23"/>
      <c r="AB124" s="23"/>
      <c r="AC124" s="37"/>
      <c r="AD124" s="23"/>
      <c r="AE124" s="23"/>
    </row>
    <row r="125" spans="1:31" ht="12.75">
      <c r="A125" s="54" t="s">
        <v>35</v>
      </c>
      <c r="B125" s="53" t="str">
        <f>B1</f>
        <v>DB</v>
      </c>
      <c r="C125" s="116">
        <v>6480000</v>
      </c>
      <c r="D125" s="117"/>
      <c r="E125" s="117"/>
      <c r="F125" s="116">
        <v>1080000</v>
      </c>
      <c r="G125" s="117"/>
      <c r="H125" s="117"/>
      <c r="I125" s="116">
        <v>0</v>
      </c>
      <c r="J125" s="117"/>
      <c r="K125" s="117"/>
      <c r="L125" s="117"/>
      <c r="M125" s="116">
        <f t="shared" ref="M125:M134" si="8">C125*(1+$J$123+$M$123)+F125+I125+$M$122+IF(($E$123*2)&gt;=C125,$G$123,0)</f>
        <v>10704400</v>
      </c>
      <c r="N125" s="117"/>
      <c r="O125" s="117"/>
      <c r="P125" s="124">
        <f t="shared" ref="P125:P134" si="9">M125/$O$123*(1+$R$123)</f>
        <v>68455.922865013781</v>
      </c>
      <c r="Q125" s="117"/>
      <c r="R125" s="117"/>
      <c r="S125" s="38"/>
      <c r="T125" s="38"/>
      <c r="U125" s="23">
        <f t="shared" ref="U125:U134" si="10">HLOOKUP(B125,$B$1:$K$121,$A$121,0)*$T$123</f>
        <v>24</v>
      </c>
      <c r="W125" s="55">
        <f t="shared" ref="W125:W134" si="11">P125*U125</f>
        <v>1642942.1487603309</v>
      </c>
      <c r="Y125" s="23"/>
      <c r="Z125" s="23"/>
      <c r="AA125" s="23"/>
      <c r="AB125" s="23"/>
      <c r="AC125" s="37"/>
      <c r="AD125" s="23"/>
      <c r="AE125" s="23"/>
    </row>
    <row r="126" spans="1:31" ht="12.75">
      <c r="A126" s="54" t="s">
        <v>36</v>
      </c>
      <c r="B126" s="53" t="str">
        <f>C1</f>
        <v>UX</v>
      </c>
      <c r="C126" s="116">
        <v>3240000</v>
      </c>
      <c r="D126" s="117"/>
      <c r="E126" s="117"/>
      <c r="F126" s="116">
        <v>540000</v>
      </c>
      <c r="G126" s="117"/>
      <c r="H126" s="117"/>
      <c r="I126" s="116">
        <v>0</v>
      </c>
      <c r="J126" s="117"/>
      <c r="K126" s="117"/>
      <c r="L126" s="117"/>
      <c r="M126" s="116">
        <f t="shared" si="8"/>
        <v>5861295</v>
      </c>
      <c r="N126" s="117"/>
      <c r="O126" s="117"/>
      <c r="P126" s="124">
        <f t="shared" si="9"/>
        <v>37483.685064935067</v>
      </c>
      <c r="Q126" s="117"/>
      <c r="R126" s="117"/>
      <c r="S126" s="38"/>
      <c r="T126" s="38"/>
      <c r="U126" s="23">
        <f t="shared" si="10"/>
        <v>32</v>
      </c>
      <c r="W126" s="55">
        <f t="shared" si="11"/>
        <v>1199477.9220779222</v>
      </c>
      <c r="Y126" s="23"/>
      <c r="Z126" s="23"/>
      <c r="AA126" s="23"/>
      <c r="AB126" s="23"/>
      <c r="AC126" s="37"/>
      <c r="AD126" s="23"/>
      <c r="AE126" s="23"/>
    </row>
    <row r="127" spans="1:31" ht="12.75">
      <c r="A127" s="54" t="s">
        <v>37</v>
      </c>
      <c r="B127" s="53" t="str">
        <f>D1</f>
        <v>FM</v>
      </c>
      <c r="C127" s="116">
        <v>3240000</v>
      </c>
      <c r="D127" s="117"/>
      <c r="E127" s="117"/>
      <c r="F127" s="116">
        <v>540000</v>
      </c>
      <c r="G127" s="117"/>
      <c r="H127" s="117"/>
      <c r="I127" s="116">
        <v>0</v>
      </c>
      <c r="J127" s="117"/>
      <c r="K127" s="117"/>
      <c r="L127" s="117"/>
      <c r="M127" s="116">
        <f t="shared" si="8"/>
        <v>5861295</v>
      </c>
      <c r="N127" s="117"/>
      <c r="O127" s="117"/>
      <c r="P127" s="124">
        <f t="shared" si="9"/>
        <v>37483.685064935067</v>
      </c>
      <c r="Q127" s="117"/>
      <c r="R127" s="117"/>
      <c r="S127" s="38"/>
      <c r="T127" s="38"/>
      <c r="U127" s="23">
        <f t="shared" si="10"/>
        <v>32</v>
      </c>
      <c r="W127" s="55">
        <f t="shared" si="11"/>
        <v>1199477.9220779222</v>
      </c>
      <c r="Y127" s="23"/>
      <c r="Z127" s="23"/>
      <c r="AA127" s="23"/>
      <c r="AB127" s="23"/>
      <c r="AC127" s="37"/>
      <c r="AD127" s="23"/>
      <c r="AE127" s="23"/>
    </row>
    <row r="128" spans="1:31" ht="12.75">
      <c r="A128" s="54" t="s">
        <v>38</v>
      </c>
      <c r="B128" s="53" t="str">
        <f>E1</f>
        <v>BS</v>
      </c>
      <c r="C128" s="116">
        <v>4320000</v>
      </c>
      <c r="D128" s="117"/>
      <c r="E128" s="117"/>
      <c r="F128" s="116">
        <v>1620000</v>
      </c>
      <c r="G128" s="117"/>
      <c r="H128" s="117"/>
      <c r="I128" s="116">
        <v>0</v>
      </c>
      <c r="J128" s="117"/>
      <c r="K128" s="117"/>
      <c r="L128" s="117"/>
      <c r="M128" s="116">
        <f t="shared" si="8"/>
        <v>8209600</v>
      </c>
      <c r="N128" s="117"/>
      <c r="O128" s="117"/>
      <c r="P128" s="124">
        <f t="shared" si="9"/>
        <v>52501.377410468318</v>
      </c>
      <c r="Q128" s="117"/>
      <c r="R128" s="117"/>
      <c r="S128" s="38"/>
      <c r="T128" s="38"/>
      <c r="U128" s="23">
        <f t="shared" si="10"/>
        <v>16</v>
      </c>
      <c r="W128" s="55">
        <f t="shared" si="11"/>
        <v>840022.03856749309</v>
      </c>
      <c r="Y128" s="23"/>
      <c r="Z128" s="23"/>
      <c r="AA128" s="23"/>
      <c r="AB128" s="23"/>
      <c r="AC128" s="37"/>
      <c r="AD128" s="23"/>
      <c r="AE128" s="23"/>
    </row>
    <row r="129" spans="1:31" ht="12.75">
      <c r="A129" s="54" t="s">
        <v>39</v>
      </c>
      <c r="B129" s="53" t="str">
        <f>F1</f>
        <v>BM</v>
      </c>
      <c r="C129" s="116">
        <v>3780000</v>
      </c>
      <c r="D129" s="117"/>
      <c r="E129" s="117"/>
      <c r="F129" s="116">
        <v>1080000</v>
      </c>
      <c r="G129" s="117"/>
      <c r="H129" s="117"/>
      <c r="I129" s="116">
        <v>0</v>
      </c>
      <c r="J129" s="117"/>
      <c r="K129" s="117"/>
      <c r="L129" s="117"/>
      <c r="M129" s="116">
        <f t="shared" si="8"/>
        <v>6910900</v>
      </c>
      <c r="N129" s="117"/>
      <c r="O129" s="117"/>
      <c r="P129" s="124">
        <f t="shared" si="9"/>
        <v>44196.035025580481</v>
      </c>
      <c r="Q129" s="117"/>
      <c r="R129" s="117"/>
      <c r="S129" s="38"/>
      <c r="T129" s="38"/>
      <c r="U129" s="23">
        <f t="shared" si="10"/>
        <v>0</v>
      </c>
      <c r="W129" s="55">
        <f t="shared" si="11"/>
        <v>0</v>
      </c>
      <c r="Y129" s="23"/>
      <c r="Z129" s="23"/>
      <c r="AA129" s="23"/>
      <c r="AB129" s="23"/>
      <c r="AC129" s="37"/>
      <c r="AD129" s="23"/>
      <c r="AE129" s="23"/>
    </row>
    <row r="130" spans="1:31" ht="12.75">
      <c r="A130" s="54" t="s">
        <v>40</v>
      </c>
      <c r="B130" s="53" t="str">
        <f>G1</f>
        <v>QA</v>
      </c>
      <c r="C130" s="116">
        <v>2700000</v>
      </c>
      <c r="D130" s="117"/>
      <c r="E130" s="117"/>
      <c r="F130" s="116">
        <v>1080000</v>
      </c>
      <c r="G130" s="117"/>
      <c r="H130" s="117"/>
      <c r="I130" s="116">
        <v>54000</v>
      </c>
      <c r="J130" s="117"/>
      <c r="K130" s="117"/>
      <c r="L130" s="117"/>
      <c r="M130" s="116">
        <f t="shared" si="8"/>
        <v>5696595</v>
      </c>
      <c r="N130" s="117"/>
      <c r="O130" s="117"/>
      <c r="P130" s="124">
        <f t="shared" si="9"/>
        <v>36430.408795749703</v>
      </c>
      <c r="Q130" s="117"/>
      <c r="R130" s="117"/>
      <c r="S130" s="38"/>
      <c r="T130" s="38"/>
      <c r="U130" s="23">
        <f t="shared" si="10"/>
        <v>0</v>
      </c>
      <c r="W130" s="55">
        <f t="shared" si="11"/>
        <v>0</v>
      </c>
      <c r="Y130" s="23"/>
      <c r="Z130" s="23"/>
      <c r="AA130" s="23"/>
      <c r="AB130" s="23"/>
      <c r="AC130" s="37"/>
      <c r="AD130" s="23"/>
      <c r="AE130" s="23"/>
    </row>
    <row r="131" spans="1:31" ht="12.75">
      <c r="A131" s="54" t="s">
        <v>41</v>
      </c>
      <c r="B131" s="53" t="str">
        <f>H1</f>
        <v>IM</v>
      </c>
      <c r="C131" s="116">
        <v>2700000</v>
      </c>
      <c r="D131" s="117"/>
      <c r="E131" s="117"/>
      <c r="F131" s="116">
        <v>1080000</v>
      </c>
      <c r="G131" s="117"/>
      <c r="H131" s="117"/>
      <c r="I131" s="116">
        <v>0</v>
      </c>
      <c r="J131" s="117"/>
      <c r="K131" s="117"/>
      <c r="L131" s="117"/>
      <c r="M131" s="116">
        <f t="shared" si="8"/>
        <v>5642595</v>
      </c>
      <c r="N131" s="117"/>
      <c r="O131" s="117"/>
      <c r="P131" s="124">
        <f t="shared" si="9"/>
        <v>36085.07231404959</v>
      </c>
      <c r="Q131" s="117"/>
      <c r="R131" s="117"/>
      <c r="S131" s="38"/>
      <c r="T131" s="38"/>
      <c r="U131" s="23">
        <f t="shared" si="10"/>
        <v>32</v>
      </c>
      <c r="W131" s="55">
        <f t="shared" si="11"/>
        <v>1154722.3140495869</v>
      </c>
      <c r="Y131" s="23"/>
      <c r="Z131" s="23"/>
      <c r="AA131" s="23"/>
      <c r="AB131" s="23"/>
      <c r="AC131" s="37"/>
      <c r="AD131" s="23"/>
      <c r="AE131" s="23"/>
    </row>
    <row r="132" spans="1:31" ht="12.75">
      <c r="A132" s="54" t="s">
        <v>42</v>
      </c>
      <c r="B132" s="53" t="str">
        <f>I1</f>
        <v>MS</v>
      </c>
      <c r="C132" s="116">
        <v>8100000</v>
      </c>
      <c r="D132" s="117"/>
      <c r="E132" s="117"/>
      <c r="F132" s="116">
        <v>2160000</v>
      </c>
      <c r="G132" s="117"/>
      <c r="H132" s="117"/>
      <c r="I132" s="116">
        <v>132000</v>
      </c>
      <c r="J132" s="117"/>
      <c r="K132" s="117"/>
      <c r="L132" s="117"/>
      <c r="M132" s="116">
        <f t="shared" si="8"/>
        <v>14192500</v>
      </c>
      <c r="N132" s="117"/>
      <c r="O132" s="117"/>
      <c r="P132" s="124">
        <f t="shared" si="9"/>
        <v>90762.741046831958</v>
      </c>
      <c r="Q132" s="117"/>
      <c r="R132" s="117"/>
      <c r="S132" s="38"/>
      <c r="T132" s="38"/>
      <c r="U132" s="23">
        <f t="shared" si="10"/>
        <v>0</v>
      </c>
      <c r="W132" s="55">
        <f t="shared" si="11"/>
        <v>0</v>
      </c>
      <c r="Y132" s="23"/>
      <c r="Z132" s="23"/>
      <c r="AA132" s="23"/>
      <c r="AB132" s="23"/>
      <c r="AC132" s="37"/>
      <c r="AD132" s="23"/>
      <c r="AE132" s="23"/>
    </row>
    <row r="133" spans="1:31" ht="12.75">
      <c r="A133" s="54" t="s">
        <v>43</v>
      </c>
      <c r="B133" s="53" t="str">
        <f>J1</f>
        <v>MM</v>
      </c>
      <c r="C133" s="116">
        <v>3240000</v>
      </c>
      <c r="D133" s="117"/>
      <c r="E133" s="117"/>
      <c r="F133" s="116">
        <v>1080000</v>
      </c>
      <c r="G133" s="117"/>
      <c r="H133" s="117"/>
      <c r="I133" s="116">
        <v>132000</v>
      </c>
      <c r="J133" s="117"/>
      <c r="K133" s="117"/>
      <c r="L133" s="117"/>
      <c r="M133" s="116">
        <f t="shared" si="8"/>
        <v>6533295</v>
      </c>
      <c r="N133" s="117"/>
      <c r="O133" s="117"/>
      <c r="P133" s="124">
        <f t="shared" si="9"/>
        <v>41781.205726092092</v>
      </c>
      <c r="Q133" s="117"/>
      <c r="R133" s="117"/>
      <c r="S133" s="38"/>
      <c r="T133" s="38"/>
      <c r="U133" s="23">
        <f t="shared" si="10"/>
        <v>0</v>
      </c>
      <c r="W133" s="55">
        <f t="shared" si="11"/>
        <v>0</v>
      </c>
      <c r="Y133" s="23"/>
      <c r="Z133" s="23"/>
      <c r="AA133" s="23"/>
      <c r="AB133" s="23"/>
      <c r="AC133" s="37"/>
      <c r="AD133" s="23"/>
      <c r="AE133" s="23"/>
    </row>
    <row r="134" spans="1:31" ht="12.75">
      <c r="A134" s="54" t="s">
        <v>44</v>
      </c>
      <c r="B134" s="53" t="s">
        <v>10</v>
      </c>
      <c r="C134" s="116">
        <v>3240000</v>
      </c>
      <c r="D134" s="117"/>
      <c r="E134" s="117"/>
      <c r="F134" s="116">
        <v>1080000</v>
      </c>
      <c r="G134" s="117"/>
      <c r="H134" s="117"/>
      <c r="I134" s="116"/>
      <c r="J134" s="117"/>
      <c r="K134" s="117"/>
      <c r="L134" s="117"/>
      <c r="M134" s="116">
        <f t="shared" si="8"/>
        <v>6401295</v>
      </c>
      <c r="N134" s="117"/>
      <c r="O134" s="117"/>
      <c r="P134" s="124">
        <f t="shared" si="9"/>
        <v>40937.049881936247</v>
      </c>
      <c r="Q134" s="117"/>
      <c r="R134" s="117"/>
      <c r="S134" s="38"/>
      <c r="T134" s="38"/>
      <c r="U134" s="23">
        <f t="shared" si="10"/>
        <v>0</v>
      </c>
      <c r="W134" s="55">
        <f t="shared" si="11"/>
        <v>0</v>
      </c>
      <c r="Y134" s="23"/>
      <c r="Z134" s="23"/>
      <c r="AA134" s="23"/>
      <c r="AB134" s="23"/>
      <c r="AC134" s="37"/>
      <c r="AD134" s="23"/>
      <c r="AE134" s="23"/>
    </row>
    <row r="135" spans="1:31" ht="12.75">
      <c r="A135" s="54"/>
      <c r="B135" s="53"/>
      <c r="C135" s="38"/>
      <c r="D135" s="38"/>
      <c r="E135" s="38"/>
      <c r="F135" s="38"/>
      <c r="G135" s="38"/>
      <c r="H135" s="38"/>
      <c r="I135" s="23"/>
      <c r="J135" s="23"/>
      <c r="K135" s="23"/>
      <c r="L135" s="23"/>
      <c r="M135" s="23"/>
      <c r="N135" s="23"/>
      <c r="O135" s="23"/>
      <c r="P135" s="125">
        <f>SUM(P125:P134)</f>
        <v>486117.18319559225</v>
      </c>
      <c r="Q135" s="117"/>
      <c r="R135" s="117"/>
      <c r="S135" s="38"/>
      <c r="T135" s="38"/>
      <c r="U135" s="38"/>
      <c r="W135" s="56">
        <f>SUM(W125:W134)</f>
        <v>6036642.3455332546</v>
      </c>
      <c r="Y135" s="23"/>
      <c r="Z135" s="23"/>
      <c r="AA135" s="23"/>
      <c r="AB135" s="23"/>
      <c r="AC135" s="37"/>
      <c r="AD135" s="23"/>
      <c r="AE135" s="23"/>
    </row>
    <row r="136" spans="1:31" ht="12.75">
      <c r="A136" s="23"/>
      <c r="B136" s="23"/>
      <c r="C136" s="57"/>
      <c r="D136" s="57"/>
      <c r="E136" s="23"/>
      <c r="F136" s="23"/>
      <c r="G136" s="23"/>
      <c r="H136" s="38"/>
      <c r="I136" s="23"/>
      <c r="J136" s="23"/>
      <c r="K136" s="23"/>
      <c r="L136" s="38"/>
      <c r="M136" s="23"/>
      <c r="N136" s="23"/>
      <c r="O136" s="23"/>
      <c r="P136" s="23"/>
      <c r="Q136" s="23"/>
      <c r="R136" s="23"/>
      <c r="S136" s="23"/>
      <c r="T136" s="23"/>
      <c r="U136" s="23"/>
      <c r="V136" s="23"/>
      <c r="W136" s="23"/>
      <c r="X136" s="23"/>
      <c r="Y136" s="23"/>
      <c r="Z136" s="23"/>
      <c r="AA136" s="23"/>
      <c r="AB136" s="23"/>
      <c r="AC136" s="37"/>
      <c r="AD136" s="23"/>
      <c r="AE136" s="23"/>
    </row>
    <row r="137" spans="1:31" ht="12.7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37"/>
      <c r="AD137" s="23"/>
      <c r="AE137" s="23"/>
    </row>
    <row r="138" spans="1:31" ht="12.75">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9"/>
      <c r="AD138" s="58"/>
      <c r="AE138" s="58"/>
    </row>
    <row r="139" spans="1:31" ht="15">
      <c r="A139" s="58"/>
      <c r="B139" s="58"/>
      <c r="C139" s="118"/>
      <c r="D139" s="119"/>
      <c r="E139" s="119"/>
      <c r="F139" s="120"/>
      <c r="G139" s="121"/>
      <c r="H139" s="122"/>
      <c r="I139" s="122"/>
      <c r="J139" s="123"/>
      <c r="K139" s="60"/>
      <c r="L139" s="126"/>
      <c r="M139" s="122"/>
      <c r="N139" s="122"/>
      <c r="O139" s="123"/>
      <c r="P139" s="121"/>
      <c r="Q139" s="122"/>
      <c r="R139" s="122"/>
      <c r="S139" s="123"/>
      <c r="T139" s="126"/>
      <c r="U139" s="122"/>
      <c r="V139" s="122"/>
      <c r="W139" s="123"/>
      <c r="X139" s="121"/>
      <c r="Y139" s="122"/>
      <c r="Z139" s="123"/>
      <c r="AA139" s="126"/>
      <c r="AB139" s="122"/>
      <c r="AC139" s="123"/>
      <c r="AD139" s="61"/>
      <c r="AE139" s="58"/>
    </row>
    <row r="140" spans="1:31" ht="12.75">
      <c r="A140" s="62" t="e">
        <f t="array" aca="1" ref="A140:A147" ca="1">unique(L1:L120)</f>
        <v>#NAME?</v>
      </c>
      <c r="B140" s="63"/>
      <c r="C140" s="64"/>
      <c r="D140" s="64"/>
      <c r="E140" s="64"/>
      <c r="F140" s="65"/>
      <c r="G140" s="66" t="s">
        <v>45</v>
      </c>
      <c r="H140" s="66" t="s">
        <v>46</v>
      </c>
      <c r="I140" s="66" t="s">
        <v>47</v>
      </c>
      <c r="J140" s="66" t="s">
        <v>48</v>
      </c>
      <c r="K140" s="66" t="s">
        <v>49</v>
      </c>
      <c r="L140" s="67" t="s">
        <v>50</v>
      </c>
      <c r="M140" s="67" t="s">
        <v>51</v>
      </c>
      <c r="N140" s="67" t="s">
        <v>52</v>
      </c>
      <c r="O140" s="67" t="s">
        <v>53</v>
      </c>
      <c r="P140" s="66" t="s">
        <v>54</v>
      </c>
      <c r="Q140" s="66"/>
      <c r="R140" s="66"/>
      <c r="S140" s="66"/>
      <c r="T140" s="67"/>
      <c r="U140" s="67"/>
      <c r="V140" s="67"/>
      <c r="W140" s="67"/>
      <c r="X140" s="66"/>
      <c r="Y140" s="66"/>
      <c r="Z140" s="66"/>
      <c r="AA140" s="67"/>
      <c r="AB140" s="67"/>
      <c r="AC140" s="68"/>
      <c r="AD140" s="67"/>
      <c r="AE140" s="58"/>
    </row>
    <row r="141" spans="1:31" ht="12.75">
      <c r="A141" s="69" t="e">
        <f ca="1"/>
        <v>#NAME?</v>
      </c>
      <c r="B141" s="70"/>
      <c r="C141" s="71"/>
      <c r="D141" s="71" t="s">
        <v>55</v>
      </c>
      <c r="E141" s="71"/>
      <c r="F141" s="72"/>
      <c r="G141" s="73"/>
      <c r="H141" s="73"/>
      <c r="I141" s="73"/>
      <c r="J141" s="73"/>
      <c r="K141" s="73"/>
      <c r="L141" s="74"/>
      <c r="M141" s="74"/>
      <c r="N141" s="74"/>
      <c r="O141" s="75"/>
      <c r="P141" s="76"/>
      <c r="Q141" s="76"/>
      <c r="R141" s="76"/>
      <c r="S141" s="76"/>
      <c r="T141" s="75"/>
      <c r="U141" s="75"/>
      <c r="V141" s="75"/>
      <c r="W141" s="75"/>
      <c r="X141" s="76"/>
      <c r="Y141" s="76"/>
      <c r="Z141" s="76"/>
      <c r="AA141" s="75"/>
      <c r="AB141" s="75"/>
      <c r="AC141" s="77"/>
      <c r="AD141" s="75"/>
      <c r="AE141" s="58"/>
    </row>
    <row r="142" spans="1:31" ht="12.75">
      <c r="A142" s="69" t="e">
        <f ca="1"/>
        <v>#NAME?</v>
      </c>
      <c r="B142" s="70"/>
      <c r="C142" s="71"/>
      <c r="D142" s="71"/>
      <c r="E142" s="71"/>
      <c r="F142" s="72"/>
      <c r="G142" s="73"/>
      <c r="H142" s="73"/>
      <c r="I142" s="73"/>
      <c r="J142" s="73"/>
      <c r="K142" s="73"/>
      <c r="L142" s="74"/>
      <c r="M142" s="75"/>
      <c r="N142" s="75"/>
      <c r="O142" s="75"/>
      <c r="P142" s="76"/>
      <c r="Q142" s="76"/>
      <c r="R142" s="76"/>
      <c r="S142" s="76"/>
      <c r="T142" s="75"/>
      <c r="U142" s="75"/>
      <c r="V142" s="75"/>
      <c r="W142" s="75"/>
      <c r="X142" s="76"/>
      <c r="Y142" s="76"/>
      <c r="Z142" s="76"/>
      <c r="AA142" s="75"/>
      <c r="AB142" s="75"/>
      <c r="AC142" s="77"/>
      <c r="AD142" s="75"/>
      <c r="AE142" s="58"/>
    </row>
    <row r="143" spans="1:31" ht="12.75">
      <c r="A143" s="69" t="e">
        <f ca="1"/>
        <v>#NAME?</v>
      </c>
      <c r="B143" s="70"/>
      <c r="C143" s="71"/>
      <c r="D143" s="71"/>
      <c r="E143" s="71"/>
      <c r="F143" s="72"/>
      <c r="G143" s="73"/>
      <c r="H143" s="73"/>
      <c r="I143" s="73"/>
      <c r="J143" s="73"/>
      <c r="K143" s="73"/>
      <c r="L143" s="74"/>
      <c r="M143" s="74"/>
      <c r="N143" s="74"/>
      <c r="O143" s="74"/>
      <c r="P143" s="76"/>
      <c r="Q143" s="76"/>
      <c r="R143" s="76"/>
      <c r="S143" s="76"/>
      <c r="T143" s="75"/>
      <c r="U143" s="75"/>
      <c r="V143" s="75"/>
      <c r="W143" s="75"/>
      <c r="X143" s="76"/>
      <c r="Y143" s="76"/>
      <c r="Z143" s="76"/>
      <c r="AA143" s="75"/>
      <c r="AB143" s="75"/>
      <c r="AC143" s="77"/>
      <c r="AD143" s="75"/>
      <c r="AE143" s="58"/>
    </row>
    <row r="144" spans="1:31" ht="12.75">
      <c r="A144" s="69" t="e">
        <f ca="1"/>
        <v>#NAME?</v>
      </c>
      <c r="B144" s="70"/>
      <c r="C144" s="71"/>
      <c r="D144" s="71"/>
      <c r="E144" s="71"/>
      <c r="F144" s="72"/>
      <c r="G144" s="73"/>
      <c r="H144" s="73"/>
      <c r="I144" s="73"/>
      <c r="J144" s="73"/>
      <c r="K144" s="73"/>
      <c r="L144" s="74"/>
      <c r="M144" s="74"/>
      <c r="N144" s="74"/>
      <c r="O144" s="75"/>
      <c r="P144" s="76"/>
      <c r="Q144" s="76"/>
      <c r="R144" s="76"/>
      <c r="S144" s="76"/>
      <c r="T144" s="75"/>
      <c r="U144" s="75"/>
      <c r="V144" s="75"/>
      <c r="W144" s="75"/>
      <c r="X144" s="76"/>
      <c r="Y144" s="76"/>
      <c r="Z144" s="76"/>
      <c r="AA144" s="75"/>
      <c r="AB144" s="75"/>
      <c r="AC144" s="77"/>
      <c r="AD144" s="75"/>
      <c r="AE144" s="58"/>
    </row>
    <row r="145" spans="1:31" ht="12.75">
      <c r="A145" s="69" t="e">
        <f ca="1"/>
        <v>#NAME?</v>
      </c>
      <c r="B145" s="70"/>
      <c r="C145" s="71"/>
      <c r="D145" s="71"/>
      <c r="E145" s="71"/>
      <c r="F145" s="72"/>
      <c r="G145" s="73"/>
      <c r="H145" s="73"/>
      <c r="I145" s="73"/>
      <c r="J145" s="73"/>
      <c r="K145" s="73"/>
      <c r="L145" s="74"/>
      <c r="M145" s="74"/>
      <c r="N145" s="74"/>
      <c r="O145" s="74"/>
      <c r="P145" s="76"/>
      <c r="Q145" s="76"/>
      <c r="R145" s="76"/>
      <c r="S145" s="76"/>
      <c r="T145" s="75"/>
      <c r="U145" s="75"/>
      <c r="V145" s="75"/>
      <c r="W145" s="75"/>
      <c r="X145" s="76"/>
      <c r="Y145" s="76"/>
      <c r="Z145" s="76"/>
      <c r="AA145" s="75"/>
      <c r="AB145" s="75"/>
      <c r="AC145" s="77"/>
      <c r="AD145" s="75"/>
      <c r="AE145" s="58"/>
    </row>
    <row r="146" spans="1:31" ht="12.75">
      <c r="A146" s="69" t="e">
        <f ca="1"/>
        <v>#NAME?</v>
      </c>
      <c r="B146" s="70"/>
      <c r="C146" s="71"/>
      <c r="D146" s="71"/>
      <c r="E146" s="71"/>
      <c r="F146" s="72"/>
      <c r="G146" s="73"/>
      <c r="H146" s="73"/>
      <c r="I146" s="73"/>
      <c r="J146" s="73"/>
      <c r="K146" s="73"/>
      <c r="L146" s="74"/>
      <c r="M146" s="74"/>
      <c r="N146" s="74"/>
      <c r="O146" s="75"/>
      <c r="P146" s="73"/>
      <c r="Q146" s="76"/>
      <c r="R146" s="76"/>
      <c r="S146" s="76"/>
      <c r="T146" s="75"/>
      <c r="U146" s="75"/>
      <c r="V146" s="75"/>
      <c r="W146" s="75"/>
      <c r="X146" s="76"/>
      <c r="Y146" s="76"/>
      <c r="Z146" s="76"/>
      <c r="AA146" s="75"/>
      <c r="AB146" s="75"/>
      <c r="AC146" s="77"/>
      <c r="AD146" s="75"/>
      <c r="AE146" s="58"/>
    </row>
    <row r="147" spans="1:31" ht="12.75">
      <c r="A147" s="69" t="e">
        <f ca="1"/>
        <v>#NAME?</v>
      </c>
      <c r="B147" s="70"/>
      <c r="C147" s="71"/>
      <c r="D147" s="71"/>
      <c r="E147" s="71"/>
      <c r="F147" s="72"/>
      <c r="G147" s="73"/>
      <c r="H147" s="73"/>
      <c r="I147" s="73"/>
      <c r="J147" s="73"/>
      <c r="K147" s="73"/>
      <c r="L147" s="74"/>
      <c r="M147" s="74"/>
      <c r="N147" s="74"/>
      <c r="O147" s="75"/>
      <c r="P147" s="73"/>
      <c r="Q147" s="76"/>
      <c r="R147" s="76"/>
      <c r="S147" s="76"/>
      <c r="T147" s="75"/>
      <c r="U147" s="75"/>
      <c r="V147" s="75"/>
      <c r="W147" s="75"/>
      <c r="X147" s="76"/>
      <c r="Y147" s="76"/>
      <c r="Z147" s="76"/>
      <c r="AA147" s="75"/>
      <c r="AB147" s="75"/>
      <c r="AC147" s="77"/>
      <c r="AD147" s="75"/>
      <c r="AE147" s="58"/>
    </row>
    <row r="148" spans="1:31" ht="12.75">
      <c r="A148" s="69"/>
      <c r="B148" s="70"/>
      <c r="C148" s="71"/>
      <c r="D148" s="71"/>
      <c r="E148" s="71"/>
      <c r="F148" s="72"/>
      <c r="G148" s="73"/>
      <c r="H148" s="73"/>
      <c r="I148" s="73"/>
      <c r="J148" s="73"/>
      <c r="K148" s="73"/>
      <c r="L148" s="74"/>
      <c r="M148" s="74"/>
      <c r="N148" s="74"/>
      <c r="O148" s="74"/>
      <c r="P148" s="73"/>
      <c r="Q148" s="76"/>
      <c r="R148" s="76"/>
      <c r="S148" s="76"/>
      <c r="T148" s="75"/>
      <c r="U148" s="75"/>
      <c r="V148" s="75"/>
      <c r="W148" s="75"/>
      <c r="X148" s="76"/>
      <c r="Y148" s="76"/>
      <c r="Z148" s="76"/>
      <c r="AA148" s="75"/>
      <c r="AB148" s="75"/>
      <c r="AC148" s="77"/>
      <c r="AD148" s="75"/>
      <c r="AE148" s="58"/>
    </row>
    <row r="149" spans="1:31" ht="12.75">
      <c r="A149" s="69"/>
      <c r="B149" s="70"/>
      <c r="C149" s="71"/>
      <c r="D149" s="71"/>
      <c r="E149" s="71"/>
      <c r="F149" s="72"/>
      <c r="G149" s="73"/>
      <c r="H149" s="73"/>
      <c r="I149" s="73"/>
      <c r="J149" s="73"/>
      <c r="K149" s="73"/>
      <c r="L149" s="74"/>
      <c r="M149" s="74"/>
      <c r="N149" s="74"/>
      <c r="O149" s="75"/>
      <c r="P149" s="76"/>
      <c r="Q149" s="76"/>
      <c r="R149" s="76"/>
      <c r="S149" s="76"/>
      <c r="T149" s="75"/>
      <c r="U149" s="75"/>
      <c r="V149" s="75"/>
      <c r="W149" s="75"/>
      <c r="X149" s="76"/>
      <c r="Y149" s="76"/>
      <c r="Z149" s="76"/>
      <c r="AA149" s="75"/>
      <c r="AB149" s="75"/>
      <c r="AC149" s="77"/>
      <c r="AD149" s="75"/>
      <c r="AE149" s="58"/>
    </row>
    <row r="150" spans="1:31" ht="12.75">
      <c r="A150" s="69"/>
      <c r="B150" s="70"/>
      <c r="C150" s="71"/>
      <c r="D150" s="71"/>
      <c r="E150" s="71"/>
      <c r="F150" s="72"/>
      <c r="G150" s="73"/>
      <c r="H150" s="73"/>
      <c r="I150" s="73"/>
      <c r="J150" s="73"/>
      <c r="K150" s="73"/>
      <c r="L150" s="74"/>
      <c r="M150" s="74"/>
      <c r="N150" s="74"/>
      <c r="O150" s="75"/>
      <c r="P150" s="76"/>
      <c r="Q150" s="76"/>
      <c r="R150" s="76"/>
      <c r="S150" s="76"/>
      <c r="T150" s="75"/>
      <c r="U150" s="75"/>
      <c r="V150" s="75"/>
      <c r="W150" s="75"/>
      <c r="X150" s="76"/>
      <c r="Y150" s="76"/>
      <c r="Z150" s="76"/>
      <c r="AA150" s="75"/>
      <c r="AB150" s="75"/>
      <c r="AC150" s="77"/>
      <c r="AD150" s="75"/>
      <c r="AE150" s="58"/>
    </row>
    <row r="151" spans="1:31" ht="12.75">
      <c r="A151" s="69"/>
      <c r="B151" s="70"/>
      <c r="C151" s="71"/>
      <c r="D151" s="71"/>
      <c r="E151" s="71"/>
      <c r="F151" s="72"/>
      <c r="G151" s="73"/>
      <c r="H151" s="73"/>
      <c r="I151" s="73"/>
      <c r="J151" s="73"/>
      <c r="K151" s="73"/>
      <c r="L151" s="74"/>
      <c r="M151" s="74"/>
      <c r="N151" s="74"/>
      <c r="O151" s="75"/>
      <c r="P151" s="76"/>
      <c r="Q151" s="76"/>
      <c r="R151" s="76"/>
      <c r="S151" s="76"/>
      <c r="T151" s="75"/>
      <c r="U151" s="75"/>
      <c r="V151" s="75"/>
      <c r="W151" s="75"/>
      <c r="X151" s="76"/>
      <c r="Y151" s="76"/>
      <c r="Z151" s="76"/>
      <c r="AA151" s="75"/>
      <c r="AB151" s="75"/>
      <c r="AC151" s="77"/>
      <c r="AD151" s="75"/>
      <c r="AE151" s="58"/>
    </row>
    <row r="152" spans="1:31" ht="12.75">
      <c r="A152" s="69"/>
      <c r="B152" s="70"/>
      <c r="C152" s="71"/>
      <c r="D152" s="71"/>
      <c r="E152" s="71"/>
      <c r="F152" s="72"/>
      <c r="G152" s="73"/>
      <c r="H152" s="73"/>
      <c r="I152" s="73"/>
      <c r="J152" s="73"/>
      <c r="K152" s="73"/>
      <c r="L152" s="74"/>
      <c r="M152" s="74"/>
      <c r="N152" s="74"/>
      <c r="O152" s="75"/>
      <c r="P152" s="76"/>
      <c r="Q152" s="76"/>
      <c r="R152" s="76"/>
      <c r="S152" s="76"/>
      <c r="T152" s="75"/>
      <c r="U152" s="75"/>
      <c r="V152" s="75"/>
      <c r="W152" s="75"/>
      <c r="X152" s="76"/>
      <c r="Y152" s="76"/>
      <c r="Z152" s="76"/>
      <c r="AA152" s="75"/>
      <c r="AB152" s="75"/>
      <c r="AC152" s="77"/>
      <c r="AD152" s="75"/>
      <c r="AE152" s="58"/>
    </row>
    <row r="153" spans="1:31" ht="12.75">
      <c r="A153" s="69"/>
      <c r="B153" s="70"/>
      <c r="C153" s="71"/>
      <c r="D153" s="71"/>
      <c r="E153" s="71"/>
      <c r="F153" s="72"/>
      <c r="G153" s="73"/>
      <c r="H153" s="73"/>
      <c r="I153" s="73"/>
      <c r="J153" s="73"/>
      <c r="K153" s="73"/>
      <c r="L153" s="74"/>
      <c r="M153" s="74"/>
      <c r="N153" s="74"/>
      <c r="O153" s="75"/>
      <c r="P153" s="76"/>
      <c r="Q153" s="76"/>
      <c r="R153" s="76"/>
      <c r="S153" s="76"/>
      <c r="T153" s="75"/>
      <c r="U153" s="75"/>
      <c r="V153" s="75"/>
      <c r="W153" s="75"/>
      <c r="X153" s="76"/>
      <c r="Y153" s="76"/>
      <c r="Z153" s="76"/>
      <c r="AA153" s="75"/>
      <c r="AB153" s="75"/>
      <c r="AC153" s="77"/>
      <c r="AD153" s="75"/>
      <c r="AE153" s="58"/>
    </row>
    <row r="154" spans="1:31" ht="12.75">
      <c r="A154" s="69"/>
      <c r="B154" s="70"/>
      <c r="C154" s="71"/>
      <c r="D154" s="71"/>
      <c r="E154" s="71"/>
      <c r="F154" s="72"/>
      <c r="G154" s="73"/>
      <c r="H154" s="73"/>
      <c r="I154" s="73"/>
      <c r="J154" s="73"/>
      <c r="K154" s="73"/>
      <c r="L154" s="74"/>
      <c r="M154" s="74"/>
      <c r="N154" s="74"/>
      <c r="O154" s="75"/>
      <c r="P154" s="76"/>
      <c r="Q154" s="76"/>
      <c r="R154" s="76"/>
      <c r="S154" s="76"/>
      <c r="T154" s="75"/>
      <c r="U154" s="75"/>
      <c r="V154" s="75"/>
      <c r="W154" s="75"/>
      <c r="X154" s="76"/>
      <c r="Y154" s="76"/>
      <c r="Z154" s="76"/>
      <c r="AA154" s="75"/>
      <c r="AB154" s="75"/>
      <c r="AC154" s="77"/>
      <c r="AD154" s="75"/>
      <c r="AE154" s="58"/>
    </row>
    <row r="155" spans="1:31" ht="12.75">
      <c r="A155" s="69"/>
      <c r="B155" s="70"/>
      <c r="C155" s="71"/>
      <c r="D155" s="71"/>
      <c r="E155" s="71"/>
      <c r="F155" s="72"/>
      <c r="G155" s="73"/>
      <c r="H155" s="73"/>
      <c r="I155" s="73"/>
      <c r="J155" s="73"/>
      <c r="K155" s="73"/>
      <c r="L155" s="74"/>
      <c r="M155" s="74"/>
      <c r="N155" s="74"/>
      <c r="O155" s="75"/>
      <c r="P155" s="76"/>
      <c r="Q155" s="76"/>
      <c r="R155" s="76"/>
      <c r="S155" s="76"/>
      <c r="T155" s="75"/>
      <c r="U155" s="75"/>
      <c r="V155" s="75"/>
      <c r="W155" s="75"/>
      <c r="X155" s="76"/>
      <c r="Y155" s="76"/>
      <c r="Z155" s="76"/>
      <c r="AA155" s="75"/>
      <c r="AB155" s="75"/>
      <c r="AC155" s="77"/>
      <c r="AD155" s="75"/>
      <c r="AE155" s="58"/>
    </row>
    <row r="156" spans="1:31" ht="12.75">
      <c r="A156" s="69"/>
      <c r="B156" s="70"/>
      <c r="C156" s="71"/>
      <c r="D156" s="71"/>
      <c r="E156" s="71"/>
      <c r="F156" s="72"/>
      <c r="G156" s="73"/>
      <c r="H156" s="73"/>
      <c r="I156" s="73"/>
      <c r="J156" s="73"/>
      <c r="K156" s="73"/>
      <c r="L156" s="74"/>
      <c r="M156" s="74"/>
      <c r="N156" s="74"/>
      <c r="O156" s="75"/>
      <c r="P156" s="76"/>
      <c r="Q156" s="76"/>
      <c r="R156" s="76"/>
      <c r="S156" s="76"/>
      <c r="T156" s="75"/>
      <c r="U156" s="75"/>
      <c r="V156" s="75"/>
      <c r="W156" s="75"/>
      <c r="X156" s="76"/>
      <c r="Y156" s="76"/>
      <c r="Z156" s="76"/>
      <c r="AA156" s="75"/>
      <c r="AB156" s="75"/>
      <c r="AC156" s="77"/>
      <c r="AD156" s="75"/>
      <c r="AE156" s="58"/>
    </row>
    <row r="157" spans="1:31" ht="12.75">
      <c r="A157" s="69"/>
      <c r="B157" s="70"/>
      <c r="C157" s="71"/>
      <c r="D157" s="71"/>
      <c r="E157" s="71"/>
      <c r="F157" s="72"/>
      <c r="G157" s="73"/>
      <c r="H157" s="73"/>
      <c r="I157" s="73"/>
      <c r="J157" s="73"/>
      <c r="K157" s="73"/>
      <c r="L157" s="74"/>
      <c r="M157" s="74"/>
      <c r="N157" s="74"/>
      <c r="O157" s="75"/>
      <c r="P157" s="76"/>
      <c r="Q157" s="76"/>
      <c r="R157" s="76"/>
      <c r="S157" s="76"/>
      <c r="T157" s="75"/>
      <c r="U157" s="75"/>
      <c r="V157" s="75"/>
      <c r="W157" s="75"/>
      <c r="X157" s="76"/>
      <c r="Y157" s="76"/>
      <c r="Z157" s="76"/>
      <c r="AA157" s="75"/>
      <c r="AB157" s="75"/>
      <c r="AC157" s="77"/>
      <c r="AD157" s="75"/>
      <c r="AE157" s="58"/>
    </row>
    <row r="158" spans="1:31" ht="12.75">
      <c r="A158" s="69"/>
      <c r="B158" s="70"/>
      <c r="C158" s="71"/>
      <c r="D158" s="71"/>
      <c r="E158" s="71"/>
      <c r="F158" s="72"/>
      <c r="G158" s="73"/>
      <c r="H158" s="73"/>
      <c r="I158" s="73"/>
      <c r="J158" s="73"/>
      <c r="K158" s="73"/>
      <c r="L158" s="74"/>
      <c r="M158" s="74"/>
      <c r="N158" s="74"/>
      <c r="O158" s="75"/>
      <c r="P158" s="76"/>
      <c r="Q158" s="76"/>
      <c r="R158" s="76"/>
      <c r="S158" s="76"/>
      <c r="T158" s="75"/>
      <c r="U158" s="75"/>
      <c r="V158" s="75"/>
      <c r="W158" s="75"/>
      <c r="X158" s="76"/>
      <c r="Y158" s="76"/>
      <c r="Z158" s="76"/>
      <c r="AA158" s="75"/>
      <c r="AB158" s="75"/>
      <c r="AC158" s="77"/>
      <c r="AD158" s="75"/>
      <c r="AE158" s="58"/>
    </row>
    <row r="159" spans="1:31" ht="12.75">
      <c r="A159" s="69"/>
      <c r="B159" s="70"/>
      <c r="C159" s="71"/>
      <c r="D159" s="71"/>
      <c r="E159" s="71"/>
      <c r="F159" s="72"/>
      <c r="G159" s="73"/>
      <c r="H159" s="73"/>
      <c r="I159" s="73"/>
      <c r="J159" s="73"/>
      <c r="K159" s="73"/>
      <c r="L159" s="74"/>
      <c r="M159" s="74"/>
      <c r="N159" s="74"/>
      <c r="O159" s="75"/>
      <c r="P159" s="76"/>
      <c r="Q159" s="76"/>
      <c r="R159" s="76"/>
      <c r="S159" s="76"/>
      <c r="T159" s="75"/>
      <c r="U159" s="75"/>
      <c r="V159" s="75"/>
      <c r="W159" s="75"/>
      <c r="X159" s="76"/>
      <c r="Y159" s="76"/>
      <c r="Z159" s="76"/>
      <c r="AA159" s="75"/>
      <c r="AB159" s="75"/>
      <c r="AC159" s="77"/>
      <c r="AD159" s="75"/>
      <c r="AE159" s="58"/>
    </row>
    <row r="160" spans="1:31" ht="12.75">
      <c r="A160" s="69"/>
      <c r="B160" s="70"/>
      <c r="C160" s="71"/>
      <c r="D160" s="71"/>
      <c r="E160" s="71"/>
      <c r="F160" s="72"/>
      <c r="G160" s="73"/>
      <c r="H160" s="73"/>
      <c r="I160" s="73"/>
      <c r="J160" s="73"/>
      <c r="K160" s="73"/>
      <c r="L160" s="74"/>
      <c r="M160" s="74"/>
      <c r="N160" s="74"/>
      <c r="O160" s="75"/>
      <c r="P160" s="76"/>
      <c r="Q160" s="76"/>
      <c r="R160" s="76"/>
      <c r="S160" s="76"/>
      <c r="T160" s="75"/>
      <c r="U160" s="75"/>
      <c r="V160" s="75"/>
      <c r="W160" s="75"/>
      <c r="X160" s="76"/>
      <c r="Y160" s="76"/>
      <c r="Z160" s="76"/>
      <c r="AA160" s="75"/>
      <c r="AB160" s="75"/>
      <c r="AC160" s="77"/>
      <c r="AD160" s="75"/>
      <c r="AE160" s="58"/>
    </row>
    <row r="161" spans="1:31" ht="12.75">
      <c r="A161" s="69"/>
      <c r="B161" s="70"/>
      <c r="C161" s="71"/>
      <c r="D161" s="71"/>
      <c r="E161" s="71"/>
      <c r="F161" s="72"/>
      <c r="G161" s="73"/>
      <c r="H161" s="73"/>
      <c r="I161" s="73"/>
      <c r="J161" s="73"/>
      <c r="K161" s="73"/>
      <c r="L161" s="74"/>
      <c r="M161" s="74"/>
      <c r="N161" s="74"/>
      <c r="O161" s="75"/>
      <c r="P161" s="76"/>
      <c r="Q161" s="76"/>
      <c r="R161" s="76"/>
      <c r="S161" s="76"/>
      <c r="T161" s="75"/>
      <c r="U161" s="75"/>
      <c r="V161" s="75"/>
      <c r="W161" s="75"/>
      <c r="X161" s="76"/>
      <c r="Y161" s="76"/>
      <c r="Z161" s="76"/>
      <c r="AA161" s="75"/>
      <c r="AB161" s="75"/>
      <c r="AC161" s="77"/>
      <c r="AD161" s="75"/>
      <c r="AE161" s="58"/>
    </row>
    <row r="162" spans="1:31" ht="12.75">
      <c r="A162" s="69"/>
      <c r="B162" s="70"/>
      <c r="C162" s="71"/>
      <c r="D162" s="71"/>
      <c r="E162" s="71"/>
      <c r="F162" s="72"/>
      <c r="G162" s="73"/>
      <c r="H162" s="73"/>
      <c r="I162" s="73"/>
      <c r="J162" s="73"/>
      <c r="K162" s="73"/>
      <c r="L162" s="74"/>
      <c r="M162" s="74"/>
      <c r="N162" s="74"/>
      <c r="O162" s="75"/>
      <c r="P162" s="76"/>
      <c r="Q162" s="76"/>
      <c r="R162" s="76"/>
      <c r="S162" s="76"/>
      <c r="T162" s="75"/>
      <c r="U162" s="75"/>
      <c r="V162" s="75"/>
      <c r="W162" s="75"/>
      <c r="X162" s="76"/>
      <c r="Y162" s="76"/>
      <c r="Z162" s="76"/>
      <c r="AA162" s="75"/>
      <c r="AB162" s="75"/>
      <c r="AC162" s="77"/>
      <c r="AD162" s="75"/>
      <c r="AE162" s="58"/>
    </row>
    <row r="163" spans="1:31" ht="12.75">
      <c r="A163" s="69"/>
      <c r="B163" s="70"/>
      <c r="C163" s="71"/>
      <c r="D163" s="71"/>
      <c r="E163" s="71"/>
      <c r="F163" s="72"/>
      <c r="G163" s="73"/>
      <c r="H163" s="73"/>
      <c r="I163" s="73"/>
      <c r="J163" s="73"/>
      <c r="K163" s="73"/>
      <c r="L163" s="74"/>
      <c r="M163" s="74"/>
      <c r="N163" s="75"/>
      <c r="O163" s="75"/>
      <c r="P163" s="76"/>
      <c r="Q163" s="76"/>
      <c r="R163" s="76"/>
      <c r="S163" s="76"/>
      <c r="T163" s="75"/>
      <c r="U163" s="75"/>
      <c r="V163" s="75"/>
      <c r="W163" s="75"/>
      <c r="X163" s="76"/>
      <c r="Y163" s="76"/>
      <c r="Z163" s="76"/>
      <c r="AA163" s="75"/>
      <c r="AB163" s="75"/>
      <c r="AC163" s="77"/>
      <c r="AD163" s="75"/>
      <c r="AE163" s="58"/>
    </row>
    <row r="164" spans="1:31" ht="12.75">
      <c r="A164" s="69"/>
      <c r="B164" s="70"/>
      <c r="C164" s="71"/>
      <c r="D164" s="71"/>
      <c r="E164" s="71"/>
      <c r="F164" s="72"/>
      <c r="G164" s="73"/>
      <c r="H164" s="73"/>
      <c r="I164" s="73"/>
      <c r="J164" s="73"/>
      <c r="K164" s="73"/>
      <c r="L164" s="74"/>
      <c r="M164" s="74"/>
      <c r="N164" s="75"/>
      <c r="O164" s="75"/>
      <c r="P164" s="76"/>
      <c r="Q164" s="76"/>
      <c r="R164" s="76"/>
      <c r="S164" s="76"/>
      <c r="T164" s="75"/>
      <c r="U164" s="75"/>
      <c r="V164" s="75"/>
      <c r="W164" s="75"/>
      <c r="X164" s="76"/>
      <c r="Y164" s="76"/>
      <c r="Z164" s="76"/>
      <c r="AA164" s="75"/>
      <c r="AB164" s="75"/>
      <c r="AC164" s="77"/>
      <c r="AD164" s="75"/>
      <c r="AE164" s="58"/>
    </row>
    <row r="165" spans="1:31" ht="12.75">
      <c r="A165" s="23"/>
      <c r="B165" s="23"/>
      <c r="C165" s="23"/>
      <c r="D165" s="23"/>
      <c r="E165" s="23"/>
      <c r="F165" s="23"/>
      <c r="G165" s="23"/>
      <c r="H165" s="13"/>
      <c r="I165" s="13"/>
      <c r="J165" s="13"/>
      <c r="K165" s="13"/>
      <c r="L165" s="13"/>
      <c r="M165" s="13"/>
      <c r="N165" s="23"/>
      <c r="O165" s="23"/>
      <c r="P165" s="23"/>
      <c r="Q165" s="23"/>
      <c r="R165" s="23"/>
      <c r="S165" s="23"/>
      <c r="T165" s="23"/>
      <c r="U165" s="23"/>
      <c r="V165" s="23"/>
      <c r="W165" s="23"/>
      <c r="X165" s="23"/>
      <c r="Y165" s="23"/>
      <c r="Z165" s="23"/>
      <c r="AA165" s="23"/>
      <c r="AB165" s="23"/>
      <c r="AC165" s="37"/>
      <c r="AD165" s="23"/>
      <c r="AE165" s="58"/>
    </row>
    <row r="166" spans="1:31" ht="12.7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37"/>
      <c r="AD166" s="23"/>
      <c r="AE166" s="23"/>
    </row>
    <row r="167" spans="1:31" ht="12.7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37"/>
      <c r="AD167" s="23"/>
      <c r="AE167" s="23"/>
    </row>
  </sheetData>
  <mergeCells count="68">
    <mergeCell ref="C129:E129"/>
    <mergeCell ref="F129:H129"/>
    <mergeCell ref="C126:E126"/>
    <mergeCell ref="C127:E127"/>
    <mergeCell ref="F127:H127"/>
    <mergeCell ref="C128:E128"/>
    <mergeCell ref="F128:H128"/>
    <mergeCell ref="C130:E130"/>
    <mergeCell ref="F130:H130"/>
    <mergeCell ref="I130:L130"/>
    <mergeCell ref="M130:O130"/>
    <mergeCell ref="P130:R130"/>
    <mergeCell ref="F126:H126"/>
    <mergeCell ref="P126:R126"/>
    <mergeCell ref="I128:L128"/>
    <mergeCell ref="I129:L129"/>
    <mergeCell ref="M129:O129"/>
    <mergeCell ref="P129:R129"/>
    <mergeCell ref="I126:L126"/>
    <mergeCell ref="M126:O126"/>
    <mergeCell ref="I127:L127"/>
    <mergeCell ref="M127:O127"/>
    <mergeCell ref="P127:R127"/>
    <mergeCell ref="M128:O128"/>
    <mergeCell ref="P128:R128"/>
    <mergeCell ref="C125:E125"/>
    <mergeCell ref="F125:H125"/>
    <mergeCell ref="I125:L125"/>
    <mergeCell ref="M125:O125"/>
    <mergeCell ref="P125:R125"/>
    <mergeCell ref="I122:L122"/>
    <mergeCell ref="M122:O122"/>
    <mergeCell ref="C124:E124"/>
    <mergeCell ref="F124:H124"/>
    <mergeCell ref="I124:L124"/>
    <mergeCell ref="M124:O124"/>
    <mergeCell ref="P124:R124"/>
    <mergeCell ref="V124:X124"/>
    <mergeCell ref="M1:N1"/>
    <mergeCell ref="O1:U1"/>
    <mergeCell ref="AA139:AC139"/>
    <mergeCell ref="I132:L132"/>
    <mergeCell ref="M132:O132"/>
    <mergeCell ref="I133:L133"/>
    <mergeCell ref="M133:O133"/>
    <mergeCell ref="P133:R133"/>
    <mergeCell ref="I134:L134"/>
    <mergeCell ref="M134:O134"/>
    <mergeCell ref="P135:R135"/>
    <mergeCell ref="L139:O139"/>
    <mergeCell ref="P139:S139"/>
    <mergeCell ref="T139:W139"/>
    <mergeCell ref="X139:Z139"/>
    <mergeCell ref="M131:O131"/>
    <mergeCell ref="P131:R131"/>
    <mergeCell ref="F132:H132"/>
    <mergeCell ref="P132:R132"/>
    <mergeCell ref="P134:R134"/>
    <mergeCell ref="C139:F139"/>
    <mergeCell ref="G139:J139"/>
    <mergeCell ref="C131:E131"/>
    <mergeCell ref="F131:H131"/>
    <mergeCell ref="I131:L131"/>
    <mergeCell ref="C132:E132"/>
    <mergeCell ref="C133:E133"/>
    <mergeCell ref="F133:H133"/>
    <mergeCell ref="C134:E134"/>
    <mergeCell ref="F134:H134"/>
  </mergeCells>
  <conditionalFormatting sqref="C141:AD164">
    <cfRule type="notContainsBlanks" dxfId="49" priority="1">
      <formula>LEN(TRIM(C141))&gt;0</formula>
    </cfRule>
  </conditionalFormatting>
  <conditionalFormatting sqref="Y2:Y119">
    <cfRule type="expression" dxfId="48" priority="2">
      <formula>$L2&lt;&gt;""</formula>
    </cfRule>
  </conditionalFormatting>
  <conditionalFormatting sqref="Z1:Z119">
    <cfRule type="notContainsBlanks" dxfId="47" priority="3">
      <formula>LEN(TRIM(Z1))&gt;0</formula>
    </cfRule>
  </conditionalFormatting>
  <conditionalFormatting sqref="AA1:AA119">
    <cfRule type="notContainsBlanks" dxfId="46" priority="4">
      <formula>LEN(TRIM(AA1))&gt;0</formula>
    </cfRule>
  </conditionalFormatting>
  <conditionalFormatting sqref="AB2:AB119">
    <cfRule type="cellIs" dxfId="45" priority="5" operator="equal">
      <formula>FALSE()</formula>
    </cfRule>
  </conditionalFormatting>
  <dataValidations count="1">
    <dataValidation type="decimal" operator="greaterThanOrEqual" allowBlank="1" showDropDown="1" showErrorMessage="1" sqref="B2:K120">
      <formula1>0</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17"/>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8" width="5" customWidth="1"/>
    <col min="9" max="22" width="4.5703125" customWidth="1"/>
    <col min="23" max="23" width="19.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c r="A1" s="1" t="s">
        <v>0</v>
      </c>
      <c r="B1" s="2" t="s">
        <v>1</v>
      </c>
      <c r="C1" s="2" t="s">
        <v>2</v>
      </c>
      <c r="D1" s="2" t="s">
        <v>3</v>
      </c>
      <c r="E1" s="2" t="s">
        <v>4</v>
      </c>
      <c r="F1" s="2" t="s">
        <v>5</v>
      </c>
      <c r="G1" s="2" t="s">
        <v>6</v>
      </c>
      <c r="H1" s="2" t="s">
        <v>7</v>
      </c>
      <c r="I1" s="2" t="s">
        <v>8</v>
      </c>
      <c r="J1" s="2" t="s">
        <v>9</v>
      </c>
      <c r="K1" s="2" t="s">
        <v>10</v>
      </c>
      <c r="L1" s="3"/>
      <c r="M1" s="128" t="s">
        <v>11</v>
      </c>
      <c r="N1" s="117"/>
      <c r="O1" s="129" t="s">
        <v>313</v>
      </c>
      <c r="P1" s="117"/>
      <c r="Q1" s="117"/>
      <c r="R1" s="117"/>
      <c r="S1" s="117"/>
      <c r="T1" s="117"/>
      <c r="U1" s="117"/>
      <c r="V1" s="3"/>
      <c r="W1" s="4">
        <v>46031</v>
      </c>
      <c r="X1" s="3"/>
      <c r="Y1" s="5">
        <f>SUMIFS(Y2:Y70,L2:L70,"&lt;&gt;"&amp;"")</f>
        <v>59224925.22628887</v>
      </c>
      <c r="Z1" s="6" t="s">
        <v>13</v>
      </c>
      <c r="AA1" s="7" t="s">
        <v>14</v>
      </c>
      <c r="AB1" s="8" t="s">
        <v>15</v>
      </c>
      <c r="AC1" s="9">
        <f>SUM(AC2:AC70)</f>
        <v>49506389.216843762</v>
      </c>
      <c r="AD1" s="3"/>
      <c r="AE1" s="3"/>
    </row>
    <row r="2" spans="1:31" ht="15.75" customHeight="1">
      <c r="A2" s="10">
        <f t="shared" ref="A2:A69" si="0">(B2*$P$75+C2*$P$76+D2*$P$77+E2*$P$78+F2*$P$79+G2*$P$80+H2*$P$81+I2*$P$82+J2*$P$83+K2*$P$84)*$T$73</f>
        <v>2308894.1361668631</v>
      </c>
      <c r="B2" s="83">
        <v>3</v>
      </c>
      <c r="C2" s="12"/>
      <c r="D2" s="12"/>
      <c r="E2" s="84">
        <v>2</v>
      </c>
      <c r="F2" s="12"/>
      <c r="G2" s="12"/>
      <c r="H2" s="12"/>
      <c r="I2" s="12"/>
      <c r="J2" s="13"/>
      <c r="K2" s="13"/>
      <c r="L2" s="14" t="s">
        <v>16</v>
      </c>
      <c r="M2" s="15"/>
      <c r="N2" s="16"/>
      <c r="O2" s="17"/>
      <c r="P2" s="17"/>
      <c r="Q2" s="17"/>
      <c r="R2" s="17"/>
      <c r="S2" s="17"/>
      <c r="T2" s="17"/>
      <c r="U2" s="17"/>
      <c r="V2" s="17"/>
      <c r="W2" s="17"/>
      <c r="X2" s="17">
        <f t="shared" ref="X2:X68" si="1">COUNTIF($L$2:L2,"&lt;&gt;"&amp;"")</f>
        <v>1</v>
      </c>
      <c r="Y2" s="18">
        <f t="shared" ref="Y2:Y68" si="2">SUMIF($X$2:$X$70,X2,$A$2:$A$70)</f>
        <v>2308894.1361668631</v>
      </c>
      <c r="Z2" s="19"/>
      <c r="AA2" s="20"/>
      <c r="AB2" s="21" t="b">
        <v>1</v>
      </c>
      <c r="AC2" s="22">
        <f t="shared" ref="AC2:AC69" si="3">IF(L2="",0,IF(AB2=FALSE(),0,Y2))</f>
        <v>2308894.1361668631</v>
      </c>
      <c r="AD2" s="23"/>
      <c r="AE2" s="23"/>
    </row>
    <row r="3" spans="1:31" ht="15.75" customHeight="1">
      <c r="A3" s="10">
        <f t="shared" si="0"/>
        <v>2142621.0153482882</v>
      </c>
      <c r="B3" s="12"/>
      <c r="C3" s="11">
        <v>4</v>
      </c>
      <c r="D3" s="11">
        <v>4</v>
      </c>
      <c r="E3" s="12"/>
      <c r="F3" s="84"/>
      <c r="G3" s="12"/>
      <c r="H3" s="12"/>
      <c r="I3" s="12"/>
      <c r="J3" s="13"/>
      <c r="K3" s="13"/>
      <c r="L3" s="14" t="s">
        <v>17</v>
      </c>
      <c r="M3" s="16"/>
      <c r="N3" s="16"/>
      <c r="O3" s="17"/>
      <c r="P3" s="17"/>
      <c r="Q3" s="17"/>
      <c r="R3" s="17"/>
      <c r="S3" s="17"/>
      <c r="T3" s="17"/>
      <c r="U3" s="17"/>
      <c r="V3" s="17"/>
      <c r="W3" s="17"/>
      <c r="X3" s="17">
        <f t="shared" si="1"/>
        <v>2</v>
      </c>
      <c r="Y3" s="18">
        <f t="shared" si="2"/>
        <v>2142621.0153482882</v>
      </c>
      <c r="Z3" s="24"/>
      <c r="AA3" s="20"/>
      <c r="AB3" s="21" t="b">
        <v>1</v>
      </c>
      <c r="AC3" s="22">
        <f t="shared" si="3"/>
        <v>2142621.0153482882</v>
      </c>
      <c r="AD3" s="23"/>
      <c r="AE3" s="23"/>
    </row>
    <row r="4" spans="1:31" ht="15.75" customHeight="1">
      <c r="A4" s="10">
        <f t="shared" si="0"/>
        <v>1070798.8980716253</v>
      </c>
      <c r="B4" s="12"/>
      <c r="C4" s="12"/>
      <c r="D4" s="12"/>
      <c r="E4" s="12"/>
      <c r="F4" s="12"/>
      <c r="G4" s="12"/>
      <c r="H4" s="11">
        <v>4</v>
      </c>
      <c r="I4" s="12"/>
      <c r="J4" s="13"/>
      <c r="K4" s="13"/>
      <c r="L4" s="14" t="s">
        <v>18</v>
      </c>
      <c r="M4" s="16"/>
      <c r="N4" s="16"/>
      <c r="O4" s="17"/>
      <c r="P4" s="17"/>
      <c r="Q4" s="17"/>
      <c r="R4" s="17"/>
      <c r="S4" s="17"/>
      <c r="T4" s="17"/>
      <c r="U4" s="17"/>
      <c r="V4" s="17"/>
      <c r="W4" s="17"/>
      <c r="X4" s="17">
        <f t="shared" si="1"/>
        <v>3</v>
      </c>
      <c r="Y4" s="18">
        <f t="shared" si="2"/>
        <v>1070798.8980716253</v>
      </c>
      <c r="Z4" s="24"/>
      <c r="AA4" s="25"/>
      <c r="AB4" s="21" t="b">
        <v>1</v>
      </c>
      <c r="AC4" s="22">
        <f t="shared" si="3"/>
        <v>1070798.8980716253</v>
      </c>
      <c r="AD4" s="23"/>
      <c r="AE4" s="23"/>
    </row>
    <row r="5" spans="1:31" ht="15.75" customHeight="1">
      <c r="A5" s="10">
        <f t="shared" si="0"/>
        <v>0</v>
      </c>
      <c r="B5" s="13"/>
      <c r="C5" s="13"/>
      <c r="D5" s="13"/>
      <c r="E5" s="13"/>
      <c r="F5" s="13"/>
      <c r="G5" s="13"/>
      <c r="H5" s="13"/>
      <c r="I5" s="13"/>
      <c r="J5" s="13"/>
      <c r="K5" s="13"/>
      <c r="L5" s="26" t="s">
        <v>19</v>
      </c>
      <c r="M5" s="16"/>
      <c r="N5" s="16"/>
      <c r="O5" s="17"/>
      <c r="P5" s="17"/>
      <c r="Q5" s="17"/>
      <c r="R5" s="17"/>
      <c r="S5" s="17"/>
      <c r="T5" s="17"/>
      <c r="U5" s="17"/>
      <c r="V5" s="17"/>
      <c r="W5" s="17"/>
      <c r="X5" s="17">
        <f t="shared" si="1"/>
        <v>4</v>
      </c>
      <c r="Y5" s="18">
        <f t="shared" si="2"/>
        <v>0</v>
      </c>
      <c r="Z5" s="24"/>
      <c r="AA5" s="25"/>
      <c r="AB5" s="21" t="b">
        <v>1</v>
      </c>
      <c r="AC5" s="22">
        <f t="shared" si="3"/>
        <v>0</v>
      </c>
      <c r="AD5" s="23"/>
      <c r="AE5" s="23"/>
    </row>
    <row r="6" spans="1:31">
      <c r="A6" s="10">
        <f t="shared" si="0"/>
        <v>0</v>
      </c>
      <c r="B6" s="13"/>
      <c r="C6" s="13"/>
      <c r="D6" s="13"/>
      <c r="E6" s="13"/>
      <c r="F6" s="13"/>
      <c r="G6" s="13"/>
      <c r="H6" s="13"/>
      <c r="I6" s="13"/>
      <c r="J6" s="13"/>
      <c r="K6" s="13"/>
      <c r="L6" s="27"/>
      <c r="M6" s="16"/>
      <c r="N6" s="16"/>
      <c r="O6" s="17"/>
      <c r="P6" s="17"/>
      <c r="Q6" s="17"/>
      <c r="R6" s="17"/>
      <c r="S6" s="17"/>
      <c r="T6" s="17"/>
      <c r="U6" s="17"/>
      <c r="V6" s="17"/>
      <c r="W6" s="17"/>
      <c r="X6" s="17">
        <f t="shared" si="1"/>
        <v>4</v>
      </c>
      <c r="Y6" s="18">
        <f t="shared" si="2"/>
        <v>0</v>
      </c>
      <c r="Z6" s="19"/>
      <c r="AA6" s="20"/>
      <c r="AB6" s="21" t="b">
        <v>1</v>
      </c>
      <c r="AC6" s="22">
        <f t="shared" si="3"/>
        <v>0</v>
      </c>
      <c r="AD6" s="23"/>
      <c r="AE6" s="23"/>
    </row>
    <row r="7" spans="1:31" ht="15.75" customHeight="1">
      <c r="A7" s="10">
        <f t="shared" si="0"/>
        <v>0</v>
      </c>
      <c r="B7" s="13"/>
      <c r="C7" s="13"/>
      <c r="D7" s="13"/>
      <c r="E7" s="13"/>
      <c r="F7" s="13"/>
      <c r="G7" s="13"/>
      <c r="H7" s="13"/>
      <c r="I7" s="13"/>
      <c r="J7" s="13"/>
      <c r="K7" s="13"/>
      <c r="L7" s="26" t="s">
        <v>314</v>
      </c>
      <c r="M7" s="16"/>
      <c r="N7" s="16"/>
      <c r="O7" s="17"/>
      <c r="P7" s="17"/>
      <c r="Q7" s="17"/>
      <c r="R7" s="17"/>
      <c r="S7" s="17"/>
      <c r="T7" s="17"/>
      <c r="U7" s="17"/>
      <c r="V7" s="17"/>
      <c r="W7" s="17"/>
      <c r="X7" s="17">
        <f t="shared" si="1"/>
        <v>5</v>
      </c>
      <c r="Y7" s="18">
        <f t="shared" si="2"/>
        <v>7737251.0822510822</v>
      </c>
      <c r="Z7" s="24"/>
      <c r="AA7" s="25"/>
      <c r="AB7" s="21" t="b">
        <v>1</v>
      </c>
      <c r="AC7" s="22">
        <f t="shared" si="3"/>
        <v>7737251.0822510822</v>
      </c>
      <c r="AD7" s="23"/>
      <c r="AE7" s="23"/>
    </row>
    <row r="8" spans="1:31">
      <c r="A8" s="10">
        <f t="shared" si="0"/>
        <v>3133378.5911058639</v>
      </c>
      <c r="B8" s="13">
        <v>2</v>
      </c>
      <c r="C8" s="13"/>
      <c r="D8" s="13">
        <v>1.5</v>
      </c>
      <c r="E8" s="13">
        <v>3</v>
      </c>
      <c r="F8" s="13"/>
      <c r="G8" s="13">
        <v>2</v>
      </c>
      <c r="H8" s="13"/>
      <c r="I8" s="13"/>
      <c r="J8" s="13"/>
      <c r="K8" s="13"/>
      <c r="L8" s="16"/>
      <c r="M8" s="16" t="s">
        <v>315</v>
      </c>
      <c r="N8" s="16"/>
      <c r="O8" s="16"/>
      <c r="P8" s="16"/>
      <c r="Q8" s="16"/>
      <c r="R8" s="16"/>
      <c r="S8" s="17"/>
      <c r="T8" s="17"/>
      <c r="U8" s="17"/>
      <c r="V8" s="17"/>
      <c r="W8" s="17"/>
      <c r="X8" s="17">
        <f t="shared" si="1"/>
        <v>5</v>
      </c>
      <c r="Y8" s="18">
        <f t="shared" si="2"/>
        <v>7737251.0822510822</v>
      </c>
      <c r="Z8" s="24"/>
      <c r="AA8" s="20"/>
      <c r="AB8" s="21" t="b">
        <v>1</v>
      </c>
      <c r="AC8" s="22">
        <f t="shared" si="3"/>
        <v>0</v>
      </c>
      <c r="AD8" s="28"/>
      <c r="AE8" s="28"/>
    </row>
    <row r="9" spans="1:31">
      <c r="A9" s="10">
        <f t="shared" si="0"/>
        <v>1933756.3951200317</v>
      </c>
      <c r="B9" s="13">
        <v>2</v>
      </c>
      <c r="C9" s="13"/>
      <c r="D9" s="13"/>
      <c r="E9" s="13">
        <v>1.5</v>
      </c>
      <c r="F9" s="13">
        <v>1</v>
      </c>
      <c r="G9" s="13"/>
      <c r="H9" s="13"/>
      <c r="I9" s="13"/>
      <c r="J9" s="13"/>
      <c r="K9" s="13"/>
      <c r="L9" s="16"/>
      <c r="M9" s="16" t="s">
        <v>316</v>
      </c>
      <c r="N9" s="16"/>
      <c r="O9" s="16"/>
      <c r="P9" s="16"/>
      <c r="Q9" s="16"/>
      <c r="R9" s="16"/>
      <c r="S9" s="17"/>
      <c r="T9" s="17"/>
      <c r="U9" s="17"/>
      <c r="V9" s="17"/>
      <c r="W9" s="17"/>
      <c r="X9" s="17">
        <f t="shared" si="1"/>
        <v>5</v>
      </c>
      <c r="Y9" s="18">
        <f t="shared" si="2"/>
        <v>7737251.0822510822</v>
      </c>
      <c r="Z9" s="24"/>
      <c r="AA9" s="20"/>
      <c r="AB9" s="21" t="b">
        <v>1</v>
      </c>
      <c r="AC9" s="22">
        <f t="shared" si="3"/>
        <v>0</v>
      </c>
      <c r="AD9" s="28"/>
      <c r="AE9" s="28"/>
    </row>
    <row r="10" spans="1:31">
      <c r="A10" s="10">
        <f t="shared" si="0"/>
        <v>661332.152695789</v>
      </c>
      <c r="B10" s="13"/>
      <c r="C10" s="13"/>
      <c r="D10" s="13"/>
      <c r="E10" s="13">
        <v>1</v>
      </c>
      <c r="F10" s="13"/>
      <c r="G10" s="13">
        <v>1</v>
      </c>
      <c r="H10" s="13"/>
      <c r="I10" s="13"/>
      <c r="J10" s="13"/>
      <c r="K10" s="13"/>
      <c r="L10" s="16"/>
      <c r="M10" s="16" t="s">
        <v>317</v>
      </c>
      <c r="N10" s="16"/>
      <c r="O10" s="16"/>
      <c r="P10" s="16"/>
      <c r="Q10" s="16"/>
      <c r="R10" s="16"/>
      <c r="S10" s="17"/>
      <c r="T10" s="17"/>
      <c r="U10" s="17"/>
      <c r="V10" s="17"/>
      <c r="W10" s="17"/>
      <c r="X10" s="17">
        <f t="shared" si="1"/>
        <v>5</v>
      </c>
      <c r="Y10" s="18">
        <f t="shared" si="2"/>
        <v>7737251.0822510822</v>
      </c>
      <c r="Z10" s="24"/>
      <c r="AA10" s="20"/>
      <c r="AB10" s="21" t="b">
        <v>1</v>
      </c>
      <c r="AC10" s="22">
        <f t="shared" si="3"/>
        <v>0</v>
      </c>
      <c r="AD10" s="28"/>
      <c r="AE10" s="28"/>
    </row>
    <row r="11" spans="1:31">
      <c r="A11" s="10">
        <f t="shared" si="0"/>
        <v>2008783.9433293978</v>
      </c>
      <c r="B11" s="13">
        <v>2</v>
      </c>
      <c r="C11" s="13"/>
      <c r="D11" s="13"/>
      <c r="E11" s="13">
        <v>1</v>
      </c>
      <c r="F11" s="13">
        <v>1</v>
      </c>
      <c r="G11" s="13">
        <v>1</v>
      </c>
      <c r="H11" s="13"/>
      <c r="I11" s="13"/>
      <c r="J11" s="13"/>
      <c r="K11" s="13"/>
      <c r="L11" s="16"/>
      <c r="M11" s="16" t="s">
        <v>318</v>
      </c>
      <c r="N11" s="16"/>
      <c r="O11" s="16"/>
      <c r="P11" s="16"/>
      <c r="Q11" s="16"/>
      <c r="R11" s="16"/>
      <c r="S11" s="17"/>
      <c r="T11" s="17"/>
      <c r="U11" s="17"/>
      <c r="V11" s="17"/>
      <c r="W11" s="17"/>
      <c r="X11" s="17">
        <f t="shared" si="1"/>
        <v>5</v>
      </c>
      <c r="Y11" s="18">
        <f t="shared" si="2"/>
        <v>7737251.0822510822</v>
      </c>
      <c r="Z11" s="24"/>
      <c r="AA11" s="20"/>
      <c r="AB11" s="21" t="b">
        <v>1</v>
      </c>
      <c r="AC11" s="22">
        <f t="shared" si="3"/>
        <v>0</v>
      </c>
      <c r="AD11" s="28"/>
      <c r="AE11" s="28"/>
    </row>
    <row r="12" spans="1:31">
      <c r="A12" s="10">
        <f t="shared" si="0"/>
        <v>0</v>
      </c>
      <c r="B12" s="13"/>
      <c r="C12" s="13"/>
      <c r="D12" s="13"/>
      <c r="E12" s="13"/>
      <c r="F12" s="13"/>
      <c r="G12" s="13"/>
      <c r="H12" s="13"/>
      <c r="I12" s="13"/>
      <c r="J12" s="13"/>
      <c r="K12" s="13"/>
      <c r="L12" s="16"/>
      <c r="M12" s="16"/>
      <c r="N12" s="16" t="s">
        <v>319</v>
      </c>
      <c r="O12" s="16"/>
      <c r="P12" s="16"/>
      <c r="Q12" s="16"/>
      <c r="R12" s="16"/>
      <c r="S12" s="17"/>
      <c r="T12" s="17"/>
      <c r="U12" s="17"/>
      <c r="V12" s="17"/>
      <c r="W12" s="17"/>
      <c r="X12" s="17">
        <f t="shared" si="1"/>
        <v>5</v>
      </c>
      <c r="Y12" s="18">
        <f t="shared" si="2"/>
        <v>7737251.0822510822</v>
      </c>
      <c r="Z12" s="24"/>
      <c r="AA12" s="20"/>
      <c r="AB12" s="21" t="b">
        <v>1</v>
      </c>
      <c r="AC12" s="22">
        <f t="shared" si="3"/>
        <v>0</v>
      </c>
      <c r="AD12" s="28"/>
      <c r="AE12" s="28"/>
    </row>
    <row r="13" spans="1:31">
      <c r="A13" s="10">
        <f t="shared" si="0"/>
        <v>0</v>
      </c>
      <c r="B13" s="13"/>
      <c r="C13" s="13"/>
      <c r="D13" s="13"/>
      <c r="E13" s="13"/>
      <c r="F13" s="13"/>
      <c r="G13" s="13"/>
      <c r="H13" s="13"/>
      <c r="I13" s="13"/>
      <c r="J13" s="13"/>
      <c r="K13" s="13"/>
      <c r="L13" s="81" t="s">
        <v>320</v>
      </c>
      <c r="M13" s="16"/>
      <c r="N13" s="16"/>
      <c r="O13" s="16"/>
      <c r="P13" s="16"/>
      <c r="Q13" s="16"/>
      <c r="R13" s="16"/>
      <c r="S13" s="16"/>
      <c r="T13" s="17"/>
      <c r="U13" s="17"/>
      <c r="V13" s="17"/>
      <c r="W13" s="17"/>
      <c r="X13" s="17">
        <f t="shared" si="1"/>
        <v>6</v>
      </c>
      <c r="Y13" s="18">
        <f t="shared" si="2"/>
        <v>3457457.6938213301</v>
      </c>
      <c r="Z13" s="24"/>
      <c r="AA13" s="25" t="s">
        <v>156</v>
      </c>
      <c r="AB13" s="21" t="b">
        <v>0</v>
      </c>
      <c r="AC13" s="22">
        <f t="shared" si="3"/>
        <v>0</v>
      </c>
      <c r="AD13" s="28"/>
      <c r="AE13" s="28"/>
    </row>
    <row r="14" spans="1:31">
      <c r="A14" s="10">
        <f t="shared" si="0"/>
        <v>1435576.5446674537</v>
      </c>
      <c r="B14" s="13">
        <v>1</v>
      </c>
      <c r="C14" s="13">
        <v>1</v>
      </c>
      <c r="D14" s="13">
        <v>1</v>
      </c>
      <c r="E14" s="13">
        <v>1</v>
      </c>
      <c r="F14" s="13"/>
      <c r="G14" s="13"/>
      <c r="H14" s="13"/>
      <c r="I14" s="13"/>
      <c r="J14" s="13"/>
      <c r="K14" s="13"/>
      <c r="L14" s="16"/>
      <c r="M14" s="16" t="s">
        <v>321</v>
      </c>
      <c r="N14" s="16"/>
      <c r="O14" s="16"/>
      <c r="P14" s="16"/>
      <c r="Q14" s="16"/>
      <c r="R14" s="16"/>
      <c r="S14" s="16"/>
      <c r="T14" s="17"/>
      <c r="U14" s="17"/>
      <c r="V14" s="17"/>
      <c r="W14" s="17"/>
      <c r="X14" s="17">
        <f t="shared" si="1"/>
        <v>6</v>
      </c>
      <c r="Y14" s="18">
        <f t="shared" si="2"/>
        <v>3457457.6938213301</v>
      </c>
      <c r="Z14" s="24"/>
      <c r="AA14" s="20"/>
      <c r="AB14" s="21" t="b">
        <v>1</v>
      </c>
      <c r="AC14" s="22">
        <f t="shared" si="3"/>
        <v>0</v>
      </c>
      <c r="AD14" s="28"/>
      <c r="AE14" s="28"/>
    </row>
    <row r="15" spans="1:31">
      <c r="A15" s="10">
        <f t="shared" si="0"/>
        <v>586304.60448642261</v>
      </c>
      <c r="B15" s="13"/>
      <c r="C15" s="13"/>
      <c r="D15" s="13"/>
      <c r="E15" s="13">
        <v>1.5</v>
      </c>
      <c r="F15" s="13"/>
      <c r="G15" s="13"/>
      <c r="H15" s="13"/>
      <c r="I15" s="13"/>
      <c r="J15" s="13"/>
      <c r="K15" s="13"/>
      <c r="L15" s="27"/>
      <c r="M15" s="16" t="s">
        <v>322</v>
      </c>
      <c r="N15" s="16"/>
      <c r="O15" s="16"/>
      <c r="P15" s="16"/>
      <c r="Q15" s="16"/>
      <c r="R15" s="16"/>
      <c r="S15" s="16"/>
      <c r="T15" s="17"/>
      <c r="U15" s="17"/>
      <c r="V15" s="17"/>
      <c r="W15" s="17"/>
      <c r="X15" s="17">
        <f t="shared" si="1"/>
        <v>6</v>
      </c>
      <c r="Y15" s="18">
        <f t="shared" si="2"/>
        <v>3457457.6938213301</v>
      </c>
      <c r="Z15" s="24"/>
      <c r="AA15" s="20"/>
      <c r="AB15" s="21" t="b">
        <v>1</v>
      </c>
      <c r="AC15" s="22">
        <f t="shared" si="3"/>
        <v>0</v>
      </c>
      <c r="AD15" s="28"/>
      <c r="AE15" s="28"/>
    </row>
    <row r="16" spans="1:31">
      <c r="A16" s="10">
        <f t="shared" si="0"/>
        <v>1435576.5446674537</v>
      </c>
      <c r="B16" s="13">
        <v>1</v>
      </c>
      <c r="C16" s="13">
        <v>1</v>
      </c>
      <c r="D16" s="13">
        <v>1</v>
      </c>
      <c r="E16" s="13">
        <v>1</v>
      </c>
      <c r="F16" s="13"/>
      <c r="G16" s="13"/>
      <c r="H16" s="13"/>
      <c r="I16" s="13"/>
      <c r="J16" s="13"/>
      <c r="K16" s="13"/>
      <c r="L16" s="16"/>
      <c r="M16" s="16" t="s">
        <v>323</v>
      </c>
      <c r="N16" s="16"/>
      <c r="O16" s="16"/>
      <c r="P16" s="16"/>
      <c r="Q16" s="16"/>
      <c r="R16" s="16"/>
      <c r="S16" s="17"/>
      <c r="T16" s="17"/>
      <c r="U16" s="17"/>
      <c r="V16" s="17"/>
      <c r="W16" s="17"/>
      <c r="X16" s="17">
        <f t="shared" si="1"/>
        <v>6</v>
      </c>
      <c r="Y16" s="18">
        <f t="shared" si="2"/>
        <v>3457457.6938213301</v>
      </c>
      <c r="Z16" s="24"/>
      <c r="AA16" s="20"/>
      <c r="AB16" s="21" t="b">
        <v>1</v>
      </c>
      <c r="AC16" s="22">
        <f t="shared" si="3"/>
        <v>0</v>
      </c>
      <c r="AD16" s="28"/>
      <c r="AE16" s="28"/>
    </row>
    <row r="17" spans="1:31">
      <c r="A17" s="10">
        <f t="shared" si="0"/>
        <v>0</v>
      </c>
      <c r="B17" s="13"/>
      <c r="C17" s="13"/>
      <c r="D17" s="13"/>
      <c r="E17" s="13"/>
      <c r="F17" s="13"/>
      <c r="G17" s="13"/>
      <c r="H17" s="13"/>
      <c r="I17" s="13"/>
      <c r="J17" s="13"/>
      <c r="K17" s="13"/>
      <c r="L17" s="16"/>
      <c r="M17" s="91" t="s">
        <v>324</v>
      </c>
      <c r="N17" s="16"/>
      <c r="O17" s="16"/>
      <c r="P17" s="16"/>
      <c r="Q17" s="16"/>
      <c r="R17" s="16"/>
      <c r="S17" s="17"/>
      <c r="T17" s="17"/>
      <c r="U17" s="17"/>
      <c r="V17" s="17"/>
      <c r="W17" s="16" t="s">
        <v>325</v>
      </c>
      <c r="X17" s="17">
        <f t="shared" si="1"/>
        <v>6</v>
      </c>
      <c r="Y17" s="18">
        <f t="shared" si="2"/>
        <v>3457457.6938213301</v>
      </c>
      <c r="Z17" s="24"/>
      <c r="AA17" s="20"/>
      <c r="AB17" s="21" t="b">
        <v>1</v>
      </c>
      <c r="AC17" s="22">
        <f t="shared" si="3"/>
        <v>0</v>
      </c>
      <c r="AD17" s="28"/>
      <c r="AE17" s="28"/>
    </row>
    <row r="18" spans="1:31">
      <c r="A18" s="10">
        <f t="shared" si="0"/>
        <v>0</v>
      </c>
      <c r="B18" s="13"/>
      <c r="C18" s="13"/>
      <c r="D18" s="13"/>
      <c r="E18" s="13"/>
      <c r="F18" s="13"/>
      <c r="G18" s="13"/>
      <c r="H18" s="13"/>
      <c r="I18" s="13"/>
      <c r="J18" s="13"/>
      <c r="K18" s="13"/>
      <c r="L18" s="81" t="s">
        <v>326</v>
      </c>
      <c r="M18" s="16"/>
      <c r="N18" s="16"/>
      <c r="O18" s="16"/>
      <c r="P18" s="16"/>
      <c r="Q18" s="16"/>
      <c r="R18" s="16"/>
      <c r="S18" s="17"/>
      <c r="T18" s="17"/>
      <c r="U18" s="17"/>
      <c r="V18" s="17"/>
      <c r="W18" s="17"/>
      <c r="X18" s="17">
        <f t="shared" si="1"/>
        <v>7</v>
      </c>
      <c r="Y18" s="18">
        <f t="shared" si="2"/>
        <v>7777284.5336481705</v>
      </c>
      <c r="Z18" s="24"/>
      <c r="AA18" s="20"/>
      <c r="AB18" s="21" t="b">
        <v>1</v>
      </c>
      <c r="AC18" s="22">
        <f t="shared" si="3"/>
        <v>7777284.5336481705</v>
      </c>
      <c r="AD18" s="28"/>
      <c r="AE18" s="28"/>
    </row>
    <row r="19" spans="1:31">
      <c r="A19" s="10">
        <f t="shared" si="0"/>
        <v>4483388.4297520658</v>
      </c>
      <c r="B19" s="13">
        <v>2</v>
      </c>
      <c r="C19" s="13">
        <v>4</v>
      </c>
      <c r="D19" s="13">
        <v>4</v>
      </c>
      <c r="E19" s="13">
        <v>2</v>
      </c>
      <c r="F19" s="13"/>
      <c r="G19" s="13">
        <v>2</v>
      </c>
      <c r="H19" s="13"/>
      <c r="I19" s="13"/>
      <c r="J19" s="13"/>
      <c r="K19" s="13"/>
      <c r="L19" s="16"/>
      <c r="M19" s="16" t="s">
        <v>327</v>
      </c>
      <c r="N19" s="16"/>
      <c r="O19" s="16"/>
      <c r="P19" s="16"/>
      <c r="Q19" s="16"/>
      <c r="R19" s="16"/>
      <c r="S19" s="17"/>
      <c r="T19" s="17"/>
      <c r="U19" s="17"/>
      <c r="V19" s="17"/>
      <c r="W19" s="17"/>
      <c r="X19" s="17">
        <f t="shared" si="1"/>
        <v>7</v>
      </c>
      <c r="Y19" s="18">
        <f t="shared" si="2"/>
        <v>7777284.5336481705</v>
      </c>
      <c r="Z19" s="24"/>
      <c r="AA19" s="20"/>
      <c r="AB19" s="21" t="b">
        <v>1</v>
      </c>
      <c r="AC19" s="22">
        <f t="shared" si="3"/>
        <v>0</v>
      </c>
      <c r="AD19" s="28"/>
      <c r="AE19" s="28"/>
    </row>
    <row r="20" spans="1:31">
      <c r="A20" s="10">
        <f t="shared" si="0"/>
        <v>0</v>
      </c>
      <c r="B20" s="13"/>
      <c r="C20" s="13"/>
      <c r="D20" s="13"/>
      <c r="E20" s="13"/>
      <c r="F20" s="13"/>
      <c r="G20" s="13"/>
      <c r="H20" s="13"/>
      <c r="I20" s="13"/>
      <c r="J20" s="13"/>
      <c r="K20" s="13"/>
      <c r="L20" s="16"/>
      <c r="M20" s="16" t="s">
        <v>328</v>
      </c>
      <c r="N20" s="16"/>
      <c r="O20" s="16"/>
      <c r="P20" s="16"/>
      <c r="Q20" s="16"/>
      <c r="R20" s="16"/>
      <c r="S20" s="17"/>
      <c r="T20" s="17"/>
      <c r="U20" s="17"/>
      <c r="V20" s="17"/>
      <c r="W20" s="17"/>
      <c r="X20" s="17">
        <f t="shared" si="1"/>
        <v>7</v>
      </c>
      <c r="Y20" s="18">
        <f t="shared" si="2"/>
        <v>7777284.5336481705</v>
      </c>
      <c r="Z20" s="19"/>
      <c r="AA20" s="20"/>
      <c r="AB20" s="21" t="b">
        <v>1</v>
      </c>
      <c r="AC20" s="22">
        <f t="shared" si="3"/>
        <v>0</v>
      </c>
      <c r="AD20" s="28"/>
      <c r="AE20" s="28"/>
    </row>
    <row r="21" spans="1:31">
      <c r="A21" s="10">
        <f t="shared" si="0"/>
        <v>0</v>
      </c>
      <c r="B21" s="13"/>
      <c r="C21" s="13"/>
      <c r="D21" s="13"/>
      <c r="E21" s="13"/>
      <c r="F21" s="13"/>
      <c r="G21" s="13"/>
      <c r="H21" s="13"/>
      <c r="I21" s="13"/>
      <c r="J21" s="13"/>
      <c r="K21" s="13"/>
      <c r="L21" s="27"/>
      <c r="M21" s="16" t="s">
        <v>329</v>
      </c>
      <c r="N21" s="16"/>
      <c r="O21" s="16"/>
      <c r="P21" s="16"/>
      <c r="Q21" s="16"/>
      <c r="R21" s="16"/>
      <c r="S21" s="17"/>
      <c r="T21" s="17"/>
      <c r="U21" s="17"/>
      <c r="V21" s="17"/>
      <c r="W21" s="17"/>
      <c r="X21" s="17">
        <f t="shared" si="1"/>
        <v>7</v>
      </c>
      <c r="Y21" s="18">
        <f t="shared" si="2"/>
        <v>7777284.5336481705</v>
      </c>
      <c r="Z21" s="24"/>
      <c r="AA21" s="20"/>
      <c r="AB21" s="21" t="b">
        <v>1</v>
      </c>
      <c r="AC21" s="22">
        <f t="shared" si="3"/>
        <v>0</v>
      </c>
      <c r="AD21" s="28"/>
      <c r="AE21" s="28"/>
    </row>
    <row r="22" spans="1:31">
      <c r="A22" s="10">
        <f t="shared" si="0"/>
        <v>0</v>
      </c>
      <c r="B22" s="13"/>
      <c r="C22" s="13"/>
      <c r="D22" s="13"/>
      <c r="E22" s="13"/>
      <c r="F22" s="13"/>
      <c r="G22" s="13"/>
      <c r="H22" s="13"/>
      <c r="I22" s="13"/>
      <c r="J22" s="13"/>
      <c r="K22" s="13"/>
      <c r="L22" s="27"/>
      <c r="M22" s="16" t="s">
        <v>330</v>
      </c>
      <c r="N22" s="16"/>
      <c r="O22" s="16"/>
      <c r="P22" s="16"/>
      <c r="Q22" s="16"/>
      <c r="R22" s="16"/>
      <c r="S22" s="17"/>
      <c r="T22" s="17"/>
      <c r="U22" s="17"/>
      <c r="V22" s="17"/>
      <c r="W22" s="17"/>
      <c r="X22" s="17">
        <f t="shared" si="1"/>
        <v>7</v>
      </c>
      <c r="Y22" s="18">
        <f t="shared" si="2"/>
        <v>7777284.5336481705</v>
      </c>
      <c r="Z22" s="24"/>
      <c r="AA22" s="20"/>
      <c r="AB22" s="21" t="b">
        <v>1</v>
      </c>
      <c r="AC22" s="22">
        <f t="shared" si="3"/>
        <v>0</v>
      </c>
      <c r="AD22" s="28"/>
      <c r="AE22" s="28"/>
    </row>
    <row r="23" spans="1:31">
      <c r="A23" s="10">
        <f t="shared" si="0"/>
        <v>3293896.1038961043</v>
      </c>
      <c r="B23" s="13">
        <v>1</v>
      </c>
      <c r="C23" s="13">
        <v>2</v>
      </c>
      <c r="D23" s="13">
        <v>2</v>
      </c>
      <c r="E23" s="13">
        <v>3</v>
      </c>
      <c r="F23" s="13"/>
      <c r="G23" s="13">
        <v>2</v>
      </c>
      <c r="H23" s="13"/>
      <c r="I23" s="13"/>
      <c r="J23" s="13"/>
      <c r="K23" s="13"/>
      <c r="L23" s="27"/>
      <c r="M23" s="16" t="s">
        <v>331</v>
      </c>
      <c r="N23" s="16"/>
      <c r="O23" s="16"/>
      <c r="P23" s="16"/>
      <c r="Q23" s="16"/>
      <c r="R23" s="16"/>
      <c r="S23" s="17"/>
      <c r="T23" s="17"/>
      <c r="U23" s="17"/>
      <c r="V23" s="17"/>
      <c r="W23" s="17"/>
      <c r="X23" s="17">
        <f t="shared" si="1"/>
        <v>7</v>
      </c>
      <c r="Y23" s="18">
        <f t="shared" si="2"/>
        <v>7777284.5336481705</v>
      </c>
      <c r="Z23" s="24"/>
      <c r="AA23" s="20"/>
      <c r="AB23" s="21" t="b">
        <v>1</v>
      </c>
      <c r="AC23" s="22">
        <f t="shared" si="3"/>
        <v>0</v>
      </c>
      <c r="AD23" s="28"/>
      <c r="AE23" s="28"/>
    </row>
    <row r="24" spans="1:31">
      <c r="A24" s="10">
        <f t="shared" si="0"/>
        <v>0</v>
      </c>
      <c r="B24" s="13"/>
      <c r="C24" s="13"/>
      <c r="D24" s="13"/>
      <c r="E24" s="13"/>
      <c r="F24" s="13"/>
      <c r="G24" s="13"/>
      <c r="H24" s="13"/>
      <c r="I24" s="13"/>
      <c r="J24" s="13"/>
      <c r="K24" s="13"/>
      <c r="L24" s="27"/>
      <c r="M24" s="16"/>
      <c r="N24" s="16" t="s">
        <v>332</v>
      </c>
      <c r="O24" s="16"/>
      <c r="P24" s="16"/>
      <c r="Q24" s="16"/>
      <c r="R24" s="16"/>
      <c r="S24" s="17"/>
      <c r="T24" s="17"/>
      <c r="U24" s="17"/>
      <c r="V24" s="17"/>
      <c r="W24" s="17"/>
      <c r="X24" s="17">
        <f t="shared" si="1"/>
        <v>7</v>
      </c>
      <c r="Y24" s="18">
        <f t="shared" si="2"/>
        <v>7777284.5336481705</v>
      </c>
      <c r="Z24" s="19"/>
      <c r="AA24" s="30"/>
      <c r="AB24" s="21" t="b">
        <v>1</v>
      </c>
      <c r="AC24" s="22">
        <f t="shared" si="3"/>
        <v>0</v>
      </c>
      <c r="AD24" s="28"/>
      <c r="AE24" s="28"/>
    </row>
    <row r="25" spans="1:31">
      <c r="A25" s="10">
        <f t="shared" si="0"/>
        <v>0</v>
      </c>
      <c r="B25" s="13"/>
      <c r="C25" s="13"/>
      <c r="D25" s="13"/>
      <c r="E25" s="13"/>
      <c r="F25" s="13"/>
      <c r="G25" s="13"/>
      <c r="H25" s="13"/>
      <c r="I25" s="13"/>
      <c r="J25" s="13"/>
      <c r="K25" s="13"/>
      <c r="L25" s="27"/>
      <c r="M25" s="16"/>
      <c r="N25" s="16" t="s">
        <v>333</v>
      </c>
      <c r="O25" s="16"/>
      <c r="P25" s="16"/>
      <c r="Q25" s="16"/>
      <c r="R25" s="16"/>
      <c r="S25" s="17"/>
      <c r="T25" s="17"/>
      <c r="U25" s="17"/>
      <c r="V25" s="17"/>
      <c r="W25" s="17"/>
      <c r="X25" s="17">
        <f t="shared" si="1"/>
        <v>7</v>
      </c>
      <c r="Y25" s="18">
        <f t="shared" si="2"/>
        <v>7777284.5336481705</v>
      </c>
      <c r="Z25" s="24"/>
      <c r="AA25" s="20"/>
      <c r="AB25" s="21" t="b">
        <v>1</v>
      </c>
      <c r="AC25" s="22">
        <f t="shared" si="3"/>
        <v>0</v>
      </c>
      <c r="AD25" s="28"/>
      <c r="AE25" s="28"/>
    </row>
    <row r="26" spans="1:31">
      <c r="A26" s="10">
        <f t="shared" si="0"/>
        <v>0</v>
      </c>
      <c r="B26" s="13"/>
      <c r="C26" s="13"/>
      <c r="D26" s="13"/>
      <c r="E26" s="13"/>
      <c r="F26" s="13"/>
      <c r="G26" s="13"/>
      <c r="H26" s="13"/>
      <c r="I26" s="13"/>
      <c r="J26" s="13"/>
      <c r="K26" s="13"/>
      <c r="L26" s="81" t="s">
        <v>334</v>
      </c>
      <c r="M26" s="16"/>
      <c r="N26" s="16"/>
      <c r="O26" s="16"/>
      <c r="P26" s="16"/>
      <c r="Q26" s="16"/>
      <c r="R26" s="16"/>
      <c r="S26" s="17"/>
      <c r="T26" s="17"/>
      <c r="U26" s="17"/>
      <c r="V26" s="17"/>
      <c r="W26" s="17"/>
      <c r="X26" s="17">
        <f t="shared" si="1"/>
        <v>8</v>
      </c>
      <c r="Y26" s="18">
        <f t="shared" si="2"/>
        <v>7660420.1101928372</v>
      </c>
      <c r="Z26" s="24"/>
      <c r="AA26" s="20"/>
      <c r="AB26" s="21" t="b">
        <v>1</v>
      </c>
      <c r="AC26" s="22">
        <f t="shared" si="3"/>
        <v>7660420.1101928372</v>
      </c>
      <c r="AD26" s="28"/>
      <c r="AE26" s="28"/>
    </row>
    <row r="27" spans="1:31">
      <c r="A27" s="10">
        <f t="shared" si="0"/>
        <v>2650022.6288862652</v>
      </c>
      <c r="B27" s="13">
        <v>1.5</v>
      </c>
      <c r="C27" s="13">
        <v>1</v>
      </c>
      <c r="D27" s="13">
        <v>1</v>
      </c>
      <c r="E27" s="13">
        <v>1.5</v>
      </c>
      <c r="F27" s="13">
        <v>1.5</v>
      </c>
      <c r="G27" s="13">
        <v>1</v>
      </c>
      <c r="H27" s="13"/>
      <c r="I27" s="13"/>
      <c r="J27" s="13"/>
      <c r="K27" s="13"/>
      <c r="L27" s="27"/>
      <c r="M27" s="16" t="s">
        <v>335</v>
      </c>
      <c r="N27" s="16"/>
      <c r="O27" s="16"/>
      <c r="P27" s="16"/>
      <c r="Q27" s="16"/>
      <c r="R27" s="16"/>
      <c r="S27" s="17"/>
      <c r="T27" s="17"/>
      <c r="U27" s="17"/>
      <c r="V27" s="17"/>
      <c r="W27" s="17"/>
      <c r="X27" s="17">
        <f t="shared" si="1"/>
        <v>8</v>
      </c>
      <c r="Y27" s="18">
        <f t="shared" si="2"/>
        <v>7660420.1101928372</v>
      </c>
      <c r="Z27" s="24"/>
      <c r="AA27" s="20"/>
      <c r="AB27" s="21" t="b">
        <v>1</v>
      </c>
      <c r="AC27" s="22">
        <f t="shared" si="3"/>
        <v>0</v>
      </c>
      <c r="AD27" s="28"/>
      <c r="AE27" s="28"/>
    </row>
    <row r="28" spans="1:31">
      <c r="A28" s="10">
        <f t="shared" si="0"/>
        <v>0</v>
      </c>
      <c r="B28" s="13"/>
      <c r="C28" s="13"/>
      <c r="D28" s="13"/>
      <c r="E28" s="13"/>
      <c r="F28" s="13"/>
      <c r="G28" s="13"/>
      <c r="H28" s="13"/>
      <c r="I28" s="13"/>
      <c r="J28" s="13"/>
      <c r="K28" s="13"/>
      <c r="L28" s="27"/>
      <c r="M28" s="16" t="s">
        <v>336</v>
      </c>
      <c r="N28" s="16"/>
      <c r="O28" s="16"/>
      <c r="P28" s="16"/>
      <c r="Q28" s="16"/>
      <c r="R28" s="16"/>
      <c r="S28" s="17"/>
      <c r="T28" s="17"/>
      <c r="U28" s="17"/>
      <c r="V28" s="17"/>
      <c r="W28" s="17"/>
      <c r="X28" s="17">
        <f t="shared" si="1"/>
        <v>8</v>
      </c>
      <c r="Y28" s="18">
        <f t="shared" si="2"/>
        <v>7660420.1101928372</v>
      </c>
      <c r="Z28" s="24"/>
      <c r="AA28" s="20"/>
      <c r="AB28" s="21" t="b">
        <v>1</v>
      </c>
      <c r="AC28" s="22">
        <f t="shared" si="3"/>
        <v>0</v>
      </c>
      <c r="AD28" s="28"/>
      <c r="AE28" s="28"/>
    </row>
    <row r="29" spans="1:31">
      <c r="A29" s="10">
        <f t="shared" si="0"/>
        <v>3352782.3691460057</v>
      </c>
      <c r="B29" s="13">
        <v>1</v>
      </c>
      <c r="C29" s="13">
        <v>2</v>
      </c>
      <c r="D29" s="13">
        <v>2</v>
      </c>
      <c r="E29" s="13">
        <v>3</v>
      </c>
      <c r="F29" s="13">
        <v>1</v>
      </c>
      <c r="G29" s="13">
        <v>1</v>
      </c>
      <c r="H29" s="13"/>
      <c r="I29" s="13"/>
      <c r="J29" s="13"/>
      <c r="K29" s="13"/>
      <c r="L29" s="27"/>
      <c r="M29" s="16" t="s">
        <v>337</v>
      </c>
      <c r="N29" s="16"/>
      <c r="O29" s="16"/>
      <c r="P29" s="16"/>
      <c r="Q29" s="16"/>
      <c r="R29" s="16"/>
      <c r="S29" s="17"/>
      <c r="T29" s="17"/>
      <c r="U29" s="17"/>
      <c r="V29" s="17"/>
      <c r="W29" s="17"/>
      <c r="X29" s="17">
        <f t="shared" si="1"/>
        <v>8</v>
      </c>
      <c r="Y29" s="18">
        <f t="shared" si="2"/>
        <v>7660420.1101928372</v>
      </c>
      <c r="Z29" s="24"/>
      <c r="AA29" s="20"/>
      <c r="AB29" s="21" t="b">
        <v>1</v>
      </c>
      <c r="AC29" s="22">
        <f t="shared" si="3"/>
        <v>0</v>
      </c>
      <c r="AD29" s="28"/>
      <c r="AE29" s="28"/>
    </row>
    <row r="30" spans="1:31">
      <c r="A30" s="10">
        <f t="shared" si="0"/>
        <v>1657615.1121605667</v>
      </c>
      <c r="B30" s="13"/>
      <c r="C30" s="13">
        <v>2</v>
      </c>
      <c r="D30" s="13">
        <v>2</v>
      </c>
      <c r="E30" s="13">
        <v>1.5</v>
      </c>
      <c r="F30" s="13"/>
      <c r="G30" s="13"/>
      <c r="H30" s="13"/>
      <c r="I30" s="13"/>
      <c r="J30" s="13"/>
      <c r="K30" s="13"/>
      <c r="L30" s="27"/>
      <c r="M30" s="16" t="s">
        <v>338</v>
      </c>
      <c r="N30" s="16"/>
      <c r="O30" s="16"/>
      <c r="P30" s="16"/>
      <c r="Q30" s="16"/>
      <c r="R30" s="16"/>
      <c r="S30" s="17"/>
      <c r="T30" s="17"/>
      <c r="U30" s="17"/>
      <c r="V30" s="17"/>
      <c r="W30" s="17"/>
      <c r="X30" s="17">
        <f t="shared" si="1"/>
        <v>8</v>
      </c>
      <c r="Y30" s="18">
        <f t="shared" si="2"/>
        <v>7660420.1101928372</v>
      </c>
      <c r="Z30" s="24"/>
      <c r="AA30" s="20"/>
      <c r="AB30" s="21" t="b">
        <v>1</v>
      </c>
      <c r="AC30" s="22">
        <f t="shared" si="3"/>
        <v>0</v>
      </c>
      <c r="AD30" s="28"/>
      <c r="AE30" s="28"/>
    </row>
    <row r="31" spans="1:31">
      <c r="A31" s="10">
        <f t="shared" si="0"/>
        <v>0</v>
      </c>
      <c r="B31" s="13"/>
      <c r="C31" s="13"/>
      <c r="D31" s="13"/>
      <c r="E31" s="13"/>
      <c r="F31" s="13"/>
      <c r="G31" s="13"/>
      <c r="H31" s="13"/>
      <c r="I31" s="13"/>
      <c r="J31" s="13"/>
      <c r="K31" s="13"/>
      <c r="L31" s="27"/>
      <c r="M31" s="16"/>
      <c r="N31" s="16" t="s">
        <v>339</v>
      </c>
      <c r="O31" s="16"/>
      <c r="P31" s="16"/>
      <c r="Q31" s="16"/>
      <c r="R31" s="16"/>
      <c r="S31" s="17"/>
      <c r="T31" s="17"/>
      <c r="U31" s="17"/>
      <c r="V31" s="17"/>
      <c r="W31" s="17"/>
      <c r="X31" s="17">
        <f t="shared" si="1"/>
        <v>8</v>
      </c>
      <c r="Y31" s="18">
        <f t="shared" si="2"/>
        <v>7660420.1101928372</v>
      </c>
      <c r="Z31" s="24"/>
      <c r="AA31" s="20"/>
      <c r="AB31" s="21" t="b">
        <v>1</v>
      </c>
      <c r="AC31" s="22">
        <f t="shared" si="3"/>
        <v>0</v>
      </c>
      <c r="AD31" s="28"/>
      <c r="AE31" s="28"/>
    </row>
    <row r="32" spans="1:31">
      <c r="A32" s="10">
        <f t="shared" si="0"/>
        <v>0</v>
      </c>
      <c r="B32" s="13"/>
      <c r="C32" s="13"/>
      <c r="D32" s="13"/>
      <c r="E32" s="13"/>
      <c r="F32" s="13"/>
      <c r="G32" s="13"/>
      <c r="H32" s="13"/>
      <c r="I32" s="13"/>
      <c r="J32" s="13"/>
      <c r="K32" s="13"/>
      <c r="L32" s="27"/>
      <c r="M32" s="16"/>
      <c r="N32" s="16" t="s">
        <v>340</v>
      </c>
      <c r="O32" s="16"/>
      <c r="P32" s="16"/>
      <c r="Q32" s="16"/>
      <c r="R32" s="16"/>
      <c r="S32" s="17"/>
      <c r="T32" s="17"/>
      <c r="U32" s="17"/>
      <c r="V32" s="17"/>
      <c r="W32" s="17"/>
      <c r="X32" s="17">
        <f t="shared" si="1"/>
        <v>8</v>
      </c>
      <c r="Y32" s="18">
        <f t="shared" si="2"/>
        <v>7660420.1101928372</v>
      </c>
      <c r="Z32" s="24"/>
      <c r="AA32" s="20"/>
      <c r="AB32" s="21" t="b">
        <v>1</v>
      </c>
      <c r="AC32" s="22">
        <f t="shared" si="3"/>
        <v>0</v>
      </c>
      <c r="AD32" s="28"/>
      <c r="AE32" s="28"/>
    </row>
    <row r="33" spans="1:31">
      <c r="A33" s="10">
        <f t="shared" si="0"/>
        <v>0</v>
      </c>
      <c r="B33" s="13"/>
      <c r="C33" s="13"/>
      <c r="D33" s="13"/>
      <c r="E33" s="13"/>
      <c r="F33" s="13"/>
      <c r="G33" s="13"/>
      <c r="H33" s="13"/>
      <c r="I33" s="13"/>
      <c r="J33" s="13"/>
      <c r="K33" s="13"/>
      <c r="L33" s="81" t="s">
        <v>341</v>
      </c>
      <c r="M33" s="16"/>
      <c r="N33" s="16"/>
      <c r="O33" s="16"/>
      <c r="P33" s="16"/>
      <c r="Q33" s="16"/>
      <c r="R33" s="16"/>
      <c r="S33" s="17"/>
      <c r="T33" s="17"/>
      <c r="U33" s="17"/>
      <c r="V33" s="17"/>
      <c r="W33" s="17"/>
      <c r="X33" s="17">
        <f t="shared" si="1"/>
        <v>9</v>
      </c>
      <c r="Y33" s="18">
        <f t="shared" si="2"/>
        <v>2696719.7953561591</v>
      </c>
      <c r="Z33" s="24"/>
      <c r="AA33" s="25" t="s">
        <v>156</v>
      </c>
      <c r="AB33" s="21" t="b">
        <v>0</v>
      </c>
      <c r="AC33" s="22">
        <f t="shared" si="3"/>
        <v>0</v>
      </c>
      <c r="AD33" s="28"/>
      <c r="AE33" s="28"/>
    </row>
    <row r="34" spans="1:31">
      <c r="A34" s="10">
        <f t="shared" si="0"/>
        <v>2696719.7953561591</v>
      </c>
      <c r="B34" s="13">
        <v>1</v>
      </c>
      <c r="C34" s="13">
        <v>1</v>
      </c>
      <c r="D34" s="13">
        <v>1</v>
      </c>
      <c r="E34" s="13">
        <v>2</v>
      </c>
      <c r="F34" s="13">
        <v>1</v>
      </c>
      <c r="G34" s="13">
        <v>2</v>
      </c>
      <c r="H34" s="13"/>
      <c r="I34" s="13"/>
      <c r="J34" s="13"/>
      <c r="K34" s="13"/>
      <c r="L34" s="27"/>
      <c r="M34" s="16" t="s">
        <v>342</v>
      </c>
      <c r="N34" s="16"/>
      <c r="O34" s="16"/>
      <c r="P34" s="16"/>
      <c r="Q34" s="16"/>
      <c r="R34" s="16"/>
      <c r="S34" s="17"/>
      <c r="T34" s="17"/>
      <c r="U34" s="17"/>
      <c r="V34" s="17"/>
      <c r="W34" s="17"/>
      <c r="X34" s="17">
        <f t="shared" si="1"/>
        <v>9</v>
      </c>
      <c r="Y34" s="18">
        <f t="shared" si="2"/>
        <v>2696719.7953561591</v>
      </c>
      <c r="Z34" s="24"/>
      <c r="AA34" s="20"/>
      <c r="AB34" s="21" t="b">
        <v>1</v>
      </c>
      <c r="AC34" s="22">
        <f t="shared" si="3"/>
        <v>0</v>
      </c>
      <c r="AD34" s="28"/>
      <c r="AE34" s="28"/>
    </row>
    <row r="35" spans="1:31">
      <c r="A35" s="10">
        <f t="shared" si="0"/>
        <v>0</v>
      </c>
      <c r="B35" s="13"/>
      <c r="C35" s="13"/>
      <c r="D35" s="13"/>
      <c r="E35" s="13"/>
      <c r="F35" s="13"/>
      <c r="G35" s="13"/>
      <c r="H35" s="13"/>
      <c r="I35" s="13"/>
      <c r="J35" s="13"/>
      <c r="K35" s="13"/>
      <c r="L35" s="27"/>
      <c r="M35" s="16" t="s">
        <v>343</v>
      </c>
      <c r="N35" s="16"/>
      <c r="O35" s="16"/>
      <c r="P35" s="16"/>
      <c r="Q35" s="16"/>
      <c r="R35" s="16"/>
      <c r="S35" s="17"/>
      <c r="T35" s="17"/>
      <c r="U35" s="17"/>
      <c r="V35" s="17"/>
      <c r="W35" s="17"/>
      <c r="X35" s="17">
        <f t="shared" si="1"/>
        <v>9</v>
      </c>
      <c r="Y35" s="18">
        <f t="shared" si="2"/>
        <v>2696719.7953561591</v>
      </c>
      <c r="Z35" s="24"/>
      <c r="AA35" s="20"/>
      <c r="AB35" s="21" t="b">
        <v>1</v>
      </c>
      <c r="AC35" s="22">
        <f t="shared" si="3"/>
        <v>0</v>
      </c>
      <c r="AD35" s="28"/>
      <c r="AE35" s="28"/>
    </row>
    <row r="36" spans="1:31">
      <c r="A36" s="10">
        <f t="shared" si="0"/>
        <v>0</v>
      </c>
      <c r="B36" s="13"/>
      <c r="C36" s="13"/>
      <c r="D36" s="13"/>
      <c r="E36" s="13"/>
      <c r="F36" s="13"/>
      <c r="G36" s="13"/>
      <c r="H36" s="13"/>
      <c r="I36" s="13"/>
      <c r="J36" s="13"/>
      <c r="K36" s="13"/>
      <c r="L36" s="27"/>
      <c r="M36" s="16" t="s">
        <v>344</v>
      </c>
      <c r="N36" s="16"/>
      <c r="O36" s="16"/>
      <c r="P36" s="16"/>
      <c r="Q36" s="16"/>
      <c r="R36" s="16"/>
      <c r="S36" s="17"/>
      <c r="T36" s="17"/>
      <c r="U36" s="17"/>
      <c r="V36" s="17"/>
      <c r="W36" s="17"/>
      <c r="X36" s="17">
        <f t="shared" si="1"/>
        <v>9</v>
      </c>
      <c r="Y36" s="18">
        <f t="shared" si="2"/>
        <v>2696719.7953561591</v>
      </c>
      <c r="Z36" s="19"/>
      <c r="AA36" s="30"/>
      <c r="AB36" s="21" t="b">
        <v>1</v>
      </c>
      <c r="AC36" s="22">
        <f t="shared" si="3"/>
        <v>0</v>
      </c>
      <c r="AD36" s="28"/>
      <c r="AE36" s="28"/>
    </row>
    <row r="37" spans="1:31">
      <c r="A37" s="10">
        <f t="shared" si="0"/>
        <v>0</v>
      </c>
      <c r="B37" s="13"/>
      <c r="C37" s="13"/>
      <c r="D37" s="13"/>
      <c r="E37" s="13"/>
      <c r="F37" s="13"/>
      <c r="G37" s="13"/>
      <c r="H37" s="13"/>
      <c r="I37" s="13"/>
      <c r="J37" s="13"/>
      <c r="K37" s="13"/>
      <c r="L37" s="27"/>
      <c r="M37" s="16" t="s">
        <v>345</v>
      </c>
      <c r="N37" s="16"/>
      <c r="O37" s="16"/>
      <c r="P37" s="16"/>
      <c r="Q37" s="16"/>
      <c r="R37" s="16"/>
      <c r="S37" s="17"/>
      <c r="T37" s="17"/>
      <c r="U37" s="17"/>
      <c r="V37" s="17"/>
      <c r="W37" s="17"/>
      <c r="X37" s="17">
        <f t="shared" si="1"/>
        <v>9</v>
      </c>
      <c r="Y37" s="18">
        <f t="shared" si="2"/>
        <v>2696719.7953561591</v>
      </c>
      <c r="Z37" s="19"/>
      <c r="AA37" s="30"/>
      <c r="AB37" s="21" t="b">
        <v>1</v>
      </c>
      <c r="AC37" s="22">
        <f t="shared" si="3"/>
        <v>0</v>
      </c>
      <c r="AD37" s="28"/>
      <c r="AE37" s="28"/>
    </row>
    <row r="38" spans="1:31">
      <c r="A38" s="10">
        <f t="shared" si="0"/>
        <v>2116017.3160173162</v>
      </c>
      <c r="B38" s="13">
        <v>1</v>
      </c>
      <c r="C38" s="13">
        <v>3</v>
      </c>
      <c r="D38" s="13">
        <v>3</v>
      </c>
      <c r="E38" s="13"/>
      <c r="F38" s="13"/>
      <c r="G38" s="13"/>
      <c r="H38" s="13"/>
      <c r="I38" s="13"/>
      <c r="J38" s="13"/>
      <c r="K38" s="13"/>
      <c r="L38" s="81" t="s">
        <v>346</v>
      </c>
      <c r="M38" s="16"/>
      <c r="N38" s="16"/>
      <c r="O38" s="16"/>
      <c r="P38" s="16"/>
      <c r="Q38" s="16"/>
      <c r="R38" s="16"/>
      <c r="S38" s="17"/>
      <c r="T38" s="17"/>
      <c r="U38" s="17"/>
      <c r="V38" s="17"/>
      <c r="W38" s="17"/>
      <c r="X38" s="17">
        <f t="shared" si="1"/>
        <v>10</v>
      </c>
      <c r="Y38" s="18">
        <f t="shared" si="2"/>
        <v>5393030.3030303027</v>
      </c>
      <c r="Z38" s="24"/>
      <c r="AA38" s="20"/>
      <c r="AB38" s="21" t="b">
        <v>1</v>
      </c>
      <c r="AC38" s="22">
        <f t="shared" si="3"/>
        <v>5393030.3030303027</v>
      </c>
      <c r="AD38" s="32"/>
      <c r="AE38" s="32"/>
    </row>
    <row r="39" spans="1:31">
      <c r="A39" s="10">
        <f t="shared" si="0"/>
        <v>1322664.305391578</v>
      </c>
      <c r="B39" s="13"/>
      <c r="C39" s="13"/>
      <c r="D39" s="13"/>
      <c r="E39" s="13">
        <v>2</v>
      </c>
      <c r="F39" s="13"/>
      <c r="G39" s="13">
        <v>2</v>
      </c>
      <c r="H39" s="13"/>
      <c r="I39" s="13"/>
      <c r="J39" s="13"/>
      <c r="K39" s="13"/>
      <c r="L39" s="27"/>
      <c r="M39" s="16" t="s">
        <v>347</v>
      </c>
      <c r="N39" s="16"/>
      <c r="O39" s="16"/>
      <c r="P39" s="16"/>
      <c r="Q39" s="16"/>
      <c r="R39" s="16"/>
      <c r="S39" s="17"/>
      <c r="T39" s="17"/>
      <c r="U39" s="17"/>
      <c r="V39" s="17"/>
      <c r="W39" s="17"/>
      <c r="X39" s="17">
        <f t="shared" si="1"/>
        <v>10</v>
      </c>
      <c r="Y39" s="18">
        <f t="shared" si="2"/>
        <v>5393030.3030303027</v>
      </c>
      <c r="Z39" s="19"/>
      <c r="AA39" s="20"/>
      <c r="AB39" s="21" t="b">
        <v>1</v>
      </c>
      <c r="AC39" s="22">
        <f t="shared" si="3"/>
        <v>0</v>
      </c>
      <c r="AD39" s="28"/>
      <c r="AE39" s="28"/>
    </row>
    <row r="40" spans="1:31">
      <c r="A40" s="10">
        <f t="shared" si="0"/>
        <v>390869.73632428178</v>
      </c>
      <c r="B40" s="13"/>
      <c r="C40" s="13"/>
      <c r="D40" s="13"/>
      <c r="E40" s="13">
        <v>1</v>
      </c>
      <c r="F40" s="13"/>
      <c r="G40" s="13"/>
      <c r="H40" s="13"/>
      <c r="I40" s="13"/>
      <c r="J40" s="13"/>
      <c r="K40" s="13"/>
      <c r="L40" s="27"/>
      <c r="M40" s="16" t="s">
        <v>348</v>
      </c>
      <c r="N40" s="16"/>
      <c r="O40" s="16"/>
      <c r="P40" s="16"/>
      <c r="Q40" s="16"/>
      <c r="R40" s="16"/>
      <c r="S40" s="17"/>
      <c r="T40" s="17"/>
      <c r="U40" s="17"/>
      <c r="V40" s="17"/>
      <c r="W40" s="17"/>
      <c r="X40" s="17">
        <f t="shared" si="1"/>
        <v>10</v>
      </c>
      <c r="Y40" s="18">
        <f t="shared" si="2"/>
        <v>5393030.3030303027</v>
      </c>
      <c r="Z40" s="24"/>
      <c r="AA40" s="20"/>
      <c r="AB40" s="21" t="b">
        <v>1</v>
      </c>
      <c r="AC40" s="22">
        <f t="shared" si="3"/>
        <v>0</v>
      </c>
      <c r="AD40" s="32"/>
      <c r="AE40" s="32"/>
    </row>
    <row r="41" spans="1:31">
      <c r="A41" s="10">
        <f t="shared" si="0"/>
        <v>390869.73632428178</v>
      </c>
      <c r="B41" s="13"/>
      <c r="C41" s="13"/>
      <c r="D41" s="13"/>
      <c r="E41" s="13">
        <v>1</v>
      </c>
      <c r="F41" s="13"/>
      <c r="G41" s="13"/>
      <c r="H41" s="13"/>
      <c r="I41" s="13"/>
      <c r="J41" s="13"/>
      <c r="K41" s="13"/>
      <c r="L41" s="27"/>
      <c r="M41" s="16" t="s">
        <v>349</v>
      </c>
      <c r="N41" s="16"/>
      <c r="O41" s="16"/>
      <c r="P41" s="16"/>
      <c r="Q41" s="16"/>
      <c r="R41" s="16"/>
      <c r="S41" s="17"/>
      <c r="T41" s="17"/>
      <c r="U41" s="17"/>
      <c r="V41" s="17"/>
      <c r="W41" s="17"/>
      <c r="X41" s="17">
        <f t="shared" si="1"/>
        <v>10</v>
      </c>
      <c r="Y41" s="18">
        <f t="shared" si="2"/>
        <v>5393030.3030303027</v>
      </c>
      <c r="Z41" s="24"/>
      <c r="AA41" s="20"/>
      <c r="AB41" s="21" t="b">
        <v>1</v>
      </c>
      <c r="AC41" s="22">
        <f t="shared" si="3"/>
        <v>0</v>
      </c>
      <c r="AD41" s="32"/>
      <c r="AE41" s="32"/>
    </row>
    <row r="42" spans="1:31" ht="15">
      <c r="A42" s="10">
        <f t="shared" si="0"/>
        <v>781739.47264856356</v>
      </c>
      <c r="B42" s="13"/>
      <c r="C42" s="13"/>
      <c r="D42" s="13"/>
      <c r="E42" s="13">
        <v>2</v>
      </c>
      <c r="F42" s="13"/>
      <c r="G42" s="13"/>
      <c r="H42" s="13"/>
      <c r="I42" s="13"/>
      <c r="J42" s="13"/>
      <c r="K42" s="13"/>
      <c r="L42" s="27"/>
      <c r="M42" s="16" t="s">
        <v>350</v>
      </c>
      <c r="N42" s="16"/>
      <c r="O42" s="16"/>
      <c r="P42" s="16"/>
      <c r="Q42" s="16"/>
      <c r="R42" s="16"/>
      <c r="S42" s="17"/>
      <c r="T42" s="17"/>
      <c r="U42" s="17"/>
      <c r="V42" s="17"/>
      <c r="W42" s="17"/>
      <c r="X42" s="17">
        <f t="shared" si="1"/>
        <v>10</v>
      </c>
      <c r="Y42" s="18">
        <f t="shared" si="2"/>
        <v>5393030.3030303027</v>
      </c>
      <c r="Z42" s="24"/>
      <c r="AA42" s="20"/>
      <c r="AB42" s="21" t="b">
        <v>1</v>
      </c>
      <c r="AC42" s="22">
        <f t="shared" si="3"/>
        <v>0</v>
      </c>
      <c r="AD42" s="28"/>
      <c r="AE42" s="28"/>
    </row>
    <row r="43" spans="1:31" ht="15">
      <c r="A43" s="10">
        <f t="shared" si="0"/>
        <v>390869.73632428178</v>
      </c>
      <c r="B43" s="13"/>
      <c r="C43" s="13"/>
      <c r="D43" s="13"/>
      <c r="E43" s="13">
        <v>1</v>
      </c>
      <c r="F43" s="13"/>
      <c r="G43" s="13"/>
      <c r="H43" s="13"/>
      <c r="I43" s="13"/>
      <c r="J43" s="13"/>
      <c r="K43" s="13"/>
      <c r="L43" s="27"/>
      <c r="M43" s="16" t="s">
        <v>351</v>
      </c>
      <c r="N43" s="16"/>
      <c r="O43" s="16"/>
      <c r="P43" s="16"/>
      <c r="Q43" s="16"/>
      <c r="R43" s="16"/>
      <c r="S43" s="17"/>
      <c r="T43" s="17"/>
      <c r="U43" s="17"/>
      <c r="V43" s="17"/>
      <c r="W43" s="17"/>
      <c r="X43" s="17">
        <f t="shared" si="1"/>
        <v>10</v>
      </c>
      <c r="Y43" s="18">
        <f t="shared" si="2"/>
        <v>5393030.3030303027</v>
      </c>
      <c r="Z43" s="24"/>
      <c r="AA43" s="20"/>
      <c r="AB43" s="21" t="b">
        <v>1</v>
      </c>
      <c r="AC43" s="22">
        <f t="shared" si="3"/>
        <v>0</v>
      </c>
      <c r="AD43" s="28"/>
      <c r="AE43" s="28"/>
    </row>
    <row r="44" spans="1:31" ht="12.75">
      <c r="A44" s="10">
        <f t="shared" si="0"/>
        <v>0</v>
      </c>
      <c r="B44" s="13"/>
      <c r="C44" s="13"/>
      <c r="D44" s="13"/>
      <c r="E44" s="13"/>
      <c r="F44" s="13"/>
      <c r="G44" s="13"/>
      <c r="H44" s="13"/>
      <c r="I44" s="13"/>
      <c r="J44" s="13"/>
      <c r="K44" s="13"/>
      <c r="L44" s="81" t="s">
        <v>352</v>
      </c>
      <c r="M44" s="16"/>
      <c r="N44" s="16"/>
      <c r="O44" s="16"/>
      <c r="P44" s="16"/>
      <c r="Q44" s="16"/>
      <c r="R44" s="16"/>
      <c r="S44" s="17"/>
      <c r="T44" s="17"/>
      <c r="U44" s="17"/>
      <c r="V44" s="17"/>
      <c r="W44" s="17"/>
      <c r="X44" s="17">
        <f t="shared" si="1"/>
        <v>11</v>
      </c>
      <c r="Y44" s="18">
        <f t="shared" si="2"/>
        <v>5333363.8331365613</v>
      </c>
      <c r="Z44" s="24"/>
      <c r="AA44" s="20"/>
      <c r="AB44" s="21" t="b">
        <v>1</v>
      </c>
      <c r="AC44" s="22">
        <f t="shared" si="3"/>
        <v>5333363.8331365613</v>
      </c>
      <c r="AD44" s="28"/>
      <c r="AE44" s="28"/>
    </row>
    <row r="45" spans="1:31" ht="15">
      <c r="A45" s="10">
        <f t="shared" si="0"/>
        <v>2779984.2581660766</v>
      </c>
      <c r="B45" s="13">
        <v>1</v>
      </c>
      <c r="C45" s="13">
        <v>2</v>
      </c>
      <c r="D45" s="13">
        <v>2</v>
      </c>
      <c r="E45" s="13"/>
      <c r="F45" s="13">
        <v>2</v>
      </c>
      <c r="G45" s="13">
        <v>2</v>
      </c>
      <c r="H45" s="13"/>
      <c r="I45" s="13"/>
      <c r="J45" s="13"/>
      <c r="K45" s="13"/>
      <c r="L45" s="27"/>
      <c r="M45" s="16" t="s">
        <v>353</v>
      </c>
      <c r="N45" s="16"/>
      <c r="O45" s="16"/>
      <c r="P45" s="16"/>
      <c r="Q45" s="16"/>
      <c r="R45" s="16"/>
      <c r="S45" s="17"/>
      <c r="T45" s="17"/>
      <c r="U45" s="17"/>
      <c r="V45" s="17"/>
      <c r="W45" s="17"/>
      <c r="X45" s="17">
        <f t="shared" si="1"/>
        <v>11</v>
      </c>
      <c r="Y45" s="18">
        <f t="shared" si="2"/>
        <v>5333363.8331365613</v>
      </c>
      <c r="Z45" s="24"/>
      <c r="AA45" s="20"/>
      <c r="AB45" s="21" t="b">
        <v>1</v>
      </c>
      <c r="AC45" s="22">
        <f t="shared" si="3"/>
        <v>0</v>
      </c>
      <c r="AD45" s="28"/>
      <c r="AE45" s="28"/>
    </row>
    <row r="46" spans="1:31" ht="15">
      <c r="A46" s="10">
        <f t="shared" si="0"/>
        <v>1565333.5301062574</v>
      </c>
      <c r="B46" s="13"/>
      <c r="C46" s="13">
        <v>2</v>
      </c>
      <c r="D46" s="13">
        <v>2</v>
      </c>
      <c r="E46" s="13"/>
      <c r="F46" s="13">
        <v>1.5</v>
      </c>
      <c r="G46" s="13"/>
      <c r="H46" s="13"/>
      <c r="I46" s="13"/>
      <c r="J46" s="13"/>
      <c r="K46" s="13"/>
      <c r="L46" s="27"/>
      <c r="M46" s="16" t="s">
        <v>354</v>
      </c>
      <c r="N46" s="16"/>
      <c r="O46" s="16"/>
      <c r="P46" s="16"/>
      <c r="Q46" s="16"/>
      <c r="R46" s="16"/>
      <c r="S46" s="17"/>
      <c r="T46" s="17"/>
      <c r="U46" s="17"/>
      <c r="V46" s="17"/>
      <c r="W46" s="17"/>
      <c r="X46" s="17">
        <f t="shared" si="1"/>
        <v>11</v>
      </c>
      <c r="Y46" s="18">
        <f t="shared" si="2"/>
        <v>5333363.8331365613</v>
      </c>
      <c r="Z46" s="24"/>
      <c r="AA46" s="20"/>
      <c r="AB46" s="21" t="b">
        <v>1</v>
      </c>
      <c r="AC46" s="22">
        <f t="shared" si="3"/>
        <v>0</v>
      </c>
      <c r="AD46" s="28"/>
      <c r="AE46" s="28"/>
    </row>
    <row r="47" spans="1:31" ht="15">
      <c r="A47" s="10">
        <f t="shared" si="0"/>
        <v>658697.36324281781</v>
      </c>
      <c r="B47" s="13"/>
      <c r="C47" s="13"/>
      <c r="D47" s="13"/>
      <c r="E47" s="13"/>
      <c r="F47" s="13">
        <v>2</v>
      </c>
      <c r="G47" s="13"/>
      <c r="H47" s="13"/>
      <c r="I47" s="13"/>
      <c r="J47" s="13"/>
      <c r="K47" s="13"/>
      <c r="L47" s="27"/>
      <c r="M47" s="16" t="s">
        <v>355</v>
      </c>
      <c r="N47" s="16"/>
      <c r="O47" s="16"/>
      <c r="P47" s="16"/>
      <c r="Q47" s="16"/>
      <c r="R47" s="16"/>
      <c r="S47" s="17"/>
      <c r="T47" s="17"/>
      <c r="U47" s="17"/>
      <c r="V47" s="17"/>
      <c r="W47" s="17"/>
      <c r="X47" s="17">
        <f t="shared" si="1"/>
        <v>11</v>
      </c>
      <c r="Y47" s="18">
        <f t="shared" si="2"/>
        <v>5333363.8331365613</v>
      </c>
      <c r="Z47" s="24"/>
      <c r="AA47" s="20"/>
      <c r="AB47" s="21" t="b">
        <v>1</v>
      </c>
      <c r="AC47" s="22">
        <f t="shared" si="3"/>
        <v>0</v>
      </c>
      <c r="AD47" s="28"/>
      <c r="AE47" s="28"/>
    </row>
    <row r="48" spans="1:31" ht="15">
      <c r="A48" s="10">
        <f t="shared" si="0"/>
        <v>329348.6816214089</v>
      </c>
      <c r="B48" s="13"/>
      <c r="C48" s="13"/>
      <c r="D48" s="13"/>
      <c r="E48" s="13"/>
      <c r="F48" s="13">
        <v>1</v>
      </c>
      <c r="G48" s="13"/>
      <c r="H48" s="13"/>
      <c r="I48" s="13"/>
      <c r="J48" s="13"/>
      <c r="K48" s="13"/>
      <c r="L48" s="27"/>
      <c r="M48" s="16" t="s">
        <v>356</v>
      </c>
      <c r="N48" s="16"/>
      <c r="O48" s="16"/>
      <c r="P48" s="16"/>
      <c r="Q48" s="16"/>
      <c r="R48" s="16"/>
      <c r="S48" s="17"/>
      <c r="T48" s="17"/>
      <c r="U48" s="17"/>
      <c r="V48" s="17"/>
      <c r="W48" s="17"/>
      <c r="X48" s="17">
        <f t="shared" si="1"/>
        <v>11</v>
      </c>
      <c r="Y48" s="18">
        <f t="shared" si="2"/>
        <v>5333363.8331365613</v>
      </c>
      <c r="Z48" s="24"/>
      <c r="AA48" s="20"/>
      <c r="AB48" s="21" t="b">
        <v>1</v>
      </c>
      <c r="AC48" s="22">
        <f t="shared" si="3"/>
        <v>0</v>
      </c>
      <c r="AD48" s="32"/>
      <c r="AE48" s="32"/>
    </row>
    <row r="49" spans="1:31" ht="12.75">
      <c r="A49" s="10">
        <f t="shared" si="0"/>
        <v>0</v>
      </c>
      <c r="B49" s="13"/>
      <c r="C49" s="13"/>
      <c r="D49" s="13"/>
      <c r="E49" s="13"/>
      <c r="F49" s="13"/>
      <c r="G49" s="13"/>
      <c r="H49" s="13"/>
      <c r="I49" s="13"/>
      <c r="J49" s="13"/>
      <c r="K49" s="13"/>
      <c r="L49" s="81" t="s">
        <v>357</v>
      </c>
      <c r="M49" s="16"/>
      <c r="N49" s="16"/>
      <c r="O49" s="16"/>
      <c r="P49" s="16"/>
      <c r="Q49" s="16"/>
      <c r="R49" s="16"/>
      <c r="S49" s="17"/>
      <c r="T49" s="17"/>
      <c r="U49" s="17"/>
      <c r="V49" s="17"/>
      <c r="W49" s="17"/>
      <c r="X49" s="17">
        <f t="shared" si="1"/>
        <v>12</v>
      </c>
      <c r="Y49" s="18">
        <f t="shared" si="2"/>
        <v>3564358.5202676114</v>
      </c>
      <c r="Z49" s="24"/>
      <c r="AA49" s="25" t="s">
        <v>156</v>
      </c>
      <c r="AB49" s="21" t="b">
        <v>0</v>
      </c>
      <c r="AC49" s="22">
        <f t="shared" si="3"/>
        <v>0</v>
      </c>
      <c r="AD49" s="32"/>
      <c r="AE49" s="32"/>
    </row>
    <row r="50" spans="1:31" ht="15">
      <c r="A50" s="10">
        <f t="shared" si="0"/>
        <v>1170383.707201889</v>
      </c>
      <c r="B50" s="13">
        <v>1</v>
      </c>
      <c r="C50" s="13"/>
      <c r="D50" s="13"/>
      <c r="E50" s="13">
        <v>1</v>
      </c>
      <c r="F50" s="13"/>
      <c r="G50" s="13">
        <v>1</v>
      </c>
      <c r="H50" s="13"/>
      <c r="I50" s="13"/>
      <c r="J50" s="13"/>
      <c r="K50" s="13"/>
      <c r="L50" s="27"/>
      <c r="M50" s="16" t="s">
        <v>358</v>
      </c>
      <c r="N50" s="16"/>
      <c r="O50" s="16"/>
      <c r="P50" s="16"/>
      <c r="Q50" s="16"/>
      <c r="R50" s="16"/>
      <c r="S50" s="17"/>
      <c r="T50" s="17"/>
      <c r="U50" s="17"/>
      <c r="V50" s="17"/>
      <c r="W50" s="17"/>
      <c r="X50" s="17">
        <f t="shared" si="1"/>
        <v>12</v>
      </c>
      <c r="Y50" s="18">
        <f t="shared" si="2"/>
        <v>3564358.5202676114</v>
      </c>
      <c r="Z50" s="24"/>
      <c r="AA50" s="20"/>
      <c r="AB50" s="21" t="b">
        <v>1</v>
      </c>
      <c r="AC50" s="22">
        <f t="shared" si="3"/>
        <v>0</v>
      </c>
      <c r="AD50" s="32"/>
      <c r="AE50" s="32"/>
    </row>
    <row r="51" spans="1:31" ht="15">
      <c r="A51" s="10">
        <f t="shared" si="0"/>
        <v>0</v>
      </c>
      <c r="B51" s="13"/>
      <c r="C51" s="13"/>
      <c r="D51" s="13"/>
      <c r="E51" s="13"/>
      <c r="F51" s="13"/>
      <c r="G51" s="13"/>
      <c r="H51" s="13"/>
      <c r="I51" s="13"/>
      <c r="J51" s="13"/>
      <c r="K51" s="13"/>
      <c r="L51" s="27"/>
      <c r="M51" s="16"/>
      <c r="N51" s="16" t="s">
        <v>359</v>
      </c>
      <c r="O51" s="16"/>
      <c r="P51" s="16"/>
      <c r="Q51" s="16"/>
      <c r="R51" s="16"/>
      <c r="S51" s="17"/>
      <c r="T51" s="17"/>
      <c r="U51" s="17"/>
      <c r="V51" s="17"/>
      <c r="W51" s="17"/>
      <c r="X51" s="17">
        <f t="shared" si="1"/>
        <v>12</v>
      </c>
      <c r="Y51" s="18">
        <f t="shared" si="2"/>
        <v>3564358.5202676114</v>
      </c>
      <c r="Z51" s="24"/>
      <c r="AA51" s="20"/>
      <c r="AB51" s="21" t="b">
        <v>1</v>
      </c>
      <c r="AC51" s="22">
        <f t="shared" si="3"/>
        <v>0</v>
      </c>
      <c r="AD51" s="32"/>
      <c r="AE51" s="32"/>
    </row>
    <row r="52" spans="1:31" ht="15">
      <c r="A52" s="10">
        <f t="shared" si="0"/>
        <v>1196987.4065328611</v>
      </c>
      <c r="B52" s="13"/>
      <c r="C52" s="13">
        <v>1</v>
      </c>
      <c r="D52" s="13">
        <v>1</v>
      </c>
      <c r="E52" s="13">
        <v>1</v>
      </c>
      <c r="F52" s="13"/>
      <c r="G52" s="13">
        <v>1</v>
      </c>
      <c r="H52" s="13"/>
      <c r="I52" s="13"/>
      <c r="J52" s="13"/>
      <c r="K52" s="13"/>
      <c r="L52" s="27"/>
      <c r="M52" s="16" t="s">
        <v>360</v>
      </c>
      <c r="N52" s="16"/>
      <c r="O52" s="16"/>
      <c r="P52" s="16"/>
      <c r="Q52" s="16"/>
      <c r="R52" s="16"/>
      <c r="S52" s="17"/>
      <c r="T52" s="17"/>
      <c r="U52" s="17"/>
      <c r="V52" s="17"/>
      <c r="W52" s="17"/>
      <c r="X52" s="17">
        <f t="shared" si="1"/>
        <v>12</v>
      </c>
      <c r="Y52" s="18">
        <f t="shared" si="2"/>
        <v>3564358.5202676114</v>
      </c>
      <c r="Z52" s="24"/>
      <c r="AA52" s="20"/>
      <c r="AB52" s="21" t="b">
        <v>1</v>
      </c>
      <c r="AC52" s="22">
        <f t="shared" si="3"/>
        <v>0</v>
      </c>
      <c r="AD52" s="32"/>
      <c r="AE52" s="32"/>
    </row>
    <row r="53" spans="1:31" ht="15">
      <c r="A53" s="10">
        <f t="shared" si="0"/>
        <v>1196987.4065328611</v>
      </c>
      <c r="B53" s="13"/>
      <c r="C53" s="13">
        <v>1</v>
      </c>
      <c r="D53" s="13">
        <v>1</v>
      </c>
      <c r="E53" s="13">
        <v>1</v>
      </c>
      <c r="F53" s="13"/>
      <c r="G53" s="13">
        <v>1</v>
      </c>
      <c r="H53" s="13"/>
      <c r="I53" s="13"/>
      <c r="J53" s="13"/>
      <c r="K53" s="13"/>
      <c r="L53" s="27"/>
      <c r="M53" s="16" t="s">
        <v>361</v>
      </c>
      <c r="N53" s="16"/>
      <c r="O53" s="16"/>
      <c r="P53" s="16"/>
      <c r="Q53" s="16"/>
      <c r="R53" s="16"/>
      <c r="S53" s="17"/>
      <c r="T53" s="17"/>
      <c r="U53" s="17"/>
      <c r="V53" s="17"/>
      <c r="W53" s="17"/>
      <c r="X53" s="17">
        <f t="shared" si="1"/>
        <v>12</v>
      </c>
      <c r="Y53" s="18">
        <f t="shared" si="2"/>
        <v>3564358.5202676114</v>
      </c>
      <c r="Z53" s="24"/>
      <c r="AA53" s="20"/>
      <c r="AB53" s="21" t="b">
        <v>1</v>
      </c>
      <c r="AC53" s="22">
        <f t="shared" si="3"/>
        <v>0</v>
      </c>
      <c r="AD53" s="32"/>
      <c r="AE53" s="32"/>
    </row>
    <row r="54" spans="1:31" ht="12.75">
      <c r="A54" s="10">
        <f t="shared" si="0"/>
        <v>0</v>
      </c>
      <c r="B54" s="13"/>
      <c r="C54" s="13"/>
      <c r="D54" s="13"/>
      <c r="E54" s="13"/>
      <c r="F54" s="13"/>
      <c r="G54" s="13"/>
      <c r="H54" s="13"/>
      <c r="I54" s="13"/>
      <c r="J54" s="13"/>
      <c r="K54" s="13"/>
      <c r="L54" s="81" t="s">
        <v>362</v>
      </c>
      <c r="M54" s="16"/>
      <c r="N54" s="16"/>
      <c r="O54" s="16"/>
      <c r="P54" s="16"/>
      <c r="Q54" s="16"/>
      <c r="R54" s="16"/>
      <c r="S54" s="17"/>
      <c r="T54" s="17"/>
      <c r="U54" s="17"/>
      <c r="V54" s="17"/>
      <c r="W54" s="17"/>
      <c r="X54" s="17">
        <f t="shared" si="1"/>
        <v>13</v>
      </c>
      <c r="Y54" s="18">
        <f t="shared" si="2"/>
        <v>10082725.304998031</v>
      </c>
      <c r="Z54" s="24"/>
      <c r="AA54" s="20"/>
      <c r="AB54" s="21" t="b">
        <v>1</v>
      </c>
      <c r="AC54" s="22">
        <f t="shared" si="3"/>
        <v>10082725.304998031</v>
      </c>
      <c r="AD54" s="32"/>
      <c r="AE54" s="32"/>
    </row>
    <row r="55" spans="1:31" ht="15">
      <c r="A55" s="10">
        <f t="shared" si="0"/>
        <v>2096908.6973632427</v>
      </c>
      <c r="B55" s="13">
        <v>1</v>
      </c>
      <c r="C55" s="13">
        <v>1</v>
      </c>
      <c r="D55" s="13">
        <v>1</v>
      </c>
      <c r="E55" s="13">
        <v>2</v>
      </c>
      <c r="F55" s="13"/>
      <c r="G55" s="13">
        <v>1</v>
      </c>
      <c r="H55" s="13"/>
      <c r="I55" s="13"/>
      <c r="J55" s="13"/>
      <c r="K55" s="13"/>
      <c r="L55" s="27"/>
      <c r="M55" s="16" t="s">
        <v>363</v>
      </c>
      <c r="N55" s="16"/>
      <c r="O55" s="16"/>
      <c r="P55" s="16"/>
      <c r="Q55" s="16"/>
      <c r="R55" s="16"/>
      <c r="S55" s="17"/>
      <c r="T55" s="17"/>
      <c r="U55" s="17"/>
      <c r="V55" s="17"/>
      <c r="W55" s="17"/>
      <c r="X55" s="17">
        <f t="shared" si="1"/>
        <v>13</v>
      </c>
      <c r="Y55" s="18">
        <f t="shared" si="2"/>
        <v>10082725.304998031</v>
      </c>
      <c r="Z55" s="24"/>
      <c r="AA55" s="20"/>
      <c r="AB55" s="21" t="b">
        <v>1</v>
      </c>
      <c r="AC55" s="22">
        <f t="shared" si="3"/>
        <v>0</v>
      </c>
      <c r="AD55" s="32"/>
      <c r="AE55" s="32"/>
    </row>
    <row r="56" spans="1:31" ht="15">
      <c r="A56" s="10">
        <f t="shared" si="0"/>
        <v>1435576.5446674537</v>
      </c>
      <c r="B56" s="13">
        <v>1</v>
      </c>
      <c r="C56" s="13">
        <v>1</v>
      </c>
      <c r="D56" s="13">
        <v>1</v>
      </c>
      <c r="E56" s="13">
        <v>1</v>
      </c>
      <c r="F56" s="13"/>
      <c r="G56" s="13"/>
      <c r="H56" s="13"/>
      <c r="I56" s="13"/>
      <c r="J56" s="13"/>
      <c r="K56" s="13"/>
      <c r="L56" s="27"/>
      <c r="M56" s="16" t="s">
        <v>364</v>
      </c>
      <c r="N56" s="16"/>
      <c r="O56" s="16"/>
      <c r="P56" s="16"/>
      <c r="Q56" s="16"/>
      <c r="R56" s="16"/>
      <c r="S56" s="17"/>
      <c r="T56" s="17"/>
      <c r="U56" s="17"/>
      <c r="V56" s="17"/>
      <c r="W56" s="17"/>
      <c r="X56" s="17">
        <f t="shared" si="1"/>
        <v>13</v>
      </c>
      <c r="Y56" s="18">
        <f t="shared" si="2"/>
        <v>10082725.304998031</v>
      </c>
      <c r="Z56" s="24"/>
      <c r="AA56" s="20"/>
      <c r="AB56" s="21" t="b">
        <v>1</v>
      </c>
      <c r="AC56" s="22">
        <f t="shared" si="3"/>
        <v>0</v>
      </c>
      <c r="AD56" s="32"/>
      <c r="AE56" s="32"/>
    </row>
    <row r="57" spans="1:31" ht="15">
      <c r="A57" s="10">
        <f t="shared" si="0"/>
        <v>0</v>
      </c>
      <c r="B57" s="13"/>
      <c r="C57" s="13"/>
      <c r="D57" s="13"/>
      <c r="E57" s="13"/>
      <c r="F57" s="13"/>
      <c r="G57" s="13"/>
      <c r="H57" s="13"/>
      <c r="I57" s="13"/>
      <c r="J57" s="13"/>
      <c r="K57" s="13"/>
      <c r="L57" s="27"/>
      <c r="M57" s="16" t="s">
        <v>365</v>
      </c>
      <c r="N57" s="16"/>
      <c r="O57" s="16"/>
      <c r="P57" s="16"/>
      <c r="Q57" s="16"/>
      <c r="R57" s="16"/>
      <c r="S57" s="17"/>
      <c r="T57" s="17"/>
      <c r="U57" s="17"/>
      <c r="V57" s="17"/>
      <c r="W57" s="17"/>
      <c r="X57" s="17">
        <f t="shared" si="1"/>
        <v>13</v>
      </c>
      <c r="Y57" s="18">
        <f t="shared" si="2"/>
        <v>10082725.304998031</v>
      </c>
      <c r="Z57" s="24"/>
      <c r="AA57" s="20"/>
      <c r="AB57" s="21" t="b">
        <v>1</v>
      </c>
      <c r="AC57" s="22">
        <f t="shared" si="3"/>
        <v>0</v>
      </c>
      <c r="AD57" s="32"/>
      <c r="AE57" s="32"/>
    </row>
    <row r="58" spans="1:31" ht="15">
      <c r="A58" s="10">
        <f t="shared" si="0"/>
        <v>2003105.0767414407</v>
      </c>
      <c r="B58" s="13"/>
      <c r="C58" s="13">
        <v>2</v>
      </c>
      <c r="D58" s="13">
        <v>2</v>
      </c>
      <c r="E58" s="13">
        <v>1</v>
      </c>
      <c r="F58" s="13"/>
      <c r="G58" s="13">
        <v>2</v>
      </c>
      <c r="H58" s="13"/>
      <c r="I58" s="13"/>
      <c r="J58" s="13"/>
      <c r="K58" s="13"/>
      <c r="L58" s="27"/>
      <c r="M58" s="16"/>
      <c r="N58" s="16" t="s">
        <v>366</v>
      </c>
      <c r="O58" s="16"/>
      <c r="P58" s="16"/>
      <c r="Q58" s="16"/>
      <c r="R58" s="16"/>
      <c r="S58" s="17"/>
      <c r="T58" s="17"/>
      <c r="U58" s="17"/>
      <c r="V58" s="17"/>
      <c r="W58" s="17"/>
      <c r="X58" s="17">
        <f t="shared" si="1"/>
        <v>13</v>
      </c>
      <c r="Y58" s="18">
        <f t="shared" si="2"/>
        <v>10082725.304998031</v>
      </c>
      <c r="Z58" s="24"/>
      <c r="AA58" s="20"/>
      <c r="AB58" s="21" t="b">
        <v>1</v>
      </c>
      <c r="AC58" s="22">
        <f t="shared" si="3"/>
        <v>0</v>
      </c>
      <c r="AD58" s="32"/>
      <c r="AE58" s="32"/>
    </row>
    <row r="59" spans="1:31" ht="15">
      <c r="A59" s="10">
        <f t="shared" si="0"/>
        <v>2961912.6328217238</v>
      </c>
      <c r="B59" s="13">
        <v>1</v>
      </c>
      <c r="C59" s="13">
        <v>2</v>
      </c>
      <c r="D59" s="13">
        <v>2</v>
      </c>
      <c r="E59" s="13">
        <v>2</v>
      </c>
      <c r="F59" s="13">
        <v>1</v>
      </c>
      <c r="G59" s="13">
        <v>1</v>
      </c>
      <c r="H59" s="13"/>
      <c r="I59" s="13"/>
      <c r="J59" s="13"/>
      <c r="K59" s="13"/>
      <c r="L59" s="27"/>
      <c r="M59" s="16"/>
      <c r="N59" s="16" t="s">
        <v>367</v>
      </c>
      <c r="O59" s="16"/>
      <c r="P59" s="16"/>
      <c r="Q59" s="16"/>
      <c r="R59" s="16"/>
      <c r="S59" s="17"/>
      <c r="T59" s="17"/>
      <c r="U59" s="17"/>
      <c r="V59" s="17"/>
      <c r="W59" s="17"/>
      <c r="X59" s="17">
        <f t="shared" si="1"/>
        <v>13</v>
      </c>
      <c r="Y59" s="18">
        <f t="shared" si="2"/>
        <v>10082725.304998031</v>
      </c>
      <c r="Z59" s="24"/>
      <c r="AA59" s="20"/>
      <c r="AB59" s="21" t="b">
        <v>1</v>
      </c>
      <c r="AC59" s="22">
        <f t="shared" si="3"/>
        <v>0</v>
      </c>
      <c r="AD59" s="32"/>
      <c r="AE59" s="32"/>
    </row>
    <row r="60" spans="1:31" ht="15">
      <c r="A60" s="10">
        <f t="shared" si="0"/>
        <v>926524.99016135384</v>
      </c>
      <c r="B60" s="13"/>
      <c r="C60" s="13">
        <v>1</v>
      </c>
      <c r="D60" s="13">
        <v>1</v>
      </c>
      <c r="E60" s="13">
        <v>1</v>
      </c>
      <c r="F60" s="13"/>
      <c r="G60" s="13"/>
      <c r="H60" s="13"/>
      <c r="I60" s="13"/>
      <c r="J60" s="13"/>
      <c r="K60" s="13"/>
      <c r="L60" s="27"/>
      <c r="M60" s="16"/>
      <c r="N60" s="16" t="s">
        <v>368</v>
      </c>
      <c r="O60" s="16"/>
      <c r="P60" s="16"/>
      <c r="Q60" s="16"/>
      <c r="R60" s="16"/>
      <c r="S60" s="17"/>
      <c r="T60" s="17"/>
      <c r="U60" s="17"/>
      <c r="V60" s="17"/>
      <c r="W60" s="17"/>
      <c r="X60" s="17">
        <f t="shared" si="1"/>
        <v>13</v>
      </c>
      <c r="Y60" s="18">
        <f t="shared" si="2"/>
        <v>10082725.304998031</v>
      </c>
      <c r="Z60" s="24"/>
      <c r="AA60" s="20"/>
      <c r="AB60" s="21" t="b">
        <v>1</v>
      </c>
      <c r="AC60" s="22">
        <f t="shared" si="3"/>
        <v>0</v>
      </c>
      <c r="AD60" s="32"/>
      <c r="AE60" s="32"/>
    </row>
    <row r="61" spans="1:31" ht="15">
      <c r="A61" s="10">
        <f t="shared" si="0"/>
        <v>329348.6816214089</v>
      </c>
      <c r="B61" s="13"/>
      <c r="C61" s="13"/>
      <c r="D61" s="13"/>
      <c r="E61" s="13"/>
      <c r="F61" s="13">
        <v>1</v>
      </c>
      <c r="G61" s="13"/>
      <c r="H61" s="13"/>
      <c r="I61" s="13"/>
      <c r="J61" s="13"/>
      <c r="K61" s="13"/>
      <c r="L61" s="27"/>
      <c r="M61" s="16"/>
      <c r="N61" s="16" t="s">
        <v>369</v>
      </c>
      <c r="O61" s="16"/>
      <c r="P61" s="16"/>
      <c r="Q61" s="16"/>
      <c r="R61" s="16"/>
      <c r="S61" s="17"/>
      <c r="T61" s="17"/>
      <c r="U61" s="17"/>
      <c r="V61" s="17"/>
      <c r="W61" s="17"/>
      <c r="X61" s="17">
        <f t="shared" si="1"/>
        <v>13</v>
      </c>
      <c r="Y61" s="18">
        <f t="shared" si="2"/>
        <v>10082725.304998031</v>
      </c>
      <c r="Z61" s="24"/>
      <c r="AA61" s="20"/>
      <c r="AB61" s="21" t="b">
        <v>1</v>
      </c>
      <c r="AC61" s="22">
        <f t="shared" si="3"/>
        <v>0</v>
      </c>
      <c r="AD61" s="32"/>
      <c r="AE61" s="32"/>
    </row>
    <row r="62" spans="1:31" ht="15">
      <c r="A62" s="10">
        <f t="shared" si="0"/>
        <v>329348.6816214089</v>
      </c>
      <c r="B62" s="13"/>
      <c r="C62" s="13"/>
      <c r="D62" s="13"/>
      <c r="E62" s="13"/>
      <c r="F62" s="13">
        <v>1</v>
      </c>
      <c r="G62" s="13"/>
      <c r="H62" s="13"/>
      <c r="I62" s="13"/>
      <c r="J62" s="13"/>
      <c r="K62" s="13"/>
      <c r="L62" s="27"/>
      <c r="M62" s="16" t="s">
        <v>370</v>
      </c>
      <c r="N62" s="16"/>
      <c r="O62" s="16"/>
      <c r="P62" s="16"/>
      <c r="Q62" s="16"/>
      <c r="R62" s="16"/>
      <c r="S62" s="17"/>
      <c r="T62" s="17"/>
      <c r="U62" s="17"/>
      <c r="V62" s="17"/>
      <c r="W62" s="17"/>
      <c r="X62" s="17">
        <f t="shared" si="1"/>
        <v>13</v>
      </c>
      <c r="Y62" s="18">
        <f t="shared" si="2"/>
        <v>10082725.304998031</v>
      </c>
      <c r="Z62" s="24"/>
      <c r="AA62" s="20"/>
      <c r="AB62" s="21" t="b">
        <v>1</v>
      </c>
      <c r="AC62" s="22">
        <f t="shared" si="3"/>
        <v>0</v>
      </c>
      <c r="AD62" s="32"/>
      <c r="AE62" s="32"/>
    </row>
    <row r="63" spans="1:31" ht="12.75">
      <c r="A63" s="10">
        <f t="shared" si="0"/>
        <v>0</v>
      </c>
      <c r="B63" s="13"/>
      <c r="C63" s="13"/>
      <c r="D63" s="13"/>
      <c r="E63" s="13"/>
      <c r="F63" s="13"/>
      <c r="G63" s="13"/>
      <c r="H63" s="13"/>
      <c r="I63" s="13"/>
      <c r="J63" s="13"/>
      <c r="K63" s="13"/>
      <c r="L63" s="94"/>
      <c r="M63" s="94" t="s">
        <v>371</v>
      </c>
      <c r="N63" s="91"/>
      <c r="O63" s="91"/>
      <c r="P63" s="91"/>
      <c r="Q63" s="91"/>
      <c r="R63" s="16"/>
      <c r="S63" s="17"/>
      <c r="T63" s="17"/>
      <c r="U63" s="17"/>
      <c r="V63" s="17"/>
      <c r="W63" s="17"/>
      <c r="X63" s="17">
        <f t="shared" si="1"/>
        <v>13</v>
      </c>
      <c r="Y63" s="18">
        <f t="shared" si="2"/>
        <v>10082725.304998031</v>
      </c>
      <c r="Z63" s="24"/>
      <c r="AA63" s="20"/>
      <c r="AB63" s="21" t="b">
        <v>1</v>
      </c>
      <c r="AC63" s="22">
        <f t="shared" si="3"/>
        <v>0</v>
      </c>
      <c r="AD63" s="32"/>
      <c r="AE63" s="32"/>
    </row>
    <row r="64" spans="1:31" ht="15">
      <c r="A64" s="10">
        <f t="shared" si="0"/>
        <v>0</v>
      </c>
      <c r="B64" s="13"/>
      <c r="C64" s="13"/>
      <c r="D64" s="13"/>
      <c r="E64" s="13"/>
      <c r="F64" s="13"/>
      <c r="G64" s="13"/>
      <c r="H64" s="13"/>
      <c r="I64" s="13"/>
      <c r="J64" s="13"/>
      <c r="K64" s="13"/>
      <c r="L64" s="95"/>
      <c r="M64" s="91" t="s">
        <v>372</v>
      </c>
      <c r="N64" s="91"/>
      <c r="O64" s="91"/>
      <c r="P64" s="91"/>
      <c r="Q64" s="91"/>
      <c r="R64" s="16"/>
      <c r="S64" s="17"/>
      <c r="T64" s="17"/>
      <c r="U64" s="17"/>
      <c r="V64" s="17"/>
      <c r="W64" s="17"/>
      <c r="X64" s="17">
        <f t="shared" si="1"/>
        <v>13</v>
      </c>
      <c r="Y64" s="18">
        <f t="shared" si="2"/>
        <v>10082725.304998031</v>
      </c>
      <c r="Z64" s="24"/>
      <c r="AA64" s="20"/>
      <c r="AB64" s="21" t="b">
        <v>1</v>
      </c>
      <c r="AC64" s="22">
        <f t="shared" si="3"/>
        <v>0</v>
      </c>
      <c r="AD64" s="28"/>
      <c r="AE64" s="28"/>
    </row>
    <row r="65" spans="1:31" ht="15">
      <c r="A65" s="10">
        <f t="shared" si="0"/>
        <v>0</v>
      </c>
      <c r="B65" s="13"/>
      <c r="C65" s="13"/>
      <c r="D65" s="13"/>
      <c r="E65" s="13"/>
      <c r="F65" s="13"/>
      <c r="G65" s="13"/>
      <c r="H65" s="13"/>
      <c r="I65" s="13"/>
      <c r="J65" s="13"/>
      <c r="K65" s="13"/>
      <c r="L65" s="95"/>
      <c r="M65" s="91" t="s">
        <v>373</v>
      </c>
      <c r="N65" s="91"/>
      <c r="O65" s="91"/>
      <c r="P65" s="91"/>
      <c r="Q65" s="91"/>
      <c r="R65" s="16"/>
      <c r="S65" s="17"/>
      <c r="T65" s="17"/>
      <c r="U65" s="17"/>
      <c r="V65" s="17"/>
      <c r="W65" s="17"/>
      <c r="X65" s="17">
        <f t="shared" si="1"/>
        <v>13</v>
      </c>
      <c r="Y65" s="18">
        <f t="shared" si="2"/>
        <v>10082725.304998031</v>
      </c>
      <c r="Z65" s="24"/>
      <c r="AA65" s="20"/>
      <c r="AB65" s="21" t="b">
        <v>1</v>
      </c>
      <c r="AC65" s="22">
        <f t="shared" si="3"/>
        <v>0</v>
      </c>
      <c r="AD65" s="32"/>
      <c r="AE65" s="32"/>
    </row>
    <row r="66" spans="1:31" ht="15">
      <c r="A66" s="10">
        <f t="shared" si="0"/>
        <v>0</v>
      </c>
      <c r="B66" s="13"/>
      <c r="C66" s="13"/>
      <c r="D66" s="13"/>
      <c r="E66" s="13"/>
      <c r="F66" s="13"/>
      <c r="G66" s="13"/>
      <c r="H66" s="13"/>
      <c r="I66" s="13"/>
      <c r="J66" s="13"/>
      <c r="K66" s="13"/>
      <c r="L66" s="95"/>
      <c r="M66" s="91" t="s">
        <v>374</v>
      </c>
      <c r="N66" s="91"/>
      <c r="O66" s="91"/>
      <c r="P66" s="91"/>
      <c r="Q66" s="91"/>
      <c r="R66" s="16"/>
      <c r="S66" s="17"/>
      <c r="T66" s="17"/>
      <c r="U66" s="17"/>
      <c r="V66" s="17"/>
      <c r="W66" s="17"/>
      <c r="X66" s="17">
        <f t="shared" si="1"/>
        <v>13</v>
      </c>
      <c r="Y66" s="18">
        <f t="shared" si="2"/>
        <v>10082725.304998031</v>
      </c>
      <c r="Z66" s="24"/>
      <c r="AA66" s="20"/>
      <c r="AB66" s="21" t="b">
        <v>1</v>
      </c>
      <c r="AC66" s="22">
        <f t="shared" si="3"/>
        <v>0</v>
      </c>
      <c r="AD66" s="32"/>
      <c r="AE66" s="32"/>
    </row>
    <row r="67" spans="1:31" ht="15">
      <c r="A67" s="10">
        <f t="shared" si="0"/>
        <v>0</v>
      </c>
      <c r="B67" s="13"/>
      <c r="C67" s="13"/>
      <c r="D67" s="13"/>
      <c r="E67" s="13"/>
      <c r="F67" s="13"/>
      <c r="G67" s="13"/>
      <c r="H67" s="13"/>
      <c r="I67" s="13"/>
      <c r="J67" s="13"/>
      <c r="K67" s="13"/>
      <c r="L67" s="95"/>
      <c r="M67" s="91" t="s">
        <v>375</v>
      </c>
      <c r="N67" s="91"/>
      <c r="O67" s="91"/>
      <c r="P67" s="91"/>
      <c r="Q67" s="91"/>
      <c r="R67" s="16"/>
      <c r="S67" s="17"/>
      <c r="T67" s="17"/>
      <c r="U67" s="17"/>
      <c r="V67" s="17"/>
      <c r="W67" s="17"/>
      <c r="X67" s="17">
        <f t="shared" si="1"/>
        <v>13</v>
      </c>
      <c r="Y67" s="18">
        <f t="shared" si="2"/>
        <v>10082725.304998031</v>
      </c>
      <c r="Z67" s="24"/>
      <c r="AA67" s="20"/>
      <c r="AB67" s="21" t="b">
        <v>1</v>
      </c>
      <c r="AC67" s="22">
        <f t="shared" si="3"/>
        <v>0</v>
      </c>
      <c r="AD67" s="32"/>
      <c r="AE67" s="32"/>
    </row>
    <row r="68" spans="1:31" ht="15">
      <c r="A68" s="10">
        <f t="shared" si="0"/>
        <v>0</v>
      </c>
      <c r="B68" s="13"/>
      <c r="C68" s="13"/>
      <c r="D68" s="13"/>
      <c r="E68" s="13"/>
      <c r="F68" s="13"/>
      <c r="G68" s="13"/>
      <c r="H68" s="13"/>
      <c r="I68" s="13"/>
      <c r="J68" s="13"/>
      <c r="K68" s="13"/>
      <c r="L68" s="27"/>
      <c r="M68" s="16"/>
      <c r="N68" s="16"/>
      <c r="O68" s="16"/>
      <c r="P68" s="16"/>
      <c r="Q68" s="16"/>
      <c r="R68" s="16"/>
      <c r="S68" s="17"/>
      <c r="T68" s="17"/>
      <c r="U68" s="17"/>
      <c r="V68" s="17"/>
      <c r="W68" s="17"/>
      <c r="X68" s="17">
        <f t="shared" si="1"/>
        <v>13</v>
      </c>
      <c r="Y68" s="18">
        <f t="shared" si="2"/>
        <v>10082725.304998031</v>
      </c>
      <c r="Z68" s="24"/>
      <c r="AA68" s="20"/>
      <c r="AB68" s="21" t="b">
        <v>1</v>
      </c>
      <c r="AC68" s="22">
        <f t="shared" si="3"/>
        <v>0</v>
      </c>
      <c r="AD68" s="32"/>
      <c r="AE68" s="32"/>
    </row>
    <row r="69" spans="1:31" ht="12.75">
      <c r="A69" s="10">
        <f t="shared" si="0"/>
        <v>0</v>
      </c>
      <c r="B69" s="23"/>
      <c r="C69" s="23"/>
      <c r="D69" s="23"/>
      <c r="E69" s="23"/>
      <c r="F69" s="23"/>
      <c r="G69" s="23"/>
      <c r="H69" s="23"/>
      <c r="I69" s="23"/>
      <c r="J69" s="23"/>
      <c r="K69" s="23"/>
      <c r="Y69" s="18">
        <f>SUMIF($X$2:$X$70,#REF!,$A$2:$A$70)</f>
        <v>0</v>
      </c>
      <c r="Z69" s="24"/>
      <c r="AA69" s="20"/>
      <c r="AB69" s="21" t="b">
        <v>1</v>
      </c>
      <c r="AC69" s="22">
        <f t="shared" si="3"/>
        <v>0</v>
      </c>
      <c r="AD69" s="23"/>
      <c r="AE69" s="23"/>
    </row>
    <row r="70" spans="1:31" ht="12.75">
      <c r="A70" s="33"/>
      <c r="B70" s="33"/>
      <c r="C70" s="33"/>
      <c r="D70" s="33"/>
      <c r="E70" s="33"/>
      <c r="F70" s="33"/>
      <c r="G70" s="33"/>
      <c r="H70" s="33"/>
      <c r="I70" s="33"/>
      <c r="J70" s="33"/>
      <c r="K70" s="33"/>
      <c r="L70" s="34"/>
      <c r="M70" s="34"/>
      <c r="N70" s="35"/>
      <c r="O70" s="35" t="s">
        <v>20</v>
      </c>
      <c r="P70" s="34"/>
      <c r="Q70" s="34"/>
      <c r="R70" s="34"/>
      <c r="S70" s="34"/>
      <c r="T70" s="34"/>
      <c r="U70" s="34"/>
      <c r="V70" s="34"/>
      <c r="W70" s="34"/>
      <c r="X70" s="34"/>
      <c r="Y70" s="96"/>
      <c r="Z70" s="97"/>
      <c r="AA70" s="20"/>
      <c r="AB70" s="21"/>
      <c r="AC70" s="98"/>
      <c r="AD70" s="23"/>
      <c r="AE70" s="23"/>
    </row>
    <row r="71" spans="1:31" ht="15">
      <c r="A71" s="36">
        <f>ROW()</f>
        <v>71</v>
      </c>
      <c r="B71" s="23">
        <f t="shared" ref="B71:K71" si="4">SUM(B2:B70)</f>
        <v>23.5</v>
      </c>
      <c r="C71" s="23">
        <f t="shared" si="4"/>
        <v>34</v>
      </c>
      <c r="D71" s="23">
        <f t="shared" si="4"/>
        <v>35.5</v>
      </c>
      <c r="E71" s="23">
        <f t="shared" si="4"/>
        <v>42</v>
      </c>
      <c r="F71" s="23">
        <f t="shared" si="4"/>
        <v>15</v>
      </c>
      <c r="G71" s="23">
        <f t="shared" si="4"/>
        <v>23</v>
      </c>
      <c r="H71" s="23">
        <f t="shared" si="4"/>
        <v>4</v>
      </c>
      <c r="I71" s="23">
        <f t="shared" si="4"/>
        <v>0</v>
      </c>
      <c r="J71" s="23">
        <f t="shared" si="4"/>
        <v>0</v>
      </c>
      <c r="K71" s="23">
        <f t="shared" si="4"/>
        <v>0</v>
      </c>
      <c r="L71" s="27"/>
      <c r="M71" s="16"/>
      <c r="N71" s="16"/>
      <c r="O71" s="17"/>
      <c r="P71" s="23"/>
      <c r="Q71" s="23"/>
      <c r="R71" s="23"/>
      <c r="S71" s="23"/>
      <c r="T71" s="23"/>
      <c r="U71" s="23"/>
      <c r="V71" s="23"/>
      <c r="W71" s="13"/>
      <c r="X71" s="23"/>
      <c r="Y71" s="23"/>
      <c r="Z71" s="23"/>
      <c r="AA71" s="23"/>
      <c r="AB71" s="23"/>
      <c r="AC71" s="37"/>
      <c r="AD71" s="23"/>
      <c r="AE71" s="23"/>
    </row>
    <row r="72" spans="1:31" ht="12.75">
      <c r="A72" s="23"/>
      <c r="B72" s="23"/>
      <c r="C72" s="38"/>
      <c r="D72" s="38"/>
      <c r="E72" s="38"/>
      <c r="F72" s="38"/>
      <c r="G72" s="38"/>
      <c r="H72" s="38"/>
      <c r="I72" s="130" t="s">
        <v>21</v>
      </c>
      <c r="J72" s="117"/>
      <c r="K72" s="117"/>
      <c r="L72" s="117"/>
      <c r="M72" s="131">
        <f>400000+120000</f>
        <v>520000</v>
      </c>
      <c r="N72" s="117"/>
      <c r="O72" s="117"/>
      <c r="P72" s="23"/>
      <c r="Q72" s="23"/>
      <c r="R72" s="23"/>
      <c r="S72" s="38"/>
      <c r="T72" s="38"/>
      <c r="U72" s="38"/>
      <c r="V72" s="23"/>
      <c r="W72" s="23"/>
      <c r="X72" s="23"/>
      <c r="Y72" s="23"/>
      <c r="Z72" s="23"/>
      <c r="AA72" s="23"/>
      <c r="AB72" s="23"/>
      <c r="AC72" s="37">
        <f>AC1/0.6</f>
        <v>82510648.69473961</v>
      </c>
      <c r="AD72" s="23"/>
      <c r="AE72" s="23"/>
    </row>
    <row r="73" spans="1:31" ht="15">
      <c r="A73" s="23"/>
      <c r="B73" s="23"/>
      <c r="C73" s="38"/>
      <c r="D73" s="39" t="s">
        <v>22</v>
      </c>
      <c r="E73" s="40">
        <v>1423000</v>
      </c>
      <c r="F73" s="41" t="s">
        <v>23</v>
      </c>
      <c r="G73" s="42">
        <v>200000</v>
      </c>
      <c r="H73" s="38"/>
      <c r="I73" s="43" t="s">
        <v>24</v>
      </c>
      <c r="J73" s="44">
        <v>0.18</v>
      </c>
      <c r="K73" s="44"/>
      <c r="L73" s="45" t="s">
        <v>25</v>
      </c>
      <c r="M73" s="46">
        <f>2.7/12</f>
        <v>0.22500000000000001</v>
      </c>
      <c r="N73" s="47" t="s">
        <v>26</v>
      </c>
      <c r="O73" s="48">
        <f>40*4.2*((244-2)/260)</f>
        <v>156.36923076923077</v>
      </c>
      <c r="P73" s="38"/>
      <c r="Q73" s="43" t="s">
        <v>27</v>
      </c>
      <c r="R73" s="49"/>
      <c r="S73" s="38"/>
      <c r="T73" s="50">
        <v>8</v>
      </c>
      <c r="U73" s="51" t="s">
        <v>28</v>
      </c>
      <c r="V73" s="52"/>
      <c r="W73" s="23"/>
      <c r="X73" s="23"/>
      <c r="Y73" s="23"/>
      <c r="Z73" s="23"/>
      <c r="AA73" s="23"/>
      <c r="AB73" s="23"/>
      <c r="AC73" s="37"/>
      <c r="AD73" s="23"/>
      <c r="AE73" s="23"/>
    </row>
    <row r="74" spans="1:31" ht="12.75">
      <c r="A74" s="23"/>
      <c r="B74" s="23"/>
      <c r="C74" s="127" t="s">
        <v>29</v>
      </c>
      <c r="D74" s="117"/>
      <c r="E74" s="117"/>
      <c r="F74" s="127" t="s">
        <v>30</v>
      </c>
      <c r="G74" s="117"/>
      <c r="H74" s="117"/>
      <c r="I74" s="127" t="s">
        <v>31</v>
      </c>
      <c r="J74" s="117"/>
      <c r="K74" s="117"/>
      <c r="L74" s="117"/>
      <c r="M74" s="127" t="s">
        <v>32</v>
      </c>
      <c r="N74" s="117"/>
      <c r="O74" s="117"/>
      <c r="P74" s="127" t="s">
        <v>33</v>
      </c>
      <c r="Q74" s="117"/>
      <c r="R74" s="117"/>
      <c r="S74" s="38"/>
      <c r="T74" s="38"/>
      <c r="U74" s="53" t="s">
        <v>26</v>
      </c>
      <c r="V74" s="127" t="s">
        <v>34</v>
      </c>
      <c r="W74" s="117"/>
      <c r="X74" s="117"/>
      <c r="Y74" s="23"/>
      <c r="Z74" s="23"/>
      <c r="AA74" s="23"/>
      <c r="AB74" s="23"/>
      <c r="AC74" s="37"/>
      <c r="AD74" s="23"/>
      <c r="AE74" s="23"/>
    </row>
    <row r="75" spans="1:31" ht="12.75">
      <c r="A75" s="54" t="s">
        <v>35</v>
      </c>
      <c r="B75" s="53" t="str">
        <f>B1</f>
        <v>DB</v>
      </c>
      <c r="C75" s="116">
        <v>6000000</v>
      </c>
      <c r="D75" s="117"/>
      <c r="E75" s="117"/>
      <c r="F75" s="116">
        <v>1000000</v>
      </c>
      <c r="G75" s="117"/>
      <c r="H75" s="117"/>
      <c r="I75" s="116">
        <v>0</v>
      </c>
      <c r="J75" s="117"/>
      <c r="K75" s="117"/>
      <c r="L75" s="117"/>
      <c r="M75" s="116">
        <f t="shared" ref="M75:M84" si="5">C75*(1+$J$73+$M$73)+F75+I75+$M$72+IF(($E$73*2)&gt;=C75,$G$73,0)</f>
        <v>9950000</v>
      </c>
      <c r="N75" s="117"/>
      <c r="O75" s="117"/>
      <c r="P75" s="124">
        <f t="shared" ref="P75:P84" si="6">M75/$O$73*(1+$R$73)</f>
        <v>63631.444313262495</v>
      </c>
      <c r="Q75" s="117"/>
      <c r="R75" s="117"/>
      <c r="S75" s="38"/>
      <c r="T75" s="38"/>
      <c r="U75" s="23">
        <f t="shared" ref="U75:U84" si="7">HLOOKUP(B75,$B$1:$K$71,$A$71,0)*$T$73</f>
        <v>188</v>
      </c>
      <c r="W75" s="55">
        <f t="shared" ref="W75:W84" si="8">P75*U75</f>
        <v>11962711.530893348</v>
      </c>
      <c r="Y75" s="23"/>
      <c r="Z75" s="23"/>
      <c r="AA75" s="23"/>
      <c r="AB75" s="23"/>
      <c r="AC75" s="37"/>
      <c r="AD75" s="23"/>
      <c r="AE75" s="23"/>
    </row>
    <row r="76" spans="1:31" ht="12.75">
      <c r="A76" s="54" t="s">
        <v>36</v>
      </c>
      <c r="B76" s="53" t="str">
        <f>C1</f>
        <v>UX</v>
      </c>
      <c r="C76" s="116">
        <v>3000000</v>
      </c>
      <c r="D76" s="117"/>
      <c r="E76" s="117"/>
      <c r="F76" s="116">
        <v>500000</v>
      </c>
      <c r="G76" s="117"/>
      <c r="H76" s="117"/>
      <c r="I76" s="116">
        <v>0</v>
      </c>
      <c r="J76" s="117"/>
      <c r="K76" s="117"/>
      <c r="L76" s="117"/>
      <c r="M76" s="116">
        <f t="shared" si="5"/>
        <v>5235000</v>
      </c>
      <c r="N76" s="117"/>
      <c r="O76" s="117"/>
      <c r="P76" s="124">
        <f t="shared" si="6"/>
        <v>33478.453364817004</v>
      </c>
      <c r="Q76" s="117"/>
      <c r="R76" s="117"/>
      <c r="S76" s="38"/>
      <c r="T76" s="38"/>
      <c r="U76" s="23">
        <f t="shared" si="7"/>
        <v>272</v>
      </c>
      <c r="W76" s="55">
        <f t="shared" si="8"/>
        <v>9106139.3152302243</v>
      </c>
      <c r="Y76" s="23"/>
      <c r="Z76" s="23"/>
      <c r="AA76" s="23"/>
      <c r="AB76" s="23"/>
      <c r="AC76" s="37"/>
      <c r="AD76" s="23"/>
      <c r="AE76" s="23"/>
    </row>
    <row r="77" spans="1:31" ht="12.75">
      <c r="A77" s="54" t="s">
        <v>37</v>
      </c>
      <c r="B77" s="53" t="str">
        <f>D1</f>
        <v>FM</v>
      </c>
      <c r="C77" s="116">
        <v>3000000</v>
      </c>
      <c r="D77" s="117"/>
      <c r="E77" s="117"/>
      <c r="F77" s="116">
        <v>500000</v>
      </c>
      <c r="G77" s="117"/>
      <c r="H77" s="117"/>
      <c r="I77" s="116">
        <v>0</v>
      </c>
      <c r="J77" s="117"/>
      <c r="K77" s="117"/>
      <c r="L77" s="117"/>
      <c r="M77" s="116">
        <f t="shared" si="5"/>
        <v>5235000</v>
      </c>
      <c r="N77" s="117"/>
      <c r="O77" s="117"/>
      <c r="P77" s="124">
        <f t="shared" si="6"/>
        <v>33478.453364817004</v>
      </c>
      <c r="Q77" s="117"/>
      <c r="R77" s="117"/>
      <c r="S77" s="38"/>
      <c r="T77" s="38"/>
      <c r="U77" s="23">
        <f t="shared" si="7"/>
        <v>284</v>
      </c>
      <c r="W77" s="55">
        <f t="shared" si="8"/>
        <v>9507880.7556080297</v>
      </c>
      <c r="Y77" s="23"/>
      <c r="Z77" s="23"/>
      <c r="AA77" s="23"/>
      <c r="AB77" s="23"/>
      <c r="AC77" s="37"/>
      <c r="AD77" s="23"/>
      <c r="AE77" s="23"/>
    </row>
    <row r="78" spans="1:31" ht="12.75">
      <c r="A78" s="54" t="s">
        <v>38</v>
      </c>
      <c r="B78" s="53" t="str">
        <f>E1</f>
        <v>BS</v>
      </c>
      <c r="C78" s="116">
        <v>4000000</v>
      </c>
      <c r="D78" s="117"/>
      <c r="E78" s="117"/>
      <c r="F78" s="116">
        <v>1500000</v>
      </c>
      <c r="G78" s="117"/>
      <c r="H78" s="117"/>
      <c r="I78" s="116">
        <v>0</v>
      </c>
      <c r="J78" s="117"/>
      <c r="K78" s="117"/>
      <c r="L78" s="117"/>
      <c r="M78" s="116">
        <f t="shared" si="5"/>
        <v>7640000</v>
      </c>
      <c r="N78" s="117"/>
      <c r="O78" s="117"/>
      <c r="P78" s="124">
        <f t="shared" si="6"/>
        <v>48858.717040535223</v>
      </c>
      <c r="Q78" s="117"/>
      <c r="R78" s="117"/>
      <c r="S78" s="38"/>
      <c r="T78" s="38"/>
      <c r="U78" s="23">
        <f t="shared" si="7"/>
        <v>336</v>
      </c>
      <c r="W78" s="55">
        <f t="shared" si="8"/>
        <v>16416528.925619835</v>
      </c>
      <c r="Y78" s="23"/>
      <c r="Z78" s="23"/>
      <c r="AA78" s="23"/>
      <c r="AB78" s="23"/>
      <c r="AC78" s="37"/>
      <c r="AD78" s="23"/>
      <c r="AE78" s="23"/>
    </row>
    <row r="79" spans="1:31" ht="12.75">
      <c r="A79" s="54" t="s">
        <v>39</v>
      </c>
      <c r="B79" s="53" t="str">
        <f>F1</f>
        <v>BM</v>
      </c>
      <c r="C79" s="116">
        <v>3500000</v>
      </c>
      <c r="D79" s="117"/>
      <c r="E79" s="117"/>
      <c r="F79" s="116">
        <v>1000000</v>
      </c>
      <c r="G79" s="117"/>
      <c r="H79" s="117"/>
      <c r="I79" s="116">
        <v>0</v>
      </c>
      <c r="J79" s="117"/>
      <c r="K79" s="117"/>
      <c r="L79" s="117"/>
      <c r="M79" s="116">
        <f t="shared" si="5"/>
        <v>6437500</v>
      </c>
      <c r="N79" s="117"/>
      <c r="O79" s="117"/>
      <c r="P79" s="124">
        <f t="shared" si="6"/>
        <v>41168.585202676113</v>
      </c>
      <c r="Q79" s="117"/>
      <c r="R79" s="117"/>
      <c r="S79" s="38"/>
      <c r="T79" s="38"/>
      <c r="U79" s="23">
        <f t="shared" si="7"/>
        <v>120</v>
      </c>
      <c r="W79" s="55">
        <f t="shared" si="8"/>
        <v>4940230.2243211335</v>
      </c>
      <c r="Y79" s="23"/>
      <c r="Z79" s="23"/>
      <c r="AA79" s="23"/>
      <c r="AB79" s="23"/>
      <c r="AC79" s="37"/>
      <c r="AD79" s="23"/>
      <c r="AE79" s="23"/>
    </row>
    <row r="80" spans="1:31" ht="12.75">
      <c r="A80" s="54" t="s">
        <v>40</v>
      </c>
      <c r="B80" s="53" t="str">
        <f>G1</f>
        <v>QA</v>
      </c>
      <c r="C80" s="116">
        <v>2500000</v>
      </c>
      <c r="D80" s="117"/>
      <c r="E80" s="117"/>
      <c r="F80" s="116">
        <v>1000000</v>
      </c>
      <c r="G80" s="117"/>
      <c r="H80" s="117"/>
      <c r="I80" s="116">
        <v>54000</v>
      </c>
      <c r="J80" s="117"/>
      <c r="K80" s="117"/>
      <c r="L80" s="117"/>
      <c r="M80" s="116">
        <f t="shared" si="5"/>
        <v>5286500</v>
      </c>
      <c r="N80" s="117"/>
      <c r="O80" s="117"/>
      <c r="P80" s="124">
        <f t="shared" si="6"/>
        <v>33807.80204643841</v>
      </c>
      <c r="Q80" s="117"/>
      <c r="R80" s="117"/>
      <c r="S80" s="38"/>
      <c r="T80" s="38"/>
      <c r="U80" s="23">
        <f t="shared" si="7"/>
        <v>184</v>
      </c>
      <c r="W80" s="55">
        <f t="shared" si="8"/>
        <v>6220635.5765446676</v>
      </c>
      <c r="Y80" s="23"/>
      <c r="Z80" s="23"/>
      <c r="AA80" s="23"/>
      <c r="AB80" s="23"/>
      <c r="AC80" s="37"/>
      <c r="AD80" s="23"/>
      <c r="AE80" s="23"/>
    </row>
    <row r="81" spans="1:31" ht="12.75">
      <c r="A81" s="54" t="s">
        <v>41</v>
      </c>
      <c r="B81" s="53" t="str">
        <f>H1</f>
        <v>IM</v>
      </c>
      <c r="C81" s="116">
        <v>2500000</v>
      </c>
      <c r="D81" s="117"/>
      <c r="E81" s="117"/>
      <c r="F81" s="116">
        <v>1000000</v>
      </c>
      <c r="G81" s="117"/>
      <c r="H81" s="117"/>
      <c r="I81" s="116">
        <v>0</v>
      </c>
      <c r="J81" s="117"/>
      <c r="K81" s="117"/>
      <c r="L81" s="117"/>
      <c r="M81" s="116">
        <f t="shared" si="5"/>
        <v>5232500</v>
      </c>
      <c r="N81" s="117"/>
      <c r="O81" s="117"/>
      <c r="P81" s="124">
        <f t="shared" si="6"/>
        <v>33462.46556473829</v>
      </c>
      <c r="Q81" s="117"/>
      <c r="R81" s="117"/>
      <c r="S81" s="38"/>
      <c r="T81" s="38"/>
      <c r="U81" s="23">
        <f t="shared" si="7"/>
        <v>32</v>
      </c>
      <c r="W81" s="55">
        <f t="shared" si="8"/>
        <v>1070798.8980716253</v>
      </c>
      <c r="Y81" s="23"/>
      <c r="Z81" s="23"/>
      <c r="AA81" s="23"/>
      <c r="AB81" s="23"/>
      <c r="AC81" s="37"/>
      <c r="AD81" s="23"/>
      <c r="AE81" s="23"/>
    </row>
    <row r="82" spans="1:31" ht="12.75">
      <c r="A82" s="54" t="s">
        <v>42</v>
      </c>
      <c r="B82" s="53" t="str">
        <f>I1</f>
        <v>MS</v>
      </c>
      <c r="C82" s="116">
        <v>7500000</v>
      </c>
      <c r="D82" s="117"/>
      <c r="E82" s="117"/>
      <c r="F82" s="116">
        <v>2000000</v>
      </c>
      <c r="G82" s="117"/>
      <c r="H82" s="117"/>
      <c r="I82" s="116">
        <v>132000</v>
      </c>
      <c r="J82" s="117"/>
      <c r="K82" s="117"/>
      <c r="L82" s="117"/>
      <c r="M82" s="116">
        <f t="shared" si="5"/>
        <v>13189500</v>
      </c>
      <c r="N82" s="117"/>
      <c r="O82" s="117"/>
      <c r="P82" s="124">
        <f t="shared" si="6"/>
        <v>84348.435655253837</v>
      </c>
      <c r="Q82" s="117"/>
      <c r="R82" s="117"/>
      <c r="S82" s="38"/>
      <c r="T82" s="38"/>
      <c r="U82" s="23">
        <f t="shared" si="7"/>
        <v>0</v>
      </c>
      <c r="W82" s="55">
        <f t="shared" si="8"/>
        <v>0</v>
      </c>
      <c r="Y82" s="23"/>
      <c r="Z82" s="23"/>
      <c r="AA82" s="23"/>
      <c r="AB82" s="23"/>
      <c r="AC82" s="37"/>
      <c r="AD82" s="23"/>
      <c r="AE82" s="23"/>
    </row>
    <row r="83" spans="1:31" ht="12.75">
      <c r="A83" s="54" t="s">
        <v>43</v>
      </c>
      <c r="B83" s="53" t="str">
        <f>J1</f>
        <v>MM</v>
      </c>
      <c r="C83" s="116">
        <v>3000000</v>
      </c>
      <c r="D83" s="117"/>
      <c r="E83" s="117"/>
      <c r="F83" s="116">
        <v>1000000</v>
      </c>
      <c r="G83" s="117"/>
      <c r="H83" s="117"/>
      <c r="I83" s="116">
        <v>132000</v>
      </c>
      <c r="J83" s="117"/>
      <c r="K83" s="117"/>
      <c r="L83" s="117"/>
      <c r="M83" s="116">
        <f t="shared" si="5"/>
        <v>5867000</v>
      </c>
      <c r="N83" s="117"/>
      <c r="O83" s="117"/>
      <c r="P83" s="124">
        <f t="shared" si="6"/>
        <v>37520.169224714678</v>
      </c>
      <c r="Q83" s="117"/>
      <c r="R83" s="117"/>
      <c r="S83" s="38"/>
      <c r="T83" s="38"/>
      <c r="U83" s="23">
        <f t="shared" si="7"/>
        <v>0</v>
      </c>
      <c r="W83" s="55">
        <f t="shared" si="8"/>
        <v>0</v>
      </c>
      <c r="Y83" s="23"/>
      <c r="Z83" s="23"/>
      <c r="AA83" s="23"/>
      <c r="AB83" s="23"/>
      <c r="AC83" s="37"/>
      <c r="AD83" s="23"/>
      <c r="AE83" s="23"/>
    </row>
    <row r="84" spans="1:31" ht="12.75">
      <c r="A84" s="54" t="s">
        <v>44</v>
      </c>
      <c r="B84" s="53" t="s">
        <v>10</v>
      </c>
      <c r="C84" s="116">
        <v>3000000</v>
      </c>
      <c r="D84" s="117"/>
      <c r="E84" s="117"/>
      <c r="F84" s="116">
        <v>1000000</v>
      </c>
      <c r="G84" s="117"/>
      <c r="H84" s="117"/>
      <c r="I84" s="116"/>
      <c r="J84" s="117"/>
      <c r="K84" s="117"/>
      <c r="L84" s="117"/>
      <c r="M84" s="116">
        <f t="shared" si="5"/>
        <v>5735000</v>
      </c>
      <c r="N84" s="117"/>
      <c r="O84" s="117"/>
      <c r="P84" s="124">
        <f t="shared" si="6"/>
        <v>36676.013380558834</v>
      </c>
      <c r="Q84" s="117"/>
      <c r="R84" s="117"/>
      <c r="S84" s="38"/>
      <c r="T84" s="38"/>
      <c r="U84" s="23">
        <f t="shared" si="7"/>
        <v>0</v>
      </c>
      <c r="W84" s="55">
        <f t="shared" si="8"/>
        <v>0</v>
      </c>
      <c r="Y84" s="23"/>
      <c r="Z84" s="23"/>
      <c r="AA84" s="23"/>
      <c r="AB84" s="23"/>
      <c r="AC84" s="37"/>
      <c r="AD84" s="23"/>
      <c r="AE84" s="23"/>
    </row>
    <row r="85" spans="1:31" ht="12.75">
      <c r="A85" s="54"/>
      <c r="B85" s="53"/>
      <c r="C85" s="38"/>
      <c r="D85" s="38"/>
      <c r="E85" s="38"/>
      <c r="F85" s="38"/>
      <c r="G85" s="38"/>
      <c r="H85" s="38"/>
      <c r="I85" s="23"/>
      <c r="J85" s="23"/>
      <c r="K85" s="23"/>
      <c r="L85" s="23"/>
      <c r="M85" s="23"/>
      <c r="N85" s="23"/>
      <c r="O85" s="23"/>
      <c r="P85" s="125">
        <f>SUM(P75:P84)</f>
        <v>446430.53915781184</v>
      </c>
      <c r="Q85" s="117"/>
      <c r="R85" s="117"/>
      <c r="S85" s="38"/>
      <c r="T85" s="38"/>
      <c r="U85" s="38"/>
      <c r="W85" s="56">
        <f>SUM(W75:W84)</f>
        <v>59224925.226288863</v>
      </c>
      <c r="Y85" s="23"/>
      <c r="Z85" s="23"/>
      <c r="AA85" s="23"/>
      <c r="AB85" s="23"/>
      <c r="AC85" s="37"/>
      <c r="AD85" s="23"/>
      <c r="AE85" s="23"/>
    </row>
    <row r="86" spans="1:31" ht="12.75">
      <c r="A86" s="23"/>
      <c r="B86" s="23"/>
      <c r="C86" s="57"/>
      <c r="D86" s="57"/>
      <c r="E86" s="23"/>
      <c r="F86" s="23"/>
      <c r="G86" s="23"/>
      <c r="H86" s="38"/>
      <c r="I86" s="23"/>
      <c r="J86" s="23"/>
      <c r="K86" s="23"/>
      <c r="L86" s="38"/>
      <c r="M86" s="23"/>
      <c r="N86" s="23"/>
      <c r="O86" s="23"/>
      <c r="P86" s="23"/>
      <c r="Q86" s="23"/>
      <c r="R86" s="23"/>
      <c r="S86" s="23"/>
      <c r="T86" s="23"/>
      <c r="U86" s="23"/>
      <c r="V86" s="23"/>
      <c r="W86" s="23"/>
      <c r="X86" s="23"/>
      <c r="Y86" s="23"/>
      <c r="Z86" s="23"/>
      <c r="AA86" s="23"/>
      <c r="AB86" s="23"/>
      <c r="AC86" s="37"/>
      <c r="AD86" s="23"/>
      <c r="AE86" s="23"/>
    </row>
    <row r="87" spans="1:31" ht="12.7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37"/>
      <c r="AD87" s="23"/>
      <c r="AE87" s="23"/>
    </row>
    <row r="88" spans="1:31" ht="12.75">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9"/>
      <c r="AD88" s="58"/>
      <c r="AE88" s="58"/>
    </row>
    <row r="89" spans="1:31" ht="15">
      <c r="A89" s="58"/>
      <c r="B89" s="58"/>
      <c r="C89" s="118"/>
      <c r="D89" s="119"/>
      <c r="E89" s="119"/>
      <c r="F89" s="120"/>
      <c r="G89" s="121" t="s">
        <v>212</v>
      </c>
      <c r="H89" s="122"/>
      <c r="I89" s="122"/>
      <c r="J89" s="123"/>
      <c r="K89" s="60"/>
      <c r="L89" s="126"/>
      <c r="M89" s="122"/>
      <c r="N89" s="122"/>
      <c r="O89" s="123"/>
      <c r="P89" s="121"/>
      <c r="Q89" s="122"/>
      <c r="R89" s="122"/>
      <c r="S89" s="123"/>
      <c r="T89" s="126"/>
      <c r="U89" s="122"/>
      <c r="V89" s="122"/>
      <c r="W89" s="123"/>
      <c r="X89" s="121"/>
      <c r="Y89" s="122"/>
      <c r="Z89" s="123"/>
      <c r="AA89" s="126"/>
      <c r="AB89" s="122"/>
      <c r="AC89" s="123"/>
      <c r="AD89" s="61"/>
      <c r="AE89" s="58"/>
    </row>
    <row r="90" spans="1:31" ht="12.75">
      <c r="A90" s="62" t="e">
        <f t="array" aca="1" ref="A90:A103" ca="1">unique(L1:L70)</f>
        <v>#NAME?</v>
      </c>
      <c r="B90" s="99"/>
      <c r="C90" s="64"/>
      <c r="D90" s="64"/>
      <c r="E90" s="64"/>
      <c r="F90" s="65"/>
      <c r="G90" s="66" t="s">
        <v>45</v>
      </c>
      <c r="H90" s="66" t="s">
        <v>46</v>
      </c>
      <c r="I90" s="66" t="s">
        <v>47</v>
      </c>
      <c r="J90" s="66" t="s">
        <v>48</v>
      </c>
      <c r="K90" s="66" t="s">
        <v>49</v>
      </c>
      <c r="L90" s="67" t="s">
        <v>50</v>
      </c>
      <c r="M90" s="67" t="s">
        <v>51</v>
      </c>
      <c r="N90" s="67" t="s">
        <v>52</v>
      </c>
      <c r="O90" s="67" t="s">
        <v>53</v>
      </c>
      <c r="P90" s="66" t="s">
        <v>54</v>
      </c>
      <c r="Q90" s="66"/>
      <c r="R90" s="66"/>
      <c r="S90" s="66"/>
      <c r="T90" s="67"/>
      <c r="U90" s="67"/>
      <c r="V90" s="67"/>
      <c r="W90" s="67"/>
      <c r="X90" s="66"/>
      <c r="Y90" s="66"/>
      <c r="Z90" s="66"/>
      <c r="AA90" s="67"/>
      <c r="AB90" s="67"/>
      <c r="AC90" s="68"/>
      <c r="AD90" s="67"/>
      <c r="AE90" s="58"/>
    </row>
    <row r="91" spans="1:31" ht="12.75">
      <c r="A91" s="69" t="e">
        <f ca="1"/>
        <v>#NAME?</v>
      </c>
      <c r="B91" s="70"/>
      <c r="C91" s="71"/>
      <c r="D91" s="71" t="s">
        <v>55</v>
      </c>
      <c r="E91" s="71"/>
      <c r="F91" s="72"/>
      <c r="G91" s="73" t="s">
        <v>213</v>
      </c>
      <c r="H91" s="73"/>
      <c r="I91" s="73"/>
      <c r="J91" s="73"/>
      <c r="K91" s="73"/>
      <c r="L91" s="74"/>
      <c r="M91" s="74"/>
      <c r="N91" s="74"/>
      <c r="O91" s="75"/>
      <c r="P91" s="76"/>
      <c r="Q91" s="76"/>
      <c r="R91" s="76"/>
      <c r="S91" s="76"/>
      <c r="T91" s="75"/>
      <c r="U91" s="75"/>
      <c r="V91" s="75"/>
      <c r="W91" s="75"/>
      <c r="X91" s="76"/>
      <c r="Y91" s="76"/>
      <c r="Z91" s="76"/>
      <c r="AA91" s="75"/>
      <c r="AB91" s="75"/>
      <c r="AC91" s="77"/>
      <c r="AD91" s="75"/>
      <c r="AE91" s="58"/>
    </row>
    <row r="92" spans="1:31" ht="12.75">
      <c r="A92" s="69" t="e">
        <f ca="1"/>
        <v>#NAME?</v>
      </c>
      <c r="B92" s="70"/>
      <c r="C92" s="71"/>
      <c r="D92" s="71"/>
      <c r="E92" s="71"/>
      <c r="F92" s="72"/>
      <c r="G92" s="73" t="s">
        <v>156</v>
      </c>
      <c r="H92" s="73"/>
      <c r="I92" s="73"/>
      <c r="J92" s="73"/>
      <c r="K92" s="73"/>
      <c r="L92" s="74"/>
      <c r="M92" s="75"/>
      <c r="N92" s="75"/>
      <c r="O92" s="75"/>
      <c r="P92" s="76"/>
      <c r="Q92" s="76"/>
      <c r="R92" s="76"/>
      <c r="S92" s="76"/>
      <c r="T92" s="75"/>
      <c r="U92" s="75"/>
      <c r="V92" s="75"/>
      <c r="W92" s="75"/>
      <c r="X92" s="76"/>
      <c r="Y92" s="76"/>
      <c r="Z92" s="76"/>
      <c r="AA92" s="75"/>
      <c r="AB92" s="75"/>
      <c r="AC92" s="77"/>
      <c r="AD92" s="75"/>
      <c r="AE92" s="58"/>
    </row>
    <row r="93" spans="1:31" ht="12.75">
      <c r="A93" s="69" t="e">
        <f ca="1"/>
        <v>#NAME?</v>
      </c>
      <c r="B93" s="70"/>
      <c r="C93" s="71"/>
      <c r="D93" s="71"/>
      <c r="E93" s="71"/>
      <c r="F93" s="72"/>
      <c r="G93" s="73"/>
      <c r="H93" s="73"/>
      <c r="I93" s="73"/>
      <c r="J93" s="73"/>
      <c r="K93" s="73"/>
      <c r="L93" s="74"/>
      <c r="M93" s="74"/>
      <c r="N93" s="74"/>
      <c r="O93" s="74"/>
      <c r="P93" s="76"/>
      <c r="Q93" s="76"/>
      <c r="R93" s="76"/>
      <c r="S93" s="76"/>
      <c r="T93" s="75"/>
      <c r="U93" s="75"/>
      <c r="V93" s="75"/>
      <c r="W93" s="75"/>
      <c r="X93" s="76"/>
      <c r="Y93" s="76"/>
      <c r="Z93" s="76"/>
      <c r="AA93" s="75"/>
      <c r="AB93" s="75"/>
      <c r="AC93" s="77"/>
      <c r="AD93" s="75"/>
      <c r="AE93" s="58"/>
    </row>
    <row r="94" spans="1:31" ht="12.75">
      <c r="A94" s="69" t="e">
        <f ca="1"/>
        <v>#NAME?</v>
      </c>
      <c r="B94" s="70"/>
      <c r="C94" s="71"/>
      <c r="D94" s="71"/>
      <c r="E94" s="71"/>
      <c r="F94" s="72"/>
      <c r="G94" s="73"/>
      <c r="H94" s="73"/>
      <c r="I94" s="73"/>
      <c r="J94" s="73"/>
      <c r="K94" s="73"/>
      <c r="L94" s="74"/>
      <c r="M94" s="74"/>
      <c r="N94" s="74"/>
      <c r="O94" s="75"/>
      <c r="P94" s="76"/>
      <c r="Q94" s="76"/>
      <c r="R94" s="76"/>
      <c r="S94" s="76"/>
      <c r="T94" s="75"/>
      <c r="U94" s="75"/>
      <c r="V94" s="75"/>
      <c r="W94" s="75"/>
      <c r="X94" s="76"/>
      <c r="Y94" s="76"/>
      <c r="Z94" s="76"/>
      <c r="AA94" s="75"/>
      <c r="AB94" s="75"/>
      <c r="AC94" s="77"/>
      <c r="AD94" s="75"/>
      <c r="AE94" s="58"/>
    </row>
    <row r="95" spans="1:31" ht="12.75">
      <c r="A95" s="69" t="e">
        <f ca="1"/>
        <v>#NAME?</v>
      </c>
      <c r="B95" s="70"/>
      <c r="C95" s="71"/>
      <c r="D95" s="71"/>
      <c r="E95" s="71"/>
      <c r="F95" s="72"/>
      <c r="G95" s="73" t="s">
        <v>213</v>
      </c>
      <c r="H95" s="73" t="s">
        <v>156</v>
      </c>
      <c r="I95" s="73"/>
      <c r="J95" s="73"/>
      <c r="K95" s="73"/>
      <c r="L95" s="74"/>
      <c r="M95" s="74"/>
      <c r="N95" s="74"/>
      <c r="O95" s="74"/>
      <c r="P95" s="76"/>
      <c r="Q95" s="76"/>
      <c r="R95" s="76"/>
      <c r="S95" s="76"/>
      <c r="T95" s="75"/>
      <c r="U95" s="75"/>
      <c r="V95" s="75"/>
      <c r="W95" s="75"/>
      <c r="X95" s="76"/>
      <c r="Y95" s="76"/>
      <c r="Z95" s="76"/>
      <c r="AA95" s="75"/>
      <c r="AB95" s="75"/>
      <c r="AC95" s="77"/>
      <c r="AD95" s="75"/>
      <c r="AE95" s="58"/>
    </row>
    <row r="96" spans="1:31" ht="12.75">
      <c r="A96" s="69" t="e">
        <f ca="1"/>
        <v>#NAME?</v>
      </c>
      <c r="B96" s="70"/>
      <c r="C96" s="71"/>
      <c r="D96" s="71"/>
      <c r="E96" s="71"/>
      <c r="F96" s="72"/>
      <c r="G96" s="73" t="s">
        <v>156</v>
      </c>
      <c r="H96" s="73" t="s">
        <v>156</v>
      </c>
      <c r="I96" s="73"/>
      <c r="J96" s="73"/>
      <c r="K96" s="73"/>
      <c r="L96" s="74"/>
      <c r="M96" s="74"/>
      <c r="N96" s="74"/>
      <c r="O96" s="75"/>
      <c r="P96" s="73"/>
      <c r="Q96" s="76"/>
      <c r="R96" s="76"/>
      <c r="S96" s="76"/>
      <c r="T96" s="75"/>
      <c r="U96" s="75"/>
      <c r="V96" s="75"/>
      <c r="W96" s="75"/>
      <c r="X96" s="76"/>
      <c r="Y96" s="76"/>
      <c r="Z96" s="76"/>
      <c r="AA96" s="75"/>
      <c r="AB96" s="75"/>
      <c r="AC96" s="77"/>
      <c r="AD96" s="75"/>
      <c r="AE96" s="58"/>
    </row>
    <row r="97" spans="1:31" ht="12.75">
      <c r="A97" s="69" t="e">
        <f ca="1"/>
        <v>#NAME?</v>
      </c>
      <c r="B97" s="70"/>
      <c r="C97" s="71"/>
      <c r="D97" s="71"/>
      <c r="E97" s="71"/>
      <c r="F97" s="72"/>
      <c r="G97" s="73" t="s">
        <v>156</v>
      </c>
      <c r="H97" s="73" t="s">
        <v>156</v>
      </c>
      <c r="I97" s="73"/>
      <c r="J97" s="73"/>
      <c r="K97" s="73"/>
      <c r="L97" s="74"/>
      <c r="M97" s="74"/>
      <c r="N97" s="74"/>
      <c r="O97" s="75"/>
      <c r="P97" s="73"/>
      <c r="Q97" s="76"/>
      <c r="R97" s="76"/>
      <c r="S97" s="76"/>
      <c r="T97" s="75"/>
      <c r="U97" s="75"/>
      <c r="V97" s="75"/>
      <c r="W97" s="75"/>
      <c r="X97" s="76"/>
      <c r="Y97" s="76"/>
      <c r="Z97" s="76"/>
      <c r="AA97" s="75"/>
      <c r="AB97" s="75"/>
      <c r="AC97" s="77"/>
      <c r="AD97" s="75"/>
      <c r="AE97" s="58"/>
    </row>
    <row r="98" spans="1:31" ht="12.75">
      <c r="A98" s="69" t="e">
        <f ca="1"/>
        <v>#NAME?</v>
      </c>
      <c r="B98" s="70"/>
      <c r="C98" s="71"/>
      <c r="D98" s="71"/>
      <c r="E98" s="71"/>
      <c r="F98" s="72"/>
      <c r="G98" s="73"/>
      <c r="H98" s="73" t="s">
        <v>156</v>
      </c>
      <c r="I98" s="73" t="s">
        <v>156</v>
      </c>
      <c r="J98" s="73"/>
      <c r="K98" s="73"/>
      <c r="L98" s="74"/>
      <c r="M98" s="74"/>
      <c r="N98" s="74"/>
      <c r="O98" s="74"/>
      <c r="P98" s="73"/>
      <c r="Q98" s="76"/>
      <c r="R98" s="76"/>
      <c r="S98" s="76"/>
      <c r="T98" s="75"/>
      <c r="U98" s="75"/>
      <c r="V98" s="75"/>
      <c r="W98" s="75"/>
      <c r="X98" s="76"/>
      <c r="Y98" s="76"/>
      <c r="Z98" s="76"/>
      <c r="AA98" s="75"/>
      <c r="AB98" s="75"/>
      <c r="AC98" s="77"/>
      <c r="AD98" s="75"/>
      <c r="AE98" s="58"/>
    </row>
    <row r="99" spans="1:31" ht="12.75">
      <c r="A99" s="69" t="e">
        <f ca="1"/>
        <v>#NAME?</v>
      </c>
      <c r="B99" s="70"/>
      <c r="C99" s="71"/>
      <c r="D99" s="71"/>
      <c r="E99" s="71"/>
      <c r="F99" s="72"/>
      <c r="G99" s="73"/>
      <c r="H99" s="73" t="s">
        <v>156</v>
      </c>
      <c r="I99" s="73" t="s">
        <v>156</v>
      </c>
      <c r="J99" s="73"/>
      <c r="K99" s="73"/>
      <c r="L99" s="74"/>
      <c r="M99" s="74"/>
      <c r="N99" s="74"/>
      <c r="O99" s="75"/>
      <c r="P99" s="76"/>
      <c r="Q99" s="76"/>
      <c r="R99" s="76"/>
      <c r="S99" s="76"/>
      <c r="T99" s="75"/>
      <c r="U99" s="75"/>
      <c r="V99" s="75"/>
      <c r="W99" s="75"/>
      <c r="X99" s="76"/>
      <c r="Y99" s="76"/>
      <c r="Z99" s="76"/>
      <c r="AA99" s="75"/>
      <c r="AB99" s="75"/>
      <c r="AC99" s="77"/>
      <c r="AD99" s="75"/>
      <c r="AE99" s="58"/>
    </row>
    <row r="100" spans="1:31" ht="12.75">
      <c r="A100" s="69" t="e">
        <f ca="1"/>
        <v>#NAME?</v>
      </c>
      <c r="B100" s="70"/>
      <c r="C100" s="71"/>
      <c r="D100" s="71"/>
      <c r="E100" s="71"/>
      <c r="F100" s="72"/>
      <c r="G100" s="73"/>
      <c r="H100" s="73" t="s">
        <v>156</v>
      </c>
      <c r="I100" s="73" t="s">
        <v>156</v>
      </c>
      <c r="J100" s="73"/>
      <c r="K100" s="73"/>
      <c r="L100" s="74"/>
      <c r="M100" s="74"/>
      <c r="N100" s="74"/>
      <c r="O100" s="75"/>
      <c r="P100" s="76"/>
      <c r="Q100" s="76"/>
      <c r="R100" s="76"/>
      <c r="S100" s="76"/>
      <c r="T100" s="75"/>
      <c r="U100" s="75"/>
      <c r="V100" s="75"/>
      <c r="W100" s="75"/>
      <c r="X100" s="76"/>
      <c r="Y100" s="76"/>
      <c r="Z100" s="76"/>
      <c r="AA100" s="75"/>
      <c r="AB100" s="75"/>
      <c r="AC100" s="77"/>
      <c r="AD100" s="75"/>
      <c r="AE100" s="58"/>
    </row>
    <row r="101" spans="1:31" ht="12.75">
      <c r="A101" s="69" t="e">
        <f ca="1"/>
        <v>#NAME?</v>
      </c>
      <c r="B101" s="70"/>
      <c r="C101" s="71"/>
      <c r="D101" s="71"/>
      <c r="E101" s="71"/>
      <c r="F101" s="72"/>
      <c r="G101" s="73"/>
      <c r="H101" s="73" t="s">
        <v>156</v>
      </c>
      <c r="I101" s="73" t="s">
        <v>156</v>
      </c>
      <c r="J101" s="73"/>
      <c r="K101" s="73"/>
      <c r="L101" s="74"/>
      <c r="M101" s="74"/>
      <c r="N101" s="74"/>
      <c r="O101" s="75"/>
      <c r="P101" s="76"/>
      <c r="Q101" s="76"/>
      <c r="R101" s="76"/>
      <c r="S101" s="76"/>
      <c r="T101" s="75"/>
      <c r="U101" s="75"/>
      <c r="V101" s="75"/>
      <c r="W101" s="75"/>
      <c r="X101" s="76"/>
      <c r="Y101" s="76"/>
      <c r="Z101" s="76"/>
      <c r="AA101" s="75"/>
      <c r="AB101" s="75"/>
      <c r="AC101" s="77"/>
      <c r="AD101" s="75"/>
      <c r="AE101" s="58"/>
    </row>
    <row r="102" spans="1:31" ht="12.75">
      <c r="A102" s="69" t="e">
        <f ca="1"/>
        <v>#NAME?</v>
      </c>
      <c r="B102" s="70"/>
      <c r="C102" s="71"/>
      <c r="D102" s="71"/>
      <c r="E102" s="71"/>
      <c r="F102" s="72"/>
      <c r="G102" s="73"/>
      <c r="H102" s="73" t="s">
        <v>156</v>
      </c>
      <c r="I102" s="73" t="s">
        <v>156</v>
      </c>
      <c r="J102" s="73"/>
      <c r="K102" s="73"/>
      <c r="L102" s="74"/>
      <c r="M102" s="74"/>
      <c r="N102" s="74"/>
      <c r="O102" s="75"/>
      <c r="P102" s="76"/>
      <c r="Q102" s="76"/>
      <c r="R102" s="76"/>
      <c r="S102" s="76"/>
      <c r="T102" s="75"/>
      <c r="U102" s="75"/>
      <c r="V102" s="75"/>
      <c r="W102" s="75"/>
      <c r="X102" s="76"/>
      <c r="Y102" s="76"/>
      <c r="Z102" s="76"/>
      <c r="AA102" s="75"/>
      <c r="AB102" s="75"/>
      <c r="AC102" s="77"/>
      <c r="AD102" s="75"/>
      <c r="AE102" s="58"/>
    </row>
    <row r="103" spans="1:31" ht="12.75">
      <c r="A103" s="69" t="e">
        <f ca="1"/>
        <v>#NAME?</v>
      </c>
      <c r="B103" s="70"/>
      <c r="C103" s="71"/>
      <c r="D103" s="71"/>
      <c r="E103" s="71"/>
      <c r="F103" s="72"/>
      <c r="G103" s="73"/>
      <c r="H103" s="73" t="s">
        <v>156</v>
      </c>
      <c r="I103" s="73" t="s">
        <v>156</v>
      </c>
      <c r="J103" s="73"/>
      <c r="K103" s="73"/>
      <c r="L103" s="74"/>
      <c r="M103" s="74"/>
      <c r="N103" s="74"/>
      <c r="O103" s="75"/>
      <c r="P103" s="76"/>
      <c r="Q103" s="76"/>
      <c r="R103" s="76"/>
      <c r="S103" s="76"/>
      <c r="T103" s="75"/>
      <c r="U103" s="75"/>
      <c r="V103" s="75"/>
      <c r="W103" s="75"/>
      <c r="X103" s="76"/>
      <c r="Y103" s="76"/>
      <c r="Z103" s="76"/>
      <c r="AA103" s="75"/>
      <c r="AB103" s="75"/>
      <c r="AC103" s="77"/>
      <c r="AD103" s="75"/>
      <c r="AE103" s="58"/>
    </row>
    <row r="104" spans="1:31" ht="12.75">
      <c r="A104" s="69" t="s">
        <v>18</v>
      </c>
      <c r="B104" s="70"/>
      <c r="C104" s="71"/>
      <c r="D104" s="71"/>
      <c r="E104" s="71"/>
      <c r="F104" s="72"/>
      <c r="G104" s="73"/>
      <c r="H104" s="73"/>
      <c r="I104" s="73"/>
      <c r="J104" s="73" t="s">
        <v>156</v>
      </c>
      <c r="K104" s="73"/>
      <c r="L104" s="74"/>
      <c r="M104" s="74"/>
      <c r="N104" s="74"/>
      <c r="O104" s="75"/>
      <c r="P104" s="76"/>
      <c r="Q104" s="76"/>
      <c r="R104" s="76"/>
      <c r="S104" s="76"/>
      <c r="T104" s="75"/>
      <c r="U104" s="75"/>
      <c r="V104" s="75"/>
      <c r="W104" s="75"/>
      <c r="X104" s="76"/>
      <c r="Y104" s="76"/>
      <c r="Z104" s="76"/>
      <c r="AA104" s="75"/>
      <c r="AB104" s="75"/>
      <c r="AC104" s="77"/>
      <c r="AD104" s="75"/>
      <c r="AE104" s="58"/>
    </row>
    <row r="105" spans="1:31" ht="12.75">
      <c r="A105" s="69"/>
      <c r="B105" s="70"/>
      <c r="C105" s="71"/>
      <c r="D105" s="71"/>
      <c r="E105" s="71"/>
      <c r="F105" s="72"/>
      <c r="G105" s="73"/>
      <c r="H105" s="73"/>
      <c r="I105" s="73"/>
      <c r="J105" s="73"/>
      <c r="K105" s="73"/>
      <c r="L105" s="74"/>
      <c r="M105" s="74"/>
      <c r="N105" s="74"/>
      <c r="O105" s="75"/>
      <c r="P105" s="76"/>
      <c r="Q105" s="76"/>
      <c r="R105" s="76"/>
      <c r="S105" s="76"/>
      <c r="T105" s="75"/>
      <c r="U105" s="75"/>
      <c r="V105" s="75"/>
      <c r="W105" s="75"/>
      <c r="X105" s="76"/>
      <c r="Y105" s="76"/>
      <c r="Z105" s="76"/>
      <c r="AA105" s="75"/>
      <c r="AB105" s="75"/>
      <c r="AC105" s="77"/>
      <c r="AD105" s="75"/>
      <c r="AE105" s="58"/>
    </row>
    <row r="106" spans="1:31" ht="12.75">
      <c r="A106" s="69"/>
      <c r="B106" s="70"/>
      <c r="C106" s="71"/>
      <c r="D106" s="71"/>
      <c r="E106" s="71"/>
      <c r="F106" s="72"/>
      <c r="G106" s="73"/>
      <c r="H106" s="73"/>
      <c r="I106" s="73"/>
      <c r="J106" s="73"/>
      <c r="K106" s="73"/>
      <c r="L106" s="74"/>
      <c r="M106" s="74"/>
      <c r="N106" s="74"/>
      <c r="O106" s="75"/>
      <c r="P106" s="76"/>
      <c r="Q106" s="76"/>
      <c r="R106" s="76"/>
      <c r="S106" s="76"/>
      <c r="T106" s="75"/>
      <c r="U106" s="75"/>
      <c r="V106" s="75"/>
      <c r="W106" s="75"/>
      <c r="X106" s="76"/>
      <c r="Y106" s="76"/>
      <c r="Z106" s="76"/>
      <c r="AA106" s="75"/>
      <c r="AB106" s="75"/>
      <c r="AC106" s="77"/>
      <c r="AD106" s="75"/>
      <c r="AE106" s="58"/>
    </row>
    <row r="107" spans="1:31" ht="12.75">
      <c r="A107" s="69"/>
      <c r="B107" s="70"/>
      <c r="C107" s="71"/>
      <c r="D107" s="71"/>
      <c r="E107" s="71"/>
      <c r="F107" s="72"/>
      <c r="G107" s="73"/>
      <c r="H107" s="73"/>
      <c r="I107" s="73"/>
      <c r="J107" s="73"/>
      <c r="K107" s="73"/>
      <c r="L107" s="74"/>
      <c r="M107" s="74"/>
      <c r="N107" s="74"/>
      <c r="O107" s="75"/>
      <c r="P107" s="76"/>
      <c r="Q107" s="76"/>
      <c r="R107" s="76"/>
      <c r="S107" s="76"/>
      <c r="T107" s="75"/>
      <c r="U107" s="75"/>
      <c r="V107" s="75"/>
      <c r="W107" s="75"/>
      <c r="X107" s="76"/>
      <c r="Y107" s="76"/>
      <c r="Z107" s="76"/>
      <c r="AA107" s="75"/>
      <c r="AB107" s="75"/>
      <c r="AC107" s="77"/>
      <c r="AD107" s="75"/>
      <c r="AE107" s="58"/>
    </row>
    <row r="108" spans="1:31" ht="12.75">
      <c r="A108" s="69"/>
      <c r="B108" s="70"/>
      <c r="C108" s="71"/>
      <c r="D108" s="71"/>
      <c r="E108" s="71"/>
      <c r="F108" s="72"/>
      <c r="G108" s="73"/>
      <c r="H108" s="73"/>
      <c r="I108" s="73"/>
      <c r="J108" s="73"/>
      <c r="K108" s="73"/>
      <c r="L108" s="74"/>
      <c r="M108" s="74"/>
      <c r="N108" s="74"/>
      <c r="O108" s="75"/>
      <c r="P108" s="76"/>
      <c r="Q108" s="76"/>
      <c r="R108" s="76"/>
      <c r="S108" s="76"/>
      <c r="T108" s="75"/>
      <c r="U108" s="75"/>
      <c r="V108" s="75"/>
      <c r="W108" s="75"/>
      <c r="X108" s="76"/>
      <c r="Y108" s="76"/>
      <c r="Z108" s="76"/>
      <c r="AA108" s="75"/>
      <c r="AB108" s="75"/>
      <c r="AC108" s="77"/>
      <c r="AD108" s="75"/>
      <c r="AE108" s="58"/>
    </row>
    <row r="109" spans="1:31" ht="12.75">
      <c r="A109" s="69"/>
      <c r="B109" s="70"/>
      <c r="C109" s="71"/>
      <c r="D109" s="71"/>
      <c r="E109" s="71"/>
      <c r="F109" s="72"/>
      <c r="G109" s="73"/>
      <c r="H109" s="73"/>
      <c r="I109" s="73"/>
      <c r="J109" s="73"/>
      <c r="K109" s="73"/>
      <c r="L109" s="74"/>
      <c r="M109" s="74"/>
      <c r="N109" s="74"/>
      <c r="O109" s="75"/>
      <c r="P109" s="76"/>
      <c r="Q109" s="76"/>
      <c r="R109" s="76"/>
      <c r="S109" s="76"/>
      <c r="T109" s="75"/>
      <c r="U109" s="75"/>
      <c r="V109" s="75"/>
      <c r="W109" s="75"/>
      <c r="X109" s="76"/>
      <c r="Y109" s="76"/>
      <c r="Z109" s="76"/>
      <c r="AA109" s="75"/>
      <c r="AB109" s="75"/>
      <c r="AC109" s="77"/>
      <c r="AD109" s="75"/>
      <c r="AE109" s="58"/>
    </row>
    <row r="110" spans="1:31" ht="12.75">
      <c r="A110" s="69"/>
      <c r="B110" s="70"/>
      <c r="C110" s="71"/>
      <c r="D110" s="71"/>
      <c r="E110" s="71"/>
      <c r="F110" s="72"/>
      <c r="G110" s="73"/>
      <c r="H110" s="73"/>
      <c r="I110" s="73"/>
      <c r="J110" s="73"/>
      <c r="K110" s="73"/>
      <c r="L110" s="74"/>
      <c r="M110" s="74"/>
      <c r="N110" s="74"/>
      <c r="O110" s="75"/>
      <c r="P110" s="76"/>
      <c r="Q110" s="76"/>
      <c r="R110" s="76"/>
      <c r="S110" s="76"/>
      <c r="T110" s="75"/>
      <c r="U110" s="75"/>
      <c r="V110" s="75"/>
      <c r="W110" s="75"/>
      <c r="X110" s="76"/>
      <c r="Y110" s="76"/>
      <c r="Z110" s="76"/>
      <c r="AA110" s="75"/>
      <c r="AB110" s="75"/>
      <c r="AC110" s="77"/>
      <c r="AD110" s="75"/>
      <c r="AE110" s="58"/>
    </row>
    <row r="111" spans="1:31" ht="12.75">
      <c r="A111" s="69"/>
      <c r="B111" s="70"/>
      <c r="C111" s="71"/>
      <c r="D111" s="71"/>
      <c r="E111" s="71"/>
      <c r="F111" s="72"/>
      <c r="G111" s="73"/>
      <c r="H111" s="73"/>
      <c r="I111" s="73"/>
      <c r="J111" s="73"/>
      <c r="K111" s="73"/>
      <c r="L111" s="74"/>
      <c r="M111" s="74"/>
      <c r="N111" s="74"/>
      <c r="O111" s="75"/>
      <c r="P111" s="76"/>
      <c r="Q111" s="76"/>
      <c r="R111" s="76"/>
      <c r="S111" s="76"/>
      <c r="T111" s="75"/>
      <c r="U111" s="75"/>
      <c r="V111" s="75"/>
      <c r="W111" s="75"/>
      <c r="X111" s="76"/>
      <c r="Y111" s="76"/>
      <c r="Z111" s="76"/>
      <c r="AA111" s="75"/>
      <c r="AB111" s="75"/>
      <c r="AC111" s="77"/>
      <c r="AD111" s="75"/>
      <c r="AE111" s="58"/>
    </row>
    <row r="112" spans="1:31" ht="12.75">
      <c r="A112" s="69"/>
      <c r="B112" s="70"/>
      <c r="C112" s="71"/>
      <c r="D112" s="71"/>
      <c r="E112" s="71"/>
      <c r="F112" s="72"/>
      <c r="G112" s="73"/>
      <c r="H112" s="73"/>
      <c r="I112" s="73"/>
      <c r="J112" s="73"/>
      <c r="K112" s="73"/>
      <c r="L112" s="74"/>
      <c r="M112" s="74"/>
      <c r="N112" s="74"/>
      <c r="O112" s="75"/>
      <c r="P112" s="76"/>
      <c r="Q112" s="76"/>
      <c r="R112" s="76"/>
      <c r="S112" s="76"/>
      <c r="T112" s="75"/>
      <c r="U112" s="75"/>
      <c r="V112" s="75"/>
      <c r="W112" s="75"/>
      <c r="X112" s="76"/>
      <c r="Y112" s="76"/>
      <c r="Z112" s="76"/>
      <c r="AA112" s="75"/>
      <c r="AB112" s="75"/>
      <c r="AC112" s="77"/>
      <c r="AD112" s="75"/>
      <c r="AE112" s="58"/>
    </row>
    <row r="113" spans="1:31" ht="12.75">
      <c r="A113" s="69"/>
      <c r="B113" s="70"/>
      <c r="C113" s="71"/>
      <c r="D113" s="71"/>
      <c r="E113" s="71"/>
      <c r="F113" s="72"/>
      <c r="G113" s="73"/>
      <c r="H113" s="73"/>
      <c r="I113" s="73"/>
      <c r="J113" s="73"/>
      <c r="K113" s="73"/>
      <c r="L113" s="74"/>
      <c r="M113" s="74"/>
      <c r="N113" s="75"/>
      <c r="O113" s="75"/>
      <c r="P113" s="76"/>
      <c r="Q113" s="76"/>
      <c r="R113" s="76"/>
      <c r="S113" s="76"/>
      <c r="T113" s="75"/>
      <c r="U113" s="75"/>
      <c r="V113" s="75"/>
      <c r="W113" s="75"/>
      <c r="X113" s="76"/>
      <c r="Y113" s="76"/>
      <c r="Z113" s="76"/>
      <c r="AA113" s="75"/>
      <c r="AB113" s="75"/>
      <c r="AC113" s="77"/>
      <c r="AD113" s="75"/>
      <c r="AE113" s="58"/>
    </row>
    <row r="114" spans="1:31" ht="12.75">
      <c r="A114" s="69"/>
      <c r="B114" s="70"/>
      <c r="C114" s="71"/>
      <c r="D114" s="71"/>
      <c r="E114" s="71"/>
      <c r="F114" s="72"/>
      <c r="G114" s="73"/>
      <c r="H114" s="73"/>
      <c r="I114" s="73"/>
      <c r="J114" s="73"/>
      <c r="K114" s="73"/>
      <c r="L114" s="74"/>
      <c r="M114" s="74"/>
      <c r="N114" s="75"/>
      <c r="O114" s="75"/>
      <c r="P114" s="76"/>
      <c r="Q114" s="76"/>
      <c r="R114" s="76"/>
      <c r="S114" s="76"/>
      <c r="T114" s="75"/>
      <c r="U114" s="75"/>
      <c r="V114" s="75"/>
      <c r="W114" s="75"/>
      <c r="X114" s="76"/>
      <c r="Y114" s="76"/>
      <c r="Z114" s="76"/>
      <c r="AA114" s="75"/>
      <c r="AB114" s="75"/>
      <c r="AC114" s="77"/>
      <c r="AD114" s="75"/>
      <c r="AE114" s="58"/>
    </row>
    <row r="115" spans="1:31" ht="12.75">
      <c r="A115" s="23"/>
      <c r="B115" s="23"/>
      <c r="C115" s="23"/>
      <c r="D115" s="23"/>
      <c r="E115" s="23"/>
      <c r="F115" s="23"/>
      <c r="G115" s="23"/>
      <c r="H115" s="13"/>
      <c r="I115" s="13"/>
      <c r="J115" s="13"/>
      <c r="K115" s="13"/>
      <c r="L115" s="13"/>
      <c r="M115" s="13"/>
      <c r="N115" s="23"/>
      <c r="O115" s="23"/>
      <c r="P115" s="23"/>
      <c r="Q115" s="23"/>
      <c r="R115" s="23"/>
      <c r="S115" s="23"/>
      <c r="T115" s="23"/>
      <c r="U115" s="23"/>
      <c r="V115" s="23"/>
      <c r="W115" s="23"/>
      <c r="X115" s="23"/>
      <c r="Y115" s="23"/>
      <c r="Z115" s="23"/>
      <c r="AA115" s="23"/>
      <c r="AB115" s="23"/>
      <c r="AC115" s="37"/>
      <c r="AD115" s="23"/>
      <c r="AE115" s="58"/>
    </row>
    <row r="116" spans="1:31" ht="12.7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37"/>
      <c r="AD116" s="23"/>
      <c r="AE116" s="23"/>
    </row>
    <row r="117" spans="1:31" ht="12.7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37"/>
      <c r="AD117" s="23"/>
      <c r="AE117" s="23"/>
    </row>
  </sheetData>
  <mergeCells count="68">
    <mergeCell ref="C79:E79"/>
    <mergeCell ref="F79:H79"/>
    <mergeCell ref="C76:E76"/>
    <mergeCell ref="C77:E77"/>
    <mergeCell ref="F77:H77"/>
    <mergeCell ref="C78:E78"/>
    <mergeCell ref="F78:H78"/>
    <mergeCell ref="C80:E80"/>
    <mergeCell ref="F80:H80"/>
    <mergeCell ref="I80:L80"/>
    <mergeCell ref="M80:O80"/>
    <mergeCell ref="P80:R80"/>
    <mergeCell ref="F76:H76"/>
    <mergeCell ref="P76:R76"/>
    <mergeCell ref="I78:L78"/>
    <mergeCell ref="I79:L79"/>
    <mergeCell ref="M79:O79"/>
    <mergeCell ref="P79:R79"/>
    <mergeCell ref="I76:L76"/>
    <mergeCell ref="M76:O76"/>
    <mergeCell ref="I77:L77"/>
    <mergeCell ref="M77:O77"/>
    <mergeCell ref="P77:R77"/>
    <mergeCell ref="M78:O78"/>
    <mergeCell ref="P78:R78"/>
    <mergeCell ref="C75:E75"/>
    <mergeCell ref="F75:H75"/>
    <mergeCell ref="I75:L75"/>
    <mergeCell ref="M75:O75"/>
    <mergeCell ref="P75:R75"/>
    <mergeCell ref="I72:L72"/>
    <mergeCell ref="M72:O72"/>
    <mergeCell ref="C74:E74"/>
    <mergeCell ref="F74:H74"/>
    <mergeCell ref="I74:L74"/>
    <mergeCell ref="M74:O74"/>
    <mergeCell ref="P74:R74"/>
    <mergeCell ref="V74:X74"/>
    <mergeCell ref="M1:N1"/>
    <mergeCell ref="O1:U1"/>
    <mergeCell ref="AA89:AC89"/>
    <mergeCell ref="I82:L82"/>
    <mergeCell ref="M82:O82"/>
    <mergeCell ref="I83:L83"/>
    <mergeCell ref="M83:O83"/>
    <mergeCell ref="P83:R83"/>
    <mergeCell ref="I84:L84"/>
    <mergeCell ref="M84:O84"/>
    <mergeCell ref="P85:R85"/>
    <mergeCell ref="L89:O89"/>
    <mergeCell ref="P89:S89"/>
    <mergeCell ref="T89:W89"/>
    <mergeCell ref="X89:Z89"/>
    <mergeCell ref="M81:O81"/>
    <mergeCell ref="P81:R81"/>
    <mergeCell ref="F82:H82"/>
    <mergeCell ref="P82:R82"/>
    <mergeCell ref="P84:R84"/>
    <mergeCell ref="C89:F89"/>
    <mergeCell ref="G89:J89"/>
    <mergeCell ref="C81:E81"/>
    <mergeCell ref="F81:H81"/>
    <mergeCell ref="I81:L81"/>
    <mergeCell ref="C82:E82"/>
    <mergeCell ref="C83:E83"/>
    <mergeCell ref="F83:H83"/>
    <mergeCell ref="C84:E84"/>
    <mergeCell ref="F84:H84"/>
  </mergeCells>
  <conditionalFormatting sqref="C91:AD114">
    <cfRule type="notContainsBlanks" dxfId="44" priority="1">
      <formula>LEN(TRIM(C91))&gt;0</formula>
    </cfRule>
  </conditionalFormatting>
  <conditionalFormatting sqref="Y2:Y69">
    <cfRule type="expression" dxfId="43" priority="2">
      <formula>$L2&lt;&gt;""</formula>
    </cfRule>
  </conditionalFormatting>
  <conditionalFormatting sqref="Z1:Z70">
    <cfRule type="notContainsBlanks" dxfId="42" priority="3">
      <formula>LEN(TRIM(Z1))&gt;0</formula>
    </cfRule>
  </conditionalFormatting>
  <conditionalFormatting sqref="AA1:AA70">
    <cfRule type="notContainsBlanks" dxfId="41" priority="4">
      <formula>LEN(TRIM(AA1))&gt;0</formula>
    </cfRule>
  </conditionalFormatting>
  <conditionalFormatting sqref="AB2:AB70">
    <cfRule type="cellIs" dxfId="40" priority="5" operator="equal">
      <formula>FALSE()</formula>
    </cfRule>
  </conditionalFormatting>
  <dataValidations count="1">
    <dataValidation type="decimal" operator="greaterThanOrEqual" allowBlank="1" showDropDown="1" showErrorMessage="1" sqref="B2:K70">
      <formula1>0</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96"/>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8" width="5" customWidth="1"/>
    <col min="9" max="20" width="4.5703125" customWidth="1"/>
    <col min="21" max="21" width="11.5703125" customWidth="1"/>
    <col min="22" max="22" width="4.5703125" customWidth="1"/>
    <col min="23" max="23" width="19.140625" customWidth="1"/>
    <col min="24" max="24" width="4.5703125" customWidth="1"/>
    <col min="25" max="25" width="13.28515625" customWidth="1"/>
    <col min="26" max="27" width="6" customWidth="1"/>
    <col min="28" max="28" width="3.85546875" customWidth="1"/>
    <col min="29" max="29" width="18.140625" customWidth="1"/>
    <col min="30" max="31" width="4.5703125" customWidth="1"/>
  </cols>
  <sheetData>
    <row r="1" spans="1:31" ht="30" customHeight="1">
      <c r="A1" s="1" t="s">
        <v>0</v>
      </c>
      <c r="B1" s="2" t="s">
        <v>1</v>
      </c>
      <c r="C1" s="2" t="s">
        <v>2</v>
      </c>
      <c r="D1" s="2" t="s">
        <v>3</v>
      </c>
      <c r="E1" s="2" t="s">
        <v>4</v>
      </c>
      <c r="F1" s="2" t="s">
        <v>5</v>
      </c>
      <c r="G1" s="2" t="s">
        <v>6</v>
      </c>
      <c r="H1" s="2" t="s">
        <v>7</v>
      </c>
      <c r="I1" s="2" t="s">
        <v>8</v>
      </c>
      <c r="J1" s="2" t="s">
        <v>9</v>
      </c>
      <c r="K1" s="2" t="s">
        <v>10</v>
      </c>
      <c r="L1" s="3"/>
      <c r="M1" s="128" t="s">
        <v>11</v>
      </c>
      <c r="N1" s="117"/>
      <c r="O1" s="129" t="s">
        <v>376</v>
      </c>
      <c r="P1" s="117"/>
      <c r="Q1" s="117"/>
      <c r="R1" s="117"/>
      <c r="S1" s="117"/>
      <c r="T1" s="117"/>
      <c r="U1" s="117"/>
      <c r="V1" s="3"/>
      <c r="W1" s="4">
        <v>46070</v>
      </c>
      <c r="X1" s="3"/>
      <c r="Y1" s="5">
        <f>SUMIFS(Y2:Y49,L2:L49,"&lt;&gt;"&amp;"")</f>
        <v>19266501.377410468</v>
      </c>
      <c r="Z1" s="6" t="s">
        <v>13</v>
      </c>
      <c r="AA1" s="7" t="s">
        <v>14</v>
      </c>
      <c r="AB1" s="8" t="s">
        <v>15</v>
      </c>
      <c r="AC1" s="9">
        <f>SUM(AC2:AC49)</f>
        <v>19266501.377410468</v>
      </c>
      <c r="AD1" s="3"/>
      <c r="AE1" s="3"/>
    </row>
    <row r="2" spans="1:31" ht="18">
      <c r="A2" s="10">
        <f t="shared" ref="A2:A48" si="0">(B2*$P$54+C2*$P$55+D2*$P$56+E2*$P$57+F2*$P$58+G2*$P$59+H2*$P$60+I2*$P$61+J2*$P$62+K2*$P$63)*$T$52</f>
        <v>1018103.1090121999</v>
      </c>
      <c r="B2" s="83">
        <v>2</v>
      </c>
      <c r="C2" s="12"/>
      <c r="D2" s="12"/>
      <c r="E2" s="84"/>
      <c r="F2" s="12"/>
      <c r="G2" s="12"/>
      <c r="H2" s="12"/>
      <c r="I2" s="12"/>
      <c r="J2" s="13"/>
      <c r="K2" s="13"/>
      <c r="L2" s="14" t="s">
        <v>16</v>
      </c>
      <c r="M2" s="15"/>
      <c r="N2" s="16"/>
      <c r="O2" s="92"/>
      <c r="P2" s="17"/>
      <c r="Q2" s="17"/>
      <c r="R2" s="17"/>
      <c r="S2" s="17"/>
      <c r="T2" s="17"/>
      <c r="U2" s="17"/>
      <c r="V2" s="17"/>
      <c r="W2" s="17"/>
      <c r="X2" s="17">
        <f t="shared" ref="X2:X43" si="1">COUNTIF($L$2:L2,"&lt;&gt;"&amp;"")</f>
        <v>1</v>
      </c>
      <c r="Y2" s="18">
        <f t="shared" ref="Y2:Y48" si="2">SUMIF($X$2:$X$49,X2,$A$2:$A$49)</f>
        <v>1018103.1090121999</v>
      </c>
      <c r="Z2" s="19"/>
      <c r="AA2" s="20"/>
      <c r="AB2" s="21" t="b">
        <v>1</v>
      </c>
      <c r="AC2" s="22">
        <f t="shared" ref="AC2:AC48" si="3">IF(L2="",0,IF(AB2=FALSE(),0,Y2))</f>
        <v>1018103.1090121999</v>
      </c>
      <c r="AD2" s="23"/>
      <c r="AE2" s="23"/>
    </row>
    <row r="3" spans="1:31" ht="15">
      <c r="A3" s="10">
        <f t="shared" si="0"/>
        <v>535655.25383707206</v>
      </c>
      <c r="B3" s="12"/>
      <c r="C3" s="83">
        <v>1</v>
      </c>
      <c r="D3" s="83">
        <v>1</v>
      </c>
      <c r="E3" s="12"/>
      <c r="F3" s="84"/>
      <c r="G3" s="12"/>
      <c r="H3" s="12"/>
      <c r="I3" s="12"/>
      <c r="J3" s="13"/>
      <c r="K3" s="13"/>
      <c r="L3" s="14" t="s">
        <v>17</v>
      </c>
      <c r="M3" s="16"/>
      <c r="N3" s="16"/>
      <c r="O3" s="17"/>
      <c r="P3" s="17"/>
      <c r="Q3" s="17"/>
      <c r="R3" s="17"/>
      <c r="S3" s="17"/>
      <c r="T3" s="17"/>
      <c r="U3" s="17"/>
      <c r="V3" s="17"/>
      <c r="W3" s="17"/>
      <c r="X3" s="17">
        <f t="shared" si="1"/>
        <v>2</v>
      </c>
      <c r="Y3" s="18">
        <f t="shared" si="2"/>
        <v>535655.25383707206</v>
      </c>
      <c r="Z3" s="24"/>
      <c r="AA3" s="20"/>
      <c r="AB3" s="21" t="b">
        <v>1</v>
      </c>
      <c r="AC3" s="22">
        <f t="shared" si="3"/>
        <v>535655.25383707206</v>
      </c>
      <c r="AD3" s="23"/>
      <c r="AE3" s="23"/>
    </row>
    <row r="4" spans="1:31" ht="15">
      <c r="A4" s="10">
        <f t="shared" si="0"/>
        <v>535399.44903581263</v>
      </c>
      <c r="B4" s="12"/>
      <c r="C4" s="12"/>
      <c r="D4" s="12"/>
      <c r="E4" s="12"/>
      <c r="F4" s="12"/>
      <c r="G4" s="12"/>
      <c r="H4" s="83">
        <v>2</v>
      </c>
      <c r="I4" s="12"/>
      <c r="J4" s="13"/>
      <c r="K4" s="13"/>
      <c r="L4" s="14" t="s">
        <v>18</v>
      </c>
      <c r="M4" s="16"/>
      <c r="N4" s="16"/>
      <c r="O4" s="17"/>
      <c r="P4" s="17"/>
      <c r="Q4" s="17"/>
      <c r="R4" s="17"/>
      <c r="S4" s="17"/>
      <c r="T4" s="17"/>
      <c r="U4" s="17"/>
      <c r="V4" s="17"/>
      <c r="W4" s="17"/>
      <c r="X4" s="17">
        <f t="shared" si="1"/>
        <v>3</v>
      </c>
      <c r="Y4" s="18">
        <f t="shared" si="2"/>
        <v>535399.44903581263</v>
      </c>
      <c r="Z4" s="24"/>
      <c r="AA4" s="25"/>
      <c r="AB4" s="21" t="b">
        <v>1</v>
      </c>
      <c r="AC4" s="22">
        <f t="shared" si="3"/>
        <v>535399.44903581263</v>
      </c>
      <c r="AD4" s="23"/>
      <c r="AE4" s="23"/>
    </row>
    <row r="5" spans="1:31" ht="15">
      <c r="A5" s="10">
        <f t="shared" si="0"/>
        <v>0</v>
      </c>
      <c r="B5" s="13"/>
      <c r="C5" s="13"/>
      <c r="D5" s="13"/>
      <c r="E5" s="13"/>
      <c r="F5" s="13"/>
      <c r="G5" s="13"/>
      <c r="H5" s="13"/>
      <c r="I5" s="13"/>
      <c r="J5" s="13"/>
      <c r="K5" s="13"/>
      <c r="L5" s="26" t="s">
        <v>19</v>
      </c>
      <c r="M5" s="16"/>
      <c r="N5" s="16"/>
      <c r="O5" s="17"/>
      <c r="P5" s="17"/>
      <c r="Q5" s="17"/>
      <c r="R5" s="17"/>
      <c r="S5" s="17"/>
      <c r="T5" s="17"/>
      <c r="U5" s="17"/>
      <c r="V5" s="17"/>
      <c r="W5" s="17"/>
      <c r="X5" s="17">
        <f t="shared" si="1"/>
        <v>4</v>
      </c>
      <c r="Y5" s="18">
        <f t="shared" si="2"/>
        <v>0</v>
      </c>
      <c r="Z5" s="24"/>
      <c r="AA5" s="25"/>
      <c r="AB5" s="21" t="b">
        <v>1</v>
      </c>
      <c r="AC5" s="22">
        <f t="shared" si="3"/>
        <v>0</v>
      </c>
      <c r="AD5" s="23"/>
      <c r="AE5" s="23"/>
    </row>
    <row r="6" spans="1:31" ht="16.5" customHeight="1">
      <c r="A6" s="10">
        <f t="shared" si="0"/>
        <v>0</v>
      </c>
      <c r="B6" s="13"/>
      <c r="C6" s="13"/>
      <c r="D6" s="13"/>
      <c r="E6" s="13"/>
      <c r="F6" s="13"/>
      <c r="G6" s="13"/>
      <c r="H6" s="13"/>
      <c r="I6" s="13"/>
      <c r="J6" s="13"/>
      <c r="K6" s="13"/>
      <c r="L6" s="17"/>
      <c r="M6" s="17"/>
      <c r="N6" s="17"/>
      <c r="O6" s="17"/>
      <c r="P6" s="17"/>
      <c r="Q6" s="17"/>
      <c r="R6" s="17"/>
      <c r="S6" s="17"/>
      <c r="T6" s="17"/>
      <c r="U6" s="17"/>
      <c r="V6" s="17"/>
      <c r="W6" s="17"/>
      <c r="X6" s="17">
        <f t="shared" si="1"/>
        <v>4</v>
      </c>
      <c r="Y6" s="18">
        <f t="shared" si="2"/>
        <v>0</v>
      </c>
      <c r="Z6" s="19"/>
      <c r="AA6" s="20"/>
      <c r="AB6" s="21" t="b">
        <v>1</v>
      </c>
      <c r="AC6" s="22">
        <f t="shared" si="3"/>
        <v>0</v>
      </c>
      <c r="AD6" s="23"/>
      <c r="AE6" s="23"/>
    </row>
    <row r="7" spans="1:31" ht="12.75">
      <c r="A7" s="10">
        <f t="shared" si="0"/>
        <v>0</v>
      </c>
      <c r="B7" s="13"/>
      <c r="C7" s="13"/>
      <c r="D7" s="13"/>
      <c r="E7" s="13"/>
      <c r="F7" s="13"/>
      <c r="G7" s="13"/>
      <c r="H7" s="13"/>
      <c r="I7" s="13"/>
      <c r="J7" s="13"/>
      <c r="K7" s="13"/>
      <c r="L7" s="86" t="s">
        <v>167</v>
      </c>
      <c r="M7" s="17"/>
      <c r="N7" s="17"/>
      <c r="O7" s="17"/>
      <c r="P7" s="17"/>
      <c r="Q7" s="17"/>
      <c r="R7" s="17"/>
      <c r="S7" s="82" t="s">
        <v>377</v>
      </c>
      <c r="T7" s="17"/>
      <c r="U7" s="17"/>
      <c r="V7" s="17"/>
      <c r="W7" s="17"/>
      <c r="X7" s="17">
        <f t="shared" si="1"/>
        <v>5</v>
      </c>
      <c r="Y7" s="18">
        <f t="shared" si="2"/>
        <v>5554033.8449429357</v>
      </c>
      <c r="Z7" s="24"/>
      <c r="AA7" s="25"/>
      <c r="AB7" s="21" t="b">
        <v>1</v>
      </c>
      <c r="AC7" s="22">
        <f t="shared" si="3"/>
        <v>5554033.8449429357</v>
      </c>
      <c r="AD7" s="23"/>
      <c r="AE7" s="23"/>
    </row>
    <row r="8" spans="1:31" ht="12.75">
      <c r="A8" s="10">
        <f t="shared" si="0"/>
        <v>3208815.4269972453</v>
      </c>
      <c r="B8" s="83">
        <v>4</v>
      </c>
      <c r="C8" s="11"/>
      <c r="D8" s="11"/>
      <c r="E8" s="11">
        <v>3</v>
      </c>
      <c r="F8" s="12"/>
      <c r="G8" s="83"/>
      <c r="H8" s="12"/>
      <c r="I8" s="12"/>
      <c r="J8" s="12"/>
      <c r="K8" s="83"/>
      <c r="L8" s="17"/>
      <c r="M8" s="17" t="s">
        <v>168</v>
      </c>
      <c r="N8" s="17"/>
      <c r="O8" s="17"/>
      <c r="P8" s="17"/>
      <c r="Q8" s="17"/>
      <c r="R8" s="17"/>
      <c r="S8" s="17"/>
      <c r="T8" s="17"/>
      <c r="U8" s="17"/>
      <c r="V8" s="17"/>
      <c r="W8" s="17"/>
      <c r="X8" s="17">
        <f t="shared" si="1"/>
        <v>5</v>
      </c>
      <c r="Y8" s="18">
        <f t="shared" si="2"/>
        <v>5554033.8449429357</v>
      </c>
      <c r="Z8" s="24"/>
      <c r="AA8" s="20"/>
      <c r="AB8" s="21" t="b">
        <v>1</v>
      </c>
      <c r="AC8" s="22">
        <f t="shared" si="3"/>
        <v>0</v>
      </c>
      <c r="AD8" s="28"/>
      <c r="AE8" s="28"/>
    </row>
    <row r="9" spans="1:31" ht="12.75">
      <c r="A9" s="10">
        <f t="shared" si="0"/>
        <v>1172609.2089728452</v>
      </c>
      <c r="B9" s="11"/>
      <c r="C9" s="12"/>
      <c r="D9" s="12"/>
      <c r="E9" s="83">
        <v>3</v>
      </c>
      <c r="F9" s="12"/>
      <c r="G9" s="11"/>
      <c r="H9" s="12"/>
      <c r="I9" s="12"/>
      <c r="J9" s="12"/>
      <c r="K9" s="83"/>
      <c r="L9" s="17"/>
      <c r="M9" s="17"/>
      <c r="N9" s="17" t="s">
        <v>169</v>
      </c>
      <c r="O9" s="17"/>
      <c r="P9" s="17"/>
      <c r="Q9" s="17"/>
      <c r="R9" s="17"/>
      <c r="S9" s="17"/>
      <c r="T9" s="17"/>
      <c r="U9" s="17"/>
      <c r="V9" s="17"/>
      <c r="W9" s="17"/>
      <c r="X9" s="17">
        <f t="shared" si="1"/>
        <v>5</v>
      </c>
      <c r="Y9" s="18">
        <f t="shared" si="2"/>
        <v>5554033.8449429357</v>
      </c>
      <c r="Z9" s="24"/>
      <c r="AA9" s="20"/>
      <c r="AB9" s="21" t="b">
        <v>1</v>
      </c>
      <c r="AC9" s="22">
        <f t="shared" si="3"/>
        <v>0</v>
      </c>
      <c r="AD9" s="28"/>
      <c r="AE9" s="28"/>
    </row>
    <row r="10" spans="1:31" ht="12.75">
      <c r="A10" s="10">
        <f t="shared" si="0"/>
        <v>0</v>
      </c>
      <c r="B10" s="13"/>
      <c r="C10" s="13"/>
      <c r="D10" s="13"/>
      <c r="E10" s="13"/>
      <c r="F10" s="13"/>
      <c r="G10" s="13"/>
      <c r="H10" s="13"/>
      <c r="I10" s="13"/>
      <c r="J10" s="13"/>
      <c r="K10" s="11"/>
      <c r="L10" s="17"/>
      <c r="M10" s="17"/>
      <c r="N10" s="16" t="s">
        <v>378</v>
      </c>
      <c r="O10" s="17"/>
      <c r="P10" s="17"/>
      <c r="Q10" s="17"/>
      <c r="R10" s="17"/>
      <c r="S10" s="17"/>
      <c r="T10" s="17"/>
      <c r="U10" s="17"/>
      <c r="V10" s="17"/>
      <c r="W10" s="17"/>
      <c r="X10" s="17">
        <f t="shared" si="1"/>
        <v>5</v>
      </c>
      <c r="Y10" s="18">
        <f t="shared" si="2"/>
        <v>5554033.8449429357</v>
      </c>
      <c r="Z10" s="24"/>
      <c r="AA10" s="20"/>
      <c r="AB10" s="21" t="b">
        <v>1</v>
      </c>
      <c r="AC10" s="22">
        <f t="shared" si="3"/>
        <v>0</v>
      </c>
      <c r="AD10" s="28"/>
      <c r="AE10" s="28"/>
    </row>
    <row r="11" spans="1:31" ht="12.75">
      <c r="A11" s="10">
        <f t="shared" si="0"/>
        <v>0</v>
      </c>
      <c r="B11" s="13"/>
      <c r="C11" s="13"/>
      <c r="D11" s="13"/>
      <c r="E11" s="13"/>
      <c r="F11" s="13"/>
      <c r="G11" s="13"/>
      <c r="H11" s="13"/>
      <c r="I11" s="13"/>
      <c r="J11" s="13"/>
      <c r="K11" s="83"/>
      <c r="L11" s="17"/>
      <c r="M11" s="17"/>
      <c r="N11" s="17" t="s">
        <v>171</v>
      </c>
      <c r="O11" s="17"/>
      <c r="P11" s="17"/>
      <c r="Q11" s="17"/>
      <c r="R11" s="17"/>
      <c r="S11" s="17"/>
      <c r="T11" s="17"/>
      <c r="U11" s="17"/>
      <c r="V11" s="17"/>
      <c r="W11" s="17"/>
      <c r="X11" s="17">
        <f t="shared" si="1"/>
        <v>5</v>
      </c>
      <c r="Y11" s="18">
        <f t="shared" si="2"/>
        <v>5554033.8449429357</v>
      </c>
      <c r="Z11" s="24"/>
      <c r="AA11" s="20"/>
      <c r="AB11" s="21" t="b">
        <v>1</v>
      </c>
      <c r="AC11" s="22">
        <f t="shared" si="3"/>
        <v>0</v>
      </c>
      <c r="AD11" s="28"/>
      <c r="AE11" s="28"/>
    </row>
    <row r="12" spans="1:31" ht="12.75">
      <c r="A12" s="10">
        <f t="shared" si="0"/>
        <v>0</v>
      </c>
      <c r="B12" s="13"/>
      <c r="C12" s="13"/>
      <c r="D12" s="13"/>
      <c r="E12" s="13"/>
      <c r="F12" s="13"/>
      <c r="G12" s="13"/>
      <c r="H12" s="13"/>
      <c r="I12" s="13"/>
      <c r="J12" s="13"/>
      <c r="K12" s="83"/>
      <c r="L12" s="17"/>
      <c r="M12" s="17"/>
      <c r="N12" s="17" t="s">
        <v>172</v>
      </c>
      <c r="O12" s="17"/>
      <c r="P12" s="17"/>
      <c r="Q12" s="17"/>
      <c r="R12" s="17"/>
      <c r="S12" s="17"/>
      <c r="T12" s="17"/>
      <c r="U12" s="17"/>
      <c r="V12" s="17"/>
      <c r="W12" s="17"/>
      <c r="X12" s="17">
        <f t="shared" si="1"/>
        <v>5</v>
      </c>
      <c r="Y12" s="18">
        <f t="shared" si="2"/>
        <v>5554033.8449429357</v>
      </c>
      <c r="Z12" s="24"/>
      <c r="AA12" s="20"/>
      <c r="AB12" s="21" t="b">
        <v>1</v>
      </c>
      <c r="AC12" s="22">
        <f t="shared" si="3"/>
        <v>0</v>
      </c>
      <c r="AD12" s="28"/>
      <c r="AE12" s="28"/>
    </row>
    <row r="13" spans="1:31" ht="12.75">
      <c r="A13" s="10">
        <f t="shared" si="0"/>
        <v>1172609.2089728452</v>
      </c>
      <c r="B13" s="11"/>
      <c r="C13" s="11"/>
      <c r="D13" s="11"/>
      <c r="E13" s="83">
        <v>3</v>
      </c>
      <c r="F13" s="11"/>
      <c r="G13" s="12"/>
      <c r="H13" s="12"/>
      <c r="I13" s="12"/>
      <c r="J13" s="12"/>
      <c r="K13" s="11"/>
      <c r="L13" s="17"/>
      <c r="M13" s="17" t="s">
        <v>173</v>
      </c>
      <c r="N13" s="17"/>
      <c r="O13" s="17"/>
      <c r="P13" s="17"/>
      <c r="Q13" s="17"/>
      <c r="R13" s="17"/>
      <c r="S13" s="17"/>
      <c r="T13" s="17"/>
      <c r="U13" s="17"/>
      <c r="V13" s="17"/>
      <c r="W13" s="17"/>
      <c r="X13" s="17">
        <f t="shared" si="1"/>
        <v>5</v>
      </c>
      <c r="Y13" s="18">
        <f t="shared" si="2"/>
        <v>5554033.8449429357</v>
      </c>
      <c r="Z13" s="24"/>
      <c r="AA13" s="20"/>
      <c r="AB13" s="21" t="b">
        <v>1</v>
      </c>
      <c r="AC13" s="22">
        <f t="shared" si="3"/>
        <v>0</v>
      </c>
      <c r="AD13" s="28"/>
      <c r="AE13" s="28"/>
    </row>
    <row r="14" spans="1:31" ht="12.75">
      <c r="A14" s="10">
        <f t="shared" si="0"/>
        <v>0</v>
      </c>
      <c r="B14" s="13"/>
      <c r="C14" s="13"/>
      <c r="D14" s="13"/>
      <c r="E14" s="13"/>
      <c r="F14" s="13"/>
      <c r="G14" s="13"/>
      <c r="H14" s="13"/>
      <c r="I14" s="13"/>
      <c r="J14" s="13"/>
      <c r="K14" s="13"/>
      <c r="L14" s="86" t="s">
        <v>185</v>
      </c>
      <c r="M14" s="17"/>
      <c r="N14" s="17"/>
      <c r="O14" s="17"/>
      <c r="P14" s="17"/>
      <c r="Q14" s="17"/>
      <c r="R14" s="17"/>
      <c r="S14" s="17"/>
      <c r="T14" s="17"/>
      <c r="U14" s="17"/>
      <c r="V14" s="17"/>
      <c r="W14" s="17"/>
      <c r="X14" s="17">
        <f t="shared" si="1"/>
        <v>6</v>
      </c>
      <c r="Y14" s="18">
        <f t="shared" si="2"/>
        <v>4033223.1404958684</v>
      </c>
      <c r="Z14" s="24"/>
      <c r="AA14" s="20"/>
      <c r="AB14" s="21" t="b">
        <v>1</v>
      </c>
      <c r="AC14" s="22">
        <f t="shared" si="3"/>
        <v>4033223.1404958684</v>
      </c>
      <c r="AD14" s="28"/>
      <c r="AE14" s="28"/>
    </row>
    <row r="15" spans="1:31" ht="12.75">
      <c r="A15" s="10">
        <f t="shared" si="0"/>
        <v>2838870.5234159781</v>
      </c>
      <c r="B15" s="83">
        <v>1</v>
      </c>
      <c r="C15" s="13">
        <v>2</v>
      </c>
      <c r="D15" s="13">
        <v>2</v>
      </c>
      <c r="E15" s="83"/>
      <c r="F15" s="13">
        <v>3</v>
      </c>
      <c r="G15" s="13">
        <v>1</v>
      </c>
      <c r="H15" s="13"/>
      <c r="I15" s="13"/>
      <c r="J15" s="13"/>
      <c r="K15" s="13"/>
      <c r="L15" s="17"/>
      <c r="M15" s="17" t="s">
        <v>186</v>
      </c>
      <c r="N15" s="17"/>
      <c r="O15" s="17"/>
      <c r="P15" s="17"/>
      <c r="Q15" s="17"/>
      <c r="R15" s="17"/>
      <c r="S15" s="17"/>
      <c r="T15" s="17"/>
      <c r="U15" s="17"/>
      <c r="V15" s="17"/>
      <c r="W15" s="17"/>
      <c r="X15" s="17">
        <f t="shared" si="1"/>
        <v>6</v>
      </c>
      <c r="Y15" s="18">
        <f t="shared" si="2"/>
        <v>4033223.1404958684</v>
      </c>
      <c r="Z15" s="24"/>
      <c r="AA15" s="20"/>
      <c r="AB15" s="21" t="b">
        <v>1</v>
      </c>
      <c r="AC15" s="22">
        <f t="shared" si="3"/>
        <v>0</v>
      </c>
      <c r="AD15" s="28"/>
      <c r="AE15" s="28"/>
    </row>
    <row r="16" spans="1:31" ht="12.75">
      <c r="A16" s="10">
        <f t="shared" si="0"/>
        <v>535655.25383707206</v>
      </c>
      <c r="B16" s="13"/>
      <c r="C16" s="13">
        <v>1</v>
      </c>
      <c r="D16" s="13">
        <v>1</v>
      </c>
      <c r="E16" s="13"/>
      <c r="F16" s="13"/>
      <c r="G16" s="13"/>
      <c r="H16" s="13"/>
      <c r="I16" s="13"/>
      <c r="J16" s="13"/>
      <c r="K16" s="13"/>
      <c r="L16" s="17"/>
      <c r="M16" s="17" t="s">
        <v>187</v>
      </c>
      <c r="N16" s="17"/>
      <c r="O16" s="17"/>
      <c r="P16" s="17"/>
      <c r="Q16" s="17"/>
      <c r="R16" s="17"/>
      <c r="S16" s="17"/>
      <c r="T16" s="17"/>
      <c r="U16" s="17"/>
      <c r="V16" s="17"/>
      <c r="W16" s="17"/>
      <c r="X16" s="17">
        <f t="shared" si="1"/>
        <v>6</v>
      </c>
      <c r="Y16" s="18">
        <f t="shared" si="2"/>
        <v>4033223.1404958684</v>
      </c>
      <c r="Z16" s="24"/>
      <c r="AA16" s="20"/>
      <c r="AB16" s="21" t="b">
        <v>1</v>
      </c>
      <c r="AC16" s="22">
        <f t="shared" si="3"/>
        <v>0</v>
      </c>
      <c r="AD16" s="28"/>
      <c r="AE16" s="28"/>
    </row>
    <row r="17" spans="1:31" ht="12.75">
      <c r="A17" s="10">
        <f t="shared" si="0"/>
        <v>658697.36324281781</v>
      </c>
      <c r="B17" s="13"/>
      <c r="C17" s="13"/>
      <c r="D17" s="13"/>
      <c r="E17" s="13"/>
      <c r="F17" s="13">
        <v>2</v>
      </c>
      <c r="G17" s="13"/>
      <c r="H17" s="13"/>
      <c r="I17" s="13"/>
      <c r="J17" s="13"/>
      <c r="K17" s="13"/>
      <c r="L17" s="17"/>
      <c r="M17" s="17" t="s">
        <v>188</v>
      </c>
      <c r="N17" s="17"/>
      <c r="O17" s="17"/>
      <c r="P17" s="17"/>
      <c r="Q17" s="17"/>
      <c r="R17" s="17"/>
      <c r="S17" s="17"/>
      <c r="T17" s="17"/>
      <c r="U17" s="17"/>
      <c r="V17" s="17"/>
      <c r="W17" s="17"/>
      <c r="X17" s="17">
        <f t="shared" si="1"/>
        <v>6</v>
      </c>
      <c r="Y17" s="18">
        <f t="shared" si="2"/>
        <v>4033223.1404958684</v>
      </c>
      <c r="Z17" s="24"/>
      <c r="AA17" s="20"/>
      <c r="AB17" s="21" t="b">
        <v>1</v>
      </c>
      <c r="AC17" s="22">
        <f t="shared" si="3"/>
        <v>0</v>
      </c>
      <c r="AD17" s="28"/>
      <c r="AE17" s="28"/>
    </row>
    <row r="18" spans="1:31" ht="12.75">
      <c r="A18" s="10">
        <f t="shared" si="0"/>
        <v>0</v>
      </c>
      <c r="B18" s="13"/>
      <c r="C18" s="13"/>
      <c r="D18" s="13"/>
      <c r="E18" s="13"/>
      <c r="F18" s="13"/>
      <c r="G18" s="13"/>
      <c r="H18" s="13"/>
      <c r="I18" s="13"/>
      <c r="J18" s="13"/>
      <c r="K18" s="13"/>
      <c r="L18" s="86" t="s">
        <v>189</v>
      </c>
      <c r="M18" s="17"/>
      <c r="N18" s="17"/>
      <c r="O18" s="17"/>
      <c r="P18" s="17"/>
      <c r="Q18" s="17"/>
      <c r="R18" s="17"/>
      <c r="S18" s="17"/>
      <c r="T18" s="17"/>
      <c r="U18" s="17"/>
      <c r="V18" s="17"/>
      <c r="W18" s="17"/>
      <c r="X18" s="17">
        <f t="shared" si="1"/>
        <v>7</v>
      </c>
      <c r="Y18" s="18">
        <f t="shared" si="2"/>
        <v>2838870.5234159781</v>
      </c>
      <c r="Z18" s="24"/>
      <c r="AA18" s="20"/>
      <c r="AB18" s="21" t="b">
        <v>1</v>
      </c>
      <c r="AC18" s="22">
        <f t="shared" si="3"/>
        <v>2838870.5234159781</v>
      </c>
      <c r="AD18" s="28"/>
      <c r="AE18" s="28"/>
    </row>
    <row r="19" spans="1:31" ht="12.75">
      <c r="A19" s="10">
        <f t="shared" si="0"/>
        <v>1644517.9063360882</v>
      </c>
      <c r="B19" s="13">
        <v>1</v>
      </c>
      <c r="C19" s="13">
        <v>1</v>
      </c>
      <c r="D19" s="13">
        <v>1</v>
      </c>
      <c r="E19" s="13"/>
      <c r="F19" s="13">
        <v>1</v>
      </c>
      <c r="G19" s="13">
        <v>1</v>
      </c>
      <c r="H19" s="13"/>
      <c r="I19" s="13"/>
      <c r="J19" s="13"/>
      <c r="K19" s="13"/>
      <c r="L19" s="17"/>
      <c r="M19" s="17" t="s">
        <v>190</v>
      </c>
      <c r="N19" s="17"/>
      <c r="O19" s="17"/>
      <c r="P19" s="17"/>
      <c r="Q19" s="17"/>
      <c r="R19" s="17"/>
      <c r="S19" s="17"/>
      <c r="T19" s="17"/>
      <c r="U19" s="17"/>
      <c r="V19" s="17"/>
      <c r="W19" s="17"/>
      <c r="X19" s="17">
        <f t="shared" si="1"/>
        <v>7</v>
      </c>
      <c r="Y19" s="18">
        <f t="shared" si="2"/>
        <v>2838870.5234159781</v>
      </c>
      <c r="Z19" s="24"/>
      <c r="AA19" s="20"/>
      <c r="AB19" s="21" t="b">
        <v>1</v>
      </c>
      <c r="AC19" s="22">
        <f t="shared" si="3"/>
        <v>0</v>
      </c>
      <c r="AD19" s="28"/>
      <c r="AE19" s="28"/>
    </row>
    <row r="20" spans="1:31" ht="12.75">
      <c r="A20" s="10">
        <f t="shared" si="0"/>
        <v>0</v>
      </c>
      <c r="B20" s="13"/>
      <c r="C20" s="13"/>
      <c r="D20" s="13"/>
      <c r="E20" s="13"/>
      <c r="F20" s="13"/>
      <c r="G20" s="13"/>
      <c r="H20" s="13"/>
      <c r="I20" s="13"/>
      <c r="J20" s="13"/>
      <c r="K20" s="13"/>
      <c r="L20" s="17"/>
      <c r="M20" s="17"/>
      <c r="N20" s="17" t="s">
        <v>191</v>
      </c>
      <c r="O20" s="17"/>
      <c r="P20" s="17"/>
      <c r="Q20" s="17"/>
      <c r="R20" s="17"/>
      <c r="S20" s="17"/>
      <c r="T20" s="17"/>
      <c r="U20" s="17"/>
      <c r="V20" s="17"/>
      <c r="W20" s="17"/>
      <c r="X20" s="17">
        <f t="shared" si="1"/>
        <v>7</v>
      </c>
      <c r="Y20" s="18">
        <f t="shared" si="2"/>
        <v>2838870.5234159781</v>
      </c>
      <c r="Z20" s="24"/>
      <c r="AA20" s="20"/>
      <c r="AB20" s="21" t="b">
        <v>1</v>
      </c>
      <c r="AC20" s="22">
        <f t="shared" si="3"/>
        <v>0</v>
      </c>
      <c r="AD20" s="28"/>
      <c r="AE20" s="28"/>
    </row>
    <row r="21" spans="1:31" ht="12.75">
      <c r="A21" s="10">
        <f t="shared" si="0"/>
        <v>329348.6816214089</v>
      </c>
      <c r="B21" s="13"/>
      <c r="C21" s="13"/>
      <c r="D21" s="13"/>
      <c r="E21" s="13"/>
      <c r="F21" s="13">
        <v>1</v>
      </c>
      <c r="G21" s="13"/>
      <c r="H21" s="13"/>
      <c r="I21" s="13"/>
      <c r="J21" s="13"/>
      <c r="K21" s="13"/>
      <c r="L21" s="17"/>
      <c r="M21" s="17"/>
      <c r="N21" s="16" t="s">
        <v>379</v>
      </c>
      <c r="O21" s="17"/>
      <c r="P21" s="17"/>
      <c r="Q21" s="17"/>
      <c r="R21" s="17"/>
      <c r="S21" s="17"/>
      <c r="T21" s="17"/>
      <c r="U21" s="17"/>
      <c r="V21" s="17"/>
      <c r="W21" s="17"/>
      <c r="X21" s="17">
        <f t="shared" si="1"/>
        <v>7</v>
      </c>
      <c r="Y21" s="18">
        <f t="shared" si="2"/>
        <v>2838870.5234159781</v>
      </c>
      <c r="Z21" s="24"/>
      <c r="AA21" s="20"/>
      <c r="AB21" s="21" t="b">
        <v>1</v>
      </c>
      <c r="AC21" s="22">
        <f t="shared" si="3"/>
        <v>0</v>
      </c>
      <c r="AD21" s="28"/>
      <c r="AE21" s="28"/>
    </row>
    <row r="22" spans="1:31" ht="12.75">
      <c r="A22" s="10">
        <f t="shared" si="0"/>
        <v>865003.93545848096</v>
      </c>
      <c r="B22" s="13"/>
      <c r="C22" s="13">
        <v>1</v>
      </c>
      <c r="D22" s="13">
        <v>1</v>
      </c>
      <c r="E22" s="13"/>
      <c r="F22" s="13">
        <v>1</v>
      </c>
      <c r="G22" s="13"/>
      <c r="H22" s="13"/>
      <c r="I22" s="13"/>
      <c r="J22" s="13"/>
      <c r="K22" s="13"/>
      <c r="L22" s="17"/>
      <c r="M22" s="17" t="s">
        <v>193</v>
      </c>
      <c r="N22" s="17"/>
      <c r="O22" s="17"/>
      <c r="P22" s="17"/>
      <c r="Q22" s="17"/>
      <c r="R22" s="17"/>
      <c r="S22" s="17"/>
      <c r="T22" s="17"/>
      <c r="U22" s="17"/>
      <c r="V22" s="17"/>
      <c r="W22" s="17"/>
      <c r="X22" s="17">
        <f t="shared" si="1"/>
        <v>7</v>
      </c>
      <c r="Y22" s="18">
        <f t="shared" si="2"/>
        <v>2838870.5234159781</v>
      </c>
      <c r="Z22" s="24"/>
      <c r="AA22" s="20"/>
      <c r="AB22" s="21" t="b">
        <v>1</v>
      </c>
      <c r="AC22" s="22">
        <f t="shared" si="3"/>
        <v>0</v>
      </c>
      <c r="AD22" s="28"/>
      <c r="AE22" s="28"/>
    </row>
    <row r="23" spans="1:31" ht="12.75">
      <c r="A23" s="10">
        <f t="shared" si="0"/>
        <v>0</v>
      </c>
      <c r="B23" s="13"/>
      <c r="C23" s="13"/>
      <c r="D23" s="13"/>
      <c r="E23" s="13"/>
      <c r="F23" s="13"/>
      <c r="G23" s="13"/>
      <c r="H23" s="13"/>
      <c r="I23" s="13"/>
      <c r="J23" s="13"/>
      <c r="K23" s="13"/>
      <c r="L23" s="86" t="s">
        <v>195</v>
      </c>
      <c r="M23" s="17"/>
      <c r="N23" s="17"/>
      <c r="O23" s="17"/>
      <c r="P23" s="17"/>
      <c r="Q23" s="17"/>
      <c r="R23" s="17"/>
      <c r="S23" s="17"/>
      <c r="T23" s="17"/>
      <c r="U23" s="17"/>
      <c r="V23" s="17"/>
      <c r="W23" s="17"/>
      <c r="X23" s="17">
        <f t="shared" si="1"/>
        <v>8</v>
      </c>
      <c r="Y23" s="18">
        <f t="shared" si="2"/>
        <v>1000235.1436442346</v>
      </c>
      <c r="Z23" s="24"/>
      <c r="AA23" s="20"/>
      <c r="AB23" s="21" t="b">
        <v>1</v>
      </c>
      <c r="AC23" s="22">
        <f t="shared" si="3"/>
        <v>1000235.1436442346</v>
      </c>
      <c r="AD23" s="28"/>
      <c r="AE23" s="28"/>
    </row>
    <row r="24" spans="1:31" ht="12.75">
      <c r="A24" s="10">
        <f t="shared" si="0"/>
        <v>1000235.1436442346</v>
      </c>
      <c r="B24" s="13"/>
      <c r="C24" s="13">
        <v>1</v>
      </c>
      <c r="D24" s="13">
        <v>1</v>
      </c>
      <c r="E24" s="13"/>
      <c r="F24" s="13">
        <v>1</v>
      </c>
      <c r="G24" s="13">
        <v>0.5</v>
      </c>
      <c r="H24" s="13"/>
      <c r="I24" s="13"/>
      <c r="J24" s="13"/>
      <c r="K24" s="13"/>
      <c r="L24" s="17"/>
      <c r="M24" s="17" t="s">
        <v>196</v>
      </c>
      <c r="N24" s="17"/>
      <c r="O24" s="17"/>
      <c r="P24" s="17"/>
      <c r="Q24" s="17"/>
      <c r="R24" s="17"/>
      <c r="S24" s="17"/>
      <c r="T24" s="17"/>
      <c r="U24" s="17"/>
      <c r="V24" s="17"/>
      <c r="W24" s="17"/>
      <c r="X24" s="17">
        <f t="shared" si="1"/>
        <v>8</v>
      </c>
      <c r="Y24" s="18">
        <f t="shared" si="2"/>
        <v>1000235.1436442346</v>
      </c>
      <c r="Z24" s="19"/>
      <c r="AA24" s="30"/>
      <c r="AB24" s="21" t="b">
        <v>1</v>
      </c>
      <c r="AC24" s="22">
        <f t="shared" si="3"/>
        <v>0</v>
      </c>
      <c r="AD24" s="28"/>
      <c r="AE24" s="28"/>
    </row>
    <row r="25" spans="1:31" ht="12.75">
      <c r="A25" s="10">
        <f t="shared" si="0"/>
        <v>0</v>
      </c>
      <c r="B25" s="13"/>
      <c r="C25" s="13"/>
      <c r="D25" s="13"/>
      <c r="E25" s="13"/>
      <c r="F25" s="13"/>
      <c r="G25" s="13"/>
      <c r="H25" s="13"/>
      <c r="I25" s="13"/>
      <c r="J25" s="13"/>
      <c r="K25" s="13"/>
      <c r="L25" s="17"/>
      <c r="M25" s="17"/>
      <c r="N25" s="17"/>
      <c r="O25" s="17"/>
      <c r="P25" s="17"/>
      <c r="Q25" s="17"/>
      <c r="R25" s="17"/>
      <c r="S25" s="17"/>
      <c r="T25" s="17"/>
      <c r="U25" s="17"/>
      <c r="V25" s="17"/>
      <c r="W25" s="17"/>
      <c r="X25" s="17">
        <f t="shared" si="1"/>
        <v>8</v>
      </c>
      <c r="Y25" s="18">
        <f t="shared" si="2"/>
        <v>1000235.1436442346</v>
      </c>
      <c r="Z25" s="19"/>
      <c r="AA25" s="30"/>
      <c r="AB25" s="21" t="b">
        <v>1</v>
      </c>
      <c r="AC25" s="22">
        <f t="shared" si="3"/>
        <v>0</v>
      </c>
      <c r="AD25" s="28"/>
      <c r="AE25" s="28"/>
    </row>
    <row r="26" spans="1:31" ht="12.75">
      <c r="A26" s="10">
        <f t="shared" si="0"/>
        <v>0</v>
      </c>
      <c r="B26" s="13"/>
      <c r="C26" s="13"/>
      <c r="D26" s="13"/>
      <c r="E26" s="13"/>
      <c r="F26" s="13"/>
      <c r="G26" s="13"/>
      <c r="H26" s="13"/>
      <c r="I26" s="13"/>
      <c r="J26" s="13"/>
      <c r="K26" s="13"/>
      <c r="L26" s="86" t="s">
        <v>198</v>
      </c>
      <c r="M26" s="17"/>
      <c r="N26" s="17"/>
      <c r="O26" s="17"/>
      <c r="P26" s="17"/>
      <c r="Q26" s="17"/>
      <c r="R26" s="17"/>
      <c r="S26" s="17"/>
      <c r="T26" s="17"/>
      <c r="U26" s="17"/>
      <c r="V26" s="17"/>
      <c r="W26" s="17"/>
      <c r="X26" s="17">
        <f t="shared" si="1"/>
        <v>9</v>
      </c>
      <c r="Y26" s="18">
        <f t="shared" si="2"/>
        <v>1000235.1436442346</v>
      </c>
      <c r="Z26" s="24"/>
      <c r="AA26" s="20"/>
      <c r="AB26" s="21" t="b">
        <v>1</v>
      </c>
      <c r="AC26" s="22">
        <f t="shared" si="3"/>
        <v>1000235.1436442346</v>
      </c>
      <c r="AD26" s="32"/>
      <c r="AE26" s="32"/>
    </row>
    <row r="27" spans="1:31" ht="12.75">
      <c r="A27" s="10">
        <f t="shared" si="0"/>
        <v>1000235.1436442346</v>
      </c>
      <c r="B27" s="13"/>
      <c r="C27" s="13">
        <v>1</v>
      </c>
      <c r="D27" s="13">
        <v>1</v>
      </c>
      <c r="E27" s="13"/>
      <c r="F27" s="13">
        <v>1</v>
      </c>
      <c r="G27" s="13">
        <v>0.5</v>
      </c>
      <c r="H27" s="13"/>
      <c r="I27" s="13"/>
      <c r="J27" s="13"/>
      <c r="K27" s="13"/>
      <c r="L27" s="17"/>
      <c r="M27" s="17" t="s">
        <v>199</v>
      </c>
      <c r="N27" s="17"/>
      <c r="O27" s="17"/>
      <c r="P27" s="17"/>
      <c r="Q27" s="17"/>
      <c r="R27" s="17"/>
      <c r="S27" s="17"/>
      <c r="T27" s="17"/>
      <c r="U27" s="17"/>
      <c r="V27" s="17"/>
      <c r="W27" s="17"/>
      <c r="X27" s="17">
        <f t="shared" si="1"/>
        <v>9</v>
      </c>
      <c r="Y27" s="18">
        <f t="shared" si="2"/>
        <v>1000235.1436442346</v>
      </c>
      <c r="Z27" s="19"/>
      <c r="AA27" s="20"/>
      <c r="AB27" s="21" t="b">
        <v>1</v>
      </c>
      <c r="AC27" s="22">
        <f t="shared" si="3"/>
        <v>0</v>
      </c>
      <c r="AD27" s="28"/>
      <c r="AE27" s="28"/>
    </row>
    <row r="28" spans="1:31" ht="12.75">
      <c r="A28" s="10">
        <f t="shared" si="0"/>
        <v>0</v>
      </c>
      <c r="B28" s="13"/>
      <c r="C28" s="13"/>
      <c r="D28" s="13"/>
      <c r="E28" s="13"/>
      <c r="F28" s="13"/>
      <c r="G28" s="13"/>
      <c r="H28" s="13"/>
      <c r="I28" s="13"/>
      <c r="J28" s="13"/>
      <c r="K28" s="13"/>
      <c r="L28" s="17"/>
      <c r="M28" s="17" t="s">
        <v>201</v>
      </c>
      <c r="N28" s="17"/>
      <c r="O28" s="17"/>
      <c r="P28" s="17"/>
      <c r="Q28" s="17"/>
      <c r="R28" s="17"/>
      <c r="S28" s="17"/>
      <c r="T28" s="17"/>
      <c r="U28" s="17"/>
      <c r="V28" s="17"/>
      <c r="W28" s="17"/>
      <c r="X28" s="17">
        <f t="shared" si="1"/>
        <v>9</v>
      </c>
      <c r="Y28" s="18">
        <f t="shared" si="2"/>
        <v>1000235.1436442346</v>
      </c>
      <c r="Z28" s="24"/>
      <c r="AA28" s="20"/>
      <c r="AB28" s="21" t="b">
        <v>1</v>
      </c>
      <c r="AC28" s="22">
        <f t="shared" si="3"/>
        <v>0</v>
      </c>
      <c r="AD28" s="32"/>
      <c r="AE28" s="32"/>
    </row>
    <row r="29" spans="1:31" ht="12.75">
      <c r="A29" s="10">
        <f t="shared" si="0"/>
        <v>0</v>
      </c>
      <c r="B29" s="13"/>
      <c r="C29" s="13"/>
      <c r="D29" s="13"/>
      <c r="E29" s="13"/>
      <c r="F29" s="13"/>
      <c r="G29" s="13"/>
      <c r="H29" s="13"/>
      <c r="I29" s="13"/>
      <c r="J29" s="13"/>
      <c r="K29" s="13"/>
      <c r="L29" s="17"/>
      <c r="M29" s="17"/>
      <c r="N29" s="17"/>
      <c r="O29" s="17"/>
      <c r="P29" s="17"/>
      <c r="Q29" s="17"/>
      <c r="R29" s="17"/>
      <c r="S29" s="17"/>
      <c r="T29" s="17"/>
      <c r="U29" s="17"/>
      <c r="V29" s="17"/>
      <c r="W29" s="17"/>
      <c r="X29" s="17">
        <f t="shared" si="1"/>
        <v>9</v>
      </c>
      <c r="Y29" s="18">
        <f t="shared" si="2"/>
        <v>1000235.1436442346</v>
      </c>
      <c r="Z29" s="24"/>
      <c r="AA29" s="20"/>
      <c r="AB29" s="21" t="b">
        <v>1</v>
      </c>
      <c r="AC29" s="22">
        <f t="shared" si="3"/>
        <v>0</v>
      </c>
      <c r="AD29" s="32"/>
      <c r="AE29" s="32"/>
    </row>
    <row r="30" spans="1:31" ht="12.75">
      <c r="A30" s="10">
        <f t="shared" si="0"/>
        <v>2750745.7693821327</v>
      </c>
      <c r="B30" s="13">
        <v>2</v>
      </c>
      <c r="C30" s="13">
        <v>1.5</v>
      </c>
      <c r="D30" s="13">
        <v>1.5</v>
      </c>
      <c r="E30" s="13"/>
      <c r="F30" s="13">
        <v>2</v>
      </c>
      <c r="G30" s="13">
        <v>1</v>
      </c>
      <c r="H30" s="13"/>
      <c r="I30" s="13"/>
      <c r="J30" s="13"/>
      <c r="K30" s="13"/>
      <c r="L30" s="86" t="s">
        <v>205</v>
      </c>
      <c r="M30" s="17"/>
      <c r="N30" s="17"/>
      <c r="O30" s="17"/>
      <c r="P30" s="17"/>
      <c r="Q30" s="17"/>
      <c r="R30" s="17"/>
      <c r="S30" s="17"/>
      <c r="T30" s="17"/>
      <c r="U30" s="17"/>
      <c r="V30" s="17"/>
      <c r="W30" s="17"/>
      <c r="X30" s="17">
        <f t="shared" si="1"/>
        <v>10</v>
      </c>
      <c r="Y30" s="18">
        <f t="shared" si="2"/>
        <v>2750745.7693821327</v>
      </c>
      <c r="Z30" s="24"/>
      <c r="AA30" s="20"/>
      <c r="AB30" s="21" t="b">
        <v>1</v>
      </c>
      <c r="AC30" s="22">
        <f t="shared" si="3"/>
        <v>2750745.7693821327</v>
      </c>
      <c r="AD30" s="28"/>
      <c r="AE30" s="28"/>
    </row>
    <row r="31" spans="1:31" ht="12.75">
      <c r="A31" s="10">
        <f t="shared" si="0"/>
        <v>0</v>
      </c>
      <c r="B31" s="13"/>
      <c r="C31" s="13"/>
      <c r="D31" s="13"/>
      <c r="E31" s="13"/>
      <c r="F31" s="13"/>
      <c r="G31" s="13"/>
      <c r="H31" s="13"/>
      <c r="I31" s="13"/>
      <c r="J31" s="13"/>
      <c r="K31" s="13"/>
      <c r="L31" s="17"/>
      <c r="M31" s="17" t="s">
        <v>206</v>
      </c>
      <c r="N31" s="17"/>
      <c r="O31" s="17"/>
      <c r="P31" s="17"/>
      <c r="Q31" s="17"/>
      <c r="R31" s="17"/>
      <c r="S31" s="17"/>
      <c r="T31" s="17"/>
      <c r="U31" s="17"/>
      <c r="V31" s="17"/>
      <c r="W31" s="17"/>
      <c r="X31" s="17">
        <f t="shared" si="1"/>
        <v>10</v>
      </c>
      <c r="Y31" s="18">
        <f t="shared" si="2"/>
        <v>2750745.7693821327</v>
      </c>
      <c r="Z31" s="24"/>
      <c r="AA31" s="20"/>
      <c r="AB31" s="21" t="b">
        <v>1</v>
      </c>
      <c r="AC31" s="22">
        <f t="shared" si="3"/>
        <v>0</v>
      </c>
      <c r="AD31" s="28"/>
      <c r="AE31" s="28"/>
    </row>
    <row r="32" spans="1:31" ht="12.75">
      <c r="A32" s="10">
        <f t="shared" si="0"/>
        <v>0</v>
      </c>
      <c r="B32" s="13"/>
      <c r="C32" s="13"/>
      <c r="D32" s="13"/>
      <c r="E32" s="13"/>
      <c r="F32" s="13"/>
      <c r="G32" s="13"/>
      <c r="H32" s="13"/>
      <c r="I32" s="13"/>
      <c r="J32" s="13"/>
      <c r="K32" s="13"/>
      <c r="L32" s="17"/>
      <c r="M32" s="17" t="s">
        <v>207</v>
      </c>
      <c r="N32" s="17"/>
      <c r="O32" s="17"/>
      <c r="P32" s="17"/>
      <c r="Q32" s="17"/>
      <c r="R32" s="17"/>
      <c r="S32" s="17"/>
      <c r="T32" s="17"/>
      <c r="U32" s="17"/>
      <c r="V32" s="17"/>
      <c r="W32" s="17"/>
      <c r="X32" s="17">
        <f t="shared" si="1"/>
        <v>10</v>
      </c>
      <c r="Y32" s="18">
        <f t="shared" si="2"/>
        <v>2750745.7693821327</v>
      </c>
      <c r="Z32" s="24"/>
      <c r="AA32" s="20"/>
      <c r="AB32" s="21" t="b">
        <v>1</v>
      </c>
      <c r="AC32" s="22">
        <f t="shared" si="3"/>
        <v>0</v>
      </c>
      <c r="AD32" s="28"/>
      <c r="AE32" s="28"/>
    </row>
    <row r="33" spans="1:31" ht="12.75">
      <c r="A33" s="10">
        <f t="shared" si="0"/>
        <v>0</v>
      </c>
      <c r="B33" s="13"/>
      <c r="C33" s="13"/>
      <c r="D33" s="13"/>
      <c r="E33" s="13"/>
      <c r="F33" s="13"/>
      <c r="G33" s="13"/>
      <c r="H33" s="13"/>
      <c r="I33" s="13"/>
      <c r="J33" s="13"/>
      <c r="K33" s="13"/>
      <c r="L33" s="17"/>
      <c r="M33" s="17" t="s">
        <v>208</v>
      </c>
      <c r="N33" s="17"/>
      <c r="O33" s="17"/>
      <c r="P33" s="17"/>
      <c r="Q33" s="17"/>
      <c r="R33" s="17"/>
      <c r="S33" s="17"/>
      <c r="T33" s="17"/>
      <c r="U33" s="17"/>
      <c r="V33" s="17"/>
      <c r="W33" s="17"/>
      <c r="X33" s="17">
        <f t="shared" si="1"/>
        <v>10</v>
      </c>
      <c r="Y33" s="18">
        <f t="shared" si="2"/>
        <v>2750745.7693821327</v>
      </c>
      <c r="Z33" s="24"/>
      <c r="AA33" s="20"/>
      <c r="AB33" s="21" t="b">
        <v>1</v>
      </c>
      <c r="AC33" s="22">
        <f t="shared" si="3"/>
        <v>0</v>
      </c>
      <c r="AD33" s="32"/>
      <c r="AE33" s="32"/>
    </row>
    <row r="34" spans="1:31" ht="12.75">
      <c r="A34" s="10">
        <f t="shared" si="0"/>
        <v>0</v>
      </c>
      <c r="B34" s="13"/>
      <c r="C34" s="13"/>
      <c r="D34" s="13"/>
      <c r="E34" s="13"/>
      <c r="F34" s="13"/>
      <c r="G34" s="13"/>
      <c r="H34" s="13"/>
      <c r="I34" s="13"/>
      <c r="J34" s="13"/>
      <c r="K34" s="13"/>
      <c r="L34" s="17"/>
      <c r="M34" s="17" t="s">
        <v>209</v>
      </c>
      <c r="N34" s="17"/>
      <c r="O34" s="17"/>
      <c r="P34" s="17"/>
      <c r="Q34" s="17"/>
      <c r="R34" s="17"/>
      <c r="S34" s="17"/>
      <c r="T34" s="17"/>
      <c r="U34" s="17"/>
      <c r="V34" s="17"/>
      <c r="W34" s="17"/>
      <c r="X34" s="17">
        <f t="shared" si="1"/>
        <v>10</v>
      </c>
      <c r="Y34" s="18">
        <f t="shared" si="2"/>
        <v>2750745.7693821327</v>
      </c>
      <c r="Z34" s="24"/>
      <c r="AA34" s="20"/>
      <c r="AB34" s="21" t="b">
        <v>1</v>
      </c>
      <c r="AC34" s="22">
        <f t="shared" si="3"/>
        <v>0</v>
      </c>
      <c r="AD34" s="32"/>
      <c r="AE34" s="32"/>
    </row>
    <row r="35" spans="1:31" ht="12.75">
      <c r="A35" s="10">
        <f t="shared" si="0"/>
        <v>0</v>
      </c>
      <c r="B35" s="13"/>
      <c r="C35" s="13"/>
      <c r="D35" s="13"/>
      <c r="E35" s="13"/>
      <c r="F35" s="13"/>
      <c r="G35" s="13"/>
      <c r="H35" s="13"/>
      <c r="I35" s="13"/>
      <c r="J35" s="13"/>
      <c r="K35" s="13"/>
      <c r="L35" s="17"/>
      <c r="M35" s="17" t="s">
        <v>210</v>
      </c>
      <c r="N35" s="17"/>
      <c r="O35" s="17"/>
      <c r="P35" s="17"/>
      <c r="Q35" s="17"/>
      <c r="R35" s="17"/>
      <c r="S35" s="17"/>
      <c r="T35" s="17"/>
      <c r="U35" s="17"/>
      <c r="V35" s="17"/>
      <c r="W35" s="17"/>
      <c r="X35" s="17">
        <f t="shared" si="1"/>
        <v>10</v>
      </c>
      <c r="Y35" s="18">
        <f t="shared" si="2"/>
        <v>2750745.7693821327</v>
      </c>
      <c r="Z35" s="24"/>
      <c r="AA35" s="20"/>
      <c r="AB35" s="21" t="b">
        <v>1</v>
      </c>
      <c r="AC35" s="22">
        <f t="shared" si="3"/>
        <v>0</v>
      </c>
      <c r="AD35" s="32"/>
      <c r="AE35" s="32"/>
    </row>
    <row r="36" spans="1:31" ht="12.75">
      <c r="A36" s="10">
        <f t="shared" si="0"/>
        <v>0</v>
      </c>
      <c r="B36" s="13"/>
      <c r="C36" s="13"/>
      <c r="D36" s="13"/>
      <c r="E36" s="13"/>
      <c r="F36" s="13"/>
      <c r="G36" s="13"/>
      <c r="H36" s="13"/>
      <c r="I36" s="13"/>
      <c r="J36" s="13"/>
      <c r="K36" s="13"/>
      <c r="L36" s="17"/>
      <c r="M36" s="17" t="s">
        <v>211</v>
      </c>
      <c r="N36" s="17"/>
      <c r="O36" s="17"/>
      <c r="P36" s="17"/>
      <c r="Q36" s="17"/>
      <c r="R36" s="17"/>
      <c r="S36" s="17"/>
      <c r="T36" s="17"/>
      <c r="U36" s="17"/>
      <c r="V36" s="17"/>
      <c r="W36" s="17"/>
      <c r="X36" s="17">
        <f t="shared" si="1"/>
        <v>10</v>
      </c>
      <c r="Y36" s="18">
        <f t="shared" si="2"/>
        <v>2750745.7693821327</v>
      </c>
      <c r="Z36" s="24"/>
      <c r="AA36" s="20"/>
      <c r="AB36" s="21" t="b">
        <v>1</v>
      </c>
      <c r="AC36" s="22">
        <f t="shared" si="3"/>
        <v>0</v>
      </c>
      <c r="AD36" s="32"/>
      <c r="AE36" s="32"/>
    </row>
    <row r="37" spans="1:31" ht="12.75">
      <c r="A37" s="10">
        <f t="shared" si="0"/>
        <v>0</v>
      </c>
      <c r="B37" s="13"/>
      <c r="C37" s="13"/>
      <c r="D37" s="13"/>
      <c r="E37" s="13"/>
      <c r="F37" s="13"/>
      <c r="G37" s="13"/>
      <c r="H37" s="13"/>
      <c r="I37" s="13"/>
      <c r="J37" s="13"/>
      <c r="K37" s="13"/>
      <c r="L37" s="17"/>
      <c r="M37" s="17"/>
      <c r="N37" s="17"/>
      <c r="O37" s="17"/>
      <c r="P37" s="17"/>
      <c r="Q37" s="17"/>
      <c r="R37" s="17"/>
      <c r="S37" s="17"/>
      <c r="T37" s="17"/>
      <c r="U37" s="17"/>
      <c r="V37" s="17"/>
      <c r="W37" s="17"/>
      <c r="X37" s="17">
        <f t="shared" si="1"/>
        <v>10</v>
      </c>
      <c r="Y37" s="18">
        <f t="shared" si="2"/>
        <v>2750745.7693821327</v>
      </c>
      <c r="Z37" s="24"/>
      <c r="AA37" s="20"/>
      <c r="AB37" s="21" t="b">
        <v>1</v>
      </c>
      <c r="AC37" s="22">
        <f t="shared" si="3"/>
        <v>0</v>
      </c>
      <c r="AD37" s="32"/>
      <c r="AE37" s="32"/>
    </row>
    <row r="38" spans="1:31" ht="12.75">
      <c r="A38" s="10">
        <f t="shared" si="0"/>
        <v>0</v>
      </c>
      <c r="B38" s="13"/>
      <c r="C38" s="13"/>
      <c r="D38" s="13"/>
      <c r="E38" s="13"/>
      <c r="F38" s="13"/>
      <c r="G38" s="13"/>
      <c r="H38" s="13"/>
      <c r="I38" s="13"/>
      <c r="J38" s="13"/>
      <c r="K38" s="13"/>
      <c r="L38" s="86"/>
      <c r="M38" s="17"/>
      <c r="N38" s="17"/>
      <c r="O38" s="17"/>
      <c r="P38" s="17"/>
      <c r="Q38" s="17"/>
      <c r="R38" s="17"/>
      <c r="S38" s="17"/>
      <c r="T38" s="17"/>
      <c r="U38" s="17"/>
      <c r="V38" s="17"/>
      <c r="W38" s="17"/>
      <c r="X38" s="17">
        <f t="shared" si="1"/>
        <v>10</v>
      </c>
      <c r="Y38" s="18">
        <f t="shared" si="2"/>
        <v>2750745.7693821327</v>
      </c>
      <c r="Z38" s="24"/>
      <c r="AA38" s="20"/>
      <c r="AB38" s="21" t="b">
        <v>1</v>
      </c>
      <c r="AC38" s="22">
        <f t="shared" si="3"/>
        <v>0</v>
      </c>
      <c r="AD38" s="32"/>
      <c r="AE38" s="32"/>
    </row>
    <row r="39" spans="1:31" ht="12.75">
      <c r="A39" s="10">
        <f t="shared" si="0"/>
        <v>0</v>
      </c>
      <c r="B39" s="13"/>
      <c r="C39" s="13"/>
      <c r="D39" s="13"/>
      <c r="E39" s="13"/>
      <c r="F39" s="13"/>
      <c r="G39" s="13"/>
      <c r="H39" s="13"/>
      <c r="I39" s="13"/>
      <c r="J39" s="13"/>
      <c r="K39" s="13"/>
      <c r="L39" s="17"/>
      <c r="M39" s="17"/>
      <c r="N39" s="17"/>
      <c r="O39" s="17"/>
      <c r="P39" s="17"/>
      <c r="Q39" s="17"/>
      <c r="R39" s="17"/>
      <c r="S39" s="17"/>
      <c r="T39" s="17"/>
      <c r="U39" s="17"/>
      <c r="V39" s="17"/>
      <c r="W39" s="17"/>
      <c r="X39" s="17">
        <f t="shared" si="1"/>
        <v>10</v>
      </c>
      <c r="Y39" s="18">
        <f t="shared" si="2"/>
        <v>2750745.7693821327</v>
      </c>
      <c r="Z39" s="24"/>
      <c r="AA39" s="20"/>
      <c r="AB39" s="21" t="b">
        <v>1</v>
      </c>
      <c r="AC39" s="22">
        <f t="shared" si="3"/>
        <v>0</v>
      </c>
      <c r="AD39" s="32"/>
      <c r="AE39" s="32"/>
    </row>
    <row r="40" spans="1:31" ht="12.75">
      <c r="A40" s="10">
        <f t="shared" si="0"/>
        <v>0</v>
      </c>
      <c r="B40" s="13"/>
      <c r="C40" s="13"/>
      <c r="D40" s="13"/>
      <c r="E40" s="13"/>
      <c r="F40" s="13"/>
      <c r="G40" s="13"/>
      <c r="H40" s="13"/>
      <c r="I40" s="13"/>
      <c r="J40" s="13"/>
      <c r="K40" s="13"/>
      <c r="L40" s="17"/>
      <c r="M40" s="17"/>
      <c r="N40" s="17"/>
      <c r="O40" s="17"/>
      <c r="P40" s="17"/>
      <c r="Q40" s="17"/>
      <c r="R40" s="17"/>
      <c r="S40" s="17"/>
      <c r="T40" s="17"/>
      <c r="U40" s="17"/>
      <c r="V40" s="17"/>
      <c r="W40" s="17"/>
      <c r="X40" s="17">
        <f t="shared" si="1"/>
        <v>10</v>
      </c>
      <c r="Y40" s="18">
        <f t="shared" si="2"/>
        <v>2750745.7693821327</v>
      </c>
      <c r="Z40" s="24"/>
      <c r="AA40" s="20"/>
      <c r="AB40" s="21" t="b">
        <v>1</v>
      </c>
      <c r="AC40" s="22">
        <f t="shared" si="3"/>
        <v>0</v>
      </c>
      <c r="AD40" s="32"/>
      <c r="AE40" s="32"/>
    </row>
    <row r="41" spans="1:31" ht="12.75">
      <c r="A41" s="10">
        <f t="shared" si="0"/>
        <v>0</v>
      </c>
      <c r="B41" s="13"/>
      <c r="C41" s="13"/>
      <c r="D41" s="13"/>
      <c r="E41" s="13"/>
      <c r="F41" s="13"/>
      <c r="G41" s="13"/>
      <c r="H41" s="13"/>
      <c r="I41" s="13"/>
      <c r="J41" s="13"/>
      <c r="K41" s="13"/>
      <c r="L41" s="17"/>
      <c r="M41" s="17"/>
      <c r="N41" s="17"/>
      <c r="O41" s="17"/>
      <c r="P41" s="17"/>
      <c r="Q41" s="17"/>
      <c r="R41" s="17"/>
      <c r="S41" s="17"/>
      <c r="T41" s="17"/>
      <c r="U41" s="17"/>
      <c r="V41" s="17"/>
      <c r="W41" s="17"/>
      <c r="X41" s="17">
        <f t="shared" si="1"/>
        <v>10</v>
      </c>
      <c r="Y41" s="18">
        <f t="shared" si="2"/>
        <v>2750745.7693821327</v>
      </c>
      <c r="Z41" s="24"/>
      <c r="AA41" s="20"/>
      <c r="AB41" s="21" t="b">
        <v>1</v>
      </c>
      <c r="AC41" s="22">
        <f t="shared" si="3"/>
        <v>0</v>
      </c>
      <c r="AD41" s="32"/>
      <c r="AE41" s="32"/>
    </row>
    <row r="42" spans="1:31" ht="12.75">
      <c r="A42" s="10">
        <f t="shared" si="0"/>
        <v>0</v>
      </c>
      <c r="B42" s="13"/>
      <c r="C42" s="13"/>
      <c r="D42" s="13"/>
      <c r="E42" s="13"/>
      <c r="F42" s="13"/>
      <c r="G42" s="13"/>
      <c r="H42" s="13"/>
      <c r="I42" s="13"/>
      <c r="J42" s="13"/>
      <c r="K42" s="13"/>
      <c r="L42" s="17"/>
      <c r="M42" s="17"/>
      <c r="N42" s="17"/>
      <c r="O42" s="17"/>
      <c r="P42" s="17"/>
      <c r="Q42" s="17"/>
      <c r="R42" s="17"/>
      <c r="S42" s="17"/>
      <c r="T42" s="17"/>
      <c r="U42" s="17"/>
      <c r="V42" s="17"/>
      <c r="W42" s="17"/>
      <c r="X42" s="17">
        <f t="shared" si="1"/>
        <v>10</v>
      </c>
      <c r="Y42" s="18">
        <f t="shared" si="2"/>
        <v>2750745.7693821327</v>
      </c>
      <c r="Z42" s="24"/>
      <c r="AA42" s="20"/>
      <c r="AB42" s="21" t="b">
        <v>1</v>
      </c>
      <c r="AC42" s="22">
        <f t="shared" si="3"/>
        <v>0</v>
      </c>
      <c r="AD42" s="32"/>
      <c r="AE42" s="32"/>
    </row>
    <row r="43" spans="1:31" ht="12.75">
      <c r="A43" s="10">
        <f t="shared" si="0"/>
        <v>0</v>
      </c>
      <c r="B43" s="13"/>
      <c r="C43" s="13"/>
      <c r="D43" s="13"/>
      <c r="E43" s="13"/>
      <c r="F43" s="13"/>
      <c r="G43" s="13"/>
      <c r="H43" s="13"/>
      <c r="I43" s="13"/>
      <c r="J43" s="13"/>
      <c r="K43" s="13"/>
      <c r="L43" s="17"/>
      <c r="M43" s="17"/>
      <c r="N43" s="17"/>
      <c r="O43" s="17"/>
      <c r="P43" s="17"/>
      <c r="Q43" s="17"/>
      <c r="R43" s="17"/>
      <c r="S43" s="17"/>
      <c r="T43" s="17"/>
      <c r="U43" s="17"/>
      <c r="V43" s="17"/>
      <c r="W43" s="17"/>
      <c r="X43" s="17">
        <f t="shared" si="1"/>
        <v>10</v>
      </c>
      <c r="Y43" s="18">
        <f t="shared" si="2"/>
        <v>2750745.7693821327</v>
      </c>
      <c r="Z43" s="24"/>
      <c r="AA43" s="20"/>
      <c r="AB43" s="21" t="b">
        <v>1</v>
      </c>
      <c r="AC43" s="22">
        <f t="shared" si="3"/>
        <v>0</v>
      </c>
      <c r="AD43" s="32"/>
      <c r="AE43" s="32"/>
    </row>
    <row r="44" spans="1:31" ht="12.75">
      <c r="A44" s="10">
        <f t="shared" si="0"/>
        <v>0</v>
      </c>
      <c r="B44" s="13"/>
      <c r="C44" s="13"/>
      <c r="D44" s="13"/>
      <c r="E44" s="13"/>
      <c r="F44" s="13"/>
      <c r="G44" s="13"/>
      <c r="H44" s="13"/>
      <c r="I44" s="13"/>
      <c r="J44" s="13"/>
      <c r="K44" s="13"/>
      <c r="L44" s="17"/>
      <c r="M44" s="17"/>
      <c r="N44" s="17"/>
      <c r="O44" s="17"/>
      <c r="P44" s="17"/>
      <c r="Q44" s="17"/>
      <c r="R44" s="17"/>
      <c r="S44" s="17"/>
      <c r="T44" s="17"/>
      <c r="U44" s="17"/>
      <c r="V44" s="17"/>
      <c r="W44" s="17"/>
      <c r="X44" s="17">
        <f t="shared" ref="X44:X45" si="4">COUNTIF($L$2:L35,"&lt;&gt;"&amp;"")</f>
        <v>10</v>
      </c>
      <c r="Y44" s="18">
        <f t="shared" si="2"/>
        <v>2750745.7693821327</v>
      </c>
      <c r="Z44" s="24"/>
      <c r="AA44" s="20"/>
      <c r="AB44" s="21" t="b">
        <v>1</v>
      </c>
      <c r="AC44" s="22">
        <f t="shared" si="3"/>
        <v>0</v>
      </c>
      <c r="AD44" s="32"/>
      <c r="AE44" s="32"/>
    </row>
    <row r="45" spans="1:31" ht="12.75">
      <c r="A45" s="10">
        <f t="shared" si="0"/>
        <v>0</v>
      </c>
      <c r="B45" s="13"/>
      <c r="C45" s="13"/>
      <c r="D45" s="13"/>
      <c r="E45" s="13"/>
      <c r="F45" s="13"/>
      <c r="G45" s="13"/>
      <c r="H45" s="13"/>
      <c r="I45" s="13"/>
      <c r="J45" s="13"/>
      <c r="K45" s="13"/>
      <c r="L45" s="17"/>
      <c r="M45" s="17"/>
      <c r="N45" s="17"/>
      <c r="O45" s="17"/>
      <c r="P45" s="17"/>
      <c r="Q45" s="17"/>
      <c r="R45" s="17"/>
      <c r="S45" s="17"/>
      <c r="T45" s="17"/>
      <c r="U45" s="17"/>
      <c r="V45" s="17"/>
      <c r="W45" s="17"/>
      <c r="X45" s="17">
        <f t="shared" si="4"/>
        <v>10</v>
      </c>
      <c r="Y45" s="18">
        <f t="shared" si="2"/>
        <v>2750745.7693821327</v>
      </c>
      <c r="Z45" s="24"/>
      <c r="AA45" s="20"/>
      <c r="AB45" s="21" t="b">
        <v>1</v>
      </c>
      <c r="AC45" s="22">
        <f t="shared" si="3"/>
        <v>0</v>
      </c>
      <c r="AD45" s="32"/>
      <c r="AE45" s="32"/>
    </row>
    <row r="46" spans="1:31" ht="12.75">
      <c r="A46" s="10">
        <f t="shared" si="0"/>
        <v>0</v>
      </c>
      <c r="B46" s="13"/>
      <c r="C46" s="13"/>
      <c r="D46" s="13"/>
      <c r="E46" s="13"/>
      <c r="F46" s="13"/>
      <c r="G46" s="13"/>
      <c r="H46" s="13"/>
      <c r="I46" s="13"/>
      <c r="J46" s="13"/>
      <c r="K46" s="13"/>
      <c r="L46" s="17"/>
      <c r="M46" s="17"/>
      <c r="N46" s="17"/>
      <c r="O46" s="17"/>
      <c r="P46" s="17"/>
      <c r="Q46" s="17"/>
      <c r="R46" s="17"/>
      <c r="S46" s="17"/>
      <c r="T46" s="17"/>
      <c r="U46" s="17"/>
      <c r="V46" s="17"/>
      <c r="W46" s="17"/>
      <c r="X46" s="17">
        <f t="shared" ref="X46:X48" si="5">COUNTIF($L$2:L46,"&lt;&gt;"&amp;"")</f>
        <v>10</v>
      </c>
      <c r="Y46" s="18">
        <f t="shared" si="2"/>
        <v>2750745.7693821327</v>
      </c>
      <c r="Z46" s="24"/>
      <c r="AA46" s="20"/>
      <c r="AB46" s="21" t="b">
        <v>1</v>
      </c>
      <c r="AC46" s="22">
        <f t="shared" si="3"/>
        <v>0</v>
      </c>
      <c r="AD46" s="32"/>
      <c r="AE46" s="32"/>
    </row>
    <row r="47" spans="1:31" ht="12.75">
      <c r="A47" s="10">
        <f t="shared" si="0"/>
        <v>0</v>
      </c>
      <c r="B47" s="23"/>
      <c r="C47" s="23"/>
      <c r="D47" s="23"/>
      <c r="E47" s="23"/>
      <c r="F47" s="23"/>
      <c r="G47" s="23"/>
      <c r="H47" s="23"/>
      <c r="I47" s="23"/>
      <c r="J47" s="23"/>
      <c r="K47" s="23"/>
      <c r="L47" s="17"/>
      <c r="M47" s="17"/>
      <c r="N47" s="17"/>
      <c r="O47" s="17"/>
      <c r="P47" s="17"/>
      <c r="Q47" s="17"/>
      <c r="R47" s="17"/>
      <c r="S47" s="17"/>
      <c r="T47" s="17"/>
      <c r="U47" s="17"/>
      <c r="V47" s="17"/>
      <c r="W47" s="17"/>
      <c r="X47" s="17">
        <f t="shared" si="5"/>
        <v>10</v>
      </c>
      <c r="Y47" s="18">
        <f t="shared" si="2"/>
        <v>2750745.7693821327</v>
      </c>
      <c r="Z47" s="24"/>
      <c r="AA47" s="20"/>
      <c r="AB47" s="21" t="b">
        <v>1</v>
      </c>
      <c r="AC47" s="22">
        <f t="shared" si="3"/>
        <v>0</v>
      </c>
      <c r="AD47" s="23"/>
      <c r="AE47" s="23"/>
    </row>
    <row r="48" spans="1:31" ht="12.75">
      <c r="A48" s="10">
        <f t="shared" si="0"/>
        <v>0</v>
      </c>
      <c r="B48" s="23"/>
      <c r="C48" s="23"/>
      <c r="D48" s="23"/>
      <c r="E48" s="23"/>
      <c r="F48" s="23"/>
      <c r="G48" s="23"/>
      <c r="H48" s="23"/>
      <c r="I48" s="23"/>
      <c r="J48" s="23"/>
      <c r="K48" s="23"/>
      <c r="L48" s="17"/>
      <c r="M48" s="17"/>
      <c r="N48" s="17"/>
      <c r="O48" s="17"/>
      <c r="P48" s="17"/>
      <c r="Q48" s="17"/>
      <c r="R48" s="17"/>
      <c r="S48" s="17"/>
      <c r="T48" s="17"/>
      <c r="U48" s="17"/>
      <c r="V48" s="17"/>
      <c r="W48" s="17"/>
      <c r="X48" s="17">
        <f t="shared" si="5"/>
        <v>10</v>
      </c>
      <c r="Y48" s="18">
        <f t="shared" si="2"/>
        <v>2750745.7693821327</v>
      </c>
      <c r="Z48" s="24"/>
      <c r="AA48" s="20"/>
      <c r="AB48" s="21" t="b">
        <v>1</v>
      </c>
      <c r="AC48" s="22">
        <f t="shared" si="3"/>
        <v>0</v>
      </c>
      <c r="AD48" s="23"/>
      <c r="AE48" s="23"/>
    </row>
    <row r="49" spans="1:31" ht="12.75">
      <c r="A49" s="33"/>
      <c r="B49" s="33"/>
      <c r="C49" s="33"/>
      <c r="D49" s="33"/>
      <c r="E49" s="33"/>
      <c r="F49" s="33"/>
      <c r="G49" s="33"/>
      <c r="H49" s="33"/>
      <c r="I49" s="33"/>
      <c r="J49" s="33"/>
      <c r="K49" s="33"/>
      <c r="L49" s="34"/>
      <c r="M49" s="34"/>
      <c r="N49" s="35"/>
      <c r="O49" s="35" t="s">
        <v>20</v>
      </c>
      <c r="P49" s="34"/>
      <c r="Q49" s="34"/>
      <c r="R49" s="34"/>
      <c r="S49" s="34"/>
      <c r="T49" s="34"/>
      <c r="U49" s="34"/>
      <c r="V49" s="34"/>
      <c r="W49" s="34"/>
      <c r="X49" s="34"/>
      <c r="Y49" s="34"/>
      <c r="Z49" s="34"/>
      <c r="AA49" s="34"/>
      <c r="AB49" s="34"/>
      <c r="AC49" s="34"/>
      <c r="AD49" s="23"/>
      <c r="AE49" s="23"/>
    </row>
    <row r="50" spans="1:31" ht="15">
      <c r="A50" s="36">
        <f>ROW()</f>
        <v>50</v>
      </c>
      <c r="B50" s="23">
        <f t="shared" ref="B50:K50" si="6">SUM(B2:B49)</f>
        <v>10</v>
      </c>
      <c r="C50" s="23">
        <f t="shared" si="6"/>
        <v>9.5</v>
      </c>
      <c r="D50" s="23">
        <f t="shared" si="6"/>
        <v>9.5</v>
      </c>
      <c r="E50" s="23">
        <f t="shared" si="6"/>
        <v>9</v>
      </c>
      <c r="F50" s="23">
        <f t="shared" si="6"/>
        <v>12</v>
      </c>
      <c r="G50" s="23">
        <f t="shared" si="6"/>
        <v>4</v>
      </c>
      <c r="H50" s="23">
        <f t="shared" si="6"/>
        <v>2</v>
      </c>
      <c r="I50" s="23">
        <f t="shared" si="6"/>
        <v>0</v>
      </c>
      <c r="J50" s="23">
        <f t="shared" si="6"/>
        <v>0</v>
      </c>
      <c r="K50" s="23">
        <f t="shared" si="6"/>
        <v>0</v>
      </c>
      <c r="L50" s="27"/>
      <c r="M50" s="16"/>
      <c r="N50" s="16"/>
      <c r="O50" s="17"/>
      <c r="P50" s="23"/>
      <c r="Q50" s="23"/>
      <c r="R50" s="23"/>
      <c r="S50" s="23"/>
      <c r="T50" s="23"/>
      <c r="U50" s="23"/>
      <c r="V50" s="23"/>
      <c r="W50" s="13"/>
      <c r="X50" s="23"/>
      <c r="Y50" s="23"/>
      <c r="Z50" s="23"/>
      <c r="AA50" s="23"/>
      <c r="AB50" s="23"/>
      <c r="AC50" s="37"/>
      <c r="AD50" s="23"/>
      <c r="AE50" s="23"/>
    </row>
    <row r="51" spans="1:31" ht="12.75">
      <c r="A51" s="23"/>
      <c r="B51" s="23"/>
      <c r="C51" s="38"/>
      <c r="D51" s="38"/>
      <c r="E51" s="38"/>
      <c r="F51" s="38"/>
      <c r="G51" s="38"/>
      <c r="H51" s="38"/>
      <c r="I51" s="130" t="s">
        <v>21</v>
      </c>
      <c r="J51" s="117"/>
      <c r="K51" s="117"/>
      <c r="L51" s="117"/>
      <c r="M51" s="131">
        <f>400000+120000</f>
        <v>520000</v>
      </c>
      <c r="N51" s="117"/>
      <c r="O51" s="117"/>
      <c r="P51" s="23"/>
      <c r="Q51" s="23"/>
      <c r="R51" s="23"/>
      <c r="S51" s="38"/>
      <c r="T51" s="38"/>
      <c r="U51" s="38"/>
      <c r="V51" s="23"/>
      <c r="W51" s="23"/>
      <c r="X51" s="23"/>
      <c r="Y51" s="23"/>
      <c r="Z51" s="23"/>
      <c r="AA51" s="23"/>
      <c r="AB51" s="23"/>
      <c r="AC51" s="37"/>
      <c r="AD51" s="23"/>
      <c r="AE51" s="23"/>
    </row>
    <row r="52" spans="1:31" ht="15">
      <c r="A52" s="23"/>
      <c r="B52" s="23"/>
      <c r="C52" s="38"/>
      <c r="D52" s="39" t="s">
        <v>22</v>
      </c>
      <c r="E52" s="40">
        <v>1423000</v>
      </c>
      <c r="F52" s="41" t="s">
        <v>23</v>
      </c>
      <c r="G52" s="42">
        <v>200000</v>
      </c>
      <c r="H52" s="38"/>
      <c r="I52" s="43" t="s">
        <v>24</v>
      </c>
      <c r="J52" s="44">
        <v>0.18</v>
      </c>
      <c r="K52" s="44"/>
      <c r="L52" s="45" t="s">
        <v>25</v>
      </c>
      <c r="M52" s="46">
        <f>2.7/12</f>
        <v>0.22500000000000001</v>
      </c>
      <c r="N52" s="47" t="s">
        <v>26</v>
      </c>
      <c r="O52" s="48">
        <f>40*4.2*((244-2)/260)</f>
        <v>156.36923076923077</v>
      </c>
      <c r="P52" s="38"/>
      <c r="Q52" s="43" t="s">
        <v>27</v>
      </c>
      <c r="R52" s="49"/>
      <c r="S52" s="38"/>
      <c r="T52" s="50">
        <v>8</v>
      </c>
      <c r="U52" s="51" t="s">
        <v>28</v>
      </c>
      <c r="V52" s="52"/>
      <c r="W52" s="23"/>
      <c r="X52" s="23"/>
      <c r="Y52" s="23"/>
      <c r="Z52" s="23"/>
      <c r="AA52" s="23"/>
      <c r="AB52" s="23"/>
      <c r="AC52" s="37"/>
      <c r="AD52" s="23"/>
      <c r="AE52" s="23"/>
    </row>
    <row r="53" spans="1:31" ht="12.75">
      <c r="A53" s="23"/>
      <c r="B53" s="23"/>
      <c r="C53" s="127" t="s">
        <v>29</v>
      </c>
      <c r="D53" s="117"/>
      <c r="E53" s="117"/>
      <c r="F53" s="127" t="s">
        <v>30</v>
      </c>
      <c r="G53" s="117"/>
      <c r="H53" s="117"/>
      <c r="I53" s="127" t="s">
        <v>31</v>
      </c>
      <c r="J53" s="117"/>
      <c r="K53" s="117"/>
      <c r="L53" s="117"/>
      <c r="M53" s="127" t="s">
        <v>32</v>
      </c>
      <c r="N53" s="117"/>
      <c r="O53" s="117"/>
      <c r="P53" s="127" t="s">
        <v>33</v>
      </c>
      <c r="Q53" s="117"/>
      <c r="R53" s="117"/>
      <c r="S53" s="38"/>
      <c r="T53" s="38"/>
      <c r="U53" s="53" t="s">
        <v>26</v>
      </c>
      <c r="V53" s="127" t="s">
        <v>34</v>
      </c>
      <c r="W53" s="117"/>
      <c r="X53" s="117"/>
      <c r="Y53" s="23"/>
      <c r="Z53" s="23"/>
      <c r="AA53" s="23"/>
      <c r="AB53" s="23"/>
      <c r="AC53" s="37"/>
      <c r="AD53" s="23"/>
      <c r="AE53" s="23"/>
    </row>
    <row r="54" spans="1:31" ht="12.75">
      <c r="A54" s="54" t="s">
        <v>35</v>
      </c>
      <c r="B54" s="53" t="str">
        <f>B1</f>
        <v>DB</v>
      </c>
      <c r="C54" s="116">
        <v>6000000</v>
      </c>
      <c r="D54" s="117"/>
      <c r="E54" s="117"/>
      <c r="F54" s="116">
        <v>1000000</v>
      </c>
      <c r="G54" s="117"/>
      <c r="H54" s="117"/>
      <c r="I54" s="116">
        <v>0</v>
      </c>
      <c r="J54" s="117"/>
      <c r="K54" s="117"/>
      <c r="L54" s="117"/>
      <c r="M54" s="116">
        <f t="shared" ref="M54:M63" si="7">C54*(1+$J$52+$M$52)+F54+I54+$M$51+IF(($E$52*2)&gt;=C54,$G$52,0)</f>
        <v>9950000</v>
      </c>
      <c r="N54" s="117"/>
      <c r="O54" s="117"/>
      <c r="P54" s="124">
        <f t="shared" ref="P54:P63" si="8">M54/$O$52*(1+$R$52)</f>
        <v>63631.444313262495</v>
      </c>
      <c r="Q54" s="117"/>
      <c r="R54" s="117"/>
      <c r="S54" s="38"/>
      <c r="T54" s="38"/>
      <c r="U54" s="23">
        <f t="shared" ref="U54:U63" si="9">HLOOKUP(B54,$B$1:$K$50,$A$50,0)*$T$52</f>
        <v>80</v>
      </c>
      <c r="W54" s="55">
        <f t="shared" ref="W54:W63" si="10">P54*U54</f>
        <v>5090515.5450609997</v>
      </c>
      <c r="Y54" s="23"/>
      <c r="Z54" s="23"/>
      <c r="AA54" s="23"/>
      <c r="AB54" s="23"/>
      <c r="AC54" s="87">
        <v>44000000</v>
      </c>
      <c r="AD54" s="23"/>
      <c r="AE54" s="23"/>
    </row>
    <row r="55" spans="1:31" ht="12.75">
      <c r="A55" s="54" t="s">
        <v>36</v>
      </c>
      <c r="B55" s="53" t="str">
        <f>C1</f>
        <v>UX</v>
      </c>
      <c r="C55" s="116">
        <v>3000000</v>
      </c>
      <c r="D55" s="117"/>
      <c r="E55" s="117"/>
      <c r="F55" s="116">
        <v>500000</v>
      </c>
      <c r="G55" s="117"/>
      <c r="H55" s="117"/>
      <c r="I55" s="116">
        <v>0</v>
      </c>
      <c r="J55" s="117"/>
      <c r="K55" s="117"/>
      <c r="L55" s="117"/>
      <c r="M55" s="116">
        <f t="shared" si="7"/>
        <v>5235000</v>
      </c>
      <c r="N55" s="117"/>
      <c r="O55" s="117"/>
      <c r="P55" s="124">
        <f t="shared" si="8"/>
        <v>33478.453364817004</v>
      </c>
      <c r="Q55" s="117"/>
      <c r="R55" s="117"/>
      <c r="S55" s="38"/>
      <c r="T55" s="38"/>
      <c r="U55" s="23">
        <f t="shared" si="9"/>
        <v>76</v>
      </c>
      <c r="W55" s="55">
        <f t="shared" si="10"/>
        <v>2544362.4557260922</v>
      </c>
      <c r="Y55" s="23"/>
      <c r="Z55" s="23"/>
      <c r="AA55" s="23"/>
      <c r="AB55" s="23"/>
      <c r="AC55" s="37"/>
      <c r="AD55" s="23"/>
      <c r="AE55" s="23"/>
    </row>
    <row r="56" spans="1:31" ht="12.75">
      <c r="A56" s="54" t="s">
        <v>37</v>
      </c>
      <c r="B56" s="53" t="str">
        <f>D1</f>
        <v>FM</v>
      </c>
      <c r="C56" s="116">
        <v>3000000</v>
      </c>
      <c r="D56" s="117"/>
      <c r="E56" s="117"/>
      <c r="F56" s="116">
        <v>500000</v>
      </c>
      <c r="G56" s="117"/>
      <c r="H56" s="117"/>
      <c r="I56" s="116">
        <v>0</v>
      </c>
      <c r="J56" s="117"/>
      <c r="K56" s="117"/>
      <c r="L56" s="117"/>
      <c r="M56" s="116">
        <f t="shared" si="7"/>
        <v>5235000</v>
      </c>
      <c r="N56" s="117"/>
      <c r="O56" s="117"/>
      <c r="P56" s="124">
        <f t="shared" si="8"/>
        <v>33478.453364817004</v>
      </c>
      <c r="Q56" s="117"/>
      <c r="R56" s="117"/>
      <c r="S56" s="38"/>
      <c r="T56" s="38"/>
      <c r="U56" s="23">
        <f t="shared" si="9"/>
        <v>76</v>
      </c>
      <c r="W56" s="55">
        <f t="shared" si="10"/>
        <v>2544362.4557260922</v>
      </c>
      <c r="Y56" s="23"/>
      <c r="Z56" s="23"/>
      <c r="AA56" s="23"/>
      <c r="AB56" s="23"/>
      <c r="AC56" s="37"/>
      <c r="AD56" s="23"/>
      <c r="AE56" s="23"/>
    </row>
    <row r="57" spans="1:31" ht="12.75">
      <c r="A57" s="54" t="s">
        <v>38</v>
      </c>
      <c r="B57" s="53" t="str">
        <f>E1</f>
        <v>BS</v>
      </c>
      <c r="C57" s="116">
        <v>4000000</v>
      </c>
      <c r="D57" s="117"/>
      <c r="E57" s="117"/>
      <c r="F57" s="116">
        <v>1500000</v>
      </c>
      <c r="G57" s="117"/>
      <c r="H57" s="117"/>
      <c r="I57" s="116">
        <v>0</v>
      </c>
      <c r="J57" s="117"/>
      <c r="K57" s="117"/>
      <c r="L57" s="117"/>
      <c r="M57" s="116">
        <f t="shared" si="7"/>
        <v>7640000</v>
      </c>
      <c r="N57" s="117"/>
      <c r="O57" s="117"/>
      <c r="P57" s="124">
        <f t="shared" si="8"/>
        <v>48858.717040535223</v>
      </c>
      <c r="Q57" s="117"/>
      <c r="R57" s="117"/>
      <c r="S57" s="38"/>
      <c r="T57" s="38"/>
      <c r="U57" s="23">
        <f t="shared" si="9"/>
        <v>72</v>
      </c>
      <c r="W57" s="55">
        <f t="shared" si="10"/>
        <v>3517827.6269185361</v>
      </c>
      <c r="Y57" s="23"/>
      <c r="Z57" s="23"/>
      <c r="AA57" s="23"/>
      <c r="AB57" s="23"/>
      <c r="AC57" s="37">
        <f>AC54-74000000</f>
        <v>-30000000</v>
      </c>
      <c r="AD57" s="23"/>
      <c r="AE57" s="23"/>
    </row>
    <row r="58" spans="1:31" ht="12.75">
      <c r="A58" s="54" t="s">
        <v>39</v>
      </c>
      <c r="B58" s="53" t="str">
        <f>F1</f>
        <v>BM</v>
      </c>
      <c r="C58" s="116">
        <v>3500000</v>
      </c>
      <c r="D58" s="117"/>
      <c r="E58" s="117"/>
      <c r="F58" s="116">
        <v>1000000</v>
      </c>
      <c r="G58" s="117"/>
      <c r="H58" s="117"/>
      <c r="I58" s="116">
        <v>0</v>
      </c>
      <c r="J58" s="117"/>
      <c r="K58" s="117"/>
      <c r="L58" s="117"/>
      <c r="M58" s="116">
        <f t="shared" si="7"/>
        <v>6437500</v>
      </c>
      <c r="N58" s="117"/>
      <c r="O58" s="117"/>
      <c r="P58" s="124">
        <f t="shared" si="8"/>
        <v>41168.585202676113</v>
      </c>
      <c r="Q58" s="117"/>
      <c r="R58" s="117"/>
      <c r="S58" s="38"/>
      <c r="T58" s="38"/>
      <c r="U58" s="23">
        <f t="shared" si="9"/>
        <v>96</v>
      </c>
      <c r="W58" s="55">
        <f t="shared" si="10"/>
        <v>3952184.1794569069</v>
      </c>
      <c r="Y58" s="23"/>
      <c r="Z58" s="23"/>
      <c r="AA58" s="23"/>
      <c r="AB58" s="23"/>
      <c r="AC58" s="37"/>
      <c r="AD58" s="23"/>
      <c r="AE58" s="23"/>
    </row>
    <row r="59" spans="1:31" ht="12.75">
      <c r="A59" s="54" t="s">
        <v>40</v>
      </c>
      <c r="B59" s="53" t="str">
        <f>G1</f>
        <v>QA</v>
      </c>
      <c r="C59" s="116">
        <v>2500000</v>
      </c>
      <c r="D59" s="117"/>
      <c r="E59" s="117"/>
      <c r="F59" s="116">
        <v>1000000</v>
      </c>
      <c r="G59" s="117"/>
      <c r="H59" s="117"/>
      <c r="I59" s="116">
        <v>54000</v>
      </c>
      <c r="J59" s="117"/>
      <c r="K59" s="117"/>
      <c r="L59" s="117"/>
      <c r="M59" s="116">
        <f t="shared" si="7"/>
        <v>5286500</v>
      </c>
      <c r="N59" s="117"/>
      <c r="O59" s="117"/>
      <c r="P59" s="124">
        <f t="shared" si="8"/>
        <v>33807.80204643841</v>
      </c>
      <c r="Q59" s="117"/>
      <c r="R59" s="117"/>
      <c r="S59" s="38"/>
      <c r="T59" s="38"/>
      <c r="U59" s="23">
        <f t="shared" si="9"/>
        <v>32</v>
      </c>
      <c r="W59" s="55">
        <f t="shared" si="10"/>
        <v>1081849.6654860291</v>
      </c>
      <c r="Y59" s="23"/>
      <c r="Z59" s="23"/>
      <c r="AA59" s="23"/>
      <c r="AB59" s="23"/>
      <c r="AC59" s="37"/>
      <c r="AD59" s="23"/>
      <c r="AE59" s="23"/>
    </row>
    <row r="60" spans="1:31" ht="12.75">
      <c r="A60" s="54" t="s">
        <v>41</v>
      </c>
      <c r="B60" s="53" t="str">
        <f>H1</f>
        <v>IM</v>
      </c>
      <c r="C60" s="116">
        <v>2500000</v>
      </c>
      <c r="D60" s="117"/>
      <c r="E60" s="117"/>
      <c r="F60" s="116">
        <v>1000000</v>
      </c>
      <c r="G60" s="117"/>
      <c r="H60" s="117"/>
      <c r="I60" s="116">
        <v>0</v>
      </c>
      <c r="J60" s="117"/>
      <c r="K60" s="117"/>
      <c r="L60" s="117"/>
      <c r="M60" s="116">
        <f t="shared" si="7"/>
        <v>5232500</v>
      </c>
      <c r="N60" s="117"/>
      <c r="O60" s="117"/>
      <c r="P60" s="124">
        <f t="shared" si="8"/>
        <v>33462.46556473829</v>
      </c>
      <c r="Q60" s="117"/>
      <c r="R60" s="117"/>
      <c r="S60" s="38"/>
      <c r="T60" s="38"/>
      <c r="U60" s="23">
        <f t="shared" si="9"/>
        <v>16</v>
      </c>
      <c r="W60" s="55">
        <f t="shared" si="10"/>
        <v>535399.44903581263</v>
      </c>
      <c r="Y60" s="23"/>
      <c r="Z60" s="23"/>
      <c r="AA60" s="23"/>
      <c r="AB60" s="23"/>
      <c r="AC60" s="37"/>
      <c r="AD60" s="23"/>
      <c r="AE60" s="23"/>
    </row>
    <row r="61" spans="1:31" ht="12.75">
      <c r="A61" s="54" t="s">
        <v>42</v>
      </c>
      <c r="B61" s="53" t="str">
        <f>I1</f>
        <v>MS</v>
      </c>
      <c r="C61" s="116">
        <v>7500000</v>
      </c>
      <c r="D61" s="117"/>
      <c r="E61" s="117"/>
      <c r="F61" s="116">
        <v>2000000</v>
      </c>
      <c r="G61" s="117"/>
      <c r="H61" s="117"/>
      <c r="I61" s="116">
        <v>132000</v>
      </c>
      <c r="J61" s="117"/>
      <c r="K61" s="117"/>
      <c r="L61" s="117"/>
      <c r="M61" s="116">
        <f t="shared" si="7"/>
        <v>13189500</v>
      </c>
      <c r="N61" s="117"/>
      <c r="O61" s="117"/>
      <c r="P61" s="124">
        <f t="shared" si="8"/>
        <v>84348.435655253837</v>
      </c>
      <c r="Q61" s="117"/>
      <c r="R61" s="117"/>
      <c r="S61" s="38"/>
      <c r="T61" s="38"/>
      <c r="U61" s="23">
        <f t="shared" si="9"/>
        <v>0</v>
      </c>
      <c r="W61" s="55">
        <f t="shared" si="10"/>
        <v>0</v>
      </c>
      <c r="Y61" s="23"/>
      <c r="Z61" s="23"/>
      <c r="AA61" s="23"/>
      <c r="AB61" s="23"/>
      <c r="AC61" s="37"/>
      <c r="AD61" s="23"/>
      <c r="AE61" s="23"/>
    </row>
    <row r="62" spans="1:31" ht="12.75">
      <c r="A62" s="54" t="s">
        <v>43</v>
      </c>
      <c r="B62" s="53" t="str">
        <f>J1</f>
        <v>MM</v>
      </c>
      <c r="C62" s="116">
        <v>3000000</v>
      </c>
      <c r="D62" s="117"/>
      <c r="E62" s="117"/>
      <c r="F62" s="116">
        <v>1000000</v>
      </c>
      <c r="G62" s="117"/>
      <c r="H62" s="117"/>
      <c r="I62" s="116">
        <v>132000</v>
      </c>
      <c r="J62" s="117"/>
      <c r="K62" s="117"/>
      <c r="L62" s="117"/>
      <c r="M62" s="116">
        <f t="shared" si="7"/>
        <v>5867000</v>
      </c>
      <c r="N62" s="117"/>
      <c r="O62" s="117"/>
      <c r="P62" s="124">
        <f t="shared" si="8"/>
        <v>37520.169224714678</v>
      </c>
      <c r="Q62" s="117"/>
      <c r="R62" s="117"/>
      <c r="S62" s="38"/>
      <c r="T62" s="38"/>
      <c r="U62" s="23">
        <f t="shared" si="9"/>
        <v>0</v>
      </c>
      <c r="W62" s="55">
        <f t="shared" si="10"/>
        <v>0</v>
      </c>
      <c r="Y62" s="23"/>
      <c r="Z62" s="23"/>
      <c r="AA62" s="23"/>
      <c r="AB62" s="23"/>
      <c r="AC62" s="37"/>
      <c r="AD62" s="23"/>
      <c r="AE62" s="23"/>
    </row>
    <row r="63" spans="1:31" ht="12.75">
      <c r="A63" s="54" t="s">
        <v>44</v>
      </c>
      <c r="B63" s="53" t="s">
        <v>10</v>
      </c>
      <c r="C63" s="116">
        <v>3000000</v>
      </c>
      <c r="D63" s="117"/>
      <c r="E63" s="117"/>
      <c r="F63" s="116">
        <v>1000000</v>
      </c>
      <c r="G63" s="117"/>
      <c r="H63" s="117"/>
      <c r="I63" s="116"/>
      <c r="J63" s="117"/>
      <c r="K63" s="117"/>
      <c r="L63" s="117"/>
      <c r="M63" s="116">
        <f t="shared" si="7"/>
        <v>5735000</v>
      </c>
      <c r="N63" s="117"/>
      <c r="O63" s="117"/>
      <c r="P63" s="124">
        <f t="shared" si="8"/>
        <v>36676.013380558834</v>
      </c>
      <c r="Q63" s="117"/>
      <c r="R63" s="117"/>
      <c r="S63" s="38"/>
      <c r="T63" s="38"/>
      <c r="U63" s="23">
        <f t="shared" si="9"/>
        <v>0</v>
      </c>
      <c r="W63" s="55">
        <f t="shared" si="10"/>
        <v>0</v>
      </c>
      <c r="Y63" s="23"/>
      <c r="Z63" s="23"/>
      <c r="AA63" s="23"/>
      <c r="AB63" s="23"/>
      <c r="AC63" s="37"/>
      <c r="AD63" s="23"/>
      <c r="AE63" s="23"/>
    </row>
    <row r="64" spans="1:31" ht="12.75">
      <c r="A64" s="54"/>
      <c r="B64" s="53"/>
      <c r="C64" s="38"/>
      <c r="D64" s="38"/>
      <c r="E64" s="38"/>
      <c r="F64" s="38"/>
      <c r="G64" s="38"/>
      <c r="H64" s="38"/>
      <c r="I64" s="23"/>
      <c r="J64" s="23"/>
      <c r="K64" s="23"/>
      <c r="L64" s="23"/>
      <c r="M64" s="23"/>
      <c r="N64" s="23"/>
      <c r="O64" s="23"/>
      <c r="P64" s="125">
        <f>SUM(P54:P63)</f>
        <v>446430.53915781184</v>
      </c>
      <c r="Q64" s="117"/>
      <c r="R64" s="117"/>
      <c r="S64" s="38"/>
      <c r="T64" s="38"/>
      <c r="U64" s="38"/>
      <c r="W64" s="56">
        <f>SUM(W54:W63)</f>
        <v>19266501.377410471</v>
      </c>
      <c r="Y64" s="23"/>
      <c r="Z64" s="23"/>
      <c r="AA64" s="23"/>
      <c r="AB64" s="23"/>
      <c r="AC64" s="37"/>
      <c r="AD64" s="23"/>
      <c r="AE64" s="23"/>
    </row>
    <row r="65" spans="1:31" ht="12.75">
      <c r="A65" s="23"/>
      <c r="B65" s="23"/>
      <c r="C65" s="57"/>
      <c r="D65" s="57"/>
      <c r="E65" s="23"/>
      <c r="F65" s="23"/>
      <c r="G65" s="23"/>
      <c r="H65" s="38"/>
      <c r="I65" s="23"/>
      <c r="J65" s="23"/>
      <c r="K65" s="23"/>
      <c r="L65" s="38"/>
      <c r="M65" s="23"/>
      <c r="N65" s="23"/>
      <c r="O65" s="23"/>
      <c r="P65" s="23"/>
      <c r="Q65" s="23"/>
      <c r="R65" s="23"/>
      <c r="S65" s="23"/>
      <c r="T65" s="23"/>
      <c r="U65" s="23"/>
      <c r="V65" s="23"/>
      <c r="W65" s="23"/>
      <c r="X65" s="23"/>
      <c r="Y65" s="23"/>
      <c r="Z65" s="23"/>
      <c r="AA65" s="23"/>
      <c r="AB65" s="23"/>
      <c r="AC65" s="37"/>
      <c r="AD65" s="23"/>
      <c r="AE65" s="23"/>
    </row>
    <row r="66" spans="1:31" ht="12.7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37"/>
      <c r="AD66" s="23"/>
      <c r="AE66" s="23"/>
    </row>
    <row r="67" spans="1:31" ht="15">
      <c r="A67" s="58"/>
      <c r="B67" s="58"/>
      <c r="C67" s="58"/>
      <c r="D67" s="58"/>
      <c r="E67" s="58"/>
      <c r="F67" s="58"/>
      <c r="G67" s="132" t="s">
        <v>212</v>
      </c>
      <c r="H67" s="133"/>
      <c r="I67" s="133"/>
      <c r="J67" s="133"/>
      <c r="K67" s="133"/>
      <c r="L67" s="133"/>
      <c r="M67" s="133"/>
      <c r="N67" s="133"/>
      <c r="O67" s="134"/>
      <c r="P67" s="58"/>
      <c r="Q67" s="58"/>
      <c r="R67" s="58"/>
      <c r="S67" s="58"/>
      <c r="T67" s="58"/>
      <c r="U67" s="58"/>
      <c r="V67" s="58"/>
      <c r="W67" s="58"/>
      <c r="X67" s="58"/>
      <c r="Y67" s="58"/>
      <c r="Z67" s="58"/>
      <c r="AA67" s="58"/>
      <c r="AB67" s="58"/>
      <c r="AC67" s="59"/>
      <c r="AD67" s="58"/>
      <c r="AE67" s="58"/>
    </row>
    <row r="68" spans="1:31" ht="15">
      <c r="A68" s="58"/>
      <c r="B68" s="58"/>
      <c r="C68" s="118"/>
      <c r="D68" s="119"/>
      <c r="E68" s="119"/>
      <c r="F68" s="120"/>
      <c r="G68" s="121"/>
      <c r="H68" s="122"/>
      <c r="I68" s="122"/>
      <c r="J68" s="123"/>
      <c r="K68" s="60"/>
      <c r="L68" s="126"/>
      <c r="M68" s="122"/>
      <c r="N68" s="122"/>
      <c r="O68" s="123"/>
      <c r="P68" s="121"/>
      <c r="Q68" s="122"/>
      <c r="R68" s="122"/>
      <c r="S68" s="123"/>
      <c r="T68" s="126"/>
      <c r="U68" s="122"/>
      <c r="V68" s="122"/>
      <c r="W68" s="123"/>
      <c r="X68" s="121"/>
      <c r="Y68" s="122"/>
      <c r="Z68" s="123"/>
      <c r="AA68" s="126"/>
      <c r="AB68" s="122"/>
      <c r="AC68" s="123"/>
      <c r="AD68" s="61"/>
      <c r="AE68" s="58"/>
    </row>
    <row r="69" spans="1:31" ht="12.75">
      <c r="A69" s="62" t="e">
        <f t="array" aca="1" ref="A69:A79" ca="1">unique(L1:L49)</f>
        <v>#NAME?</v>
      </c>
      <c r="B69" s="63"/>
      <c r="C69" s="64"/>
      <c r="D69" s="64"/>
      <c r="E69" s="64"/>
      <c r="F69" s="65"/>
      <c r="G69" s="66" t="s">
        <v>45</v>
      </c>
      <c r="H69" s="66" t="s">
        <v>46</v>
      </c>
      <c r="I69" s="66" t="s">
        <v>47</v>
      </c>
      <c r="J69" s="66" t="s">
        <v>48</v>
      </c>
      <c r="K69" s="66" t="s">
        <v>49</v>
      </c>
      <c r="L69" s="67" t="s">
        <v>50</v>
      </c>
      <c r="M69" s="67" t="s">
        <v>51</v>
      </c>
      <c r="N69" s="67" t="s">
        <v>52</v>
      </c>
      <c r="O69" s="67" t="s">
        <v>53</v>
      </c>
      <c r="P69" s="66" t="s">
        <v>54</v>
      </c>
      <c r="Q69" s="66"/>
      <c r="R69" s="66"/>
      <c r="S69" s="66"/>
      <c r="T69" s="67"/>
      <c r="U69" s="67"/>
      <c r="V69" s="67"/>
      <c r="W69" s="67"/>
      <c r="X69" s="66"/>
      <c r="Y69" s="66"/>
      <c r="Z69" s="66"/>
      <c r="AA69" s="67"/>
      <c r="AB69" s="67"/>
      <c r="AC69" s="68"/>
      <c r="AD69" s="67"/>
      <c r="AE69" s="58"/>
    </row>
    <row r="70" spans="1:31" ht="12.75">
      <c r="A70" s="69" t="e">
        <f ca="1"/>
        <v>#NAME?</v>
      </c>
      <c r="B70" s="70"/>
      <c r="C70" s="71"/>
      <c r="D70" s="71" t="s">
        <v>55</v>
      </c>
      <c r="E70" s="71"/>
      <c r="F70" s="72"/>
      <c r="G70" s="73" t="s">
        <v>213</v>
      </c>
      <c r="H70" s="73"/>
      <c r="I70" s="73"/>
      <c r="J70" s="73"/>
      <c r="K70" s="73"/>
      <c r="L70" s="74"/>
      <c r="M70" s="74"/>
      <c r="N70" s="74"/>
      <c r="O70" s="75"/>
      <c r="P70" s="76"/>
      <c r="Q70" s="76"/>
      <c r="R70" s="76"/>
      <c r="S70" s="76"/>
      <c r="T70" s="75"/>
      <c r="U70" s="75"/>
      <c r="V70" s="75"/>
      <c r="W70" s="75"/>
      <c r="X70" s="76"/>
      <c r="Y70" s="76"/>
      <c r="Z70" s="76"/>
      <c r="AA70" s="75"/>
      <c r="AB70" s="75"/>
      <c r="AC70" s="77"/>
      <c r="AD70" s="75"/>
      <c r="AE70" s="58"/>
    </row>
    <row r="71" spans="1:31" ht="12.75">
      <c r="A71" s="69" t="e">
        <f ca="1"/>
        <v>#NAME?</v>
      </c>
      <c r="B71" s="70"/>
      <c r="C71" s="71"/>
      <c r="D71" s="71"/>
      <c r="E71" s="71"/>
      <c r="F71" s="72"/>
      <c r="G71" s="73" t="s">
        <v>156</v>
      </c>
      <c r="H71" s="73"/>
      <c r="I71" s="73"/>
      <c r="J71" s="73"/>
      <c r="K71" s="73"/>
      <c r="L71" s="74"/>
      <c r="M71" s="75"/>
      <c r="N71" s="75"/>
      <c r="O71" s="75"/>
      <c r="P71" s="76"/>
      <c r="Q71" s="76"/>
      <c r="R71" s="76"/>
      <c r="S71" s="76"/>
      <c r="T71" s="75"/>
      <c r="U71" s="75"/>
      <c r="V71" s="75"/>
      <c r="W71" s="75"/>
      <c r="X71" s="76"/>
      <c r="Y71" s="76"/>
      <c r="Z71" s="76"/>
      <c r="AA71" s="75"/>
      <c r="AB71" s="75"/>
      <c r="AC71" s="77"/>
      <c r="AD71" s="75"/>
      <c r="AE71" s="58"/>
    </row>
    <row r="72" spans="1:31" ht="12.75">
      <c r="A72" s="69" t="e">
        <f ca="1"/>
        <v>#NAME?</v>
      </c>
      <c r="B72" s="70"/>
      <c r="C72" s="71"/>
      <c r="D72" s="71"/>
      <c r="E72" s="71"/>
      <c r="F72" s="72"/>
      <c r="G72" s="73" t="s">
        <v>156</v>
      </c>
      <c r="H72" s="73"/>
      <c r="I72" s="73" t="s">
        <v>156</v>
      </c>
      <c r="J72" s="73"/>
      <c r="K72" s="73"/>
      <c r="L72" s="74"/>
      <c r="M72" s="74"/>
      <c r="N72" s="74"/>
      <c r="O72" s="74"/>
      <c r="P72" s="76"/>
      <c r="Q72" s="76"/>
      <c r="R72" s="76"/>
      <c r="S72" s="76"/>
      <c r="T72" s="75"/>
      <c r="U72" s="75"/>
      <c r="V72" s="75"/>
      <c r="W72" s="75"/>
      <c r="X72" s="76"/>
      <c r="Y72" s="76"/>
      <c r="Z72" s="76"/>
      <c r="AA72" s="75"/>
      <c r="AB72" s="75"/>
      <c r="AC72" s="77"/>
      <c r="AD72" s="75"/>
      <c r="AE72" s="58"/>
    </row>
    <row r="73" spans="1:31" ht="12.75">
      <c r="A73" s="69" t="e">
        <f ca="1"/>
        <v>#NAME?</v>
      </c>
      <c r="B73" s="70"/>
      <c r="C73" s="71"/>
      <c r="D73" s="71"/>
      <c r="E73" s="71"/>
      <c r="F73" s="72"/>
      <c r="G73" s="73" t="s">
        <v>156</v>
      </c>
      <c r="H73" s="73"/>
      <c r="I73" s="73"/>
      <c r="J73" s="73"/>
      <c r="K73" s="73"/>
      <c r="L73" s="74"/>
      <c r="M73" s="74"/>
      <c r="N73" s="74"/>
      <c r="O73" s="75"/>
      <c r="P73" s="76"/>
      <c r="Q73" s="76"/>
      <c r="R73" s="76"/>
      <c r="S73" s="76"/>
      <c r="T73" s="75"/>
      <c r="U73" s="75"/>
      <c r="V73" s="75"/>
      <c r="W73" s="75"/>
      <c r="X73" s="76"/>
      <c r="Y73" s="76"/>
      <c r="Z73" s="76"/>
      <c r="AA73" s="75"/>
      <c r="AB73" s="75"/>
      <c r="AC73" s="77"/>
      <c r="AD73" s="75"/>
      <c r="AE73" s="58"/>
    </row>
    <row r="74" spans="1:31" ht="12.75">
      <c r="A74" s="69" t="e">
        <f ca="1"/>
        <v>#NAME?</v>
      </c>
      <c r="B74" s="70"/>
      <c r="C74" s="71"/>
      <c r="D74" s="71"/>
      <c r="E74" s="71"/>
      <c r="F74" s="72"/>
      <c r="G74" s="73" t="s">
        <v>213</v>
      </c>
      <c r="H74" s="73" t="s">
        <v>156</v>
      </c>
      <c r="I74" s="73"/>
      <c r="J74" s="73"/>
      <c r="K74" s="73"/>
      <c r="L74" s="74"/>
      <c r="M74" s="74"/>
      <c r="N74" s="74"/>
      <c r="O74" s="74"/>
      <c r="P74" s="76"/>
      <c r="Q74" s="76"/>
      <c r="R74" s="76"/>
      <c r="S74" s="76"/>
      <c r="T74" s="75"/>
      <c r="U74" s="75"/>
      <c r="V74" s="75"/>
      <c r="W74" s="75"/>
      <c r="X74" s="76"/>
      <c r="Y74" s="76"/>
      <c r="Z74" s="76"/>
      <c r="AA74" s="75"/>
      <c r="AB74" s="75"/>
      <c r="AC74" s="77"/>
      <c r="AD74" s="75"/>
      <c r="AE74" s="58"/>
    </row>
    <row r="75" spans="1:31" ht="12.75">
      <c r="A75" s="69" t="e">
        <f ca="1"/>
        <v>#NAME?</v>
      </c>
      <c r="B75" s="70"/>
      <c r="C75" s="71"/>
      <c r="D75" s="71"/>
      <c r="E75" s="71"/>
      <c r="F75" s="72"/>
      <c r="G75" s="73" t="s">
        <v>156</v>
      </c>
      <c r="H75" s="73" t="s">
        <v>156</v>
      </c>
      <c r="I75" s="73"/>
      <c r="J75" s="73"/>
      <c r="K75" s="73"/>
      <c r="L75" s="74"/>
      <c r="M75" s="74"/>
      <c r="N75" s="74"/>
      <c r="O75" s="75"/>
      <c r="P75" s="73"/>
      <c r="Q75" s="76"/>
      <c r="R75" s="76"/>
      <c r="S75" s="76"/>
      <c r="T75" s="75"/>
      <c r="U75" s="75"/>
      <c r="V75" s="75"/>
      <c r="W75" s="75"/>
      <c r="X75" s="76"/>
      <c r="Y75" s="76"/>
      <c r="Z75" s="76"/>
      <c r="AA75" s="75"/>
      <c r="AB75" s="75"/>
      <c r="AC75" s="77"/>
      <c r="AD75" s="75"/>
      <c r="AE75" s="58"/>
    </row>
    <row r="76" spans="1:31" ht="12.75">
      <c r="A76" s="69" t="e">
        <f ca="1"/>
        <v>#NAME?</v>
      </c>
      <c r="B76" s="70"/>
      <c r="C76" s="71"/>
      <c r="D76" s="71"/>
      <c r="E76" s="71"/>
      <c r="F76" s="72"/>
      <c r="G76" s="73" t="s">
        <v>156</v>
      </c>
      <c r="H76" s="73" t="s">
        <v>156</v>
      </c>
      <c r="I76" s="73"/>
      <c r="J76" s="73"/>
      <c r="K76" s="73"/>
      <c r="L76" s="74"/>
      <c r="M76" s="74"/>
      <c r="N76" s="74"/>
      <c r="O76" s="75"/>
      <c r="P76" s="73"/>
      <c r="Q76" s="76"/>
      <c r="R76" s="76"/>
      <c r="S76" s="76"/>
      <c r="T76" s="75"/>
      <c r="U76" s="75"/>
      <c r="V76" s="75"/>
      <c r="W76" s="75"/>
      <c r="X76" s="76"/>
      <c r="Y76" s="76"/>
      <c r="Z76" s="76"/>
      <c r="AA76" s="75"/>
      <c r="AB76" s="75"/>
      <c r="AC76" s="77"/>
      <c r="AD76" s="75"/>
      <c r="AE76" s="58"/>
    </row>
    <row r="77" spans="1:31" ht="12.75">
      <c r="A77" s="69" t="e">
        <f ca="1"/>
        <v>#NAME?</v>
      </c>
      <c r="B77" s="70"/>
      <c r="C77" s="71"/>
      <c r="D77" s="71"/>
      <c r="E77" s="71"/>
      <c r="F77" s="72"/>
      <c r="G77" s="73" t="s">
        <v>156</v>
      </c>
      <c r="H77" s="73" t="s">
        <v>156</v>
      </c>
      <c r="I77" s="73"/>
      <c r="J77" s="73"/>
      <c r="K77" s="73"/>
      <c r="L77" s="74"/>
      <c r="M77" s="74"/>
      <c r="N77" s="74"/>
      <c r="O77" s="74"/>
      <c r="P77" s="73"/>
      <c r="Q77" s="76"/>
      <c r="R77" s="76"/>
      <c r="S77" s="76"/>
      <c r="T77" s="75"/>
      <c r="U77" s="75"/>
      <c r="V77" s="75"/>
      <c r="W77" s="75"/>
      <c r="X77" s="76"/>
      <c r="Y77" s="76"/>
      <c r="Z77" s="76"/>
      <c r="AA77" s="75"/>
      <c r="AB77" s="75"/>
      <c r="AC77" s="77"/>
      <c r="AD77" s="75"/>
      <c r="AE77" s="58"/>
    </row>
    <row r="78" spans="1:31" ht="12.75">
      <c r="A78" s="69" t="e">
        <f ca="1"/>
        <v>#NAME?</v>
      </c>
      <c r="B78" s="70"/>
      <c r="C78" s="71"/>
      <c r="D78" s="71"/>
      <c r="E78" s="71"/>
      <c r="F78" s="72"/>
      <c r="G78" s="73"/>
      <c r="H78" s="73" t="s">
        <v>156</v>
      </c>
      <c r="I78" s="73"/>
      <c r="J78" s="73"/>
      <c r="K78" s="73"/>
      <c r="L78" s="74"/>
      <c r="M78" s="74"/>
      <c r="N78" s="74"/>
      <c r="O78" s="75"/>
      <c r="P78" s="76"/>
      <c r="Q78" s="76"/>
      <c r="R78" s="76"/>
      <c r="S78" s="76"/>
      <c r="T78" s="75"/>
      <c r="U78" s="75"/>
      <c r="V78" s="75"/>
      <c r="W78" s="75"/>
      <c r="X78" s="76"/>
      <c r="Y78" s="76"/>
      <c r="Z78" s="76"/>
      <c r="AA78" s="75"/>
      <c r="AB78" s="75"/>
      <c r="AC78" s="77"/>
      <c r="AD78" s="75"/>
      <c r="AE78" s="58"/>
    </row>
    <row r="79" spans="1:31" ht="12.75">
      <c r="A79" s="69" t="e">
        <f ca="1"/>
        <v>#NAME?</v>
      </c>
      <c r="B79" s="70"/>
      <c r="C79" s="71"/>
      <c r="D79" s="71"/>
      <c r="E79" s="71"/>
      <c r="F79" s="72"/>
      <c r="G79" s="73"/>
      <c r="H79" s="73" t="s">
        <v>156</v>
      </c>
      <c r="I79" s="73"/>
      <c r="J79" s="73"/>
      <c r="K79" s="73"/>
      <c r="L79" s="74"/>
      <c r="M79" s="74"/>
      <c r="N79" s="74"/>
      <c r="O79" s="75"/>
      <c r="P79" s="76"/>
      <c r="Q79" s="76"/>
      <c r="R79" s="76"/>
      <c r="S79" s="76"/>
      <c r="T79" s="75"/>
      <c r="U79" s="75"/>
      <c r="V79" s="75"/>
      <c r="W79" s="75"/>
      <c r="X79" s="76"/>
      <c r="Y79" s="76"/>
      <c r="Z79" s="76"/>
      <c r="AA79" s="75"/>
      <c r="AB79" s="75"/>
      <c r="AC79" s="77"/>
      <c r="AD79" s="75"/>
      <c r="AE79" s="58"/>
    </row>
    <row r="80" spans="1:31" ht="12.75">
      <c r="A80" s="69"/>
      <c r="B80" s="70"/>
      <c r="C80" s="71"/>
      <c r="D80" s="71"/>
      <c r="E80" s="71"/>
      <c r="F80" s="72"/>
      <c r="G80" s="73"/>
      <c r="H80" s="73" t="s">
        <v>156</v>
      </c>
      <c r="I80" s="73"/>
      <c r="J80" s="73"/>
      <c r="K80" s="73"/>
      <c r="L80" s="74"/>
      <c r="M80" s="74"/>
      <c r="N80" s="74"/>
      <c r="O80" s="75"/>
      <c r="P80" s="76"/>
      <c r="Q80" s="76"/>
      <c r="R80" s="76"/>
      <c r="S80" s="76"/>
      <c r="T80" s="75"/>
      <c r="U80" s="75"/>
      <c r="V80" s="75"/>
      <c r="W80" s="75"/>
      <c r="X80" s="76"/>
      <c r="Y80" s="76"/>
      <c r="Z80" s="76"/>
      <c r="AA80" s="75"/>
      <c r="AB80" s="75"/>
      <c r="AC80" s="77"/>
      <c r="AD80" s="75"/>
      <c r="AE80" s="58"/>
    </row>
    <row r="81" spans="1:31" ht="12.75">
      <c r="A81" s="69"/>
      <c r="B81" s="70"/>
      <c r="C81" s="71"/>
      <c r="D81" s="71"/>
      <c r="E81" s="71"/>
      <c r="F81" s="72"/>
      <c r="G81" s="73"/>
      <c r="H81" s="73" t="s">
        <v>156</v>
      </c>
      <c r="I81" s="73"/>
      <c r="J81" s="73"/>
      <c r="K81" s="73"/>
      <c r="L81" s="74"/>
      <c r="M81" s="74"/>
      <c r="N81" s="74"/>
      <c r="O81" s="75"/>
      <c r="P81" s="76"/>
      <c r="Q81" s="76"/>
      <c r="R81" s="76"/>
      <c r="S81" s="76"/>
      <c r="T81" s="75"/>
      <c r="U81" s="75"/>
      <c r="V81" s="75"/>
      <c r="W81" s="75"/>
      <c r="X81" s="76"/>
      <c r="Y81" s="76"/>
      <c r="Z81" s="76"/>
      <c r="AA81" s="75"/>
      <c r="AB81" s="75"/>
      <c r="AC81" s="77"/>
      <c r="AD81" s="75"/>
      <c r="AE81" s="58"/>
    </row>
    <row r="82" spans="1:31" ht="12.75">
      <c r="A82" s="69"/>
      <c r="B82" s="70"/>
      <c r="C82" s="71"/>
      <c r="D82" s="71"/>
      <c r="E82" s="71"/>
      <c r="F82" s="72"/>
      <c r="G82" s="73"/>
      <c r="H82" s="73" t="s">
        <v>156</v>
      </c>
      <c r="I82" s="73"/>
      <c r="J82" s="73"/>
      <c r="K82" s="73"/>
      <c r="L82" s="74"/>
      <c r="M82" s="74"/>
      <c r="N82" s="74"/>
      <c r="O82" s="75"/>
      <c r="P82" s="76"/>
      <c r="Q82" s="76"/>
      <c r="R82" s="76"/>
      <c r="S82" s="76"/>
      <c r="T82" s="75"/>
      <c r="U82" s="75"/>
      <c r="V82" s="75"/>
      <c r="W82" s="75"/>
      <c r="X82" s="76"/>
      <c r="Y82" s="76"/>
      <c r="Z82" s="76"/>
      <c r="AA82" s="75"/>
      <c r="AB82" s="75"/>
      <c r="AC82" s="77"/>
      <c r="AD82" s="75"/>
      <c r="AE82" s="58"/>
    </row>
    <row r="83" spans="1:31" ht="12.75">
      <c r="A83" s="69"/>
      <c r="B83" s="70"/>
      <c r="C83" s="71"/>
      <c r="D83" s="71"/>
      <c r="E83" s="71"/>
      <c r="F83" s="72"/>
      <c r="G83" s="73"/>
      <c r="H83" s="73"/>
      <c r="I83" s="73"/>
      <c r="J83" s="73"/>
      <c r="K83" s="73"/>
      <c r="L83" s="74"/>
      <c r="M83" s="74"/>
      <c r="N83" s="74"/>
      <c r="O83" s="75"/>
      <c r="P83" s="76"/>
      <c r="Q83" s="76"/>
      <c r="R83" s="76"/>
      <c r="S83" s="76"/>
      <c r="T83" s="75"/>
      <c r="U83" s="75"/>
      <c r="V83" s="75"/>
      <c r="W83" s="75"/>
      <c r="X83" s="76"/>
      <c r="Y83" s="76"/>
      <c r="Z83" s="76"/>
      <c r="AA83" s="75"/>
      <c r="AB83" s="75"/>
      <c r="AC83" s="77"/>
      <c r="AD83" s="75"/>
      <c r="AE83" s="58"/>
    </row>
    <row r="84" spans="1:31" ht="12.75">
      <c r="A84" s="69"/>
      <c r="B84" s="70"/>
      <c r="C84" s="71"/>
      <c r="D84" s="71"/>
      <c r="E84" s="71"/>
      <c r="F84" s="72"/>
      <c r="G84" s="73"/>
      <c r="H84" s="73"/>
      <c r="I84" s="73"/>
      <c r="J84" s="73"/>
      <c r="K84" s="73"/>
      <c r="L84" s="74"/>
      <c r="M84" s="74"/>
      <c r="N84" s="74"/>
      <c r="O84" s="75"/>
      <c r="P84" s="76"/>
      <c r="Q84" s="76"/>
      <c r="R84" s="76"/>
      <c r="S84" s="76"/>
      <c r="T84" s="75"/>
      <c r="U84" s="75"/>
      <c r="V84" s="75"/>
      <c r="W84" s="75"/>
      <c r="X84" s="76"/>
      <c r="Y84" s="76"/>
      <c r="Z84" s="76"/>
      <c r="AA84" s="75"/>
      <c r="AB84" s="75"/>
      <c r="AC84" s="77"/>
      <c r="AD84" s="75"/>
      <c r="AE84" s="58"/>
    </row>
    <row r="85" spans="1:31" ht="12.75">
      <c r="A85" s="69"/>
      <c r="B85" s="70"/>
      <c r="C85" s="71"/>
      <c r="D85" s="71"/>
      <c r="E85" s="71"/>
      <c r="F85" s="72"/>
      <c r="G85" s="73"/>
      <c r="H85" s="73"/>
      <c r="I85" s="73"/>
      <c r="J85" s="73"/>
      <c r="K85" s="73"/>
      <c r="L85" s="74"/>
      <c r="M85" s="74"/>
      <c r="N85" s="74"/>
      <c r="O85" s="75"/>
      <c r="P85" s="76"/>
      <c r="Q85" s="76"/>
      <c r="R85" s="76"/>
      <c r="S85" s="76"/>
      <c r="T85" s="75"/>
      <c r="U85" s="75"/>
      <c r="V85" s="75"/>
      <c r="W85" s="75"/>
      <c r="X85" s="76"/>
      <c r="Y85" s="76"/>
      <c r="Z85" s="76"/>
      <c r="AA85" s="75"/>
      <c r="AB85" s="75"/>
      <c r="AC85" s="77"/>
      <c r="AD85" s="75"/>
      <c r="AE85" s="58"/>
    </row>
    <row r="86" spans="1:31" ht="12.75">
      <c r="A86" s="69"/>
      <c r="B86" s="70"/>
      <c r="C86" s="71"/>
      <c r="D86" s="71"/>
      <c r="E86" s="71"/>
      <c r="F86" s="72"/>
      <c r="G86" s="73"/>
      <c r="H86" s="73"/>
      <c r="I86" s="73"/>
      <c r="J86" s="73"/>
      <c r="K86" s="73"/>
      <c r="L86" s="74"/>
      <c r="M86" s="74"/>
      <c r="N86" s="74"/>
      <c r="O86" s="75"/>
      <c r="P86" s="76"/>
      <c r="Q86" s="76"/>
      <c r="R86" s="76"/>
      <c r="S86" s="76"/>
      <c r="T86" s="75"/>
      <c r="U86" s="75"/>
      <c r="V86" s="75"/>
      <c r="W86" s="75"/>
      <c r="X86" s="76"/>
      <c r="Y86" s="76"/>
      <c r="Z86" s="76"/>
      <c r="AA86" s="75"/>
      <c r="AB86" s="75"/>
      <c r="AC86" s="77"/>
      <c r="AD86" s="75"/>
      <c r="AE86" s="58"/>
    </row>
    <row r="87" spans="1:31" ht="12.75">
      <c r="A87" s="69"/>
      <c r="B87" s="70"/>
      <c r="C87" s="71"/>
      <c r="D87" s="71"/>
      <c r="E87" s="71"/>
      <c r="F87" s="72"/>
      <c r="G87" s="73"/>
      <c r="H87" s="73"/>
      <c r="I87" s="73"/>
      <c r="J87" s="73"/>
      <c r="K87" s="73"/>
      <c r="L87" s="74"/>
      <c r="M87" s="74"/>
      <c r="N87" s="74"/>
      <c r="O87" s="75"/>
      <c r="P87" s="76"/>
      <c r="Q87" s="76"/>
      <c r="R87" s="76"/>
      <c r="S87" s="76"/>
      <c r="T87" s="75"/>
      <c r="U87" s="75"/>
      <c r="V87" s="75"/>
      <c r="W87" s="75"/>
      <c r="X87" s="76"/>
      <c r="Y87" s="76"/>
      <c r="Z87" s="76"/>
      <c r="AA87" s="75"/>
      <c r="AB87" s="75"/>
      <c r="AC87" s="77"/>
      <c r="AD87" s="75"/>
      <c r="AE87" s="58"/>
    </row>
    <row r="88" spans="1:31" ht="12.75">
      <c r="A88" s="69"/>
      <c r="B88" s="70"/>
      <c r="C88" s="71"/>
      <c r="D88" s="71"/>
      <c r="E88" s="71"/>
      <c r="F88" s="72"/>
      <c r="G88" s="73"/>
      <c r="H88" s="73"/>
      <c r="I88" s="73"/>
      <c r="J88" s="73"/>
      <c r="K88" s="73"/>
      <c r="L88" s="74"/>
      <c r="M88" s="74"/>
      <c r="N88" s="74"/>
      <c r="O88" s="75"/>
      <c r="P88" s="76"/>
      <c r="Q88" s="76"/>
      <c r="R88" s="76"/>
      <c r="S88" s="76"/>
      <c r="T88" s="75"/>
      <c r="U88" s="75"/>
      <c r="V88" s="75"/>
      <c r="W88" s="75"/>
      <c r="X88" s="76"/>
      <c r="Y88" s="76"/>
      <c r="Z88" s="76"/>
      <c r="AA88" s="75"/>
      <c r="AB88" s="75"/>
      <c r="AC88" s="77"/>
      <c r="AD88" s="75"/>
      <c r="AE88" s="58"/>
    </row>
    <row r="89" spans="1:31" ht="12.75">
      <c r="A89" s="69"/>
      <c r="B89" s="70"/>
      <c r="C89" s="71"/>
      <c r="D89" s="71"/>
      <c r="E89" s="71"/>
      <c r="F89" s="72"/>
      <c r="G89" s="73"/>
      <c r="H89" s="73"/>
      <c r="I89" s="73"/>
      <c r="J89" s="73"/>
      <c r="K89" s="73"/>
      <c r="L89" s="74"/>
      <c r="M89" s="74"/>
      <c r="N89" s="74"/>
      <c r="O89" s="75"/>
      <c r="P89" s="76"/>
      <c r="Q89" s="76"/>
      <c r="R89" s="76"/>
      <c r="S89" s="76"/>
      <c r="T89" s="75"/>
      <c r="U89" s="75"/>
      <c r="V89" s="75"/>
      <c r="W89" s="75"/>
      <c r="X89" s="76"/>
      <c r="Y89" s="76"/>
      <c r="Z89" s="76"/>
      <c r="AA89" s="75"/>
      <c r="AB89" s="75"/>
      <c r="AC89" s="77"/>
      <c r="AD89" s="75"/>
      <c r="AE89" s="58"/>
    </row>
    <row r="90" spans="1:31" ht="12.75">
      <c r="A90" s="69"/>
      <c r="B90" s="70"/>
      <c r="C90" s="71"/>
      <c r="D90" s="71"/>
      <c r="E90" s="71"/>
      <c r="F90" s="72"/>
      <c r="G90" s="73"/>
      <c r="H90" s="73"/>
      <c r="I90" s="73"/>
      <c r="J90" s="73"/>
      <c r="K90" s="73"/>
      <c r="L90" s="74"/>
      <c r="M90" s="74"/>
      <c r="N90" s="74"/>
      <c r="O90" s="75"/>
      <c r="P90" s="76"/>
      <c r="Q90" s="76"/>
      <c r="R90" s="76"/>
      <c r="S90" s="76"/>
      <c r="T90" s="75"/>
      <c r="U90" s="75"/>
      <c r="V90" s="75"/>
      <c r="W90" s="75"/>
      <c r="X90" s="76"/>
      <c r="Y90" s="76"/>
      <c r="Z90" s="76"/>
      <c r="AA90" s="75"/>
      <c r="AB90" s="75"/>
      <c r="AC90" s="77"/>
      <c r="AD90" s="75"/>
      <c r="AE90" s="58"/>
    </row>
    <row r="91" spans="1:31" ht="12.75">
      <c r="A91" s="69"/>
      <c r="B91" s="70"/>
      <c r="C91" s="71"/>
      <c r="D91" s="71"/>
      <c r="E91" s="71"/>
      <c r="F91" s="72"/>
      <c r="G91" s="73"/>
      <c r="H91" s="73"/>
      <c r="I91" s="73"/>
      <c r="J91" s="73"/>
      <c r="K91" s="73"/>
      <c r="L91" s="74"/>
      <c r="M91" s="74"/>
      <c r="N91" s="74"/>
      <c r="O91" s="75"/>
      <c r="P91" s="76"/>
      <c r="Q91" s="76"/>
      <c r="R91" s="76"/>
      <c r="S91" s="76"/>
      <c r="T91" s="75"/>
      <c r="U91" s="75"/>
      <c r="V91" s="75"/>
      <c r="W91" s="75"/>
      <c r="X91" s="76"/>
      <c r="Y91" s="76"/>
      <c r="Z91" s="76"/>
      <c r="AA91" s="75"/>
      <c r="AB91" s="75"/>
      <c r="AC91" s="77"/>
      <c r="AD91" s="75"/>
      <c r="AE91" s="58"/>
    </row>
    <row r="92" spans="1:31" ht="12.75">
      <c r="A92" s="69"/>
      <c r="B92" s="70"/>
      <c r="C92" s="71"/>
      <c r="D92" s="71"/>
      <c r="E92" s="71"/>
      <c r="F92" s="72"/>
      <c r="G92" s="73"/>
      <c r="H92" s="73"/>
      <c r="I92" s="73"/>
      <c r="J92" s="73"/>
      <c r="K92" s="73"/>
      <c r="L92" s="74"/>
      <c r="M92" s="74"/>
      <c r="N92" s="75"/>
      <c r="O92" s="75"/>
      <c r="P92" s="76"/>
      <c r="Q92" s="76"/>
      <c r="R92" s="76"/>
      <c r="S92" s="76"/>
      <c r="T92" s="75"/>
      <c r="U92" s="75"/>
      <c r="V92" s="75"/>
      <c r="W92" s="75"/>
      <c r="X92" s="76"/>
      <c r="Y92" s="76"/>
      <c r="Z92" s="76"/>
      <c r="AA92" s="75"/>
      <c r="AB92" s="75"/>
      <c r="AC92" s="77"/>
      <c r="AD92" s="75"/>
      <c r="AE92" s="58"/>
    </row>
    <row r="93" spans="1:31" ht="12.75">
      <c r="A93" s="69"/>
      <c r="B93" s="70"/>
      <c r="C93" s="71"/>
      <c r="D93" s="71"/>
      <c r="E93" s="71"/>
      <c r="F93" s="72"/>
      <c r="G93" s="73"/>
      <c r="H93" s="73"/>
      <c r="I93" s="73"/>
      <c r="J93" s="73"/>
      <c r="K93" s="73"/>
      <c r="L93" s="74"/>
      <c r="M93" s="74"/>
      <c r="N93" s="75"/>
      <c r="O93" s="75"/>
      <c r="P93" s="76"/>
      <c r="Q93" s="76"/>
      <c r="R93" s="76"/>
      <c r="S93" s="76"/>
      <c r="T93" s="75"/>
      <c r="U93" s="75"/>
      <c r="V93" s="75"/>
      <c r="W93" s="75"/>
      <c r="X93" s="76"/>
      <c r="Y93" s="76"/>
      <c r="Z93" s="76"/>
      <c r="AA93" s="75"/>
      <c r="AB93" s="75"/>
      <c r="AC93" s="77"/>
      <c r="AD93" s="75"/>
      <c r="AE93" s="58"/>
    </row>
    <row r="94" spans="1:31" ht="12.75">
      <c r="A94" s="23"/>
      <c r="B94" s="23"/>
      <c r="C94" s="23"/>
      <c r="D94" s="23"/>
      <c r="E94" s="23"/>
      <c r="F94" s="23"/>
      <c r="G94" s="23"/>
      <c r="H94" s="13"/>
      <c r="I94" s="13"/>
      <c r="J94" s="13"/>
      <c r="K94" s="13"/>
      <c r="L94" s="13"/>
      <c r="M94" s="13"/>
      <c r="N94" s="23"/>
      <c r="O94" s="23"/>
      <c r="P94" s="23"/>
      <c r="Q94" s="23"/>
      <c r="R94" s="23"/>
      <c r="S94" s="23"/>
      <c r="T94" s="23"/>
      <c r="U94" s="23"/>
      <c r="V94" s="23"/>
      <c r="W94" s="23"/>
      <c r="X94" s="23"/>
      <c r="Y94" s="23"/>
      <c r="Z94" s="23"/>
      <c r="AA94" s="23"/>
      <c r="AB94" s="23"/>
      <c r="AC94" s="37"/>
      <c r="AD94" s="23"/>
      <c r="AE94" s="58"/>
    </row>
    <row r="95" spans="1:31" ht="12.7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37"/>
      <c r="AD95" s="23"/>
      <c r="AE95" s="23"/>
    </row>
    <row r="96" spans="1:31" ht="12.7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37"/>
      <c r="AD96" s="23"/>
      <c r="AE96" s="23"/>
    </row>
  </sheetData>
  <mergeCells count="69">
    <mergeCell ref="C58:E58"/>
    <mergeCell ref="F58:H58"/>
    <mergeCell ref="C55:E55"/>
    <mergeCell ref="C56:E56"/>
    <mergeCell ref="F56:H56"/>
    <mergeCell ref="C57:E57"/>
    <mergeCell ref="F57:H57"/>
    <mergeCell ref="C59:E59"/>
    <mergeCell ref="F59:H59"/>
    <mergeCell ref="I59:L59"/>
    <mergeCell ref="M59:O59"/>
    <mergeCell ref="P59:R59"/>
    <mergeCell ref="F55:H55"/>
    <mergeCell ref="P55:R55"/>
    <mergeCell ref="I57:L57"/>
    <mergeCell ref="I58:L58"/>
    <mergeCell ref="M58:O58"/>
    <mergeCell ref="P58:R58"/>
    <mergeCell ref="I55:L55"/>
    <mergeCell ref="M55:O55"/>
    <mergeCell ref="I56:L56"/>
    <mergeCell ref="M56:O56"/>
    <mergeCell ref="P56:R56"/>
    <mergeCell ref="M57:O57"/>
    <mergeCell ref="P57:R57"/>
    <mergeCell ref="C54:E54"/>
    <mergeCell ref="F54:H54"/>
    <mergeCell ref="I54:L54"/>
    <mergeCell ref="M54:O54"/>
    <mergeCell ref="P54:R54"/>
    <mergeCell ref="I51:L51"/>
    <mergeCell ref="M51:O51"/>
    <mergeCell ref="C53:E53"/>
    <mergeCell ref="F53:H53"/>
    <mergeCell ref="I53:L53"/>
    <mergeCell ref="M53:O53"/>
    <mergeCell ref="P53:R53"/>
    <mergeCell ref="V53:X53"/>
    <mergeCell ref="M1:N1"/>
    <mergeCell ref="O1:U1"/>
    <mergeCell ref="P68:S68"/>
    <mergeCell ref="T68:W68"/>
    <mergeCell ref="X68:Z68"/>
    <mergeCell ref="AA68:AC68"/>
    <mergeCell ref="I61:L61"/>
    <mergeCell ref="M61:O61"/>
    <mergeCell ref="I62:L62"/>
    <mergeCell ref="M62:O62"/>
    <mergeCell ref="P62:R62"/>
    <mergeCell ref="I63:L63"/>
    <mergeCell ref="M63:O63"/>
    <mergeCell ref="P60:R60"/>
    <mergeCell ref="F61:H61"/>
    <mergeCell ref="P61:R61"/>
    <mergeCell ref="P63:R63"/>
    <mergeCell ref="P64:R64"/>
    <mergeCell ref="C68:F68"/>
    <mergeCell ref="C60:E60"/>
    <mergeCell ref="F60:H60"/>
    <mergeCell ref="I60:L60"/>
    <mergeCell ref="M60:O60"/>
    <mergeCell ref="G67:O67"/>
    <mergeCell ref="G68:J68"/>
    <mergeCell ref="L68:O68"/>
    <mergeCell ref="C61:E61"/>
    <mergeCell ref="C62:E62"/>
    <mergeCell ref="F62:H62"/>
    <mergeCell ref="C63:E63"/>
    <mergeCell ref="F63:H63"/>
  </mergeCells>
  <conditionalFormatting sqref="C70:AD93">
    <cfRule type="notContainsBlanks" dxfId="39" priority="1">
      <formula>LEN(TRIM(C70))&gt;0</formula>
    </cfRule>
  </conditionalFormatting>
  <conditionalFormatting sqref="Y2:Y48">
    <cfRule type="expression" dxfId="38" priority="2">
      <formula>$L2&lt;&gt;""</formula>
    </cfRule>
  </conditionalFormatting>
  <conditionalFormatting sqref="Z1:Z48">
    <cfRule type="notContainsBlanks" dxfId="37" priority="3">
      <formula>LEN(TRIM(Z1))&gt;0</formula>
    </cfRule>
  </conditionalFormatting>
  <conditionalFormatting sqref="AA1:AA48">
    <cfRule type="notContainsBlanks" dxfId="36" priority="4">
      <formula>LEN(TRIM(AA1))&gt;0</formula>
    </cfRule>
  </conditionalFormatting>
  <conditionalFormatting sqref="AB2:AB48">
    <cfRule type="cellIs" dxfId="35" priority="5" operator="equal">
      <formula>FALSE()</formula>
    </cfRule>
  </conditionalFormatting>
  <dataValidations count="1">
    <dataValidation type="decimal" operator="greaterThanOrEqual" allowBlank="1" showDropDown="1" showErrorMessage="1" sqref="B2:K49">
      <formula1>0</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80"/>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4" width="5" customWidth="1"/>
    <col min="5" max="5" width="6.7109375" customWidth="1"/>
    <col min="6" max="8" width="5" customWidth="1"/>
    <col min="9" max="13" width="4.5703125" customWidth="1"/>
    <col min="14" max="14" width="11" customWidth="1"/>
    <col min="15" max="22" width="4.5703125" customWidth="1"/>
    <col min="23" max="23" width="19.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c r="A1" s="1" t="s">
        <v>0</v>
      </c>
      <c r="B1" s="2" t="s">
        <v>1</v>
      </c>
      <c r="C1" s="2" t="s">
        <v>2</v>
      </c>
      <c r="D1" s="2" t="s">
        <v>3</v>
      </c>
      <c r="E1" s="2" t="s">
        <v>4</v>
      </c>
      <c r="F1" s="2" t="s">
        <v>5</v>
      </c>
      <c r="G1" s="2" t="s">
        <v>6</v>
      </c>
      <c r="H1" s="2" t="s">
        <v>7</v>
      </c>
      <c r="I1" s="2" t="s">
        <v>8</v>
      </c>
      <c r="J1" s="2" t="s">
        <v>9</v>
      </c>
      <c r="K1" s="2" t="s">
        <v>10</v>
      </c>
      <c r="L1" s="3"/>
      <c r="M1" s="128" t="s">
        <v>11</v>
      </c>
      <c r="N1" s="117"/>
      <c r="O1" s="129" t="s">
        <v>12</v>
      </c>
      <c r="P1" s="117"/>
      <c r="Q1" s="117"/>
      <c r="R1" s="117"/>
      <c r="S1" s="117"/>
      <c r="T1" s="117"/>
      <c r="U1" s="117"/>
      <c r="V1" s="3"/>
      <c r="W1" s="4">
        <v>46049</v>
      </c>
      <c r="X1" s="3"/>
      <c r="Y1" s="5">
        <f>SUMIFS(Y2:Y133,L2:L133,"&lt;&gt;"&amp;"")</f>
        <v>39690916.489571035</v>
      </c>
      <c r="Z1" s="6" t="s">
        <v>13</v>
      </c>
      <c r="AA1" s="7" t="s">
        <v>14</v>
      </c>
      <c r="AB1" s="8" t="s">
        <v>15</v>
      </c>
      <c r="AC1" s="9">
        <f>SUM(AC2:AC133)</f>
        <v>39690916.489571035</v>
      </c>
      <c r="AD1" s="3"/>
      <c r="AE1" s="3"/>
    </row>
    <row r="2" spans="1:31" ht="15.75" customHeight="1">
      <c r="A2" s="10">
        <f t="shared" ref="A2:A132" si="0">(B2*$P$138+C2*$P$139+D2*$P$140+E2*$P$141+F2*$P$142+G2*$P$143+H2*$P$144+I2*$P$145+J2*$P$146+K2*$P$147)*$T$136</f>
        <v>821471.07438016543</v>
      </c>
      <c r="B2" s="83">
        <v>1.5</v>
      </c>
      <c r="C2" s="12"/>
      <c r="D2" s="12"/>
      <c r="E2" s="12"/>
      <c r="F2" s="12"/>
      <c r="G2" s="12"/>
      <c r="H2" s="12"/>
      <c r="I2" s="12"/>
      <c r="J2" s="13"/>
      <c r="K2" s="13"/>
      <c r="L2" s="14" t="s">
        <v>16</v>
      </c>
      <c r="M2" s="15"/>
      <c r="N2" s="16"/>
      <c r="O2" s="17"/>
      <c r="P2" s="17"/>
      <c r="Q2" s="17"/>
      <c r="R2" s="17"/>
      <c r="S2" s="17"/>
      <c r="T2" s="17"/>
      <c r="U2" s="17"/>
      <c r="V2" s="17"/>
      <c r="W2" s="17"/>
      <c r="X2" s="17">
        <f t="shared" ref="X2:X132" si="1">COUNTIF($L$2:L2,"&lt;&gt;"&amp;"")</f>
        <v>1</v>
      </c>
      <c r="Y2" s="18">
        <f t="shared" ref="Y2:Y132" si="2">SUMIF($X$2:$X$133,X2,$A$2:$A$133)</f>
        <v>821471.07438016543</v>
      </c>
      <c r="Z2" s="19"/>
      <c r="AA2" s="20"/>
      <c r="AB2" s="21" t="b">
        <v>1</v>
      </c>
      <c r="AC2" s="22">
        <f t="shared" ref="AC2:AC132" si="3">IF(L2="",0,IF(AB2=FALSE(),0,Y2))</f>
        <v>821471.07438016543</v>
      </c>
      <c r="AD2" s="23"/>
      <c r="AE2" s="23"/>
    </row>
    <row r="3" spans="1:31" ht="15.75" customHeight="1">
      <c r="A3" s="10">
        <f t="shared" si="0"/>
        <v>0</v>
      </c>
      <c r="B3" s="12"/>
      <c r="C3" s="11"/>
      <c r="D3" s="11"/>
      <c r="E3" s="12"/>
      <c r="F3" s="12"/>
      <c r="G3" s="12"/>
      <c r="H3" s="12"/>
      <c r="I3" s="12"/>
      <c r="J3" s="13"/>
      <c r="K3" s="13"/>
      <c r="L3" s="14" t="s">
        <v>17</v>
      </c>
      <c r="M3" s="16"/>
      <c r="N3" s="16"/>
      <c r="O3" s="17"/>
      <c r="P3" s="16" t="s">
        <v>55</v>
      </c>
      <c r="Q3" s="17"/>
      <c r="R3" s="17"/>
      <c r="S3" s="17"/>
      <c r="T3" s="17"/>
      <c r="U3" s="17"/>
      <c r="V3" s="17"/>
      <c r="W3" s="17"/>
      <c r="X3" s="17">
        <f t="shared" si="1"/>
        <v>2</v>
      </c>
      <c r="Y3" s="18">
        <f t="shared" si="2"/>
        <v>0</v>
      </c>
      <c r="Z3" s="24"/>
      <c r="AA3" s="20"/>
      <c r="AB3" s="21" t="b">
        <v>1</v>
      </c>
      <c r="AC3" s="22">
        <f t="shared" si="3"/>
        <v>0</v>
      </c>
      <c r="AD3" s="23"/>
      <c r="AE3" s="23"/>
    </row>
    <row r="4" spans="1:31" ht="15.75" customHeight="1">
      <c r="A4" s="10">
        <f t="shared" si="0"/>
        <v>866041.73553719022</v>
      </c>
      <c r="B4" s="12"/>
      <c r="C4" s="12"/>
      <c r="D4" s="12"/>
      <c r="E4" s="12"/>
      <c r="F4" s="12"/>
      <c r="G4" s="12"/>
      <c r="H4" s="83">
        <v>3</v>
      </c>
      <c r="I4" s="12"/>
      <c r="J4" s="13"/>
      <c r="K4" s="13"/>
      <c r="L4" s="14" t="s">
        <v>18</v>
      </c>
      <c r="M4" s="16"/>
      <c r="N4" s="16"/>
      <c r="O4" s="17"/>
      <c r="P4" s="17"/>
      <c r="Q4" s="17"/>
      <c r="R4" s="17"/>
      <c r="S4" s="17"/>
      <c r="T4" s="17"/>
      <c r="U4" s="17"/>
      <c r="V4" s="17"/>
      <c r="W4" s="17"/>
      <c r="X4" s="17">
        <f t="shared" si="1"/>
        <v>3</v>
      </c>
      <c r="Y4" s="18">
        <f t="shared" si="2"/>
        <v>866041.73553719022</v>
      </c>
      <c r="Z4" s="24"/>
      <c r="AA4" s="25"/>
      <c r="AB4" s="21" t="b">
        <v>1</v>
      </c>
      <c r="AC4" s="22">
        <f t="shared" si="3"/>
        <v>866041.73553719022</v>
      </c>
      <c r="AD4" s="23"/>
      <c r="AE4" s="23"/>
    </row>
    <row r="5" spans="1:31" ht="15.75" customHeight="1">
      <c r="A5" s="10">
        <f t="shared" si="0"/>
        <v>654992.79811097996</v>
      </c>
      <c r="B5" s="13"/>
      <c r="C5" s="13"/>
      <c r="D5" s="13"/>
      <c r="E5" s="13"/>
      <c r="F5" s="13"/>
      <c r="G5" s="13"/>
      <c r="H5" s="13"/>
      <c r="I5" s="13"/>
      <c r="J5" s="13"/>
      <c r="K5" s="13">
        <v>2</v>
      </c>
      <c r="L5" s="26" t="s">
        <v>19</v>
      </c>
      <c r="M5" s="16"/>
      <c r="N5" s="16"/>
      <c r="O5" s="17"/>
      <c r="P5" s="17"/>
      <c r="Q5" s="17"/>
      <c r="R5" s="17"/>
      <c r="S5" s="17"/>
      <c r="T5" s="17"/>
      <c r="U5" s="17"/>
      <c r="V5" s="17"/>
      <c r="W5" s="17"/>
      <c r="X5" s="17">
        <f t="shared" si="1"/>
        <v>4</v>
      </c>
      <c r="Y5" s="18">
        <f t="shared" si="2"/>
        <v>654992.79811097996</v>
      </c>
      <c r="Z5" s="24"/>
      <c r="AA5" s="25"/>
      <c r="AB5" s="21" t="b">
        <v>1</v>
      </c>
      <c r="AC5" s="22">
        <f t="shared" si="3"/>
        <v>654992.79811097996</v>
      </c>
      <c r="AD5" s="23"/>
      <c r="AE5" s="23"/>
    </row>
    <row r="6" spans="1:31">
      <c r="A6" s="10">
        <f t="shared" si="0"/>
        <v>0</v>
      </c>
      <c r="B6" s="13"/>
      <c r="C6" s="13"/>
      <c r="D6" s="13"/>
      <c r="E6" s="13"/>
      <c r="F6" s="13"/>
      <c r="G6" s="13"/>
      <c r="H6" s="13"/>
      <c r="I6" s="13"/>
      <c r="J6" s="13"/>
      <c r="K6" s="13"/>
      <c r="L6" s="27"/>
      <c r="M6" s="16"/>
      <c r="N6" s="16"/>
      <c r="O6" s="17"/>
      <c r="P6" s="17"/>
      <c r="Q6" s="17"/>
      <c r="R6" s="17"/>
      <c r="S6" s="17"/>
      <c r="T6" s="17"/>
      <c r="U6" s="17"/>
      <c r="V6" s="17"/>
      <c r="W6" s="17"/>
      <c r="X6" s="17">
        <f t="shared" si="1"/>
        <v>4</v>
      </c>
      <c r="Y6" s="18">
        <f t="shared" si="2"/>
        <v>654992.79811097996</v>
      </c>
      <c r="Z6" s="19"/>
      <c r="AA6" s="20"/>
      <c r="AB6" s="21" t="b">
        <v>1</v>
      </c>
      <c r="AC6" s="22">
        <f t="shared" si="3"/>
        <v>0</v>
      </c>
      <c r="AD6" s="23"/>
      <c r="AE6" s="23"/>
    </row>
    <row r="7" spans="1:31" ht="15.75" customHeight="1">
      <c r="A7" s="10">
        <f t="shared" si="0"/>
        <v>2878590.6139315232</v>
      </c>
      <c r="B7" s="13">
        <v>1</v>
      </c>
      <c r="C7" s="13">
        <v>2</v>
      </c>
      <c r="D7" s="13">
        <v>2</v>
      </c>
      <c r="E7" s="13">
        <v>2</v>
      </c>
      <c r="F7" s="13"/>
      <c r="G7" s="13">
        <v>1</v>
      </c>
      <c r="H7" s="13"/>
      <c r="I7" s="13"/>
      <c r="J7" s="13"/>
      <c r="K7" s="13"/>
      <c r="L7" s="100" t="s">
        <v>152</v>
      </c>
      <c r="M7" s="16"/>
      <c r="N7" s="16"/>
      <c r="O7" s="17"/>
      <c r="P7" s="17"/>
      <c r="Q7" s="17"/>
      <c r="R7" s="17"/>
      <c r="S7" s="17"/>
      <c r="T7" s="17"/>
      <c r="U7" s="17"/>
      <c r="V7" s="17"/>
      <c r="W7" s="17"/>
      <c r="X7" s="17">
        <f t="shared" si="1"/>
        <v>5</v>
      </c>
      <c r="Y7" s="18">
        <f t="shared" si="2"/>
        <v>2878590.6139315232</v>
      </c>
      <c r="Z7" s="24"/>
      <c r="AA7" s="25"/>
      <c r="AB7" s="21" t="b">
        <v>1</v>
      </c>
      <c r="AC7" s="22">
        <f t="shared" si="3"/>
        <v>2878590.6139315232</v>
      </c>
      <c r="AD7" s="23"/>
      <c r="AE7" s="23"/>
    </row>
    <row r="8" spans="1:31" ht="15.75" customHeight="1">
      <c r="A8" s="10">
        <f t="shared" si="0"/>
        <v>0</v>
      </c>
      <c r="B8" s="13"/>
      <c r="C8" s="13"/>
      <c r="D8" s="13"/>
      <c r="E8" s="13"/>
      <c r="F8" s="13"/>
      <c r="G8" s="13"/>
      <c r="H8" s="13"/>
      <c r="I8" s="13"/>
      <c r="J8" s="13"/>
      <c r="K8" s="13"/>
      <c r="L8" s="26"/>
      <c r="M8" s="16" t="s">
        <v>380</v>
      </c>
      <c r="N8" s="16"/>
      <c r="O8" s="16"/>
      <c r="P8" s="16"/>
      <c r="Q8" s="16"/>
      <c r="R8" s="17"/>
      <c r="S8" s="17"/>
      <c r="T8" s="17"/>
      <c r="U8" s="17"/>
      <c r="V8" s="17"/>
      <c r="W8" s="17"/>
      <c r="X8" s="17">
        <f t="shared" si="1"/>
        <v>5</v>
      </c>
      <c r="Y8" s="18">
        <f t="shared" si="2"/>
        <v>2878590.6139315232</v>
      </c>
      <c r="Z8" s="24"/>
      <c r="AA8" s="20"/>
      <c r="AB8" s="21" t="b">
        <v>1</v>
      </c>
      <c r="AC8" s="22">
        <f t="shared" si="3"/>
        <v>0</v>
      </c>
      <c r="AD8" s="28"/>
      <c r="AE8" s="28"/>
    </row>
    <row r="9" spans="1:31">
      <c r="A9" s="10">
        <f t="shared" si="0"/>
        <v>0</v>
      </c>
      <c r="B9" s="13"/>
      <c r="C9" s="13"/>
      <c r="D9" s="13"/>
      <c r="E9" s="13"/>
      <c r="F9" s="13"/>
      <c r="G9" s="13"/>
      <c r="H9" s="13"/>
      <c r="I9" s="13"/>
      <c r="J9" s="13"/>
      <c r="K9" s="13"/>
      <c r="L9" s="16"/>
      <c r="M9" s="16" t="s">
        <v>381</v>
      </c>
      <c r="N9" s="16"/>
      <c r="O9" s="16"/>
      <c r="P9" s="16"/>
      <c r="Q9" s="16"/>
      <c r="R9" s="17"/>
      <c r="S9" s="17"/>
      <c r="T9" s="17"/>
      <c r="U9" s="17"/>
      <c r="V9" s="17"/>
      <c r="W9" s="17"/>
      <c r="X9" s="17">
        <f t="shared" si="1"/>
        <v>5</v>
      </c>
      <c r="Y9" s="18">
        <f t="shared" si="2"/>
        <v>2878590.6139315232</v>
      </c>
      <c r="Z9" s="24"/>
      <c r="AA9" s="20"/>
      <c r="AB9" s="21" t="b">
        <v>1</v>
      </c>
      <c r="AC9" s="22">
        <f t="shared" si="3"/>
        <v>0</v>
      </c>
      <c r="AD9" s="28"/>
      <c r="AE9" s="28"/>
    </row>
    <row r="10" spans="1:31">
      <c r="A10" s="10">
        <f t="shared" si="0"/>
        <v>0</v>
      </c>
      <c r="B10" s="13"/>
      <c r="C10" s="13"/>
      <c r="D10" s="13"/>
      <c r="E10" s="13"/>
      <c r="F10" s="13"/>
      <c r="G10" s="13"/>
      <c r="H10" s="13"/>
      <c r="I10" s="13"/>
      <c r="J10" s="13"/>
      <c r="K10" s="13"/>
      <c r="L10" s="16"/>
      <c r="M10" s="16" t="s">
        <v>382</v>
      </c>
      <c r="N10" s="16"/>
      <c r="O10" s="16"/>
      <c r="P10" s="16"/>
      <c r="Q10" s="16"/>
      <c r="R10" s="17"/>
      <c r="S10" s="17"/>
      <c r="T10" s="17"/>
      <c r="U10" s="17"/>
      <c r="V10" s="17"/>
      <c r="W10" s="17"/>
      <c r="X10" s="17">
        <f t="shared" si="1"/>
        <v>5</v>
      </c>
      <c r="Y10" s="18">
        <f t="shared" si="2"/>
        <v>2878590.6139315232</v>
      </c>
      <c r="Z10" s="24"/>
      <c r="AA10" s="20"/>
      <c r="AB10" s="21" t="b">
        <v>1</v>
      </c>
      <c r="AC10" s="22">
        <f t="shared" si="3"/>
        <v>0</v>
      </c>
      <c r="AD10" s="28"/>
      <c r="AE10" s="28"/>
    </row>
    <row r="11" spans="1:31">
      <c r="A11" s="10">
        <f t="shared" si="0"/>
        <v>0</v>
      </c>
      <c r="B11" s="13"/>
      <c r="C11" s="13"/>
      <c r="D11" s="13"/>
      <c r="E11" s="13"/>
      <c r="F11" s="13"/>
      <c r="G11" s="13"/>
      <c r="H11" s="13"/>
      <c r="I11" s="13"/>
      <c r="J11" s="13"/>
      <c r="K11" s="13"/>
      <c r="L11" s="16"/>
      <c r="M11" s="16" t="s">
        <v>383</v>
      </c>
      <c r="N11" s="16"/>
      <c r="O11" s="16"/>
      <c r="P11" s="16"/>
      <c r="Q11" s="16"/>
      <c r="R11" s="17"/>
      <c r="S11" s="17"/>
      <c r="T11" s="17"/>
      <c r="U11" s="17"/>
      <c r="V11" s="17"/>
      <c r="W11" s="17"/>
      <c r="X11" s="17">
        <f t="shared" si="1"/>
        <v>5</v>
      </c>
      <c r="Y11" s="18">
        <f t="shared" si="2"/>
        <v>2878590.6139315232</v>
      </c>
      <c r="Z11" s="24"/>
      <c r="AA11" s="20"/>
      <c r="AB11" s="21" t="b">
        <v>1</v>
      </c>
      <c r="AC11" s="22">
        <f t="shared" si="3"/>
        <v>0</v>
      </c>
      <c r="AD11" s="28"/>
      <c r="AE11" s="28"/>
    </row>
    <row r="12" spans="1:31">
      <c r="A12" s="10">
        <f t="shared" si="0"/>
        <v>0</v>
      </c>
      <c r="B12" s="13"/>
      <c r="C12" s="13"/>
      <c r="D12" s="13"/>
      <c r="E12" s="13"/>
      <c r="F12" s="13"/>
      <c r="G12" s="13"/>
      <c r="H12" s="13"/>
      <c r="I12" s="13"/>
      <c r="J12" s="13"/>
      <c r="K12" s="13"/>
      <c r="L12" s="16"/>
      <c r="M12" s="16" t="s">
        <v>153</v>
      </c>
      <c r="N12" s="16"/>
      <c r="O12" s="16"/>
      <c r="P12" s="16"/>
      <c r="Q12" s="16"/>
      <c r="R12" s="17"/>
      <c r="S12" s="17"/>
      <c r="T12" s="17"/>
      <c r="U12" s="17"/>
      <c r="V12" s="17"/>
      <c r="W12" s="17"/>
      <c r="X12" s="17">
        <f t="shared" si="1"/>
        <v>5</v>
      </c>
      <c r="Y12" s="18">
        <f t="shared" si="2"/>
        <v>2878590.6139315232</v>
      </c>
      <c r="Z12" s="24"/>
      <c r="AA12" s="20"/>
      <c r="AB12" s="21" t="b">
        <v>1</v>
      </c>
      <c r="AC12" s="22">
        <f t="shared" si="3"/>
        <v>0</v>
      </c>
      <c r="AD12" s="28"/>
      <c r="AE12" s="28"/>
    </row>
    <row r="13" spans="1:31" ht="15.75" customHeight="1">
      <c r="A13" s="10">
        <f t="shared" si="0"/>
        <v>5995325.2656434476</v>
      </c>
      <c r="B13" s="13">
        <v>3</v>
      </c>
      <c r="C13" s="13">
        <v>2</v>
      </c>
      <c r="D13" s="13">
        <v>2</v>
      </c>
      <c r="E13" s="13">
        <v>3</v>
      </c>
      <c r="F13" s="13"/>
      <c r="G13" s="13">
        <v>2</v>
      </c>
      <c r="H13" s="13"/>
      <c r="I13" s="13"/>
      <c r="J13" s="13"/>
      <c r="K13" s="13">
        <v>4</v>
      </c>
      <c r="L13" s="100" t="s">
        <v>384</v>
      </c>
      <c r="M13" s="16"/>
      <c r="N13" s="16"/>
      <c r="O13" s="16"/>
      <c r="P13" s="16"/>
      <c r="Q13" s="16"/>
      <c r="R13" s="17"/>
      <c r="S13" s="17"/>
      <c r="T13" s="17"/>
      <c r="U13" s="17"/>
      <c r="V13" s="17"/>
      <c r="W13" s="17"/>
      <c r="X13" s="17">
        <f t="shared" si="1"/>
        <v>6</v>
      </c>
      <c r="Y13" s="18">
        <f t="shared" si="2"/>
        <v>7632807.2609208971</v>
      </c>
      <c r="Z13" s="24"/>
      <c r="AA13" s="20"/>
      <c r="AB13" s="21" t="b">
        <v>1</v>
      </c>
      <c r="AC13" s="22">
        <f t="shared" si="3"/>
        <v>7632807.2609208971</v>
      </c>
      <c r="AD13" s="28"/>
      <c r="AE13" s="28"/>
    </row>
    <row r="14" spans="1:31" ht="15.75" customHeight="1">
      <c r="A14" s="10">
        <f t="shared" si="0"/>
        <v>0</v>
      </c>
      <c r="B14" s="13"/>
      <c r="C14" s="13"/>
      <c r="D14" s="13"/>
      <c r="E14" s="13"/>
      <c r="F14" s="13"/>
      <c r="G14" s="13"/>
      <c r="H14" s="13"/>
      <c r="I14" s="13"/>
      <c r="J14" s="13"/>
      <c r="K14" s="13"/>
      <c r="L14" s="27"/>
      <c r="M14" s="101" t="s">
        <v>385</v>
      </c>
      <c r="N14" s="16"/>
      <c r="O14" s="16"/>
      <c r="P14" s="16"/>
      <c r="Q14" s="16"/>
      <c r="R14" s="17"/>
      <c r="S14" s="17"/>
      <c r="T14" s="17"/>
      <c r="U14" s="17"/>
      <c r="V14" s="17"/>
      <c r="W14" s="17"/>
      <c r="X14" s="17">
        <f t="shared" si="1"/>
        <v>6</v>
      </c>
      <c r="Y14" s="18">
        <f t="shared" si="2"/>
        <v>7632807.2609208971</v>
      </c>
      <c r="Z14" s="24"/>
      <c r="AA14" s="20"/>
      <c r="AB14" s="21" t="b">
        <v>1</v>
      </c>
      <c r="AC14" s="22">
        <f t="shared" si="3"/>
        <v>0</v>
      </c>
      <c r="AD14" s="28"/>
      <c r="AE14" s="28"/>
    </row>
    <row r="15" spans="1:31">
      <c r="A15" s="10">
        <f t="shared" si="0"/>
        <v>0</v>
      </c>
      <c r="B15" s="13"/>
      <c r="C15" s="13"/>
      <c r="D15" s="13"/>
      <c r="E15" s="13"/>
      <c r="F15" s="13"/>
      <c r="G15" s="13"/>
      <c r="H15" s="13"/>
      <c r="I15" s="13"/>
      <c r="J15" s="13"/>
      <c r="K15" s="13"/>
      <c r="L15" s="16"/>
      <c r="M15" s="16"/>
      <c r="N15" s="16" t="s">
        <v>386</v>
      </c>
      <c r="O15" s="16"/>
      <c r="P15" s="16"/>
      <c r="Q15" s="16"/>
      <c r="R15" s="17"/>
      <c r="S15" s="17"/>
      <c r="T15" s="17"/>
      <c r="U15" s="17"/>
      <c r="V15" s="17"/>
      <c r="W15" s="17"/>
      <c r="X15" s="17">
        <f t="shared" si="1"/>
        <v>6</v>
      </c>
      <c r="Y15" s="18">
        <f t="shared" si="2"/>
        <v>7632807.2609208971</v>
      </c>
      <c r="Z15" s="24"/>
      <c r="AA15" s="20"/>
      <c r="AB15" s="21" t="b">
        <v>1</v>
      </c>
      <c r="AC15" s="22">
        <f t="shared" si="3"/>
        <v>0</v>
      </c>
      <c r="AD15" s="28"/>
      <c r="AE15" s="28"/>
    </row>
    <row r="16" spans="1:31">
      <c r="A16" s="10">
        <f t="shared" si="0"/>
        <v>0</v>
      </c>
      <c r="B16" s="13"/>
      <c r="C16" s="13"/>
      <c r="D16" s="13"/>
      <c r="E16" s="13"/>
      <c r="F16" s="13"/>
      <c r="G16" s="13"/>
      <c r="H16" s="13"/>
      <c r="I16" s="13"/>
      <c r="J16" s="13"/>
      <c r="K16" s="13"/>
      <c r="L16" s="16"/>
      <c r="M16" s="16"/>
      <c r="N16" s="16" t="s">
        <v>387</v>
      </c>
      <c r="O16" s="16"/>
      <c r="P16" s="16"/>
      <c r="Q16" s="16"/>
      <c r="R16" s="16"/>
      <c r="S16" s="17"/>
      <c r="T16" s="17"/>
      <c r="U16" s="17"/>
      <c r="V16" s="17"/>
      <c r="W16" s="17"/>
      <c r="X16" s="17">
        <f t="shared" si="1"/>
        <v>6</v>
      </c>
      <c r="Y16" s="18">
        <f t="shared" si="2"/>
        <v>7632807.2609208971</v>
      </c>
      <c r="Z16" s="24"/>
      <c r="AA16" s="20"/>
      <c r="AB16" s="21" t="b">
        <v>1</v>
      </c>
      <c r="AC16" s="22">
        <f t="shared" si="3"/>
        <v>0</v>
      </c>
      <c r="AD16" s="28"/>
      <c r="AE16" s="28"/>
    </row>
    <row r="17" spans="1:31">
      <c r="A17" s="10">
        <f t="shared" si="0"/>
        <v>0</v>
      </c>
      <c r="B17" s="13"/>
      <c r="C17" s="13"/>
      <c r="D17" s="13"/>
      <c r="E17" s="13"/>
      <c r="F17" s="13"/>
      <c r="G17" s="13"/>
      <c r="H17" s="13"/>
      <c r="I17" s="13"/>
      <c r="J17" s="13"/>
      <c r="K17" s="13"/>
      <c r="L17" s="16"/>
      <c r="M17" s="16"/>
      <c r="N17" s="16" t="s">
        <v>388</v>
      </c>
      <c r="O17" s="16"/>
      <c r="P17" s="16"/>
      <c r="Q17" s="16"/>
      <c r="R17" s="16"/>
      <c r="S17" s="16"/>
      <c r="T17" s="17"/>
      <c r="U17" s="17"/>
      <c r="V17" s="17"/>
      <c r="W17" s="17"/>
      <c r="X17" s="17">
        <f t="shared" si="1"/>
        <v>6</v>
      </c>
      <c r="Y17" s="18">
        <f t="shared" si="2"/>
        <v>7632807.2609208971</v>
      </c>
      <c r="Z17" s="24"/>
      <c r="AA17" s="20"/>
      <c r="AB17" s="21" t="b">
        <v>1</v>
      </c>
      <c r="AC17" s="22">
        <f t="shared" si="3"/>
        <v>0</v>
      </c>
      <c r="AD17" s="28"/>
      <c r="AE17" s="28"/>
    </row>
    <row r="18" spans="1:31">
      <c r="A18" s="10">
        <f t="shared" si="0"/>
        <v>0</v>
      </c>
      <c r="B18" s="13"/>
      <c r="C18" s="13"/>
      <c r="D18" s="13"/>
      <c r="E18" s="13"/>
      <c r="F18" s="13"/>
      <c r="G18" s="13"/>
      <c r="H18" s="13"/>
      <c r="I18" s="13"/>
      <c r="J18" s="13"/>
      <c r="K18" s="13"/>
      <c r="L18" s="16"/>
      <c r="M18" s="16"/>
      <c r="N18" s="16" t="s">
        <v>389</v>
      </c>
      <c r="O18" s="16"/>
      <c r="P18" s="16"/>
      <c r="Q18" s="16"/>
      <c r="R18" s="16"/>
      <c r="S18" s="16"/>
      <c r="T18" s="17"/>
      <c r="U18" s="17"/>
      <c r="V18" s="17"/>
      <c r="W18" s="17"/>
      <c r="X18" s="17">
        <f t="shared" si="1"/>
        <v>6</v>
      </c>
      <c r="Y18" s="18">
        <f t="shared" si="2"/>
        <v>7632807.2609208971</v>
      </c>
      <c r="Z18" s="24"/>
      <c r="AA18" s="20"/>
      <c r="AB18" s="21" t="b">
        <v>1</v>
      </c>
      <c r="AC18" s="22">
        <f t="shared" si="3"/>
        <v>0</v>
      </c>
      <c r="AD18" s="28"/>
      <c r="AE18" s="28"/>
    </row>
    <row r="19" spans="1:31">
      <c r="A19" s="10">
        <f t="shared" si="0"/>
        <v>0</v>
      </c>
      <c r="B19" s="13"/>
      <c r="C19" s="13"/>
      <c r="D19" s="13"/>
      <c r="E19" s="13"/>
      <c r="F19" s="13"/>
      <c r="G19" s="13"/>
      <c r="H19" s="13"/>
      <c r="I19" s="13"/>
      <c r="J19" s="13"/>
      <c r="K19" s="13"/>
      <c r="L19" s="27"/>
      <c r="M19" s="16"/>
      <c r="N19" s="16" t="s">
        <v>390</v>
      </c>
      <c r="O19" s="16"/>
      <c r="P19" s="16"/>
      <c r="Q19" s="16"/>
      <c r="R19" s="16"/>
      <c r="S19" s="16"/>
      <c r="T19" s="17"/>
      <c r="U19" s="17"/>
      <c r="V19" s="17"/>
      <c r="W19" s="17"/>
      <c r="X19" s="17">
        <f t="shared" si="1"/>
        <v>6</v>
      </c>
      <c r="Y19" s="18">
        <f t="shared" si="2"/>
        <v>7632807.2609208971</v>
      </c>
      <c r="Z19" s="24"/>
      <c r="AA19" s="20"/>
      <c r="AB19" s="21" t="b">
        <v>1</v>
      </c>
      <c r="AC19" s="22">
        <f t="shared" si="3"/>
        <v>0</v>
      </c>
      <c r="AD19" s="28"/>
      <c r="AE19" s="28"/>
    </row>
    <row r="20" spans="1:31">
      <c r="A20" s="10">
        <f t="shared" si="0"/>
        <v>0</v>
      </c>
      <c r="B20" s="13"/>
      <c r="C20" s="13"/>
      <c r="D20" s="13"/>
      <c r="E20" s="13"/>
      <c r="F20" s="13"/>
      <c r="G20" s="13"/>
      <c r="H20" s="13"/>
      <c r="I20" s="13"/>
      <c r="J20" s="13"/>
      <c r="K20" s="13"/>
      <c r="L20" s="16"/>
      <c r="M20" s="16"/>
      <c r="N20" s="16" t="s">
        <v>391</v>
      </c>
      <c r="O20" s="16"/>
      <c r="P20" s="16"/>
      <c r="Q20" s="17"/>
      <c r="R20" s="17"/>
      <c r="S20" s="17"/>
      <c r="T20" s="17"/>
      <c r="U20" s="17"/>
      <c r="V20" s="17"/>
      <c r="W20" s="17"/>
      <c r="X20" s="17">
        <f t="shared" si="1"/>
        <v>6</v>
      </c>
      <c r="Y20" s="18">
        <f t="shared" si="2"/>
        <v>7632807.2609208971</v>
      </c>
      <c r="Z20" s="19"/>
      <c r="AA20" s="20"/>
      <c r="AB20" s="21" t="b">
        <v>1</v>
      </c>
      <c r="AC20" s="22">
        <f t="shared" si="3"/>
        <v>0</v>
      </c>
      <c r="AD20" s="28"/>
      <c r="AE20" s="28"/>
    </row>
    <row r="21" spans="1:31">
      <c r="A21" s="10">
        <f t="shared" si="0"/>
        <v>0</v>
      </c>
      <c r="B21" s="13"/>
      <c r="C21" s="13"/>
      <c r="D21" s="13"/>
      <c r="E21" s="13"/>
      <c r="F21" s="13"/>
      <c r="G21" s="13"/>
      <c r="H21" s="13"/>
      <c r="I21" s="13"/>
      <c r="J21" s="13"/>
      <c r="K21" s="13"/>
      <c r="L21" s="16"/>
      <c r="M21" s="16"/>
      <c r="N21" s="16" t="s">
        <v>392</v>
      </c>
      <c r="O21" s="16"/>
      <c r="P21" s="16"/>
      <c r="Q21" s="16"/>
      <c r="R21" s="16"/>
      <c r="S21" s="17"/>
      <c r="T21" s="17"/>
      <c r="U21" s="17"/>
      <c r="V21" s="17"/>
      <c r="W21" s="17"/>
      <c r="X21" s="17">
        <f t="shared" si="1"/>
        <v>6</v>
      </c>
      <c r="Y21" s="18">
        <f t="shared" si="2"/>
        <v>7632807.2609208971</v>
      </c>
      <c r="Z21" s="24"/>
      <c r="AA21" s="20"/>
      <c r="AB21" s="21" t="b">
        <v>1</v>
      </c>
      <c r="AC21" s="22">
        <f t="shared" si="3"/>
        <v>0</v>
      </c>
      <c r="AD21" s="28"/>
      <c r="AE21" s="28"/>
    </row>
    <row r="22" spans="1:31" ht="15.75" customHeight="1">
      <c r="A22" s="10">
        <f t="shared" si="0"/>
        <v>982489.19716646988</v>
      </c>
      <c r="B22" s="13"/>
      <c r="C22" s="13"/>
      <c r="D22" s="13"/>
      <c r="E22" s="13"/>
      <c r="F22" s="13"/>
      <c r="G22" s="13"/>
      <c r="H22" s="13"/>
      <c r="I22" s="13"/>
      <c r="J22" s="13"/>
      <c r="K22" s="13">
        <v>3</v>
      </c>
      <c r="L22" s="16"/>
      <c r="M22" s="101" t="s">
        <v>393</v>
      </c>
      <c r="N22" s="16"/>
      <c r="O22" s="16"/>
      <c r="P22" s="16"/>
      <c r="Q22" s="16"/>
      <c r="R22" s="16"/>
      <c r="S22" s="17"/>
      <c r="T22" s="17"/>
      <c r="U22" s="17"/>
      <c r="V22" s="17"/>
      <c r="W22" s="17"/>
      <c r="X22" s="17">
        <f t="shared" si="1"/>
        <v>6</v>
      </c>
      <c r="Y22" s="18">
        <f t="shared" si="2"/>
        <v>7632807.2609208971</v>
      </c>
      <c r="Z22" s="24"/>
      <c r="AA22" s="20"/>
      <c r="AB22" s="21" t="b">
        <v>1</v>
      </c>
      <c r="AC22" s="22">
        <f t="shared" si="3"/>
        <v>0</v>
      </c>
      <c r="AD22" s="28"/>
      <c r="AE22" s="28"/>
    </row>
    <row r="23" spans="1:31" ht="15.75" customHeight="1">
      <c r="A23" s="10">
        <f t="shared" si="0"/>
        <v>0</v>
      </c>
      <c r="B23" s="13"/>
      <c r="C23" s="13"/>
      <c r="D23" s="13"/>
      <c r="E23" s="13"/>
      <c r="F23" s="13"/>
      <c r="G23" s="13"/>
      <c r="H23" s="13"/>
      <c r="I23" s="13"/>
      <c r="J23" s="13"/>
      <c r="K23" s="13"/>
      <c r="L23" s="16"/>
      <c r="M23" s="16"/>
      <c r="N23" s="101" t="s">
        <v>394</v>
      </c>
      <c r="O23" s="16"/>
      <c r="P23" s="16"/>
      <c r="Q23" s="16"/>
      <c r="R23" s="16"/>
      <c r="S23" s="17"/>
      <c r="T23" s="17"/>
      <c r="U23" s="17"/>
      <c r="V23" s="17"/>
      <c r="W23" s="17"/>
      <c r="X23" s="17">
        <f t="shared" si="1"/>
        <v>6</v>
      </c>
      <c r="Y23" s="18">
        <f t="shared" si="2"/>
        <v>7632807.2609208971</v>
      </c>
      <c r="Z23" s="24"/>
      <c r="AA23" s="20"/>
      <c r="AB23" s="21" t="b">
        <v>1</v>
      </c>
      <c r="AC23" s="22">
        <f t="shared" si="3"/>
        <v>0</v>
      </c>
      <c r="AD23" s="28"/>
      <c r="AE23" s="28"/>
    </row>
    <row r="24" spans="1:31">
      <c r="A24" s="10">
        <f t="shared" si="0"/>
        <v>0</v>
      </c>
      <c r="B24" s="13"/>
      <c r="C24" s="13"/>
      <c r="D24" s="13"/>
      <c r="E24" s="13"/>
      <c r="F24" s="13"/>
      <c r="G24" s="13"/>
      <c r="H24" s="13"/>
      <c r="I24" s="13"/>
      <c r="J24" s="13"/>
      <c r="K24" s="13"/>
      <c r="L24" s="16"/>
      <c r="M24" s="29"/>
      <c r="N24" s="16"/>
      <c r="O24" s="16" t="s">
        <v>395</v>
      </c>
      <c r="P24" s="16"/>
      <c r="Q24" s="16"/>
      <c r="R24" s="16"/>
      <c r="S24" s="17"/>
      <c r="T24" s="17"/>
      <c r="U24" s="17"/>
      <c r="V24" s="17"/>
      <c r="W24" s="17"/>
      <c r="X24" s="17">
        <f t="shared" si="1"/>
        <v>6</v>
      </c>
      <c r="Y24" s="18">
        <f t="shared" si="2"/>
        <v>7632807.2609208971</v>
      </c>
      <c r="Z24" s="19"/>
      <c r="AA24" s="30"/>
      <c r="AB24" s="21" t="b">
        <v>1</v>
      </c>
      <c r="AC24" s="22">
        <f t="shared" si="3"/>
        <v>0</v>
      </c>
      <c r="AD24" s="28"/>
      <c r="AE24" s="28"/>
    </row>
    <row r="25" spans="1:31">
      <c r="A25" s="10">
        <f t="shared" si="0"/>
        <v>0</v>
      </c>
      <c r="B25" s="13"/>
      <c r="C25" s="13"/>
      <c r="D25" s="13"/>
      <c r="E25" s="13"/>
      <c r="F25" s="13"/>
      <c r="G25" s="13"/>
      <c r="H25" s="13"/>
      <c r="I25" s="13"/>
      <c r="J25" s="13"/>
      <c r="K25" s="13"/>
      <c r="L25" s="27"/>
      <c r="M25" s="16"/>
      <c r="N25" s="16"/>
      <c r="O25" s="16" t="s">
        <v>396</v>
      </c>
      <c r="P25" s="16"/>
      <c r="Q25" s="16"/>
      <c r="R25" s="16"/>
      <c r="S25" s="17"/>
      <c r="T25" s="17"/>
      <c r="U25" s="17"/>
      <c r="V25" s="17"/>
      <c r="W25" s="17"/>
      <c r="X25" s="17">
        <f t="shared" si="1"/>
        <v>6</v>
      </c>
      <c r="Y25" s="18">
        <f t="shared" si="2"/>
        <v>7632807.2609208971</v>
      </c>
      <c r="Z25" s="24"/>
      <c r="AA25" s="20"/>
      <c r="AB25" s="21" t="b">
        <v>1</v>
      </c>
      <c r="AC25" s="22">
        <f t="shared" si="3"/>
        <v>0</v>
      </c>
      <c r="AD25" s="28"/>
      <c r="AE25" s="28"/>
    </row>
    <row r="26" spans="1:31" ht="15.75" customHeight="1">
      <c r="A26" s="10">
        <f t="shared" si="0"/>
        <v>0</v>
      </c>
      <c r="B26" s="13"/>
      <c r="C26" s="13"/>
      <c r="D26" s="13"/>
      <c r="E26" s="13"/>
      <c r="F26" s="13"/>
      <c r="G26" s="13"/>
      <c r="H26" s="13"/>
      <c r="I26" s="13"/>
      <c r="J26" s="13"/>
      <c r="K26" s="13"/>
      <c r="L26" s="27"/>
      <c r="M26" s="16"/>
      <c r="N26" s="16"/>
      <c r="O26" s="101" t="s">
        <v>397</v>
      </c>
      <c r="P26" s="16"/>
      <c r="Q26" s="16"/>
      <c r="R26" s="16"/>
      <c r="S26" s="17"/>
      <c r="T26" s="17"/>
      <c r="U26" s="17"/>
      <c r="V26" s="17"/>
      <c r="W26" s="17"/>
      <c r="X26" s="17">
        <f t="shared" si="1"/>
        <v>6</v>
      </c>
      <c r="Y26" s="18">
        <f t="shared" si="2"/>
        <v>7632807.2609208971</v>
      </c>
      <c r="Z26" s="24"/>
      <c r="AA26" s="20"/>
      <c r="AB26" s="21" t="b">
        <v>1</v>
      </c>
      <c r="AC26" s="22">
        <f t="shared" si="3"/>
        <v>0</v>
      </c>
      <c r="AD26" s="28"/>
      <c r="AE26" s="28"/>
    </row>
    <row r="27" spans="1:31">
      <c r="A27" s="10">
        <f t="shared" si="0"/>
        <v>0</v>
      </c>
      <c r="B27" s="13"/>
      <c r="C27" s="13"/>
      <c r="D27" s="13"/>
      <c r="E27" s="13"/>
      <c r="F27" s="13"/>
      <c r="G27" s="13"/>
      <c r="H27" s="13"/>
      <c r="I27" s="13"/>
      <c r="J27" s="13"/>
      <c r="K27" s="13"/>
      <c r="L27" s="27"/>
      <c r="M27" s="16"/>
      <c r="N27" s="16"/>
      <c r="O27" s="16"/>
      <c r="P27" s="16" t="s">
        <v>398</v>
      </c>
      <c r="Q27" s="16"/>
      <c r="R27" s="16"/>
      <c r="S27" s="17"/>
      <c r="T27" s="17"/>
      <c r="U27" s="17"/>
      <c r="V27" s="17"/>
      <c r="W27" s="17"/>
      <c r="X27" s="17">
        <f t="shared" si="1"/>
        <v>6</v>
      </c>
      <c r="Y27" s="18">
        <f t="shared" si="2"/>
        <v>7632807.2609208971</v>
      </c>
      <c r="Z27" s="24"/>
      <c r="AA27" s="20"/>
      <c r="AB27" s="21" t="b">
        <v>1</v>
      </c>
      <c r="AC27" s="22">
        <f t="shared" si="3"/>
        <v>0</v>
      </c>
      <c r="AD27" s="28"/>
      <c r="AE27" s="28"/>
    </row>
    <row r="28" spans="1:31">
      <c r="A28" s="10">
        <f t="shared" si="0"/>
        <v>0</v>
      </c>
      <c r="B28" s="13"/>
      <c r="C28" s="13"/>
      <c r="D28" s="13"/>
      <c r="E28" s="13"/>
      <c r="F28" s="13"/>
      <c r="G28" s="13"/>
      <c r="H28" s="13"/>
      <c r="I28" s="13"/>
      <c r="J28" s="13"/>
      <c r="K28" s="13"/>
      <c r="L28" s="27"/>
      <c r="M28" s="16"/>
      <c r="N28" s="16" t="s">
        <v>399</v>
      </c>
      <c r="O28" s="16"/>
      <c r="P28" s="16"/>
      <c r="Q28" s="16"/>
      <c r="R28" s="16"/>
      <c r="S28" s="17"/>
      <c r="T28" s="17"/>
      <c r="U28" s="17"/>
      <c r="V28" s="17"/>
      <c r="W28" s="17"/>
      <c r="X28" s="17">
        <f t="shared" si="1"/>
        <v>6</v>
      </c>
      <c r="Y28" s="18">
        <f t="shared" si="2"/>
        <v>7632807.2609208971</v>
      </c>
      <c r="Z28" s="24"/>
      <c r="AA28" s="20"/>
      <c r="AB28" s="21" t="b">
        <v>1</v>
      </c>
      <c r="AC28" s="22">
        <f t="shared" si="3"/>
        <v>0</v>
      </c>
      <c r="AD28" s="28"/>
      <c r="AE28" s="28"/>
    </row>
    <row r="29" spans="1:31" ht="15.75" customHeight="1">
      <c r="A29" s="10">
        <f t="shared" si="0"/>
        <v>654992.79811097996</v>
      </c>
      <c r="B29" s="13"/>
      <c r="C29" s="13"/>
      <c r="D29" s="13"/>
      <c r="E29" s="13"/>
      <c r="F29" s="13"/>
      <c r="G29" s="13"/>
      <c r="H29" s="13"/>
      <c r="I29" s="13"/>
      <c r="J29" s="13"/>
      <c r="K29" s="13">
        <v>2</v>
      </c>
      <c r="L29" s="27"/>
      <c r="M29" s="16"/>
      <c r="N29" s="101" t="s">
        <v>400</v>
      </c>
      <c r="O29" s="16"/>
      <c r="P29" s="16"/>
      <c r="Q29" s="16"/>
      <c r="R29" s="16"/>
      <c r="S29" s="17"/>
      <c r="T29" s="17"/>
      <c r="U29" s="17"/>
      <c r="V29" s="17"/>
      <c r="W29" s="17"/>
      <c r="X29" s="17">
        <f t="shared" si="1"/>
        <v>6</v>
      </c>
      <c r="Y29" s="18">
        <f t="shared" si="2"/>
        <v>7632807.2609208971</v>
      </c>
      <c r="Z29" s="24"/>
      <c r="AA29" s="20"/>
      <c r="AB29" s="21" t="b">
        <v>1</v>
      </c>
      <c r="AC29" s="22">
        <f t="shared" si="3"/>
        <v>0</v>
      </c>
      <c r="AD29" s="28"/>
      <c r="AE29" s="28"/>
    </row>
    <row r="30" spans="1:31">
      <c r="A30" s="10">
        <f t="shared" si="0"/>
        <v>0</v>
      </c>
      <c r="B30" s="13"/>
      <c r="C30" s="13"/>
      <c r="D30" s="13"/>
      <c r="E30" s="13"/>
      <c r="F30" s="13"/>
      <c r="G30" s="13"/>
      <c r="H30" s="13"/>
      <c r="I30" s="13"/>
      <c r="J30" s="13"/>
      <c r="K30" s="13"/>
      <c r="L30" s="27"/>
      <c r="M30" s="16"/>
      <c r="N30" s="16"/>
      <c r="O30" s="16" t="s">
        <v>401</v>
      </c>
      <c r="P30" s="16"/>
      <c r="Q30" s="16"/>
      <c r="R30" s="16"/>
      <c r="S30" s="17"/>
      <c r="T30" s="17"/>
      <c r="U30" s="17"/>
      <c r="V30" s="17"/>
      <c r="W30" s="17"/>
      <c r="X30" s="17">
        <f t="shared" si="1"/>
        <v>6</v>
      </c>
      <c r="Y30" s="18">
        <f t="shared" si="2"/>
        <v>7632807.2609208971</v>
      </c>
      <c r="Z30" s="24"/>
      <c r="AA30" s="20"/>
      <c r="AB30" s="21" t="b">
        <v>1</v>
      </c>
      <c r="AC30" s="22">
        <f t="shared" si="3"/>
        <v>0</v>
      </c>
      <c r="AD30" s="28"/>
      <c r="AE30" s="28"/>
    </row>
    <row r="31" spans="1:31">
      <c r="A31" s="10">
        <f t="shared" si="0"/>
        <v>0</v>
      </c>
      <c r="B31" s="13"/>
      <c r="C31" s="13"/>
      <c r="D31" s="13"/>
      <c r="E31" s="13"/>
      <c r="F31" s="13"/>
      <c r="G31" s="13"/>
      <c r="H31" s="13"/>
      <c r="I31" s="13"/>
      <c r="J31" s="13"/>
      <c r="K31" s="13"/>
      <c r="L31" s="27"/>
      <c r="M31" s="16"/>
      <c r="N31" s="31"/>
      <c r="O31" s="16" t="s">
        <v>402</v>
      </c>
      <c r="P31" s="16"/>
      <c r="Q31" s="16"/>
      <c r="R31" s="16"/>
      <c r="S31" s="17"/>
      <c r="T31" s="17"/>
      <c r="U31" s="17"/>
      <c r="V31" s="17"/>
      <c r="W31" s="17"/>
      <c r="X31" s="17">
        <f t="shared" si="1"/>
        <v>6</v>
      </c>
      <c r="Y31" s="18">
        <f t="shared" si="2"/>
        <v>7632807.2609208971</v>
      </c>
      <c r="Z31" s="24"/>
      <c r="AA31" s="20"/>
      <c r="AB31" s="21" t="b">
        <v>1</v>
      </c>
      <c r="AC31" s="22">
        <f t="shared" si="3"/>
        <v>0</v>
      </c>
      <c r="AD31" s="28"/>
      <c r="AE31" s="28"/>
    </row>
    <row r="32" spans="1:31">
      <c r="A32" s="10">
        <f t="shared" si="0"/>
        <v>0</v>
      </c>
      <c r="B32" s="13"/>
      <c r="C32" s="13"/>
      <c r="D32" s="13"/>
      <c r="E32" s="13"/>
      <c r="F32" s="13"/>
      <c r="G32" s="13"/>
      <c r="H32" s="13"/>
      <c r="I32" s="13"/>
      <c r="J32" s="13"/>
      <c r="K32" s="13"/>
      <c r="L32" s="27"/>
      <c r="M32" s="16"/>
      <c r="N32" s="16"/>
      <c r="O32" s="16" t="s">
        <v>403</v>
      </c>
      <c r="P32" s="16"/>
      <c r="Q32" s="16"/>
      <c r="R32" s="16"/>
      <c r="S32" s="17"/>
      <c r="T32" s="17"/>
      <c r="U32" s="17"/>
      <c r="V32" s="17"/>
      <c r="W32" s="17"/>
      <c r="X32" s="17">
        <f t="shared" si="1"/>
        <v>6</v>
      </c>
      <c r="Y32" s="18">
        <f t="shared" si="2"/>
        <v>7632807.2609208971</v>
      </c>
      <c r="Z32" s="24"/>
      <c r="AA32" s="20"/>
      <c r="AB32" s="21" t="b">
        <v>1</v>
      </c>
      <c r="AC32" s="22">
        <f t="shared" si="3"/>
        <v>0</v>
      </c>
      <c r="AD32" s="28"/>
      <c r="AE32" s="28"/>
    </row>
    <row r="33" spans="1:31" ht="15.75" customHeight="1">
      <c r="A33" s="10">
        <f t="shared" si="0"/>
        <v>0</v>
      </c>
      <c r="B33" s="13"/>
      <c r="C33" s="13"/>
      <c r="D33" s="13"/>
      <c r="E33" s="13"/>
      <c r="F33" s="13"/>
      <c r="G33" s="13"/>
      <c r="H33" s="13"/>
      <c r="I33" s="13"/>
      <c r="J33" s="13"/>
      <c r="K33" s="13"/>
      <c r="L33" s="100" t="s">
        <v>404</v>
      </c>
      <c r="M33" s="16"/>
      <c r="N33" s="16"/>
      <c r="O33" s="16"/>
      <c r="P33" s="16"/>
      <c r="Q33" s="16"/>
      <c r="R33" s="16"/>
      <c r="S33" s="17"/>
      <c r="T33" s="17"/>
      <c r="U33" s="17"/>
      <c r="V33" s="17"/>
      <c r="W33" s="17"/>
      <c r="X33" s="17">
        <f t="shared" si="1"/>
        <v>7</v>
      </c>
      <c r="Y33" s="18">
        <f t="shared" si="2"/>
        <v>8437466.843762299</v>
      </c>
      <c r="Z33" s="19"/>
      <c r="AA33" s="30"/>
      <c r="AB33" s="21" t="b">
        <v>1</v>
      </c>
      <c r="AC33" s="22">
        <f t="shared" si="3"/>
        <v>8437466.843762299</v>
      </c>
      <c r="AD33" s="28"/>
      <c r="AE33" s="28"/>
    </row>
    <row r="34" spans="1:31" ht="15.75" customHeight="1">
      <c r="A34" s="10">
        <f t="shared" si="0"/>
        <v>4787435.9700905159</v>
      </c>
      <c r="B34" s="13">
        <v>3</v>
      </c>
      <c r="C34" s="13">
        <v>2</v>
      </c>
      <c r="D34" s="13">
        <v>2</v>
      </c>
      <c r="E34" s="13"/>
      <c r="F34" s="13">
        <v>2</v>
      </c>
      <c r="G34" s="13">
        <v>2</v>
      </c>
      <c r="H34" s="13"/>
      <c r="I34" s="13"/>
      <c r="J34" s="13"/>
      <c r="K34" s="13">
        <v>2</v>
      </c>
      <c r="L34" s="27"/>
      <c r="M34" s="101" t="s">
        <v>405</v>
      </c>
      <c r="N34" s="16"/>
      <c r="O34" s="16"/>
      <c r="P34" s="17"/>
      <c r="Q34" s="17"/>
      <c r="R34" s="17"/>
      <c r="S34" s="17"/>
      <c r="T34" s="17"/>
      <c r="U34" s="17"/>
      <c r="V34" s="17"/>
      <c r="W34" s="17"/>
      <c r="X34" s="17">
        <f t="shared" si="1"/>
        <v>7</v>
      </c>
      <c r="Y34" s="18">
        <f t="shared" si="2"/>
        <v>8437466.843762299</v>
      </c>
      <c r="Z34" s="24"/>
      <c r="AA34" s="20"/>
      <c r="AB34" s="21" t="b">
        <v>1</v>
      </c>
      <c r="AC34" s="22">
        <f t="shared" si="3"/>
        <v>0</v>
      </c>
      <c r="AD34" s="32"/>
      <c r="AE34" s="32"/>
    </row>
    <row r="35" spans="1:31">
      <c r="A35" s="10">
        <f t="shared" si="0"/>
        <v>0</v>
      </c>
      <c r="B35" s="13"/>
      <c r="C35" s="13"/>
      <c r="D35" s="13"/>
      <c r="E35" s="13"/>
      <c r="F35" s="13"/>
      <c r="G35" s="13"/>
      <c r="H35" s="13"/>
      <c r="I35" s="13"/>
      <c r="J35" s="13"/>
      <c r="K35" s="13"/>
      <c r="L35" s="27"/>
      <c r="N35" s="16" t="s">
        <v>406</v>
      </c>
      <c r="O35" s="16"/>
      <c r="P35" s="16"/>
      <c r="Q35" s="16"/>
      <c r="R35" s="16"/>
      <c r="S35" s="17"/>
      <c r="T35" s="17"/>
      <c r="U35" s="17"/>
      <c r="V35" s="17"/>
      <c r="W35" s="17"/>
      <c r="X35" s="17">
        <f t="shared" si="1"/>
        <v>7</v>
      </c>
      <c r="Y35" s="18">
        <f t="shared" si="2"/>
        <v>8437466.843762299</v>
      </c>
      <c r="Z35" s="19"/>
      <c r="AA35" s="20"/>
      <c r="AB35" s="21" t="b">
        <v>1</v>
      </c>
      <c r="AC35" s="22">
        <f t="shared" si="3"/>
        <v>0</v>
      </c>
      <c r="AD35" s="28"/>
      <c r="AE35" s="28"/>
    </row>
    <row r="36" spans="1:31">
      <c r="A36" s="10">
        <f t="shared" si="0"/>
        <v>0</v>
      </c>
      <c r="B36" s="13"/>
      <c r="C36" s="13"/>
      <c r="D36" s="13"/>
      <c r="E36" s="13"/>
      <c r="F36" s="13"/>
      <c r="G36" s="13"/>
      <c r="H36" s="13"/>
      <c r="I36" s="13"/>
      <c r="J36" s="13"/>
      <c r="K36" s="13"/>
      <c r="L36" s="27"/>
      <c r="M36" s="16"/>
      <c r="N36" s="16" t="s">
        <v>407</v>
      </c>
      <c r="O36" s="16"/>
      <c r="P36" s="16"/>
      <c r="Q36" s="16"/>
      <c r="R36" s="16"/>
      <c r="S36" s="17"/>
      <c r="T36" s="17"/>
      <c r="U36" s="17"/>
      <c r="V36" s="17"/>
      <c r="W36" s="17"/>
      <c r="X36" s="17">
        <f t="shared" si="1"/>
        <v>7</v>
      </c>
      <c r="Y36" s="18">
        <f t="shared" si="2"/>
        <v>8437466.843762299</v>
      </c>
      <c r="Z36" s="24"/>
      <c r="AA36" s="20"/>
      <c r="AB36" s="21" t="b">
        <v>1</v>
      </c>
      <c r="AC36" s="22">
        <f t="shared" si="3"/>
        <v>0</v>
      </c>
      <c r="AD36" s="32"/>
      <c r="AE36" s="32"/>
    </row>
    <row r="37" spans="1:31">
      <c r="A37" s="10">
        <f t="shared" si="0"/>
        <v>0</v>
      </c>
      <c r="B37" s="13"/>
      <c r="C37" s="13"/>
      <c r="D37" s="13"/>
      <c r="E37" s="13"/>
      <c r="F37" s="13"/>
      <c r="G37" s="13"/>
      <c r="H37" s="13"/>
      <c r="I37" s="13"/>
      <c r="J37" s="13"/>
      <c r="K37" s="13"/>
      <c r="L37" s="27"/>
      <c r="M37" s="16"/>
      <c r="N37" s="16" t="s">
        <v>408</v>
      </c>
      <c r="O37" s="16"/>
      <c r="P37" s="16"/>
      <c r="Q37" s="16"/>
      <c r="R37" s="16"/>
      <c r="S37" s="17"/>
      <c r="T37" s="17"/>
      <c r="U37" s="17"/>
      <c r="V37" s="17"/>
      <c r="W37" s="17"/>
      <c r="X37" s="17">
        <f t="shared" si="1"/>
        <v>7</v>
      </c>
      <c r="Y37" s="18">
        <f t="shared" si="2"/>
        <v>8437466.843762299</v>
      </c>
      <c r="Z37" s="24"/>
      <c r="AA37" s="20"/>
      <c r="AB37" s="21" t="b">
        <v>1</v>
      </c>
      <c r="AC37" s="22">
        <f t="shared" si="3"/>
        <v>0</v>
      </c>
      <c r="AD37" s="32"/>
      <c r="AE37" s="32"/>
    </row>
    <row r="38" spans="1:31">
      <c r="A38" s="10">
        <f t="shared" si="0"/>
        <v>0</v>
      </c>
      <c r="B38" s="13"/>
      <c r="C38" s="13"/>
      <c r="D38" s="13"/>
      <c r="E38" s="13"/>
      <c r="F38" s="13"/>
      <c r="G38" s="13"/>
      <c r="H38" s="13"/>
      <c r="I38" s="13"/>
      <c r="J38" s="13"/>
      <c r="K38" s="13"/>
      <c r="L38" s="27"/>
      <c r="M38" s="16"/>
      <c r="N38" s="16" t="s">
        <v>409</v>
      </c>
      <c r="O38" s="16"/>
      <c r="P38" s="16"/>
      <c r="Q38" s="16"/>
      <c r="R38" s="16"/>
      <c r="S38" s="17"/>
      <c r="T38" s="17"/>
      <c r="U38" s="17"/>
      <c r="V38" s="17"/>
      <c r="W38" s="17"/>
      <c r="X38" s="17">
        <f t="shared" si="1"/>
        <v>7</v>
      </c>
      <c r="Y38" s="18">
        <f t="shared" si="2"/>
        <v>8437466.843762299</v>
      </c>
      <c r="Z38" s="24"/>
      <c r="AA38" s="20"/>
      <c r="AB38" s="21" t="b">
        <v>1</v>
      </c>
      <c r="AC38" s="22">
        <f t="shared" si="3"/>
        <v>0</v>
      </c>
      <c r="AD38" s="28"/>
      <c r="AE38" s="28"/>
    </row>
    <row r="39" spans="1:31">
      <c r="A39" s="10">
        <f t="shared" si="0"/>
        <v>0</v>
      </c>
      <c r="B39" s="13"/>
      <c r="C39" s="13"/>
      <c r="D39" s="13"/>
      <c r="E39" s="13"/>
      <c r="F39" s="13"/>
      <c r="G39" s="13"/>
      <c r="H39" s="13"/>
      <c r="I39" s="13"/>
      <c r="J39" s="13"/>
      <c r="K39" s="13"/>
      <c r="L39" s="27"/>
      <c r="M39" s="27"/>
      <c r="N39" s="16" t="s">
        <v>410</v>
      </c>
      <c r="O39" s="16"/>
      <c r="P39" s="16"/>
      <c r="Q39" s="16"/>
      <c r="R39" s="16"/>
      <c r="S39" s="17"/>
      <c r="T39" s="17"/>
      <c r="U39" s="17"/>
      <c r="V39" s="17"/>
      <c r="W39" s="17"/>
      <c r="X39" s="17">
        <f t="shared" si="1"/>
        <v>7</v>
      </c>
      <c r="Y39" s="18">
        <f t="shared" si="2"/>
        <v>8437466.843762299</v>
      </c>
      <c r="Z39" s="24"/>
      <c r="AA39" s="20"/>
      <c r="AB39" s="21" t="b">
        <v>1</v>
      </c>
      <c r="AC39" s="22">
        <f t="shared" si="3"/>
        <v>0</v>
      </c>
      <c r="AD39" s="28"/>
      <c r="AE39" s="28"/>
    </row>
    <row r="40" spans="1:31">
      <c r="A40" s="10">
        <f t="shared" si="0"/>
        <v>0</v>
      </c>
      <c r="B40" s="13"/>
      <c r="C40" s="13"/>
      <c r="D40" s="13"/>
      <c r="E40" s="13"/>
      <c r="F40" s="13"/>
      <c r="G40" s="13"/>
      <c r="H40" s="13"/>
      <c r="I40" s="13"/>
      <c r="J40" s="13"/>
      <c r="K40" s="13"/>
      <c r="L40" s="27"/>
      <c r="M40" s="16"/>
      <c r="N40" s="16" t="s">
        <v>411</v>
      </c>
      <c r="O40" s="16"/>
      <c r="P40" s="16"/>
      <c r="Q40" s="16"/>
      <c r="R40" s="16"/>
      <c r="S40" s="17"/>
      <c r="T40" s="17"/>
      <c r="U40" s="17"/>
      <c r="V40" s="17"/>
      <c r="W40" s="17"/>
      <c r="X40" s="17">
        <f t="shared" si="1"/>
        <v>7</v>
      </c>
      <c r="Y40" s="18">
        <f t="shared" si="2"/>
        <v>8437466.843762299</v>
      </c>
      <c r="Z40" s="24"/>
      <c r="AA40" s="20"/>
      <c r="AB40" s="21" t="b">
        <v>1</v>
      </c>
      <c r="AC40" s="22">
        <f t="shared" si="3"/>
        <v>0</v>
      </c>
      <c r="AD40" s="28"/>
      <c r="AE40" s="28"/>
    </row>
    <row r="41" spans="1:31">
      <c r="A41" s="10">
        <f t="shared" si="0"/>
        <v>0</v>
      </c>
      <c r="B41" s="13"/>
      <c r="C41" s="13"/>
      <c r="D41" s="13"/>
      <c r="E41" s="13"/>
      <c r="F41" s="13"/>
      <c r="G41" s="13"/>
      <c r="H41" s="13"/>
      <c r="I41" s="13"/>
      <c r="J41" s="13"/>
      <c r="K41" s="13"/>
      <c r="L41" s="27"/>
      <c r="M41" s="16"/>
      <c r="N41" s="16" t="s">
        <v>412</v>
      </c>
      <c r="O41" s="16"/>
      <c r="P41" s="16"/>
      <c r="Q41" s="16"/>
      <c r="R41" s="16"/>
      <c r="S41" s="17"/>
      <c r="T41" s="17"/>
      <c r="U41" s="17"/>
      <c r="V41" s="17"/>
      <c r="W41" s="17"/>
      <c r="X41" s="17">
        <f t="shared" si="1"/>
        <v>7</v>
      </c>
      <c r="Y41" s="18">
        <f t="shared" si="2"/>
        <v>8437466.843762299</v>
      </c>
      <c r="Z41" s="24"/>
      <c r="AA41" s="20"/>
      <c r="AB41" s="21" t="b">
        <v>1</v>
      </c>
      <c r="AC41" s="22">
        <f t="shared" si="3"/>
        <v>0</v>
      </c>
      <c r="AD41" s="28"/>
      <c r="AE41" s="28"/>
    </row>
    <row r="42" spans="1:31">
      <c r="A42" s="10">
        <f t="shared" si="0"/>
        <v>0</v>
      </c>
      <c r="B42" s="13"/>
      <c r="C42" s="13"/>
      <c r="D42" s="13"/>
      <c r="E42" s="13"/>
      <c r="F42" s="13"/>
      <c r="G42" s="13"/>
      <c r="H42" s="13"/>
      <c r="I42" s="13"/>
      <c r="J42" s="13"/>
      <c r="K42" s="13"/>
      <c r="L42" s="27"/>
      <c r="M42" s="101" t="s">
        <v>413</v>
      </c>
      <c r="N42" s="16"/>
      <c r="O42" s="16"/>
      <c r="P42" s="16"/>
      <c r="Q42" s="16"/>
      <c r="R42" s="16"/>
      <c r="S42" s="17"/>
      <c r="T42" s="17"/>
      <c r="U42" s="17"/>
      <c r="V42" s="17"/>
      <c r="W42" s="17"/>
      <c r="X42" s="17">
        <f t="shared" si="1"/>
        <v>7</v>
      </c>
      <c r="Y42" s="18">
        <f t="shared" si="2"/>
        <v>8437466.843762299</v>
      </c>
      <c r="Z42" s="24"/>
      <c r="AA42" s="20"/>
      <c r="AB42" s="21" t="b">
        <v>1</v>
      </c>
      <c r="AC42" s="22">
        <f t="shared" si="3"/>
        <v>0</v>
      </c>
      <c r="AD42" s="28"/>
      <c r="AE42" s="28"/>
    </row>
    <row r="43" spans="1:31" ht="15">
      <c r="A43" s="10">
        <f t="shared" si="0"/>
        <v>0</v>
      </c>
      <c r="B43" s="13"/>
      <c r="C43" s="13"/>
      <c r="D43" s="13"/>
      <c r="E43" s="13"/>
      <c r="F43" s="13"/>
      <c r="G43" s="13"/>
      <c r="H43" s="13"/>
      <c r="I43" s="13"/>
      <c r="J43" s="13"/>
      <c r="K43" s="13"/>
      <c r="L43" s="27"/>
      <c r="M43" s="16"/>
      <c r="N43" s="16" t="s">
        <v>414</v>
      </c>
      <c r="O43" s="16"/>
      <c r="P43" s="16"/>
      <c r="Q43" s="16"/>
      <c r="R43" s="16"/>
      <c r="S43" s="17"/>
      <c r="T43" s="17"/>
      <c r="U43" s="17"/>
      <c r="V43" s="17"/>
      <c r="W43" s="17"/>
      <c r="X43" s="17">
        <f t="shared" si="1"/>
        <v>7</v>
      </c>
      <c r="Y43" s="18">
        <f t="shared" si="2"/>
        <v>8437466.843762299</v>
      </c>
      <c r="Z43" s="24"/>
      <c r="AA43" s="20"/>
      <c r="AB43" s="21" t="b">
        <v>1</v>
      </c>
      <c r="AC43" s="22">
        <f t="shared" si="3"/>
        <v>0</v>
      </c>
      <c r="AD43" s="28"/>
      <c r="AE43" s="28"/>
    </row>
    <row r="44" spans="1:31" ht="15">
      <c r="A44" s="10">
        <f t="shared" si="0"/>
        <v>0</v>
      </c>
      <c r="B44" s="13"/>
      <c r="C44" s="13"/>
      <c r="D44" s="13"/>
      <c r="E44" s="13"/>
      <c r="F44" s="13"/>
      <c r="G44" s="13"/>
      <c r="H44" s="13"/>
      <c r="I44" s="13"/>
      <c r="J44" s="13"/>
      <c r="K44" s="13"/>
      <c r="L44" s="27"/>
      <c r="M44" s="16"/>
      <c r="N44" s="16" t="s">
        <v>415</v>
      </c>
      <c r="O44" s="16"/>
      <c r="P44" s="16"/>
      <c r="Q44" s="16"/>
      <c r="R44" s="16"/>
      <c r="S44" s="17"/>
      <c r="T44" s="17"/>
      <c r="U44" s="17"/>
      <c r="V44" s="17"/>
      <c r="W44" s="17"/>
      <c r="X44" s="17">
        <f t="shared" si="1"/>
        <v>7</v>
      </c>
      <c r="Y44" s="18">
        <f t="shared" si="2"/>
        <v>8437466.843762299</v>
      </c>
      <c r="Z44" s="24"/>
      <c r="AA44" s="20"/>
      <c r="AB44" s="21" t="b">
        <v>1</v>
      </c>
      <c r="AC44" s="22">
        <f t="shared" si="3"/>
        <v>0</v>
      </c>
      <c r="AD44" s="32"/>
      <c r="AE44" s="32"/>
    </row>
    <row r="45" spans="1:31" ht="15">
      <c r="A45" s="10">
        <f t="shared" si="0"/>
        <v>0</v>
      </c>
      <c r="B45" s="13"/>
      <c r="C45" s="13"/>
      <c r="D45" s="13"/>
      <c r="E45" s="13"/>
      <c r="F45" s="13"/>
      <c r="G45" s="13"/>
      <c r="H45" s="13"/>
      <c r="I45" s="13"/>
      <c r="J45" s="13"/>
      <c r="K45" s="13"/>
      <c r="L45" s="27"/>
      <c r="M45" s="16"/>
      <c r="N45" s="16" t="s">
        <v>416</v>
      </c>
      <c r="O45" s="16"/>
      <c r="P45" s="16"/>
      <c r="Q45" s="16"/>
      <c r="R45" s="16"/>
      <c r="S45" s="17"/>
      <c r="T45" s="17"/>
      <c r="U45" s="17"/>
      <c r="V45" s="17"/>
      <c r="W45" s="17"/>
      <c r="X45" s="17">
        <f t="shared" si="1"/>
        <v>7</v>
      </c>
      <c r="Y45" s="18">
        <f t="shared" si="2"/>
        <v>8437466.843762299</v>
      </c>
      <c r="Z45" s="24"/>
      <c r="AA45" s="20"/>
      <c r="AB45" s="21" t="b">
        <v>1</v>
      </c>
      <c r="AC45" s="22">
        <f t="shared" si="3"/>
        <v>0</v>
      </c>
      <c r="AD45" s="32"/>
      <c r="AE45" s="32"/>
    </row>
    <row r="46" spans="1:31" ht="15">
      <c r="A46" s="10">
        <f t="shared" si="0"/>
        <v>0</v>
      </c>
      <c r="B46" s="13"/>
      <c r="C46" s="13"/>
      <c r="D46" s="13"/>
      <c r="E46" s="13"/>
      <c r="F46" s="13"/>
      <c r="G46" s="13"/>
      <c r="H46" s="13"/>
      <c r="I46" s="13"/>
      <c r="J46" s="13"/>
      <c r="K46" s="13"/>
      <c r="L46" s="27"/>
      <c r="M46" s="16"/>
      <c r="N46" s="16"/>
      <c r="O46" s="16" t="s">
        <v>417</v>
      </c>
      <c r="P46" s="16"/>
      <c r="Q46" s="16"/>
      <c r="R46" s="16"/>
      <c r="S46" s="17"/>
      <c r="T46" s="17"/>
      <c r="U46" s="17"/>
      <c r="V46" s="17"/>
      <c r="W46" s="17"/>
      <c r="X46" s="17">
        <f t="shared" si="1"/>
        <v>7</v>
      </c>
      <c r="Y46" s="18">
        <f t="shared" si="2"/>
        <v>8437466.843762299</v>
      </c>
      <c r="Z46" s="24"/>
      <c r="AA46" s="20"/>
      <c r="AB46" s="21" t="b">
        <v>1</v>
      </c>
      <c r="AC46" s="22">
        <f t="shared" si="3"/>
        <v>0</v>
      </c>
      <c r="AD46" s="32"/>
      <c r="AE46" s="32"/>
    </row>
    <row r="47" spans="1:31" ht="15">
      <c r="A47" s="10">
        <f t="shared" si="0"/>
        <v>0</v>
      </c>
      <c r="B47" s="13"/>
      <c r="C47" s="13"/>
      <c r="D47" s="13"/>
      <c r="E47" s="13"/>
      <c r="F47" s="13"/>
      <c r="G47" s="13"/>
      <c r="H47" s="13"/>
      <c r="I47" s="13"/>
      <c r="J47" s="13"/>
      <c r="K47" s="13"/>
      <c r="L47" s="27"/>
      <c r="M47" s="16"/>
      <c r="N47" s="16"/>
      <c r="O47" s="16" t="s">
        <v>418</v>
      </c>
      <c r="P47" s="16"/>
      <c r="Q47" s="16"/>
      <c r="R47" s="16"/>
      <c r="S47" s="17"/>
      <c r="T47" s="17"/>
      <c r="U47" s="17"/>
      <c r="V47" s="17"/>
      <c r="W47" s="17"/>
      <c r="X47" s="17">
        <f t="shared" si="1"/>
        <v>7</v>
      </c>
      <c r="Y47" s="18">
        <f t="shared" si="2"/>
        <v>8437466.843762299</v>
      </c>
      <c r="Z47" s="24"/>
      <c r="AA47" s="20"/>
      <c r="AB47" s="21" t="b">
        <v>1</v>
      </c>
      <c r="AC47" s="22">
        <f t="shared" si="3"/>
        <v>0</v>
      </c>
      <c r="AD47" s="32"/>
      <c r="AE47" s="32"/>
    </row>
    <row r="48" spans="1:31" ht="15">
      <c r="A48" s="10">
        <f t="shared" si="0"/>
        <v>0</v>
      </c>
      <c r="B48" s="13"/>
      <c r="C48" s="13"/>
      <c r="D48" s="13"/>
      <c r="E48" s="13"/>
      <c r="F48" s="13"/>
      <c r="G48" s="13"/>
      <c r="H48" s="13"/>
      <c r="I48" s="13"/>
      <c r="J48" s="13"/>
      <c r="K48" s="13"/>
      <c r="L48" s="27"/>
      <c r="M48" s="16"/>
      <c r="N48" s="16"/>
      <c r="O48" s="16" t="s">
        <v>419</v>
      </c>
      <c r="P48" s="16"/>
      <c r="Q48" s="16"/>
      <c r="R48" s="16"/>
      <c r="S48" s="17"/>
      <c r="T48" s="17"/>
      <c r="U48" s="17"/>
      <c r="V48" s="17"/>
      <c r="W48" s="17"/>
      <c r="X48" s="17">
        <f t="shared" si="1"/>
        <v>7</v>
      </c>
      <c r="Y48" s="18">
        <f t="shared" si="2"/>
        <v>8437466.843762299</v>
      </c>
      <c r="Z48" s="24"/>
      <c r="AA48" s="20"/>
      <c r="AB48" s="21" t="b">
        <v>1</v>
      </c>
      <c r="AC48" s="22">
        <f t="shared" si="3"/>
        <v>0</v>
      </c>
      <c r="AD48" s="32"/>
      <c r="AE48" s="32"/>
    </row>
    <row r="49" spans="1:31" ht="15">
      <c r="A49" s="10">
        <f t="shared" si="0"/>
        <v>0</v>
      </c>
      <c r="B49" s="13"/>
      <c r="C49" s="13"/>
      <c r="D49" s="13"/>
      <c r="E49" s="13"/>
      <c r="F49" s="13"/>
      <c r="G49" s="13"/>
      <c r="H49" s="13"/>
      <c r="I49" s="13"/>
      <c r="J49" s="13"/>
      <c r="K49" s="13"/>
      <c r="L49" s="27"/>
      <c r="M49" s="16"/>
      <c r="N49" s="16"/>
      <c r="O49" s="16" t="s">
        <v>420</v>
      </c>
      <c r="P49" s="16"/>
      <c r="Q49" s="16"/>
      <c r="R49" s="16"/>
      <c r="S49" s="17"/>
      <c r="T49" s="17"/>
      <c r="U49" s="17"/>
      <c r="V49" s="17"/>
      <c r="W49" s="17"/>
      <c r="X49" s="17">
        <f t="shared" si="1"/>
        <v>7</v>
      </c>
      <c r="Y49" s="18">
        <f t="shared" si="2"/>
        <v>8437466.843762299</v>
      </c>
      <c r="Z49" s="24"/>
      <c r="AA49" s="20"/>
      <c r="AB49" s="21" t="b">
        <v>1</v>
      </c>
      <c r="AC49" s="22">
        <f t="shared" si="3"/>
        <v>0</v>
      </c>
      <c r="AD49" s="32"/>
      <c r="AE49" s="32"/>
    </row>
    <row r="50" spans="1:31" ht="15">
      <c r="A50" s="10">
        <f t="shared" si="0"/>
        <v>953307.24124360492</v>
      </c>
      <c r="B50" s="13"/>
      <c r="C50" s="13">
        <v>1</v>
      </c>
      <c r="D50" s="13">
        <v>1</v>
      </c>
      <c r="E50" s="13"/>
      <c r="F50" s="13">
        <v>1</v>
      </c>
      <c r="G50" s="13"/>
      <c r="H50" s="13"/>
      <c r="I50" s="13"/>
      <c r="J50" s="13"/>
      <c r="K50" s="13"/>
      <c r="L50" s="27"/>
      <c r="M50" s="16"/>
      <c r="N50" s="16" t="s">
        <v>421</v>
      </c>
      <c r="O50" s="16"/>
      <c r="P50" s="16"/>
      <c r="Q50" s="16"/>
      <c r="R50" s="16"/>
      <c r="S50" s="17"/>
      <c r="T50" s="17"/>
      <c r="U50" s="17"/>
      <c r="V50" s="17"/>
      <c r="W50" s="17"/>
      <c r="X50" s="17">
        <f t="shared" si="1"/>
        <v>7</v>
      </c>
      <c r="Y50" s="18">
        <f t="shared" si="2"/>
        <v>8437466.843762299</v>
      </c>
      <c r="Z50" s="24"/>
      <c r="AA50" s="20"/>
      <c r="AB50" s="21" t="b">
        <v>1</v>
      </c>
      <c r="AC50" s="22">
        <f t="shared" si="3"/>
        <v>0</v>
      </c>
      <c r="AD50" s="32"/>
      <c r="AE50" s="32"/>
    </row>
    <row r="51" spans="1:31" ht="15">
      <c r="A51" s="10">
        <f t="shared" si="0"/>
        <v>0</v>
      </c>
      <c r="B51" s="13"/>
      <c r="C51" s="13"/>
      <c r="D51" s="13"/>
      <c r="E51" s="13"/>
      <c r="F51" s="13"/>
      <c r="G51" s="13"/>
      <c r="H51" s="13"/>
      <c r="I51" s="13"/>
      <c r="J51" s="13"/>
      <c r="K51" s="13"/>
      <c r="L51" s="27"/>
      <c r="M51" s="16"/>
      <c r="N51" s="16" t="s">
        <v>422</v>
      </c>
      <c r="O51" s="16"/>
      <c r="P51" s="16"/>
      <c r="Q51" s="16"/>
      <c r="R51" s="16"/>
      <c r="S51" s="17"/>
      <c r="T51" s="17"/>
      <c r="U51" s="17"/>
      <c r="V51" s="17"/>
      <c r="W51" s="17"/>
      <c r="X51" s="17">
        <f t="shared" si="1"/>
        <v>7</v>
      </c>
      <c r="Y51" s="18">
        <f t="shared" si="2"/>
        <v>8437466.843762299</v>
      </c>
      <c r="Z51" s="24"/>
      <c r="AA51" s="20"/>
      <c r="AB51" s="21" t="b">
        <v>1</v>
      </c>
      <c r="AC51" s="22">
        <f t="shared" si="3"/>
        <v>0</v>
      </c>
      <c r="AD51" s="32"/>
      <c r="AE51" s="32"/>
    </row>
    <row r="52" spans="1:31">
      <c r="A52" s="10">
        <f t="shared" si="0"/>
        <v>2696723.6324281781</v>
      </c>
      <c r="B52" s="13">
        <v>2</v>
      </c>
      <c r="C52" s="13"/>
      <c r="D52" s="13"/>
      <c r="E52" s="13"/>
      <c r="F52" s="13"/>
      <c r="G52" s="13">
        <v>1</v>
      </c>
      <c r="H52" s="13"/>
      <c r="I52" s="13"/>
      <c r="J52" s="13"/>
      <c r="K52" s="13">
        <v>4</v>
      </c>
      <c r="L52" s="27"/>
      <c r="M52" s="101" t="s">
        <v>423</v>
      </c>
      <c r="N52" s="16"/>
      <c r="O52" s="16"/>
      <c r="P52" s="16"/>
      <c r="Q52" s="16"/>
      <c r="R52" s="16"/>
      <c r="S52" s="17"/>
      <c r="T52" s="17"/>
      <c r="U52" s="17"/>
      <c r="V52" s="17"/>
      <c r="W52" s="17"/>
      <c r="X52" s="17">
        <f t="shared" si="1"/>
        <v>7</v>
      </c>
      <c r="Y52" s="18">
        <f t="shared" si="2"/>
        <v>8437466.843762299</v>
      </c>
      <c r="Z52" s="24"/>
      <c r="AA52" s="20"/>
      <c r="AB52" s="21" t="b">
        <v>1</v>
      </c>
      <c r="AC52" s="22">
        <f t="shared" si="3"/>
        <v>0</v>
      </c>
      <c r="AD52" s="32"/>
      <c r="AE52" s="32"/>
    </row>
    <row r="53" spans="1:31">
      <c r="A53" s="10">
        <f t="shared" si="0"/>
        <v>0</v>
      </c>
      <c r="B53" s="13"/>
      <c r="C53" s="13"/>
      <c r="D53" s="13"/>
      <c r="E53" s="13"/>
      <c r="F53" s="13"/>
      <c r="G53" s="13"/>
      <c r="H53" s="13"/>
      <c r="I53" s="13"/>
      <c r="J53" s="13"/>
      <c r="K53" s="13"/>
      <c r="L53" s="27"/>
      <c r="M53" s="101"/>
      <c r="N53" s="16" t="s">
        <v>424</v>
      </c>
      <c r="O53" s="16"/>
      <c r="P53" s="16"/>
      <c r="Q53" s="16"/>
      <c r="R53" s="16"/>
      <c r="S53" s="17"/>
      <c r="T53" s="17"/>
      <c r="U53" s="17"/>
      <c r="V53" s="17"/>
      <c r="W53" s="17"/>
      <c r="X53" s="17">
        <f t="shared" si="1"/>
        <v>7</v>
      </c>
      <c r="Y53" s="18">
        <f t="shared" si="2"/>
        <v>8437466.843762299</v>
      </c>
      <c r="Z53" s="24"/>
      <c r="AA53" s="20"/>
      <c r="AB53" s="21" t="b">
        <v>1</v>
      </c>
      <c r="AC53" s="22">
        <f t="shared" si="3"/>
        <v>0</v>
      </c>
      <c r="AD53" s="32"/>
      <c r="AE53" s="32"/>
    </row>
    <row r="54" spans="1:31" ht="15">
      <c r="A54" s="10">
        <f t="shared" si="0"/>
        <v>0</v>
      </c>
      <c r="B54" s="13"/>
      <c r="C54" s="13"/>
      <c r="D54" s="13"/>
      <c r="E54" s="13"/>
      <c r="F54" s="13"/>
      <c r="G54" s="13"/>
      <c r="H54" s="13"/>
      <c r="I54" s="13"/>
      <c r="J54" s="13"/>
      <c r="K54" s="13"/>
      <c r="L54" s="27"/>
      <c r="M54" s="16"/>
      <c r="N54" s="16" t="s">
        <v>425</v>
      </c>
      <c r="O54" s="16"/>
      <c r="P54" s="16"/>
      <c r="Q54" s="16"/>
      <c r="R54" s="16"/>
      <c r="S54" s="17"/>
      <c r="T54" s="17"/>
      <c r="U54" s="17"/>
      <c r="V54" s="17"/>
      <c r="W54" s="17"/>
      <c r="X54" s="17">
        <f t="shared" si="1"/>
        <v>7</v>
      </c>
      <c r="Y54" s="18">
        <f t="shared" si="2"/>
        <v>8437466.843762299</v>
      </c>
      <c r="Z54" s="24"/>
      <c r="AA54" s="20"/>
      <c r="AB54" s="21" t="b">
        <v>1</v>
      </c>
      <c r="AC54" s="22">
        <f t="shared" si="3"/>
        <v>0</v>
      </c>
      <c r="AD54" s="32"/>
      <c r="AE54" s="32"/>
    </row>
    <row r="55" spans="1:31" ht="15">
      <c r="A55" s="10">
        <f t="shared" si="0"/>
        <v>0</v>
      </c>
      <c r="B55" s="13"/>
      <c r="C55" s="13"/>
      <c r="D55" s="13"/>
      <c r="E55" s="13"/>
      <c r="F55" s="13"/>
      <c r="G55" s="13"/>
      <c r="H55" s="13"/>
      <c r="I55" s="13"/>
      <c r="J55" s="13"/>
      <c r="K55" s="13"/>
      <c r="L55" s="27"/>
      <c r="M55" s="16"/>
      <c r="N55" s="16" t="s">
        <v>426</v>
      </c>
      <c r="O55" s="16"/>
      <c r="P55" s="16"/>
      <c r="Q55" s="16"/>
      <c r="R55" s="16"/>
      <c r="S55" s="17"/>
      <c r="T55" s="17"/>
      <c r="U55" s="17"/>
      <c r="V55" s="17"/>
      <c r="W55" s="17"/>
      <c r="X55" s="17">
        <f t="shared" si="1"/>
        <v>7</v>
      </c>
      <c r="Y55" s="18">
        <f t="shared" si="2"/>
        <v>8437466.843762299</v>
      </c>
      <c r="Z55" s="24"/>
      <c r="AA55" s="20"/>
      <c r="AB55" s="21" t="b">
        <v>1</v>
      </c>
      <c r="AC55" s="22">
        <f t="shared" si="3"/>
        <v>0</v>
      </c>
      <c r="AD55" s="32"/>
      <c r="AE55" s="32"/>
    </row>
    <row r="56" spans="1:31" ht="15">
      <c r="A56" s="10">
        <f t="shared" si="0"/>
        <v>0</v>
      </c>
      <c r="B56" s="13"/>
      <c r="C56" s="13"/>
      <c r="D56" s="13"/>
      <c r="E56" s="13"/>
      <c r="F56" s="13"/>
      <c r="G56" s="13"/>
      <c r="H56" s="13"/>
      <c r="I56" s="13"/>
      <c r="J56" s="13"/>
      <c r="K56" s="13"/>
      <c r="L56" s="27"/>
      <c r="M56" s="16"/>
      <c r="N56" s="16" t="s">
        <v>427</v>
      </c>
      <c r="O56" s="16"/>
      <c r="P56" s="16"/>
      <c r="Q56" s="16"/>
      <c r="R56" s="16"/>
      <c r="S56" s="17"/>
      <c r="T56" s="17"/>
      <c r="U56" s="17"/>
      <c r="V56" s="17"/>
      <c r="W56" s="17"/>
      <c r="X56" s="17">
        <f t="shared" si="1"/>
        <v>7</v>
      </c>
      <c r="Y56" s="18">
        <f t="shared" si="2"/>
        <v>8437466.843762299</v>
      </c>
      <c r="Z56" s="24"/>
      <c r="AA56" s="20"/>
      <c r="AB56" s="21" t="b">
        <v>1</v>
      </c>
      <c r="AC56" s="22">
        <f t="shared" si="3"/>
        <v>0</v>
      </c>
      <c r="AD56" s="32"/>
      <c r="AE56" s="32"/>
    </row>
    <row r="57" spans="1:31" ht="15">
      <c r="A57" s="10">
        <f t="shared" si="0"/>
        <v>0</v>
      </c>
      <c r="B57" s="13"/>
      <c r="C57" s="13"/>
      <c r="D57" s="13"/>
      <c r="E57" s="13"/>
      <c r="F57" s="13"/>
      <c r="G57" s="13"/>
      <c r="H57" s="13"/>
      <c r="I57" s="13"/>
      <c r="J57" s="13"/>
      <c r="K57" s="13"/>
      <c r="L57" s="27"/>
      <c r="M57" s="16"/>
      <c r="N57" s="16" t="s">
        <v>428</v>
      </c>
      <c r="O57" s="16"/>
      <c r="P57" s="16"/>
      <c r="Q57" s="16"/>
      <c r="R57" s="16"/>
      <c r="S57" s="17"/>
      <c r="T57" s="17"/>
      <c r="U57" s="17"/>
      <c r="V57" s="17"/>
      <c r="W57" s="17"/>
      <c r="X57" s="17">
        <f t="shared" si="1"/>
        <v>7</v>
      </c>
      <c r="Y57" s="18">
        <f t="shared" si="2"/>
        <v>8437466.843762299</v>
      </c>
      <c r="Z57" s="24"/>
      <c r="AA57" s="20"/>
      <c r="AB57" s="21" t="b">
        <v>1</v>
      </c>
      <c r="AC57" s="22">
        <f t="shared" si="3"/>
        <v>0</v>
      </c>
      <c r="AD57" s="32"/>
      <c r="AE57" s="32"/>
    </row>
    <row r="58" spans="1:31" ht="15">
      <c r="A58" s="10">
        <f t="shared" si="0"/>
        <v>0</v>
      </c>
      <c r="B58" s="13"/>
      <c r="C58" s="13"/>
      <c r="D58" s="13"/>
      <c r="E58" s="13"/>
      <c r="F58" s="13"/>
      <c r="G58" s="13"/>
      <c r="H58" s="13"/>
      <c r="I58" s="13"/>
      <c r="J58" s="13"/>
      <c r="K58" s="13"/>
      <c r="L58" s="27"/>
      <c r="M58" s="16"/>
      <c r="N58" s="16" t="s">
        <v>429</v>
      </c>
      <c r="O58" s="16"/>
      <c r="P58" s="16"/>
      <c r="Q58" s="16"/>
      <c r="R58" s="16"/>
      <c r="S58" s="17"/>
      <c r="T58" s="17"/>
      <c r="U58" s="17"/>
      <c r="V58" s="17"/>
      <c r="W58" s="17"/>
      <c r="X58" s="17">
        <f t="shared" si="1"/>
        <v>7</v>
      </c>
      <c r="Y58" s="18">
        <f t="shared" si="2"/>
        <v>8437466.843762299</v>
      </c>
      <c r="Z58" s="24"/>
      <c r="AA58" s="20"/>
      <c r="AB58" s="21" t="b">
        <v>1</v>
      </c>
      <c r="AC58" s="22">
        <f t="shared" si="3"/>
        <v>0</v>
      </c>
      <c r="AD58" s="32"/>
      <c r="AE58" s="32"/>
    </row>
    <row r="59" spans="1:31" ht="15">
      <c r="A59" s="10">
        <f t="shared" si="0"/>
        <v>0</v>
      </c>
      <c r="B59" s="13"/>
      <c r="C59" s="13"/>
      <c r="D59" s="13"/>
      <c r="E59" s="13"/>
      <c r="F59" s="13"/>
      <c r="G59" s="13"/>
      <c r="H59" s="13"/>
      <c r="I59" s="13"/>
      <c r="J59" s="13"/>
      <c r="K59" s="13"/>
      <c r="L59" s="27"/>
      <c r="M59" s="16"/>
      <c r="N59" s="16" t="s">
        <v>430</v>
      </c>
      <c r="O59" s="16"/>
      <c r="P59" s="16"/>
      <c r="Q59" s="16"/>
      <c r="R59" s="16"/>
      <c r="S59" s="17"/>
      <c r="T59" s="17"/>
      <c r="U59" s="17"/>
      <c r="V59" s="17"/>
      <c r="W59" s="17"/>
      <c r="X59" s="17">
        <f t="shared" si="1"/>
        <v>7</v>
      </c>
      <c r="Y59" s="18">
        <f t="shared" si="2"/>
        <v>8437466.843762299</v>
      </c>
      <c r="Z59" s="24"/>
      <c r="AA59" s="20"/>
      <c r="AB59" s="21" t="b">
        <v>1</v>
      </c>
      <c r="AC59" s="22">
        <f t="shared" si="3"/>
        <v>0</v>
      </c>
      <c r="AD59" s="32"/>
      <c r="AE59" s="32"/>
    </row>
    <row r="60" spans="1:31" ht="15">
      <c r="A60" s="10">
        <f t="shared" si="0"/>
        <v>0</v>
      </c>
      <c r="B60" s="13"/>
      <c r="C60" s="13"/>
      <c r="D60" s="13"/>
      <c r="E60" s="13"/>
      <c r="F60" s="13"/>
      <c r="G60" s="13"/>
      <c r="H60" s="13"/>
      <c r="I60" s="13"/>
      <c r="J60" s="13"/>
      <c r="K60" s="13"/>
      <c r="L60" s="27"/>
      <c r="M60" s="16"/>
      <c r="N60" s="16" t="s">
        <v>431</v>
      </c>
      <c r="O60" s="16"/>
      <c r="P60" s="16"/>
      <c r="Q60" s="16"/>
      <c r="R60" s="16"/>
      <c r="S60" s="17"/>
      <c r="T60" s="17"/>
      <c r="U60" s="17"/>
      <c r="V60" s="17"/>
      <c r="W60" s="17"/>
      <c r="X60" s="17">
        <f t="shared" si="1"/>
        <v>7</v>
      </c>
      <c r="Y60" s="18">
        <f t="shared" si="2"/>
        <v>8437466.843762299</v>
      </c>
      <c r="Z60" s="24"/>
      <c r="AA60" s="20"/>
      <c r="AB60" s="21" t="b">
        <v>1</v>
      </c>
      <c r="AC60" s="22">
        <f t="shared" si="3"/>
        <v>0</v>
      </c>
      <c r="AD60" s="28"/>
      <c r="AE60" s="28"/>
    </row>
    <row r="61" spans="1:31" ht="15">
      <c r="A61" s="10">
        <f t="shared" si="0"/>
        <v>0</v>
      </c>
      <c r="B61" s="13"/>
      <c r="C61" s="13"/>
      <c r="D61" s="13"/>
      <c r="E61" s="13"/>
      <c r="F61" s="13"/>
      <c r="G61" s="13"/>
      <c r="H61" s="13"/>
      <c r="I61" s="13"/>
      <c r="J61" s="13"/>
      <c r="K61" s="13"/>
      <c r="L61" s="27"/>
      <c r="M61" s="16"/>
      <c r="N61" s="16" t="s">
        <v>432</v>
      </c>
      <c r="O61" s="16"/>
      <c r="P61" s="16"/>
      <c r="Q61" s="16"/>
      <c r="R61" s="16"/>
      <c r="S61" s="17"/>
      <c r="T61" s="17"/>
      <c r="U61" s="17"/>
      <c r="V61" s="17"/>
      <c r="W61" s="17"/>
      <c r="X61" s="17">
        <f t="shared" si="1"/>
        <v>7</v>
      </c>
      <c r="Y61" s="18">
        <f t="shared" si="2"/>
        <v>8437466.843762299</v>
      </c>
      <c r="Z61" s="24"/>
      <c r="AA61" s="20"/>
      <c r="AB61" s="21" t="b">
        <v>1</v>
      </c>
      <c r="AC61" s="22">
        <f t="shared" si="3"/>
        <v>0</v>
      </c>
      <c r="AD61" s="32"/>
      <c r="AE61" s="32"/>
    </row>
    <row r="62" spans="1:31" ht="18">
      <c r="A62" s="10">
        <f t="shared" si="0"/>
        <v>0</v>
      </c>
      <c r="B62" s="13"/>
      <c r="C62" s="13"/>
      <c r="D62" s="13"/>
      <c r="E62" s="13"/>
      <c r="F62" s="13"/>
      <c r="G62" s="13"/>
      <c r="H62" s="13"/>
      <c r="I62" s="13"/>
      <c r="J62" s="13"/>
      <c r="K62" s="13"/>
      <c r="L62" s="100" t="s">
        <v>433</v>
      </c>
      <c r="M62" s="27"/>
      <c r="N62" s="16"/>
      <c r="O62" s="16"/>
      <c r="P62" s="16"/>
      <c r="Q62" s="16"/>
      <c r="R62" s="16"/>
      <c r="S62" s="17"/>
      <c r="T62" s="17"/>
      <c r="U62" s="17"/>
      <c r="V62" s="17"/>
      <c r="W62" s="17"/>
      <c r="X62" s="17">
        <f t="shared" si="1"/>
        <v>8</v>
      </c>
      <c r="Y62" s="18">
        <f t="shared" si="2"/>
        <v>9367005.4702872895</v>
      </c>
      <c r="Z62" s="24"/>
      <c r="AA62" s="20"/>
      <c r="AB62" s="21" t="b">
        <v>1</v>
      </c>
      <c r="AC62" s="22">
        <f t="shared" si="3"/>
        <v>9367005.4702872895</v>
      </c>
      <c r="AD62" s="32"/>
      <c r="AE62" s="32"/>
    </row>
    <row r="63" spans="1:31">
      <c r="A63" s="10">
        <f t="shared" si="0"/>
        <v>4132443.1719795363</v>
      </c>
      <c r="B63" s="13">
        <v>3</v>
      </c>
      <c r="C63" s="13">
        <v>2</v>
      </c>
      <c r="D63" s="13">
        <v>2</v>
      </c>
      <c r="E63" s="13"/>
      <c r="F63" s="13">
        <v>2</v>
      </c>
      <c r="G63" s="13">
        <v>2</v>
      </c>
      <c r="H63" s="13"/>
      <c r="I63" s="13"/>
      <c r="J63" s="13"/>
      <c r="K63" s="13"/>
      <c r="L63" s="27"/>
      <c r="M63" s="101" t="s">
        <v>434</v>
      </c>
      <c r="N63" s="27"/>
      <c r="O63" s="16"/>
      <c r="P63" s="16"/>
      <c r="Q63" s="16"/>
      <c r="R63" s="16"/>
      <c r="S63" s="17"/>
      <c r="T63" s="17"/>
      <c r="U63" s="17"/>
      <c r="V63" s="17"/>
      <c r="W63" s="17"/>
      <c r="X63" s="17">
        <f t="shared" si="1"/>
        <v>8</v>
      </c>
      <c r="Y63" s="18">
        <f t="shared" si="2"/>
        <v>9367005.4702872895</v>
      </c>
      <c r="Z63" s="24"/>
      <c r="AA63" s="20"/>
      <c r="AB63" s="21" t="b">
        <v>1</v>
      </c>
      <c r="AC63" s="22">
        <f t="shared" si="3"/>
        <v>0</v>
      </c>
      <c r="AD63" s="32"/>
      <c r="AE63" s="32"/>
    </row>
    <row r="64" spans="1:31" ht="15">
      <c r="A64" s="10">
        <f t="shared" si="0"/>
        <v>0</v>
      </c>
      <c r="B64" s="13"/>
      <c r="C64" s="13"/>
      <c r="D64" s="13"/>
      <c r="E64" s="13"/>
      <c r="F64" s="13"/>
      <c r="G64" s="13"/>
      <c r="H64" s="13"/>
      <c r="I64" s="13"/>
      <c r="J64" s="13"/>
      <c r="K64" s="13"/>
      <c r="L64" s="27"/>
      <c r="M64" s="16"/>
      <c r="N64" s="16" t="s">
        <v>435</v>
      </c>
      <c r="O64" s="16"/>
      <c r="P64" s="16"/>
      <c r="Q64" s="16"/>
      <c r="R64" s="16"/>
      <c r="S64" s="17"/>
      <c r="T64" s="17"/>
      <c r="U64" s="17"/>
      <c r="V64" s="17"/>
      <c r="W64" s="17"/>
      <c r="X64" s="17">
        <f t="shared" si="1"/>
        <v>8</v>
      </c>
      <c r="Y64" s="18">
        <f t="shared" si="2"/>
        <v>9367005.4702872895</v>
      </c>
      <c r="Z64" s="24"/>
      <c r="AA64" s="20"/>
      <c r="AB64" s="21" t="b">
        <v>1</v>
      </c>
      <c r="AC64" s="22">
        <f t="shared" si="3"/>
        <v>0</v>
      </c>
      <c r="AD64" s="32"/>
      <c r="AE64" s="32"/>
    </row>
    <row r="65" spans="1:31" ht="15">
      <c r="A65" s="10">
        <f t="shared" si="0"/>
        <v>0</v>
      </c>
      <c r="B65" s="13"/>
      <c r="C65" s="13"/>
      <c r="D65" s="13"/>
      <c r="E65" s="13"/>
      <c r="F65" s="13"/>
      <c r="G65" s="13"/>
      <c r="H65" s="13"/>
      <c r="I65" s="13"/>
      <c r="J65" s="13"/>
      <c r="K65" s="13"/>
      <c r="L65" s="27"/>
      <c r="M65" s="16"/>
      <c r="N65" s="16" t="s">
        <v>436</v>
      </c>
      <c r="O65" s="16"/>
      <c r="P65" s="16"/>
      <c r="Q65" s="16"/>
      <c r="R65" s="16"/>
      <c r="S65" s="17"/>
      <c r="T65" s="17"/>
      <c r="U65" s="17"/>
      <c r="V65" s="17"/>
      <c r="W65" s="17"/>
      <c r="X65" s="17">
        <f t="shared" si="1"/>
        <v>8</v>
      </c>
      <c r="Y65" s="18">
        <f t="shared" si="2"/>
        <v>9367005.4702872895</v>
      </c>
      <c r="Z65" s="24"/>
      <c r="AA65" s="20"/>
      <c r="AB65" s="21" t="b">
        <v>1</v>
      </c>
      <c r="AC65" s="22">
        <f t="shared" si="3"/>
        <v>0</v>
      </c>
      <c r="AD65" s="32"/>
      <c r="AE65" s="32"/>
    </row>
    <row r="66" spans="1:31" ht="15">
      <c r="A66" s="10">
        <f t="shared" si="0"/>
        <v>0</v>
      </c>
      <c r="B66" s="13"/>
      <c r="C66" s="13"/>
      <c r="D66" s="13"/>
      <c r="E66" s="13"/>
      <c r="F66" s="13"/>
      <c r="G66" s="13"/>
      <c r="H66" s="13"/>
      <c r="I66" s="13"/>
      <c r="J66" s="13"/>
      <c r="K66" s="13"/>
      <c r="L66" s="27"/>
      <c r="M66" s="16"/>
      <c r="N66" s="16" t="s">
        <v>437</v>
      </c>
      <c r="O66" s="16"/>
      <c r="P66" s="16"/>
      <c r="Q66" s="16"/>
      <c r="R66" s="16"/>
      <c r="S66" s="17"/>
      <c r="T66" s="17"/>
      <c r="U66" s="17"/>
      <c r="V66" s="17"/>
      <c r="W66" s="17"/>
      <c r="X66" s="17">
        <f t="shared" si="1"/>
        <v>8</v>
      </c>
      <c r="Y66" s="18">
        <f t="shared" si="2"/>
        <v>9367005.4702872895</v>
      </c>
      <c r="Z66" s="24"/>
      <c r="AA66" s="20"/>
      <c r="AB66" s="21" t="b">
        <v>1</v>
      </c>
      <c r="AC66" s="22">
        <f t="shared" si="3"/>
        <v>0</v>
      </c>
      <c r="AD66" s="32"/>
      <c r="AE66" s="32"/>
    </row>
    <row r="67" spans="1:31">
      <c r="A67" s="10">
        <f t="shared" si="0"/>
        <v>0</v>
      </c>
      <c r="B67" s="13"/>
      <c r="C67" s="13"/>
      <c r="D67" s="13"/>
      <c r="E67" s="13"/>
      <c r="F67" s="13"/>
      <c r="G67" s="13"/>
      <c r="H67" s="13"/>
      <c r="I67" s="13"/>
      <c r="J67" s="13"/>
      <c r="K67" s="13"/>
      <c r="L67" s="27"/>
      <c r="M67" s="16"/>
      <c r="N67" s="101" t="s">
        <v>438</v>
      </c>
      <c r="O67" s="16"/>
      <c r="P67" s="16"/>
      <c r="Q67" s="16"/>
      <c r="R67" s="16"/>
      <c r="S67" s="17"/>
      <c r="T67" s="17"/>
      <c r="U67" s="17"/>
      <c r="V67" s="17"/>
      <c r="W67" s="17"/>
      <c r="X67" s="17">
        <f t="shared" si="1"/>
        <v>8</v>
      </c>
      <c r="Y67" s="18">
        <f t="shared" si="2"/>
        <v>9367005.4702872895</v>
      </c>
      <c r="Z67" s="24"/>
      <c r="AA67" s="20"/>
      <c r="AB67" s="21" t="b">
        <v>1</v>
      </c>
      <c r="AC67" s="22">
        <f t="shared" si="3"/>
        <v>0</v>
      </c>
      <c r="AD67" s="32"/>
      <c r="AE67" s="32"/>
    </row>
    <row r="68" spans="1:31" ht="15">
      <c r="A68" s="10">
        <f t="shared" si="0"/>
        <v>0</v>
      </c>
      <c r="B68" s="13"/>
      <c r="C68" s="13"/>
      <c r="D68" s="13"/>
      <c r="E68" s="13"/>
      <c r="F68" s="13"/>
      <c r="G68" s="13"/>
      <c r="H68" s="13"/>
      <c r="I68" s="13"/>
      <c r="J68" s="13"/>
      <c r="K68" s="13"/>
      <c r="L68" s="27"/>
      <c r="M68" s="16"/>
      <c r="N68" s="16"/>
      <c r="O68" s="16" t="s">
        <v>235</v>
      </c>
      <c r="P68" s="16"/>
      <c r="Q68" s="16"/>
      <c r="R68" s="16"/>
      <c r="S68" s="17"/>
      <c r="T68" s="17"/>
      <c r="U68" s="17"/>
      <c r="V68" s="17"/>
      <c r="W68" s="17"/>
      <c r="X68" s="17">
        <f t="shared" si="1"/>
        <v>8</v>
      </c>
      <c r="Y68" s="18">
        <f t="shared" si="2"/>
        <v>9367005.4702872895</v>
      </c>
      <c r="Z68" s="24"/>
      <c r="AA68" s="20"/>
      <c r="AB68" s="21" t="b">
        <v>1</v>
      </c>
      <c r="AC68" s="22">
        <f t="shared" si="3"/>
        <v>0</v>
      </c>
      <c r="AD68" s="32"/>
      <c r="AE68" s="32"/>
    </row>
    <row r="69" spans="1:31" ht="15">
      <c r="A69" s="10">
        <f t="shared" si="0"/>
        <v>0</v>
      </c>
      <c r="B69" s="13"/>
      <c r="C69" s="13"/>
      <c r="D69" s="13"/>
      <c r="E69" s="13"/>
      <c r="F69" s="13"/>
      <c r="G69" s="13"/>
      <c r="H69" s="13"/>
      <c r="I69" s="13"/>
      <c r="J69" s="13"/>
      <c r="K69" s="13"/>
      <c r="L69" s="27"/>
      <c r="M69" s="16"/>
      <c r="N69" s="16"/>
      <c r="O69" s="16" t="s">
        <v>439</v>
      </c>
      <c r="P69" s="16"/>
      <c r="Q69" s="16"/>
      <c r="R69" s="16"/>
      <c r="S69" s="17"/>
      <c r="T69" s="17"/>
      <c r="U69" s="17"/>
      <c r="V69" s="17"/>
      <c r="W69" s="17"/>
      <c r="X69" s="17">
        <f t="shared" si="1"/>
        <v>8</v>
      </c>
      <c r="Y69" s="18">
        <f t="shared" si="2"/>
        <v>9367005.4702872895</v>
      </c>
      <c r="Z69" s="24"/>
      <c r="AA69" s="20"/>
      <c r="AB69" s="21" t="b">
        <v>1</v>
      </c>
      <c r="AC69" s="22">
        <f t="shared" si="3"/>
        <v>0</v>
      </c>
      <c r="AD69" s="32"/>
      <c r="AE69" s="32"/>
    </row>
    <row r="70" spans="1:31" ht="15">
      <c r="A70" s="10">
        <f t="shared" si="0"/>
        <v>0</v>
      </c>
      <c r="B70" s="13"/>
      <c r="C70" s="13"/>
      <c r="D70" s="13"/>
      <c r="E70" s="13"/>
      <c r="F70" s="13"/>
      <c r="G70" s="13"/>
      <c r="H70" s="13"/>
      <c r="I70" s="13"/>
      <c r="J70" s="13"/>
      <c r="K70" s="13"/>
      <c r="L70" s="27"/>
      <c r="M70" s="27"/>
      <c r="N70" s="16"/>
      <c r="O70" s="16" t="s">
        <v>440</v>
      </c>
      <c r="P70" s="16"/>
      <c r="Q70" s="16"/>
      <c r="R70" s="16"/>
      <c r="S70" s="17"/>
      <c r="T70" s="17"/>
      <c r="U70" s="17"/>
      <c r="V70" s="17"/>
      <c r="W70" s="17"/>
      <c r="X70" s="17">
        <f t="shared" si="1"/>
        <v>8</v>
      </c>
      <c r="Y70" s="18">
        <f t="shared" si="2"/>
        <v>9367005.4702872895</v>
      </c>
      <c r="Z70" s="24"/>
      <c r="AA70" s="20"/>
      <c r="AB70" s="21" t="b">
        <v>1</v>
      </c>
      <c r="AC70" s="22">
        <f t="shared" si="3"/>
        <v>0</v>
      </c>
      <c r="AD70" s="32"/>
      <c r="AE70" s="32"/>
    </row>
    <row r="71" spans="1:31" ht="15">
      <c r="A71" s="10">
        <f t="shared" si="0"/>
        <v>0</v>
      </c>
      <c r="B71" s="13"/>
      <c r="C71" s="13"/>
      <c r="D71" s="13"/>
      <c r="E71" s="13"/>
      <c r="F71" s="13"/>
      <c r="G71" s="13"/>
      <c r="H71" s="13"/>
      <c r="I71" s="13"/>
      <c r="J71" s="13"/>
      <c r="K71" s="13"/>
      <c r="L71" s="27"/>
      <c r="M71" s="16"/>
      <c r="N71" s="16"/>
      <c r="O71" s="16" t="s">
        <v>441</v>
      </c>
      <c r="P71" s="16"/>
      <c r="Q71" s="16"/>
      <c r="R71" s="16"/>
      <c r="S71" s="17"/>
      <c r="T71" s="17"/>
      <c r="U71" s="17"/>
      <c r="V71" s="17"/>
      <c r="W71" s="17"/>
      <c r="X71" s="17">
        <f t="shared" si="1"/>
        <v>8</v>
      </c>
      <c r="Y71" s="18">
        <f t="shared" si="2"/>
        <v>9367005.4702872895</v>
      </c>
      <c r="Z71" s="24"/>
      <c r="AA71" s="20"/>
      <c r="AB71" s="21" t="b">
        <v>1</v>
      </c>
      <c r="AC71" s="22">
        <f t="shared" si="3"/>
        <v>0</v>
      </c>
      <c r="AD71" s="28"/>
      <c r="AE71" s="28"/>
    </row>
    <row r="72" spans="1:31" ht="15">
      <c r="A72" s="10">
        <f t="shared" si="0"/>
        <v>0</v>
      </c>
      <c r="B72" s="13"/>
      <c r="C72" s="13"/>
      <c r="D72" s="13"/>
      <c r="E72" s="13"/>
      <c r="F72" s="13"/>
      <c r="G72" s="13"/>
      <c r="H72" s="13"/>
      <c r="I72" s="13"/>
      <c r="J72" s="13"/>
      <c r="K72" s="13"/>
      <c r="L72" s="27"/>
      <c r="M72" s="16"/>
      <c r="N72" s="16"/>
      <c r="O72" s="16" t="s">
        <v>442</v>
      </c>
      <c r="P72" s="16"/>
      <c r="Q72" s="16"/>
      <c r="R72" s="16"/>
      <c r="S72" s="17"/>
      <c r="T72" s="17"/>
      <c r="U72" s="17"/>
      <c r="V72" s="17"/>
      <c r="W72" s="17"/>
      <c r="X72" s="17">
        <f t="shared" si="1"/>
        <v>8</v>
      </c>
      <c r="Y72" s="18">
        <f t="shared" si="2"/>
        <v>9367005.4702872895</v>
      </c>
      <c r="Z72" s="24"/>
      <c r="AA72" s="20"/>
      <c r="AB72" s="21" t="b">
        <v>1</v>
      </c>
      <c r="AC72" s="22">
        <f t="shared" si="3"/>
        <v>0</v>
      </c>
      <c r="AD72" s="28"/>
      <c r="AE72" s="28"/>
    </row>
    <row r="73" spans="1:31">
      <c r="A73" s="10">
        <f t="shared" si="0"/>
        <v>0</v>
      </c>
      <c r="B73" s="13"/>
      <c r="C73" s="13"/>
      <c r="D73" s="13"/>
      <c r="E73" s="13"/>
      <c r="F73" s="13"/>
      <c r="G73" s="13"/>
      <c r="H73" s="13"/>
      <c r="I73" s="13"/>
      <c r="J73" s="13"/>
      <c r="K73" s="13"/>
      <c r="L73" s="27"/>
      <c r="M73" s="101" t="s">
        <v>443</v>
      </c>
      <c r="O73" s="16"/>
      <c r="P73" s="16"/>
      <c r="Q73" s="16"/>
      <c r="R73" s="16"/>
      <c r="S73" s="17"/>
      <c r="T73" s="17"/>
      <c r="U73" s="17"/>
      <c r="V73" s="17"/>
      <c r="W73" s="17"/>
      <c r="X73" s="17">
        <f t="shared" si="1"/>
        <v>8</v>
      </c>
      <c r="Y73" s="18">
        <f t="shared" si="2"/>
        <v>9367005.4702872895</v>
      </c>
      <c r="Z73" s="24"/>
      <c r="AA73" s="20"/>
      <c r="AB73" s="21" t="b">
        <v>1</v>
      </c>
      <c r="AC73" s="22">
        <f t="shared" si="3"/>
        <v>0</v>
      </c>
      <c r="AD73" s="28"/>
      <c r="AE73" s="28"/>
    </row>
    <row r="74" spans="1:31" ht="15">
      <c r="A74" s="10">
        <f t="shared" si="0"/>
        <v>953307.24124360492</v>
      </c>
      <c r="B74" s="13"/>
      <c r="C74" s="13">
        <v>1</v>
      </c>
      <c r="D74" s="13">
        <v>1</v>
      </c>
      <c r="E74" s="13"/>
      <c r="F74" s="13">
        <v>1</v>
      </c>
      <c r="G74" s="13"/>
      <c r="H74" s="13"/>
      <c r="I74" s="13"/>
      <c r="J74" s="13"/>
      <c r="K74" s="13"/>
      <c r="L74" s="27"/>
      <c r="M74" s="16"/>
      <c r="N74" s="16" t="s">
        <v>444</v>
      </c>
      <c r="O74" s="16"/>
      <c r="P74" s="16"/>
      <c r="Q74" s="16"/>
      <c r="R74" s="16"/>
      <c r="S74" s="17"/>
      <c r="T74" s="17"/>
      <c r="U74" s="17"/>
      <c r="V74" s="17"/>
      <c r="W74" s="17"/>
      <c r="X74" s="17">
        <f t="shared" si="1"/>
        <v>8</v>
      </c>
      <c r="Y74" s="18">
        <f t="shared" si="2"/>
        <v>9367005.4702872895</v>
      </c>
      <c r="Z74" s="24"/>
      <c r="AA74" s="20"/>
      <c r="AB74" s="21" t="b">
        <v>1</v>
      </c>
      <c r="AC74" s="22">
        <f t="shared" si="3"/>
        <v>0</v>
      </c>
      <c r="AD74" s="28"/>
      <c r="AE74" s="28"/>
    </row>
    <row r="75" spans="1:31" ht="15">
      <c r="A75" s="10">
        <f t="shared" si="0"/>
        <v>0</v>
      </c>
      <c r="B75" s="13"/>
      <c r="C75" s="13"/>
      <c r="D75" s="13"/>
      <c r="E75" s="13"/>
      <c r="F75" s="13"/>
      <c r="G75" s="13"/>
      <c r="H75" s="13"/>
      <c r="I75" s="13"/>
      <c r="J75" s="13"/>
      <c r="K75" s="13"/>
      <c r="L75" s="27"/>
      <c r="M75" s="16"/>
      <c r="N75" s="16" t="s">
        <v>445</v>
      </c>
      <c r="O75" s="16"/>
      <c r="P75" s="16"/>
      <c r="Q75" s="16"/>
      <c r="R75" s="16"/>
      <c r="S75" s="17"/>
      <c r="T75" s="17"/>
      <c r="U75" s="17"/>
      <c r="V75" s="17"/>
      <c r="W75" s="17"/>
      <c r="X75" s="17">
        <f t="shared" si="1"/>
        <v>8</v>
      </c>
      <c r="Y75" s="18">
        <f t="shared" si="2"/>
        <v>9367005.4702872895</v>
      </c>
      <c r="Z75" s="24"/>
      <c r="AA75" s="20"/>
      <c r="AB75" s="21" t="b">
        <v>1</v>
      </c>
      <c r="AC75" s="22">
        <f t="shared" si="3"/>
        <v>0</v>
      </c>
      <c r="AD75" s="28"/>
      <c r="AE75" s="28"/>
    </row>
    <row r="76" spans="1:31" ht="15">
      <c r="A76" s="10">
        <f t="shared" si="0"/>
        <v>0</v>
      </c>
      <c r="B76" s="13"/>
      <c r="C76" s="23"/>
      <c r="D76" s="13"/>
      <c r="E76" s="23"/>
      <c r="F76" s="13"/>
      <c r="G76" s="23"/>
      <c r="H76" s="23"/>
      <c r="I76" s="23"/>
      <c r="J76" s="23"/>
      <c r="K76" s="23"/>
      <c r="L76" s="27"/>
      <c r="M76" s="16"/>
      <c r="N76" s="16" t="s">
        <v>446</v>
      </c>
      <c r="O76" s="16"/>
      <c r="P76" s="16"/>
      <c r="Q76" s="16"/>
      <c r="R76" s="17"/>
      <c r="S76" s="17"/>
      <c r="T76" s="17"/>
      <c r="U76" s="17"/>
      <c r="V76" s="17"/>
      <c r="W76" s="17"/>
      <c r="X76" s="17">
        <f t="shared" si="1"/>
        <v>8</v>
      </c>
      <c r="Y76" s="18">
        <f t="shared" si="2"/>
        <v>9367005.4702872895</v>
      </c>
      <c r="Z76" s="24"/>
      <c r="AA76" s="20"/>
      <c r="AB76" s="21" t="b">
        <v>1</v>
      </c>
      <c r="AC76" s="22">
        <f t="shared" si="3"/>
        <v>0</v>
      </c>
      <c r="AD76" s="23"/>
      <c r="AE76" s="23"/>
    </row>
    <row r="77" spans="1:31">
      <c r="A77" s="10">
        <f t="shared" si="0"/>
        <v>2068846.1432506887</v>
      </c>
      <c r="B77" s="13">
        <v>1</v>
      </c>
      <c r="C77" s="13">
        <v>1</v>
      </c>
      <c r="D77" s="13">
        <v>1</v>
      </c>
      <c r="E77" s="13">
        <v>1.5</v>
      </c>
      <c r="F77" s="23"/>
      <c r="G77" s="13">
        <v>1</v>
      </c>
      <c r="H77" s="23"/>
      <c r="I77" s="23"/>
      <c r="J77" s="23"/>
      <c r="K77" s="23"/>
      <c r="L77" s="27"/>
      <c r="M77" s="101" t="s">
        <v>447</v>
      </c>
      <c r="N77" s="16"/>
      <c r="O77" s="16"/>
      <c r="P77" s="16"/>
      <c r="Q77" s="16"/>
      <c r="R77" s="17"/>
      <c r="S77" s="17"/>
      <c r="T77" s="17"/>
      <c r="U77" s="17"/>
      <c r="V77" s="17"/>
      <c r="W77" s="17"/>
      <c r="X77" s="17">
        <f t="shared" si="1"/>
        <v>8</v>
      </c>
      <c r="Y77" s="18">
        <f t="shared" si="2"/>
        <v>9367005.4702872895</v>
      </c>
      <c r="Z77" s="24"/>
      <c r="AA77" s="20"/>
      <c r="AB77" s="21" t="b">
        <v>1</v>
      </c>
      <c r="AC77" s="22">
        <f t="shared" si="3"/>
        <v>0</v>
      </c>
      <c r="AD77" s="23"/>
      <c r="AE77" s="23"/>
    </row>
    <row r="78" spans="1:31" ht="15">
      <c r="A78" s="10">
        <f t="shared" si="0"/>
        <v>0</v>
      </c>
      <c r="B78" s="23"/>
      <c r="C78" s="13"/>
      <c r="D78" s="23"/>
      <c r="E78" s="23"/>
      <c r="F78" s="23"/>
      <c r="G78" s="23"/>
      <c r="H78" s="23"/>
      <c r="I78" s="23"/>
      <c r="J78" s="23"/>
      <c r="K78" s="23"/>
      <c r="L78" s="27"/>
      <c r="M78" s="16"/>
      <c r="N78" s="16" t="s">
        <v>448</v>
      </c>
      <c r="O78" s="16"/>
      <c r="P78" s="16"/>
      <c r="Q78" s="16"/>
      <c r="R78" s="17"/>
      <c r="S78" s="17"/>
      <c r="T78" s="17"/>
      <c r="U78" s="17"/>
      <c r="V78" s="17"/>
      <c r="W78" s="17"/>
      <c r="X78" s="17">
        <f t="shared" si="1"/>
        <v>8</v>
      </c>
      <c r="Y78" s="18">
        <f t="shared" si="2"/>
        <v>9367005.4702872895</v>
      </c>
      <c r="Z78" s="24"/>
      <c r="AA78" s="20"/>
      <c r="AB78" s="21" t="b">
        <v>1</v>
      </c>
      <c r="AC78" s="22">
        <f t="shared" si="3"/>
        <v>0</v>
      </c>
      <c r="AD78" s="23"/>
      <c r="AE78" s="23"/>
    </row>
    <row r="79" spans="1:31" ht="15">
      <c r="A79" s="10">
        <f t="shared" si="0"/>
        <v>0</v>
      </c>
      <c r="B79" s="23"/>
      <c r="C79" s="23"/>
      <c r="D79" s="13"/>
      <c r="E79" s="23"/>
      <c r="F79" s="13"/>
      <c r="G79" s="23"/>
      <c r="H79" s="23"/>
      <c r="I79" s="23"/>
      <c r="J79" s="23"/>
      <c r="K79" s="23"/>
      <c r="L79" s="27"/>
      <c r="M79" s="16"/>
      <c r="N79" s="16" t="s">
        <v>449</v>
      </c>
      <c r="O79" s="16"/>
      <c r="P79" s="16"/>
      <c r="Q79" s="16"/>
      <c r="R79" s="17"/>
      <c r="S79" s="17"/>
      <c r="T79" s="17"/>
      <c r="U79" s="17"/>
      <c r="V79" s="17"/>
      <c r="W79" s="17"/>
      <c r="X79" s="17">
        <f t="shared" si="1"/>
        <v>8</v>
      </c>
      <c r="Y79" s="18">
        <f t="shared" si="2"/>
        <v>9367005.4702872895</v>
      </c>
      <c r="Z79" s="24"/>
      <c r="AA79" s="20"/>
      <c r="AB79" s="21" t="b">
        <v>1</v>
      </c>
      <c r="AC79" s="22">
        <f t="shared" si="3"/>
        <v>0</v>
      </c>
      <c r="AD79" s="23"/>
      <c r="AE79" s="23"/>
    </row>
    <row r="80" spans="1:31" ht="15">
      <c r="A80" s="10">
        <f t="shared" si="0"/>
        <v>420011.01928374654</v>
      </c>
      <c r="B80" s="23"/>
      <c r="C80" s="23"/>
      <c r="D80" s="23"/>
      <c r="E80" s="13">
        <v>1</v>
      </c>
      <c r="F80" s="23"/>
      <c r="G80" s="23"/>
      <c r="H80" s="23"/>
      <c r="I80" s="23"/>
      <c r="J80" s="23"/>
      <c r="K80" s="23"/>
      <c r="L80" s="27"/>
      <c r="M80" s="16"/>
      <c r="N80" s="16" t="s">
        <v>450</v>
      </c>
      <c r="O80" s="16"/>
      <c r="P80" s="16"/>
      <c r="Q80" s="16"/>
      <c r="R80" s="17"/>
      <c r="S80" s="17"/>
      <c r="T80" s="17"/>
      <c r="U80" s="17"/>
      <c r="V80" s="17"/>
      <c r="W80" s="17"/>
      <c r="X80" s="17">
        <f t="shared" si="1"/>
        <v>8</v>
      </c>
      <c r="Y80" s="18">
        <f t="shared" si="2"/>
        <v>9367005.4702872895</v>
      </c>
      <c r="Z80" s="24"/>
      <c r="AA80" s="20"/>
      <c r="AB80" s="21" t="b">
        <v>1</v>
      </c>
      <c r="AC80" s="22">
        <f t="shared" si="3"/>
        <v>0</v>
      </c>
      <c r="AD80" s="23"/>
      <c r="AE80" s="23"/>
    </row>
    <row r="81" spans="1:31">
      <c r="A81" s="10">
        <f t="shared" si="0"/>
        <v>0</v>
      </c>
      <c r="B81" s="13"/>
      <c r="C81" s="13"/>
      <c r="D81" s="13"/>
      <c r="E81" s="13"/>
      <c r="F81" s="13"/>
      <c r="G81" s="13"/>
      <c r="H81" s="13"/>
      <c r="I81" s="13"/>
      <c r="J81" s="13"/>
      <c r="K81" s="13"/>
      <c r="L81" s="27"/>
      <c r="M81" s="101" t="s">
        <v>451</v>
      </c>
      <c r="N81" s="16"/>
      <c r="O81" s="16"/>
      <c r="P81" s="16"/>
      <c r="Q81" s="16"/>
      <c r="R81" s="16"/>
      <c r="S81" s="17"/>
      <c r="T81" s="17"/>
      <c r="U81" s="17"/>
      <c r="V81" s="17"/>
      <c r="W81" s="17"/>
      <c r="X81" s="17">
        <f t="shared" si="1"/>
        <v>8</v>
      </c>
      <c r="Y81" s="18">
        <f t="shared" si="2"/>
        <v>9367005.4702872895</v>
      </c>
      <c r="Z81" s="24"/>
      <c r="AA81" s="20"/>
      <c r="AB81" s="21" t="b">
        <v>1</v>
      </c>
      <c r="AC81" s="22">
        <f t="shared" si="3"/>
        <v>0</v>
      </c>
      <c r="AD81" s="32"/>
      <c r="AE81" s="32"/>
    </row>
    <row r="82" spans="1:31" ht="15">
      <c r="A82" s="10">
        <f t="shared" si="0"/>
        <v>1792397.8945297129</v>
      </c>
      <c r="B82" s="13">
        <v>1</v>
      </c>
      <c r="C82" s="13">
        <v>1</v>
      </c>
      <c r="D82" s="13">
        <v>1</v>
      </c>
      <c r="E82" s="13"/>
      <c r="F82" s="13">
        <v>1</v>
      </c>
      <c r="G82" s="13">
        <v>1</v>
      </c>
      <c r="H82" s="13"/>
      <c r="I82" s="13"/>
      <c r="J82" s="13"/>
      <c r="K82" s="13"/>
      <c r="L82" s="27"/>
      <c r="M82" s="16"/>
      <c r="N82" s="16" t="s">
        <v>452</v>
      </c>
      <c r="O82" s="16"/>
      <c r="P82" s="16"/>
      <c r="Q82" s="16"/>
      <c r="R82" s="16"/>
      <c r="S82" s="17"/>
      <c r="T82" s="17"/>
      <c r="U82" s="17"/>
      <c r="V82" s="17"/>
      <c r="W82" s="17"/>
      <c r="X82" s="17">
        <f t="shared" si="1"/>
        <v>8</v>
      </c>
      <c r="Y82" s="18">
        <f t="shared" si="2"/>
        <v>9367005.4702872895</v>
      </c>
      <c r="Z82" s="19"/>
      <c r="AA82" s="30"/>
      <c r="AB82" s="21" t="b">
        <v>1</v>
      </c>
      <c r="AC82" s="22">
        <f t="shared" si="3"/>
        <v>0</v>
      </c>
      <c r="AD82" s="32"/>
      <c r="AE82" s="32"/>
    </row>
    <row r="83" spans="1:31" ht="15">
      <c r="A83" s="10">
        <f t="shared" si="0"/>
        <v>0</v>
      </c>
      <c r="B83" s="13"/>
      <c r="C83" s="13"/>
      <c r="D83" s="13"/>
      <c r="E83" s="13"/>
      <c r="F83" s="13"/>
      <c r="G83" s="13"/>
      <c r="H83" s="13"/>
      <c r="I83" s="13"/>
      <c r="J83" s="13"/>
      <c r="K83" s="13"/>
      <c r="L83" s="27"/>
      <c r="M83" s="16"/>
      <c r="N83" s="16" t="s">
        <v>453</v>
      </c>
      <c r="O83" s="16"/>
      <c r="P83" s="16"/>
      <c r="Q83" s="16"/>
      <c r="R83" s="16"/>
      <c r="S83" s="17"/>
      <c r="T83" s="17"/>
      <c r="U83" s="17"/>
      <c r="V83" s="17"/>
      <c r="W83" s="17"/>
      <c r="X83" s="17">
        <f t="shared" si="1"/>
        <v>8</v>
      </c>
      <c r="Y83" s="18">
        <f t="shared" si="2"/>
        <v>9367005.4702872895</v>
      </c>
      <c r="Z83" s="19"/>
      <c r="AA83" s="30"/>
      <c r="AB83" s="21" t="b">
        <v>1</v>
      </c>
      <c r="AC83" s="22">
        <f t="shared" si="3"/>
        <v>0</v>
      </c>
      <c r="AD83" s="32"/>
      <c r="AE83" s="32"/>
    </row>
    <row r="84" spans="1:31" ht="18">
      <c r="A84" s="10">
        <f t="shared" si="0"/>
        <v>1792397.8945297129</v>
      </c>
      <c r="B84" s="13">
        <v>1</v>
      </c>
      <c r="C84" s="13">
        <v>1</v>
      </c>
      <c r="D84" s="13">
        <v>1</v>
      </c>
      <c r="E84" s="13"/>
      <c r="F84" s="13">
        <v>1</v>
      </c>
      <c r="G84" s="13">
        <v>1</v>
      </c>
      <c r="H84" s="13"/>
      <c r="I84" s="13"/>
      <c r="J84" s="13"/>
      <c r="K84" s="13"/>
      <c r="L84" s="100" t="s">
        <v>454</v>
      </c>
      <c r="M84" s="16"/>
      <c r="N84" s="16"/>
      <c r="O84" s="16"/>
      <c r="P84" s="16"/>
      <c r="Q84" s="16"/>
      <c r="R84" s="16"/>
      <c r="S84" s="17"/>
      <c r="T84" s="17"/>
      <c r="U84" s="17"/>
      <c r="V84" s="17"/>
      <c r="W84" s="17"/>
      <c r="X84" s="17">
        <f t="shared" si="1"/>
        <v>9</v>
      </c>
      <c r="Y84" s="18">
        <f t="shared" si="2"/>
        <v>4132443.1719795358</v>
      </c>
      <c r="Z84" s="19"/>
      <c r="AA84" s="30"/>
      <c r="AB84" s="21" t="b">
        <v>1</v>
      </c>
      <c r="AC84" s="22">
        <f t="shared" si="3"/>
        <v>4132443.1719795358</v>
      </c>
      <c r="AD84" s="32"/>
      <c r="AE84" s="32"/>
    </row>
    <row r="85" spans="1:31" ht="15">
      <c r="A85" s="10">
        <f t="shared" si="0"/>
        <v>0</v>
      </c>
      <c r="B85" s="13"/>
      <c r="C85" s="13"/>
      <c r="D85" s="13"/>
      <c r="E85" s="13"/>
      <c r="F85" s="13"/>
      <c r="G85" s="13"/>
      <c r="H85" s="13"/>
      <c r="I85" s="13"/>
      <c r="J85" s="13"/>
      <c r="K85" s="13"/>
      <c r="L85" s="27"/>
      <c r="M85" s="16" t="s">
        <v>455</v>
      </c>
      <c r="N85" s="16"/>
      <c r="O85" s="16"/>
      <c r="P85" s="16"/>
      <c r="Q85" s="16"/>
      <c r="R85" s="16"/>
      <c r="S85" s="17"/>
      <c r="T85" s="17"/>
      <c r="U85" s="17"/>
      <c r="V85" s="17"/>
      <c r="W85" s="17"/>
      <c r="X85" s="17">
        <f t="shared" si="1"/>
        <v>9</v>
      </c>
      <c r="Y85" s="18">
        <f t="shared" si="2"/>
        <v>4132443.1719795358</v>
      </c>
      <c r="Z85" s="19"/>
      <c r="AA85" s="30"/>
      <c r="AB85" s="21" t="b">
        <v>1</v>
      </c>
      <c r="AC85" s="22">
        <f t="shared" si="3"/>
        <v>0</v>
      </c>
      <c r="AD85" s="32"/>
      <c r="AE85" s="32"/>
    </row>
    <row r="86" spans="1:31" ht="15">
      <c r="A86" s="10">
        <f t="shared" si="0"/>
        <v>0</v>
      </c>
      <c r="B86" s="13"/>
      <c r="C86" s="13"/>
      <c r="D86" s="13"/>
      <c r="E86" s="13"/>
      <c r="F86" s="13"/>
      <c r="G86" s="13"/>
      <c r="H86" s="13"/>
      <c r="I86" s="13"/>
      <c r="J86" s="13"/>
      <c r="K86" s="13"/>
      <c r="L86" s="27"/>
      <c r="M86" s="16" t="s">
        <v>456</v>
      </c>
      <c r="N86" s="16"/>
      <c r="O86" s="16"/>
      <c r="P86" s="16"/>
      <c r="Q86" s="16"/>
      <c r="R86" s="16"/>
      <c r="S86" s="17"/>
      <c r="T86" s="17"/>
      <c r="U86" s="17"/>
      <c r="V86" s="17"/>
      <c r="W86" s="17"/>
      <c r="X86" s="17">
        <f t="shared" si="1"/>
        <v>9</v>
      </c>
      <c r="Y86" s="18">
        <f t="shared" si="2"/>
        <v>4132443.1719795358</v>
      </c>
      <c r="Z86" s="19"/>
      <c r="AA86" s="30"/>
      <c r="AB86" s="21" t="b">
        <v>1</v>
      </c>
      <c r="AC86" s="22">
        <f t="shared" si="3"/>
        <v>0</v>
      </c>
      <c r="AD86" s="32"/>
      <c r="AE86" s="32"/>
    </row>
    <row r="87" spans="1:31" ht="15">
      <c r="A87" s="10">
        <f t="shared" si="0"/>
        <v>0</v>
      </c>
      <c r="B87" s="13"/>
      <c r="C87" s="13"/>
      <c r="D87" s="13"/>
      <c r="E87" s="13"/>
      <c r="F87" s="13"/>
      <c r="G87" s="13"/>
      <c r="H87" s="13"/>
      <c r="I87" s="13"/>
      <c r="J87" s="13"/>
      <c r="K87" s="13"/>
      <c r="L87" s="27"/>
      <c r="M87" s="16" t="s">
        <v>457</v>
      </c>
      <c r="N87" s="16"/>
      <c r="O87" s="16"/>
      <c r="P87" s="16"/>
      <c r="Q87" s="16"/>
      <c r="R87" s="16"/>
      <c r="S87" s="17"/>
      <c r="T87" s="17"/>
      <c r="U87" s="17"/>
      <c r="V87" s="17"/>
      <c r="W87" s="17"/>
      <c r="X87" s="17">
        <f t="shared" si="1"/>
        <v>9</v>
      </c>
      <c r="Y87" s="18">
        <f t="shared" si="2"/>
        <v>4132443.1719795358</v>
      </c>
      <c r="Z87" s="19"/>
      <c r="AA87" s="30"/>
      <c r="AB87" s="21" t="b">
        <v>1</v>
      </c>
      <c r="AC87" s="22">
        <f t="shared" si="3"/>
        <v>0</v>
      </c>
      <c r="AD87" s="32"/>
      <c r="AE87" s="32"/>
    </row>
    <row r="88" spans="1:31">
      <c r="A88" s="10">
        <f t="shared" si="0"/>
        <v>0</v>
      </c>
      <c r="B88" s="13"/>
      <c r="C88" s="13"/>
      <c r="D88" s="13"/>
      <c r="E88" s="13"/>
      <c r="F88" s="13"/>
      <c r="G88" s="13"/>
      <c r="H88" s="13"/>
      <c r="I88" s="13"/>
      <c r="J88" s="13"/>
      <c r="K88" s="13"/>
      <c r="L88" s="27"/>
      <c r="M88" s="101" t="s">
        <v>458</v>
      </c>
      <c r="N88" s="16"/>
      <c r="O88" s="16"/>
      <c r="P88" s="16"/>
      <c r="Q88" s="16"/>
      <c r="R88" s="16"/>
      <c r="S88" s="17"/>
      <c r="T88" s="17"/>
      <c r="U88" s="17"/>
      <c r="V88" s="17"/>
      <c r="W88" s="17"/>
      <c r="X88" s="17">
        <f t="shared" si="1"/>
        <v>9</v>
      </c>
      <c r="Y88" s="18">
        <f t="shared" si="2"/>
        <v>4132443.1719795358</v>
      </c>
      <c r="Z88" s="19"/>
      <c r="AA88" s="30"/>
      <c r="AB88" s="21" t="b">
        <v>1</v>
      </c>
      <c r="AC88" s="22">
        <f t="shared" si="3"/>
        <v>0</v>
      </c>
      <c r="AD88" s="32"/>
      <c r="AE88" s="32"/>
    </row>
    <row r="89" spans="1:31" ht="15">
      <c r="A89" s="10">
        <f t="shared" si="0"/>
        <v>0</v>
      </c>
      <c r="B89" s="13"/>
      <c r="C89" s="13"/>
      <c r="D89" s="13"/>
      <c r="E89" s="13"/>
      <c r="F89" s="13"/>
      <c r="G89" s="13"/>
      <c r="H89" s="13"/>
      <c r="I89" s="13"/>
      <c r="J89" s="13"/>
      <c r="K89" s="13"/>
      <c r="L89" s="27"/>
      <c r="M89" s="16"/>
      <c r="N89" s="16" t="s">
        <v>459</v>
      </c>
      <c r="O89" s="16"/>
      <c r="P89" s="16"/>
      <c r="Q89" s="16"/>
      <c r="R89" s="16"/>
      <c r="S89" s="17"/>
      <c r="T89" s="17"/>
      <c r="U89" s="17"/>
      <c r="V89" s="17"/>
      <c r="W89" s="17"/>
      <c r="X89" s="17">
        <f t="shared" si="1"/>
        <v>9</v>
      </c>
      <c r="Y89" s="18">
        <f t="shared" si="2"/>
        <v>4132443.1719795358</v>
      </c>
      <c r="Z89" s="19"/>
      <c r="AA89" s="30"/>
      <c r="AB89" s="21" t="b">
        <v>1</v>
      </c>
      <c r="AC89" s="22">
        <f t="shared" si="3"/>
        <v>0</v>
      </c>
      <c r="AD89" s="32"/>
      <c r="AE89" s="32"/>
    </row>
    <row r="90" spans="1:31" ht="15">
      <c r="A90" s="10">
        <f t="shared" si="0"/>
        <v>0</v>
      </c>
      <c r="B90" s="13"/>
      <c r="C90" s="13"/>
      <c r="D90" s="13"/>
      <c r="E90" s="13"/>
      <c r="F90" s="13"/>
      <c r="G90" s="13"/>
      <c r="H90" s="13"/>
      <c r="I90" s="13"/>
      <c r="J90" s="13"/>
      <c r="K90" s="13"/>
      <c r="L90" s="27"/>
      <c r="M90" s="16"/>
      <c r="N90" s="16" t="s">
        <v>460</v>
      </c>
      <c r="O90" s="16"/>
      <c r="P90" s="16"/>
      <c r="Q90" s="16"/>
      <c r="R90" s="16"/>
      <c r="S90" s="17"/>
      <c r="T90" s="17"/>
      <c r="U90" s="17"/>
      <c r="V90" s="17"/>
      <c r="W90" s="17"/>
      <c r="X90" s="17">
        <f t="shared" si="1"/>
        <v>9</v>
      </c>
      <c r="Y90" s="18">
        <f t="shared" si="2"/>
        <v>4132443.1719795358</v>
      </c>
      <c r="Z90" s="19"/>
      <c r="AA90" s="30"/>
      <c r="AB90" s="21" t="b">
        <v>1</v>
      </c>
      <c r="AC90" s="22">
        <f t="shared" si="3"/>
        <v>0</v>
      </c>
      <c r="AD90" s="32"/>
      <c r="AE90" s="32"/>
    </row>
    <row r="91" spans="1:31">
      <c r="A91" s="10">
        <f t="shared" si="0"/>
        <v>0</v>
      </c>
      <c r="B91" s="13"/>
      <c r="C91" s="13"/>
      <c r="D91" s="13"/>
      <c r="E91" s="13"/>
      <c r="F91" s="13"/>
      <c r="G91" s="13"/>
      <c r="H91" s="13"/>
      <c r="I91" s="13"/>
      <c r="J91" s="13"/>
      <c r="K91" s="13"/>
      <c r="L91" s="27"/>
      <c r="M91" s="101" t="s">
        <v>461</v>
      </c>
      <c r="N91" s="16"/>
      <c r="O91" s="16"/>
      <c r="P91" s="16"/>
      <c r="Q91" s="16"/>
      <c r="R91" s="16"/>
      <c r="S91" s="17"/>
      <c r="T91" s="17"/>
      <c r="U91" s="17"/>
      <c r="V91" s="17"/>
      <c r="W91" s="17"/>
      <c r="X91" s="17">
        <f t="shared" si="1"/>
        <v>9</v>
      </c>
      <c r="Y91" s="18">
        <f t="shared" si="2"/>
        <v>4132443.1719795358</v>
      </c>
      <c r="Z91" s="19"/>
      <c r="AA91" s="30"/>
      <c r="AB91" s="21" t="b">
        <v>1</v>
      </c>
      <c r="AC91" s="22">
        <f t="shared" si="3"/>
        <v>0</v>
      </c>
      <c r="AD91" s="32"/>
      <c r="AE91" s="32"/>
    </row>
    <row r="92" spans="1:31" ht="15">
      <c r="A92" s="10">
        <f t="shared" si="0"/>
        <v>0</v>
      </c>
      <c r="B92" s="13"/>
      <c r="C92" s="13"/>
      <c r="D92" s="13"/>
      <c r="E92" s="13"/>
      <c r="F92" s="13"/>
      <c r="G92" s="13"/>
      <c r="H92" s="13"/>
      <c r="I92" s="13"/>
      <c r="J92" s="13"/>
      <c r="K92" s="13"/>
      <c r="L92" s="27"/>
      <c r="M92" s="16"/>
      <c r="N92" s="16" t="s">
        <v>462</v>
      </c>
      <c r="O92" s="16"/>
      <c r="P92" s="16"/>
      <c r="Q92" s="16"/>
      <c r="R92" s="16"/>
      <c r="S92" s="17"/>
      <c r="T92" s="17"/>
      <c r="U92" s="17"/>
      <c r="V92" s="17"/>
      <c r="W92" s="17"/>
      <c r="X92" s="17">
        <f t="shared" si="1"/>
        <v>9</v>
      </c>
      <c r="Y92" s="18">
        <f t="shared" si="2"/>
        <v>4132443.1719795358</v>
      </c>
      <c r="Z92" s="19"/>
      <c r="AA92" s="30"/>
      <c r="AB92" s="21" t="b">
        <v>1</v>
      </c>
      <c r="AC92" s="22">
        <f t="shared" si="3"/>
        <v>0</v>
      </c>
      <c r="AD92" s="32"/>
      <c r="AE92" s="32"/>
    </row>
    <row r="93" spans="1:31" ht="15">
      <c r="A93" s="10">
        <f t="shared" si="0"/>
        <v>0</v>
      </c>
      <c r="B93" s="13"/>
      <c r="C93" s="13"/>
      <c r="D93" s="13"/>
      <c r="E93" s="13"/>
      <c r="F93" s="13"/>
      <c r="G93" s="13"/>
      <c r="H93" s="13"/>
      <c r="I93" s="13"/>
      <c r="J93" s="13"/>
      <c r="K93" s="13"/>
      <c r="L93" s="27"/>
      <c r="M93" s="16"/>
      <c r="N93" s="16" t="s">
        <v>463</v>
      </c>
      <c r="O93" s="16"/>
      <c r="P93" s="16"/>
      <c r="Q93" s="16"/>
      <c r="R93" s="16"/>
      <c r="S93" s="17"/>
      <c r="T93" s="17"/>
      <c r="U93" s="17"/>
      <c r="V93" s="17"/>
      <c r="W93" s="17"/>
      <c r="X93" s="17">
        <f t="shared" si="1"/>
        <v>9</v>
      </c>
      <c r="Y93" s="18">
        <f t="shared" si="2"/>
        <v>4132443.1719795358</v>
      </c>
      <c r="Z93" s="19"/>
      <c r="AA93" s="30"/>
      <c r="AB93" s="21" t="b">
        <v>1</v>
      </c>
      <c r="AC93" s="22">
        <f t="shared" si="3"/>
        <v>0</v>
      </c>
      <c r="AD93" s="32"/>
      <c r="AE93" s="32"/>
    </row>
    <row r="94" spans="1:31" ht="15">
      <c r="A94" s="10">
        <f t="shared" si="0"/>
        <v>0</v>
      </c>
      <c r="B94" s="13"/>
      <c r="C94" s="13"/>
      <c r="D94" s="13"/>
      <c r="E94" s="13"/>
      <c r="F94" s="13"/>
      <c r="G94" s="13"/>
      <c r="H94" s="13"/>
      <c r="I94" s="13"/>
      <c r="J94" s="13"/>
      <c r="K94" s="13"/>
      <c r="L94" s="27"/>
      <c r="M94" s="16"/>
      <c r="N94" s="16" t="s">
        <v>464</v>
      </c>
      <c r="O94" s="16"/>
      <c r="P94" s="16"/>
      <c r="Q94" s="16"/>
      <c r="R94" s="16"/>
      <c r="S94" s="17"/>
      <c r="T94" s="17"/>
      <c r="U94" s="17"/>
      <c r="V94" s="17"/>
      <c r="W94" s="17"/>
      <c r="X94" s="17">
        <f t="shared" si="1"/>
        <v>9</v>
      </c>
      <c r="Y94" s="18">
        <f t="shared" si="2"/>
        <v>4132443.1719795358</v>
      </c>
      <c r="Z94" s="19"/>
      <c r="AA94" s="30"/>
      <c r="AB94" s="21" t="b">
        <v>1</v>
      </c>
      <c r="AC94" s="22">
        <f t="shared" si="3"/>
        <v>0</v>
      </c>
      <c r="AD94" s="32"/>
      <c r="AE94" s="32"/>
    </row>
    <row r="95" spans="1:31">
      <c r="A95" s="10">
        <f t="shared" si="0"/>
        <v>2340045.277449823</v>
      </c>
      <c r="B95" s="13">
        <v>2</v>
      </c>
      <c r="C95" s="13">
        <v>1</v>
      </c>
      <c r="D95" s="13">
        <v>1</v>
      </c>
      <c r="E95" s="13"/>
      <c r="F95" s="13">
        <v>1</v>
      </c>
      <c r="G95" s="13">
        <v>1</v>
      </c>
      <c r="H95" s="13"/>
      <c r="I95" s="13"/>
      <c r="J95" s="13"/>
      <c r="K95" s="13"/>
      <c r="L95" s="27"/>
      <c r="M95" s="101" t="s">
        <v>465</v>
      </c>
      <c r="N95" s="16"/>
      <c r="O95" s="16"/>
      <c r="P95" s="16"/>
      <c r="Q95" s="16"/>
      <c r="R95" s="16"/>
      <c r="S95" s="17"/>
      <c r="T95" s="17"/>
      <c r="U95" s="17"/>
      <c r="V95" s="17"/>
      <c r="W95" s="17"/>
      <c r="X95" s="17">
        <f t="shared" si="1"/>
        <v>9</v>
      </c>
      <c r="Y95" s="18">
        <f t="shared" si="2"/>
        <v>4132443.1719795358</v>
      </c>
      <c r="Z95" s="19"/>
      <c r="AA95" s="30"/>
      <c r="AB95" s="21" t="b">
        <v>1</v>
      </c>
      <c r="AC95" s="22">
        <f t="shared" si="3"/>
        <v>0</v>
      </c>
      <c r="AD95" s="32"/>
      <c r="AE95" s="32"/>
    </row>
    <row r="96" spans="1:31" ht="15">
      <c r="A96" s="10">
        <f t="shared" si="0"/>
        <v>0</v>
      </c>
      <c r="B96" s="13"/>
      <c r="C96" s="13"/>
      <c r="D96" s="13"/>
      <c r="E96" s="13"/>
      <c r="F96" s="13"/>
      <c r="G96" s="13"/>
      <c r="H96" s="13"/>
      <c r="I96" s="13"/>
      <c r="J96" s="13"/>
      <c r="K96" s="13"/>
      <c r="L96" s="27"/>
      <c r="M96" s="16"/>
      <c r="N96" s="16" t="s">
        <v>466</v>
      </c>
      <c r="O96" s="16"/>
      <c r="P96" s="16"/>
      <c r="Q96" s="16"/>
      <c r="R96" s="16"/>
      <c r="S96" s="17"/>
      <c r="T96" s="17"/>
      <c r="U96" s="17"/>
      <c r="V96" s="17"/>
      <c r="W96" s="17"/>
      <c r="X96" s="17">
        <f t="shared" si="1"/>
        <v>9</v>
      </c>
      <c r="Y96" s="18">
        <f t="shared" si="2"/>
        <v>4132443.1719795358</v>
      </c>
      <c r="Z96" s="19"/>
      <c r="AA96" s="30"/>
      <c r="AB96" s="21" t="b">
        <v>1</v>
      </c>
      <c r="AC96" s="22">
        <f t="shared" si="3"/>
        <v>0</v>
      </c>
      <c r="AD96" s="32"/>
      <c r="AE96" s="32"/>
    </row>
    <row r="97" spans="1:31" ht="15">
      <c r="A97" s="10">
        <f t="shared" si="0"/>
        <v>0</v>
      </c>
      <c r="B97" s="13"/>
      <c r="C97" s="13"/>
      <c r="D97" s="13"/>
      <c r="E97" s="13"/>
      <c r="F97" s="13"/>
      <c r="G97" s="13"/>
      <c r="H97" s="13"/>
      <c r="I97" s="13"/>
      <c r="J97" s="13"/>
      <c r="K97" s="13"/>
      <c r="L97" s="27"/>
      <c r="M97" s="16"/>
      <c r="N97" s="16" t="s">
        <v>467</v>
      </c>
      <c r="O97" s="16"/>
      <c r="P97" s="16"/>
      <c r="Q97" s="16"/>
      <c r="R97" s="16"/>
      <c r="S97" s="17"/>
      <c r="T97" s="17"/>
      <c r="U97" s="17"/>
      <c r="V97" s="17"/>
      <c r="W97" s="17"/>
      <c r="X97" s="17">
        <f t="shared" si="1"/>
        <v>9</v>
      </c>
      <c r="Y97" s="18">
        <f t="shared" si="2"/>
        <v>4132443.1719795358</v>
      </c>
      <c r="Z97" s="19"/>
      <c r="AA97" s="30"/>
      <c r="AB97" s="21" t="b">
        <v>1</v>
      </c>
      <c r="AC97" s="22">
        <f t="shared" si="3"/>
        <v>0</v>
      </c>
      <c r="AD97" s="23"/>
      <c r="AE97" s="23"/>
    </row>
    <row r="98" spans="1:31" ht="15">
      <c r="A98" s="10">
        <f t="shared" si="0"/>
        <v>0</v>
      </c>
      <c r="B98" s="13"/>
      <c r="C98" s="13"/>
      <c r="D98" s="13"/>
      <c r="E98" s="13"/>
      <c r="F98" s="13"/>
      <c r="G98" s="13"/>
      <c r="H98" s="13"/>
      <c r="I98" s="13"/>
      <c r="J98" s="13"/>
      <c r="K98" s="13"/>
      <c r="L98" s="27"/>
      <c r="M98" s="16"/>
      <c r="N98" s="16" t="s">
        <v>468</v>
      </c>
      <c r="O98" s="16"/>
      <c r="P98" s="16"/>
      <c r="Q98" s="16"/>
      <c r="R98" s="16"/>
      <c r="S98" s="17"/>
      <c r="T98" s="17"/>
      <c r="U98" s="17"/>
      <c r="V98" s="17"/>
      <c r="W98" s="17"/>
      <c r="X98" s="17">
        <f t="shared" si="1"/>
        <v>9</v>
      </c>
      <c r="Y98" s="18">
        <f t="shared" si="2"/>
        <v>4132443.1719795358</v>
      </c>
      <c r="Z98" s="19"/>
      <c r="AA98" s="30"/>
      <c r="AB98" s="21" t="b">
        <v>1</v>
      </c>
      <c r="AC98" s="22">
        <f t="shared" si="3"/>
        <v>0</v>
      </c>
      <c r="AD98" s="23"/>
      <c r="AE98" s="23"/>
    </row>
    <row r="99" spans="1:31" ht="18">
      <c r="A99" s="10">
        <f t="shared" si="0"/>
        <v>1969182.0346320346</v>
      </c>
      <c r="B99" s="13">
        <v>1</v>
      </c>
      <c r="C99" s="13">
        <v>1</v>
      </c>
      <c r="D99" s="13">
        <v>1</v>
      </c>
      <c r="E99" s="13"/>
      <c r="F99" s="13">
        <v>1.5</v>
      </c>
      <c r="G99" s="13">
        <v>1</v>
      </c>
      <c r="H99" s="13"/>
      <c r="I99" s="13"/>
      <c r="J99" s="13"/>
      <c r="K99" s="13"/>
      <c r="L99" s="100" t="s">
        <v>469</v>
      </c>
      <c r="M99" s="16"/>
      <c r="N99" s="54"/>
      <c r="O99" s="16"/>
      <c r="P99" s="16"/>
      <c r="Q99" s="16"/>
      <c r="R99" s="16"/>
      <c r="S99" s="17"/>
      <c r="T99" s="17"/>
      <c r="U99" s="17"/>
      <c r="V99" s="17"/>
      <c r="W99" s="17"/>
      <c r="X99" s="17">
        <f t="shared" si="1"/>
        <v>10</v>
      </c>
      <c r="Y99" s="18">
        <f t="shared" si="2"/>
        <v>1969182.0346320346</v>
      </c>
      <c r="Z99" s="24"/>
      <c r="AA99" s="20"/>
      <c r="AB99" s="21" t="b">
        <v>1</v>
      </c>
      <c r="AC99" s="22">
        <f t="shared" si="3"/>
        <v>1969182.0346320346</v>
      </c>
      <c r="AD99" s="32"/>
      <c r="AE99" s="32"/>
    </row>
    <row r="100" spans="1:31">
      <c r="A100" s="10">
        <f t="shared" si="0"/>
        <v>0</v>
      </c>
      <c r="B100" s="13"/>
      <c r="C100" s="13"/>
      <c r="D100" s="13"/>
      <c r="E100" s="13"/>
      <c r="F100" s="13"/>
      <c r="G100" s="13"/>
      <c r="H100" s="13"/>
      <c r="I100" s="13"/>
      <c r="J100" s="13"/>
      <c r="K100" s="13"/>
      <c r="L100" s="27"/>
      <c r="M100" s="101" t="s">
        <v>470</v>
      </c>
      <c r="N100" s="54"/>
      <c r="O100" s="16"/>
      <c r="P100" s="16"/>
      <c r="Q100" s="16"/>
      <c r="R100" s="16"/>
      <c r="S100" s="17"/>
      <c r="T100" s="17"/>
      <c r="U100" s="17"/>
      <c r="V100" s="17"/>
      <c r="W100" s="17"/>
      <c r="X100" s="17">
        <f t="shared" si="1"/>
        <v>10</v>
      </c>
      <c r="Y100" s="18">
        <f t="shared" si="2"/>
        <v>1969182.0346320346</v>
      </c>
      <c r="Z100" s="24"/>
      <c r="AA100" s="20"/>
      <c r="AB100" s="21" t="b">
        <v>1</v>
      </c>
      <c r="AC100" s="22">
        <f t="shared" si="3"/>
        <v>0</v>
      </c>
      <c r="AD100" s="32"/>
      <c r="AE100" s="32"/>
    </row>
    <row r="101" spans="1:31" ht="15">
      <c r="A101" s="10">
        <f t="shared" si="0"/>
        <v>0</v>
      </c>
      <c r="B101" s="13"/>
      <c r="C101" s="13"/>
      <c r="D101" s="13"/>
      <c r="E101" s="13"/>
      <c r="F101" s="13"/>
      <c r="G101" s="13"/>
      <c r="H101" s="13"/>
      <c r="I101" s="13"/>
      <c r="J101" s="13"/>
      <c r="K101" s="13"/>
      <c r="L101" s="27"/>
      <c r="M101" s="16"/>
      <c r="N101" s="16" t="s">
        <v>444</v>
      </c>
      <c r="O101" s="16"/>
      <c r="P101" s="16"/>
      <c r="Q101" s="16"/>
      <c r="R101" s="16"/>
      <c r="S101" s="17"/>
      <c r="T101" s="17"/>
      <c r="U101" s="17"/>
      <c r="V101" s="17"/>
      <c r="W101" s="17"/>
      <c r="X101" s="17">
        <f t="shared" si="1"/>
        <v>10</v>
      </c>
      <c r="Y101" s="18">
        <f t="shared" si="2"/>
        <v>1969182.0346320346</v>
      </c>
      <c r="Z101" s="24"/>
      <c r="AA101" s="20"/>
      <c r="AB101" s="21" t="b">
        <v>1</v>
      </c>
      <c r="AC101" s="22">
        <f t="shared" si="3"/>
        <v>0</v>
      </c>
      <c r="AD101" s="32"/>
      <c r="AE101" s="32"/>
    </row>
    <row r="102" spans="1:31" ht="15">
      <c r="A102" s="10">
        <f t="shared" si="0"/>
        <v>0</v>
      </c>
      <c r="B102" s="13"/>
      <c r="C102" s="13"/>
      <c r="D102" s="13"/>
      <c r="E102" s="13"/>
      <c r="F102" s="13"/>
      <c r="G102" s="13"/>
      <c r="H102" s="13"/>
      <c r="I102" s="13"/>
      <c r="J102" s="13"/>
      <c r="K102" s="13"/>
      <c r="L102" s="27"/>
      <c r="M102" s="16"/>
      <c r="N102" s="16" t="s">
        <v>445</v>
      </c>
      <c r="O102" s="16"/>
      <c r="P102" s="16"/>
      <c r="Q102" s="16"/>
      <c r="R102" s="16"/>
      <c r="S102" s="17"/>
      <c r="T102" s="17"/>
      <c r="U102" s="17"/>
      <c r="V102" s="17"/>
      <c r="W102" s="17"/>
      <c r="X102" s="17">
        <f t="shared" si="1"/>
        <v>10</v>
      </c>
      <c r="Y102" s="18">
        <f t="shared" si="2"/>
        <v>1969182.0346320346</v>
      </c>
      <c r="Z102" s="24"/>
      <c r="AA102" s="20"/>
      <c r="AB102" s="21" t="b">
        <v>1</v>
      </c>
      <c r="AC102" s="22">
        <f t="shared" si="3"/>
        <v>0</v>
      </c>
      <c r="AD102" s="32"/>
      <c r="AE102" s="32"/>
    </row>
    <row r="103" spans="1:31">
      <c r="A103" s="10">
        <f t="shared" si="0"/>
        <v>0</v>
      </c>
      <c r="B103" s="13"/>
      <c r="C103" s="13"/>
      <c r="D103" s="13"/>
      <c r="E103" s="13"/>
      <c r="F103" s="13"/>
      <c r="G103" s="13"/>
      <c r="H103" s="13"/>
      <c r="I103" s="13"/>
      <c r="J103" s="13"/>
      <c r="K103" s="13"/>
      <c r="L103" s="27"/>
      <c r="M103" s="101" t="s">
        <v>471</v>
      </c>
      <c r="N103" s="16"/>
      <c r="O103" s="16"/>
      <c r="P103" s="16"/>
      <c r="Q103" s="16"/>
      <c r="R103" s="16"/>
      <c r="S103" s="17"/>
      <c r="T103" s="17"/>
      <c r="U103" s="17"/>
      <c r="V103" s="17"/>
      <c r="W103" s="17"/>
      <c r="X103" s="17">
        <f t="shared" si="1"/>
        <v>10</v>
      </c>
      <c r="Y103" s="18">
        <f t="shared" si="2"/>
        <v>1969182.0346320346</v>
      </c>
      <c r="Z103" s="24"/>
      <c r="AA103" s="20"/>
      <c r="AB103" s="21" t="b">
        <v>1</v>
      </c>
      <c r="AC103" s="22">
        <f t="shared" si="3"/>
        <v>0</v>
      </c>
      <c r="AD103" s="32"/>
      <c r="AE103" s="32"/>
    </row>
    <row r="104" spans="1:31" ht="15">
      <c r="A104" s="10">
        <f t="shared" si="0"/>
        <v>0</v>
      </c>
      <c r="B104" s="13"/>
      <c r="C104" s="13"/>
      <c r="D104" s="13"/>
      <c r="E104" s="13"/>
      <c r="F104" s="13"/>
      <c r="G104" s="13"/>
      <c r="H104" s="13"/>
      <c r="I104" s="13"/>
      <c r="J104" s="13"/>
      <c r="K104" s="13"/>
      <c r="L104" s="27"/>
      <c r="M104" s="16"/>
      <c r="N104" s="16" t="s">
        <v>472</v>
      </c>
      <c r="O104" s="16"/>
      <c r="P104" s="16"/>
      <c r="Q104" s="16"/>
      <c r="R104" s="16"/>
      <c r="S104" s="17"/>
      <c r="T104" s="17"/>
      <c r="U104" s="17"/>
      <c r="V104" s="17"/>
      <c r="W104" s="17"/>
      <c r="X104" s="17">
        <f t="shared" si="1"/>
        <v>10</v>
      </c>
      <c r="Y104" s="18">
        <f t="shared" si="2"/>
        <v>1969182.0346320346</v>
      </c>
      <c r="Z104" s="24"/>
      <c r="AA104" s="20"/>
      <c r="AB104" s="21" t="b">
        <v>1</v>
      </c>
      <c r="AC104" s="22">
        <f t="shared" si="3"/>
        <v>0</v>
      </c>
      <c r="AD104" s="32"/>
      <c r="AE104" s="32"/>
    </row>
    <row r="105" spans="1:31" ht="15">
      <c r="A105" s="10">
        <f t="shared" si="0"/>
        <v>0</v>
      </c>
      <c r="B105" s="13"/>
      <c r="C105" s="13"/>
      <c r="D105" s="13"/>
      <c r="E105" s="13"/>
      <c r="F105" s="13"/>
      <c r="G105" s="13"/>
      <c r="H105" s="13"/>
      <c r="I105" s="13"/>
      <c r="J105" s="13"/>
      <c r="K105" s="13"/>
      <c r="L105" s="27"/>
      <c r="M105" s="16"/>
      <c r="N105" s="16" t="s">
        <v>473</v>
      </c>
      <c r="O105" s="16"/>
      <c r="P105" s="16"/>
      <c r="Q105" s="16"/>
      <c r="R105" s="16"/>
      <c r="S105" s="17"/>
      <c r="T105" s="17"/>
      <c r="U105" s="17"/>
      <c r="V105" s="17"/>
      <c r="W105" s="17"/>
      <c r="X105" s="17">
        <f t="shared" si="1"/>
        <v>10</v>
      </c>
      <c r="Y105" s="18">
        <f t="shared" si="2"/>
        <v>1969182.0346320346</v>
      </c>
      <c r="Z105" s="24"/>
      <c r="AA105" s="20"/>
      <c r="AB105" s="21" t="b">
        <v>1</v>
      </c>
      <c r="AC105" s="22">
        <f t="shared" si="3"/>
        <v>0</v>
      </c>
      <c r="AD105" s="32"/>
      <c r="AE105" s="32"/>
    </row>
    <row r="106" spans="1:31" ht="15">
      <c r="A106" s="10">
        <f t="shared" si="0"/>
        <v>0</v>
      </c>
      <c r="B106" s="13"/>
      <c r="C106" s="13"/>
      <c r="D106" s="13"/>
      <c r="E106" s="13"/>
      <c r="F106" s="13"/>
      <c r="G106" s="13"/>
      <c r="H106" s="13"/>
      <c r="I106" s="13"/>
      <c r="J106" s="13"/>
      <c r="K106" s="13"/>
      <c r="L106" s="27"/>
      <c r="M106" s="16"/>
      <c r="N106" s="16" t="s">
        <v>474</v>
      </c>
      <c r="O106" s="16"/>
      <c r="P106" s="16"/>
      <c r="Q106" s="16"/>
      <c r="R106" s="16"/>
      <c r="S106" s="17"/>
      <c r="T106" s="17"/>
      <c r="U106" s="17"/>
      <c r="V106" s="17"/>
      <c r="W106" s="17"/>
      <c r="X106" s="17">
        <f t="shared" si="1"/>
        <v>10</v>
      </c>
      <c r="Y106" s="18">
        <f t="shared" si="2"/>
        <v>1969182.0346320346</v>
      </c>
      <c r="Z106" s="24"/>
      <c r="AA106" s="20"/>
      <c r="AB106" s="21" t="b">
        <v>1</v>
      </c>
      <c r="AC106" s="22">
        <f t="shared" si="3"/>
        <v>0</v>
      </c>
      <c r="AD106" s="32"/>
      <c r="AE106" s="32"/>
    </row>
    <row r="107" spans="1:31" ht="15">
      <c r="A107" s="10">
        <f t="shared" si="0"/>
        <v>0</v>
      </c>
      <c r="B107" s="13"/>
      <c r="C107" s="13"/>
      <c r="D107" s="13"/>
      <c r="E107" s="13"/>
      <c r="F107" s="13"/>
      <c r="G107" s="13"/>
      <c r="H107" s="13"/>
      <c r="I107" s="13"/>
      <c r="J107" s="13"/>
      <c r="K107" s="13"/>
      <c r="L107" s="27"/>
      <c r="M107" s="16"/>
      <c r="N107" s="16" t="s">
        <v>475</v>
      </c>
      <c r="O107" s="16"/>
      <c r="P107" s="16"/>
      <c r="Q107" s="16"/>
      <c r="R107" s="16"/>
      <c r="S107" s="17"/>
      <c r="T107" s="17"/>
      <c r="U107" s="17"/>
      <c r="V107" s="17"/>
      <c r="W107" s="17"/>
      <c r="X107" s="17">
        <f t="shared" si="1"/>
        <v>10</v>
      </c>
      <c r="Y107" s="18">
        <f t="shared" si="2"/>
        <v>1969182.0346320346</v>
      </c>
      <c r="Z107" s="24"/>
      <c r="AA107" s="20"/>
      <c r="AB107" s="21" t="b">
        <v>1</v>
      </c>
      <c r="AC107" s="22">
        <f t="shared" si="3"/>
        <v>0</v>
      </c>
      <c r="AD107" s="32"/>
      <c r="AE107" s="32"/>
    </row>
    <row r="108" spans="1:31">
      <c r="A108" s="10">
        <f t="shared" si="0"/>
        <v>0</v>
      </c>
      <c r="B108" s="13"/>
      <c r="C108" s="13"/>
      <c r="D108" s="13"/>
      <c r="E108" s="13"/>
      <c r="F108" s="13"/>
      <c r="G108" s="13"/>
      <c r="H108" s="13"/>
      <c r="I108" s="13"/>
      <c r="J108" s="13"/>
      <c r="K108" s="13"/>
      <c r="L108" s="27"/>
      <c r="M108" s="101" t="s">
        <v>476</v>
      </c>
      <c r="N108" s="16"/>
      <c r="O108" s="16"/>
      <c r="P108" s="16"/>
      <c r="Q108" s="16"/>
      <c r="R108" s="16"/>
      <c r="S108" s="17"/>
      <c r="T108" s="17"/>
      <c r="U108" s="17"/>
      <c r="V108" s="17"/>
      <c r="W108" s="17"/>
      <c r="X108" s="17">
        <f t="shared" si="1"/>
        <v>10</v>
      </c>
      <c r="Y108" s="18">
        <f t="shared" si="2"/>
        <v>1969182.0346320346</v>
      </c>
      <c r="Z108" s="24"/>
      <c r="AA108" s="20"/>
      <c r="AB108" s="21" t="b">
        <v>1</v>
      </c>
      <c r="AC108" s="22">
        <f t="shared" si="3"/>
        <v>0</v>
      </c>
      <c r="AD108" s="32"/>
      <c r="AE108" s="32"/>
    </row>
    <row r="109" spans="1:31" ht="15">
      <c r="A109" s="10">
        <f t="shared" si="0"/>
        <v>0</v>
      </c>
      <c r="B109" s="13"/>
      <c r="C109" s="13"/>
      <c r="D109" s="13"/>
      <c r="E109" s="13"/>
      <c r="F109" s="13"/>
      <c r="G109" s="13"/>
      <c r="H109" s="13"/>
      <c r="I109" s="13"/>
      <c r="J109" s="13"/>
      <c r="K109" s="13"/>
      <c r="L109" s="27"/>
      <c r="M109" s="16"/>
      <c r="N109" s="16" t="s">
        <v>477</v>
      </c>
      <c r="O109" s="16"/>
      <c r="P109" s="16"/>
      <c r="Q109" s="16"/>
      <c r="R109" s="16"/>
      <c r="S109" s="17"/>
      <c r="T109" s="17"/>
      <c r="U109" s="17"/>
      <c r="V109" s="17"/>
      <c r="W109" s="17"/>
      <c r="X109" s="17">
        <f t="shared" si="1"/>
        <v>10</v>
      </c>
      <c r="Y109" s="18">
        <f t="shared" si="2"/>
        <v>1969182.0346320346</v>
      </c>
      <c r="Z109" s="24"/>
      <c r="AA109" s="20"/>
      <c r="AB109" s="21" t="b">
        <v>1</v>
      </c>
      <c r="AC109" s="22">
        <f t="shared" si="3"/>
        <v>0</v>
      </c>
      <c r="AD109" s="32"/>
      <c r="AE109" s="32"/>
    </row>
    <row r="110" spans="1:31" ht="15">
      <c r="A110" s="10">
        <f t="shared" si="0"/>
        <v>0</v>
      </c>
      <c r="B110" s="13"/>
      <c r="C110" s="13"/>
      <c r="D110" s="13"/>
      <c r="E110" s="13"/>
      <c r="F110" s="13"/>
      <c r="G110" s="13"/>
      <c r="H110" s="13"/>
      <c r="I110" s="13"/>
      <c r="J110" s="13"/>
      <c r="K110" s="13"/>
      <c r="L110" s="27"/>
      <c r="M110" s="16"/>
      <c r="N110" s="16" t="s">
        <v>478</v>
      </c>
      <c r="O110" s="16"/>
      <c r="P110" s="16"/>
      <c r="Q110" s="16"/>
      <c r="R110" s="16"/>
      <c r="S110" s="17"/>
      <c r="T110" s="17"/>
      <c r="U110" s="17"/>
      <c r="V110" s="17"/>
      <c r="W110" s="17"/>
      <c r="X110" s="17">
        <f t="shared" si="1"/>
        <v>10</v>
      </c>
      <c r="Y110" s="18">
        <f t="shared" si="2"/>
        <v>1969182.0346320346</v>
      </c>
      <c r="Z110" s="24"/>
      <c r="AA110" s="20"/>
      <c r="AB110" s="21" t="b">
        <v>1</v>
      </c>
      <c r="AC110" s="22">
        <f t="shared" si="3"/>
        <v>0</v>
      </c>
      <c r="AD110" s="32"/>
      <c r="AE110" s="32"/>
    </row>
    <row r="111" spans="1:31" ht="18">
      <c r="A111" s="10">
        <f t="shared" si="0"/>
        <v>1227130.9327036599</v>
      </c>
      <c r="B111" s="13">
        <v>0.5</v>
      </c>
      <c r="C111" s="13">
        <v>1</v>
      </c>
      <c r="D111" s="13">
        <v>1</v>
      </c>
      <c r="E111" s="13"/>
      <c r="F111" s="13">
        <v>1</v>
      </c>
      <c r="G111" s="13"/>
      <c r="H111" s="13"/>
      <c r="I111" s="13"/>
      <c r="J111" s="13"/>
      <c r="K111" s="13"/>
      <c r="L111" s="100" t="s">
        <v>479</v>
      </c>
      <c r="M111" s="16"/>
      <c r="N111" s="16"/>
      <c r="O111" s="16"/>
      <c r="P111" s="16"/>
      <c r="Q111" s="16"/>
      <c r="R111" s="16"/>
      <c r="S111" s="17"/>
      <c r="T111" s="17"/>
      <c r="U111" s="17"/>
      <c r="V111" s="17"/>
      <c r="W111" s="17"/>
      <c r="X111" s="17">
        <f t="shared" si="1"/>
        <v>11</v>
      </c>
      <c r="Y111" s="18">
        <f t="shared" si="2"/>
        <v>1227130.9327036599</v>
      </c>
      <c r="Z111" s="24"/>
      <c r="AA111" s="20"/>
      <c r="AB111" s="21" t="b">
        <v>1</v>
      </c>
      <c r="AC111" s="22">
        <f t="shared" si="3"/>
        <v>1227130.9327036599</v>
      </c>
      <c r="AD111" s="32"/>
      <c r="AE111" s="32"/>
    </row>
    <row r="112" spans="1:31" ht="15">
      <c r="A112" s="10">
        <f t="shared" si="0"/>
        <v>0</v>
      </c>
      <c r="B112" s="13"/>
      <c r="C112" s="13"/>
      <c r="D112" s="13"/>
      <c r="E112" s="13"/>
      <c r="F112" s="13"/>
      <c r="G112" s="13"/>
      <c r="H112" s="13"/>
      <c r="I112" s="13"/>
      <c r="J112" s="13"/>
      <c r="K112" s="13"/>
      <c r="L112" s="27"/>
      <c r="M112" s="16" t="s">
        <v>472</v>
      </c>
      <c r="N112" s="16"/>
      <c r="O112" s="16"/>
      <c r="P112" s="16"/>
      <c r="Q112" s="16"/>
      <c r="R112" s="16"/>
      <c r="S112" s="17"/>
      <c r="T112" s="17"/>
      <c r="U112" s="17"/>
      <c r="V112" s="17"/>
      <c r="W112" s="17"/>
      <c r="X112" s="17">
        <f t="shared" si="1"/>
        <v>11</v>
      </c>
      <c r="Y112" s="18">
        <f t="shared" si="2"/>
        <v>1227130.9327036599</v>
      </c>
      <c r="Z112" s="24"/>
      <c r="AA112" s="20"/>
      <c r="AB112" s="21" t="b">
        <v>1</v>
      </c>
      <c r="AC112" s="22">
        <f t="shared" si="3"/>
        <v>0</v>
      </c>
      <c r="AD112" s="32"/>
      <c r="AE112" s="32"/>
    </row>
    <row r="113" spans="1:31" ht="15">
      <c r="A113" s="10">
        <f t="shared" si="0"/>
        <v>0</v>
      </c>
      <c r="B113" s="13"/>
      <c r="C113" s="13"/>
      <c r="D113" s="13"/>
      <c r="E113" s="13"/>
      <c r="F113" s="13"/>
      <c r="G113" s="13"/>
      <c r="H113" s="13"/>
      <c r="I113" s="13"/>
      <c r="J113" s="13"/>
      <c r="K113" s="13"/>
      <c r="L113" s="27"/>
      <c r="M113" s="16" t="s">
        <v>480</v>
      </c>
      <c r="N113" s="16"/>
      <c r="O113" s="16"/>
      <c r="P113" s="16"/>
      <c r="Q113" s="16"/>
      <c r="R113" s="16"/>
      <c r="S113" s="17"/>
      <c r="T113" s="17"/>
      <c r="U113" s="17"/>
      <c r="V113" s="17"/>
      <c r="W113" s="17"/>
      <c r="X113" s="17">
        <f t="shared" si="1"/>
        <v>11</v>
      </c>
      <c r="Y113" s="18">
        <f t="shared" si="2"/>
        <v>1227130.9327036599</v>
      </c>
      <c r="Z113" s="24"/>
      <c r="AA113" s="20"/>
      <c r="AB113" s="21" t="b">
        <v>1</v>
      </c>
      <c r="AC113" s="22">
        <f t="shared" si="3"/>
        <v>0</v>
      </c>
      <c r="AD113" s="32"/>
      <c r="AE113" s="32"/>
    </row>
    <row r="114" spans="1:31" ht="15">
      <c r="A114" s="10">
        <f t="shared" si="0"/>
        <v>0</v>
      </c>
      <c r="B114" s="13"/>
      <c r="C114" s="13"/>
      <c r="D114" s="13"/>
      <c r="E114" s="13"/>
      <c r="F114" s="13"/>
      <c r="G114" s="13"/>
      <c r="H114" s="13"/>
      <c r="I114" s="13"/>
      <c r="J114" s="13"/>
      <c r="K114" s="13"/>
      <c r="L114" s="27"/>
      <c r="M114" s="16" t="s">
        <v>481</v>
      </c>
      <c r="N114" s="16"/>
      <c r="O114" s="16"/>
      <c r="P114" s="16"/>
      <c r="Q114" s="16"/>
      <c r="R114" s="16"/>
      <c r="S114" s="17"/>
      <c r="T114" s="17"/>
      <c r="U114" s="17"/>
      <c r="V114" s="17"/>
      <c r="W114" s="17"/>
      <c r="X114" s="17">
        <f t="shared" si="1"/>
        <v>11</v>
      </c>
      <c r="Y114" s="18">
        <f t="shared" si="2"/>
        <v>1227130.9327036599</v>
      </c>
      <c r="Z114" s="24"/>
      <c r="AA114" s="20"/>
      <c r="AB114" s="21" t="b">
        <v>1</v>
      </c>
      <c r="AC114" s="22">
        <f t="shared" si="3"/>
        <v>0</v>
      </c>
      <c r="AD114" s="23"/>
      <c r="AE114" s="23"/>
    </row>
    <row r="115" spans="1:31" ht="15">
      <c r="A115" s="10">
        <f t="shared" si="0"/>
        <v>0</v>
      </c>
      <c r="B115" s="13"/>
      <c r="C115" s="13"/>
      <c r="D115" s="13"/>
      <c r="E115" s="13"/>
      <c r="F115" s="13"/>
      <c r="G115" s="13"/>
      <c r="H115" s="13"/>
      <c r="I115" s="13"/>
      <c r="J115" s="13"/>
      <c r="K115" s="13"/>
      <c r="L115" s="27"/>
      <c r="M115" s="16" t="s">
        <v>482</v>
      </c>
      <c r="N115" s="16"/>
      <c r="O115" s="16"/>
      <c r="P115" s="16"/>
      <c r="Q115" s="16"/>
      <c r="R115" s="16"/>
      <c r="S115" s="17"/>
      <c r="T115" s="17"/>
      <c r="U115" s="17"/>
      <c r="V115" s="17"/>
      <c r="W115" s="17"/>
      <c r="X115" s="17">
        <f t="shared" si="1"/>
        <v>11</v>
      </c>
      <c r="Y115" s="18">
        <f t="shared" si="2"/>
        <v>1227130.9327036599</v>
      </c>
      <c r="Z115" s="24"/>
      <c r="AA115" s="20"/>
      <c r="AB115" s="21" t="b">
        <v>1</v>
      </c>
      <c r="AC115" s="22">
        <f t="shared" si="3"/>
        <v>0</v>
      </c>
      <c r="AD115" s="23"/>
      <c r="AE115" s="23"/>
    </row>
    <row r="116" spans="1:31" ht="18">
      <c r="A116" s="10">
        <f t="shared" si="0"/>
        <v>1227130.9327036599</v>
      </c>
      <c r="B116" s="13">
        <v>0.5</v>
      </c>
      <c r="C116" s="13">
        <v>1</v>
      </c>
      <c r="D116" s="13">
        <v>1</v>
      </c>
      <c r="E116" s="13"/>
      <c r="F116" s="13">
        <v>1</v>
      </c>
      <c r="G116" s="13"/>
      <c r="H116" s="13"/>
      <c r="I116" s="13"/>
      <c r="J116" s="13"/>
      <c r="K116" s="13"/>
      <c r="L116" s="100" t="s">
        <v>154</v>
      </c>
      <c r="M116" s="16"/>
      <c r="N116" s="16"/>
      <c r="O116" s="16"/>
      <c r="P116" s="16"/>
      <c r="Q116" s="16"/>
      <c r="R116" s="16"/>
      <c r="S116" s="17"/>
      <c r="T116" s="17"/>
      <c r="U116" s="17"/>
      <c r="V116" s="17"/>
      <c r="W116" s="17"/>
      <c r="X116" s="17">
        <f t="shared" si="1"/>
        <v>12</v>
      </c>
      <c r="Y116" s="18">
        <f t="shared" si="2"/>
        <v>1703784.5533254624</v>
      </c>
      <c r="Z116" s="24"/>
      <c r="AA116" s="20"/>
      <c r="AB116" s="21" t="b">
        <v>1</v>
      </c>
      <c r="AC116" s="22">
        <f t="shared" si="3"/>
        <v>1703784.5533254624</v>
      </c>
      <c r="AD116" s="23"/>
      <c r="AE116" s="23"/>
    </row>
    <row r="117" spans="1:31">
      <c r="A117" s="10">
        <f t="shared" si="0"/>
        <v>0</v>
      </c>
      <c r="B117" s="13"/>
      <c r="C117" s="13"/>
      <c r="D117" s="13"/>
      <c r="E117" s="13"/>
      <c r="F117" s="13"/>
      <c r="G117" s="13"/>
      <c r="H117" s="13"/>
      <c r="I117" s="13"/>
      <c r="J117" s="13"/>
      <c r="K117" s="13"/>
      <c r="L117" s="27"/>
      <c r="M117" s="101" t="s">
        <v>483</v>
      </c>
      <c r="N117" s="16"/>
      <c r="O117" s="16"/>
      <c r="P117" s="16"/>
      <c r="Q117" s="16"/>
      <c r="R117" s="16"/>
      <c r="S117" s="17"/>
      <c r="T117" s="17"/>
      <c r="U117" s="17"/>
      <c r="V117" s="17"/>
      <c r="W117" s="17"/>
      <c r="X117" s="17">
        <f t="shared" si="1"/>
        <v>12</v>
      </c>
      <c r="Y117" s="18">
        <f t="shared" si="2"/>
        <v>1703784.5533254624</v>
      </c>
      <c r="Z117" s="24"/>
      <c r="AA117" s="20"/>
      <c r="AB117" s="21" t="b">
        <v>1</v>
      </c>
      <c r="AC117" s="22">
        <f t="shared" si="3"/>
        <v>0</v>
      </c>
      <c r="AD117" s="23"/>
      <c r="AE117" s="23"/>
    </row>
    <row r="118" spans="1:31" ht="15">
      <c r="A118" s="10">
        <f t="shared" si="0"/>
        <v>0</v>
      </c>
      <c r="B118" s="13"/>
      <c r="C118" s="13"/>
      <c r="D118" s="13"/>
      <c r="E118" s="13"/>
      <c r="F118" s="13"/>
      <c r="G118" s="13"/>
      <c r="H118" s="13"/>
      <c r="I118" s="13"/>
      <c r="J118" s="13"/>
      <c r="K118" s="13"/>
      <c r="L118" s="27"/>
      <c r="M118" s="16"/>
      <c r="N118" s="16" t="s">
        <v>484</v>
      </c>
      <c r="O118" s="16"/>
      <c r="P118" s="16"/>
      <c r="Q118" s="16"/>
      <c r="R118" s="17"/>
      <c r="S118" s="17"/>
      <c r="T118" s="17"/>
      <c r="U118" s="17"/>
      <c r="V118" s="17"/>
      <c r="W118" s="17"/>
      <c r="X118" s="17">
        <f t="shared" si="1"/>
        <v>12</v>
      </c>
      <c r="Y118" s="18">
        <f t="shared" si="2"/>
        <v>1703784.5533254624</v>
      </c>
      <c r="Z118" s="24"/>
      <c r="AA118" s="20"/>
      <c r="AB118" s="21" t="b">
        <v>1</v>
      </c>
      <c r="AC118" s="22">
        <f t="shared" si="3"/>
        <v>0</v>
      </c>
      <c r="AD118" s="23"/>
      <c r="AE118" s="23"/>
    </row>
    <row r="119" spans="1:31" ht="15">
      <c r="A119" s="10">
        <f t="shared" si="0"/>
        <v>0</v>
      </c>
      <c r="B119" s="23"/>
      <c r="C119" s="23"/>
      <c r="D119" s="23"/>
      <c r="E119" s="23"/>
      <c r="F119" s="23"/>
      <c r="G119" s="23"/>
      <c r="H119" s="23"/>
      <c r="I119" s="23"/>
      <c r="J119" s="23"/>
      <c r="K119" s="23"/>
      <c r="L119" s="27"/>
      <c r="M119" s="16"/>
      <c r="N119" s="16" t="s">
        <v>485</v>
      </c>
      <c r="O119" s="16"/>
      <c r="P119" s="16"/>
      <c r="Q119" s="16"/>
      <c r="R119" s="17"/>
      <c r="S119" s="17"/>
      <c r="T119" s="17"/>
      <c r="U119" s="17"/>
      <c r="V119" s="17"/>
      <c r="W119" s="17"/>
      <c r="X119" s="17">
        <f t="shared" si="1"/>
        <v>12</v>
      </c>
      <c r="Y119" s="18">
        <f t="shared" si="2"/>
        <v>1703784.5533254624</v>
      </c>
      <c r="Z119" s="24"/>
      <c r="AA119" s="20"/>
      <c r="AB119" s="21" t="b">
        <v>1</v>
      </c>
      <c r="AC119" s="22">
        <f t="shared" si="3"/>
        <v>0</v>
      </c>
      <c r="AD119" s="23"/>
      <c r="AE119" s="23"/>
    </row>
    <row r="120" spans="1:31" ht="15">
      <c r="A120" s="10">
        <f t="shared" si="0"/>
        <v>0</v>
      </c>
      <c r="B120" s="23"/>
      <c r="C120" s="23"/>
      <c r="D120" s="23"/>
      <c r="E120" s="23"/>
      <c r="F120" s="23"/>
      <c r="G120" s="23"/>
      <c r="H120" s="23"/>
      <c r="I120" s="23"/>
      <c r="J120" s="23"/>
      <c r="K120" s="23"/>
      <c r="L120" s="27"/>
      <c r="M120" s="16"/>
      <c r="N120" s="16" t="s">
        <v>486</v>
      </c>
      <c r="O120" s="16"/>
      <c r="P120" s="16"/>
      <c r="Q120" s="16"/>
      <c r="R120" s="17"/>
      <c r="S120" s="17"/>
      <c r="T120" s="17"/>
      <c r="U120" s="17"/>
      <c r="V120" s="17"/>
      <c r="W120" s="17"/>
      <c r="X120" s="17">
        <f t="shared" si="1"/>
        <v>12</v>
      </c>
      <c r="Y120" s="18">
        <f t="shared" si="2"/>
        <v>1703784.5533254624</v>
      </c>
      <c r="Z120" s="24"/>
      <c r="AA120" s="20"/>
      <c r="AB120" s="21" t="b">
        <v>1</v>
      </c>
      <c r="AC120" s="22">
        <f t="shared" si="3"/>
        <v>0</v>
      </c>
      <c r="AD120" s="23"/>
      <c r="AE120" s="23"/>
    </row>
    <row r="121" spans="1:31" ht="15">
      <c r="A121" s="10">
        <f t="shared" si="0"/>
        <v>0</v>
      </c>
      <c r="B121" s="13"/>
      <c r="C121" s="13"/>
      <c r="D121" s="13"/>
      <c r="E121" s="13"/>
      <c r="F121" s="13"/>
      <c r="G121" s="13"/>
      <c r="H121" s="13"/>
      <c r="I121" s="13"/>
      <c r="J121" s="13"/>
      <c r="K121" s="13"/>
      <c r="L121" s="27"/>
      <c r="M121" s="16"/>
      <c r="N121" s="16" t="s">
        <v>487</v>
      </c>
      <c r="O121" s="16"/>
      <c r="P121" s="16"/>
      <c r="Q121" s="16"/>
      <c r="R121" s="17"/>
      <c r="S121" s="17"/>
      <c r="T121" s="17"/>
      <c r="U121" s="17"/>
      <c r="V121" s="17"/>
      <c r="W121" s="17"/>
      <c r="X121" s="17">
        <f t="shared" si="1"/>
        <v>12</v>
      </c>
      <c r="Y121" s="18">
        <f t="shared" si="2"/>
        <v>1703784.5533254624</v>
      </c>
      <c r="Z121" s="24"/>
      <c r="AA121" s="20"/>
      <c r="AB121" s="21" t="b">
        <v>1</v>
      </c>
      <c r="AC121" s="22">
        <f t="shared" si="3"/>
        <v>0</v>
      </c>
      <c r="AD121" s="23"/>
      <c r="AE121" s="23"/>
    </row>
    <row r="122" spans="1:31">
      <c r="A122" s="10">
        <f t="shared" si="0"/>
        <v>0</v>
      </c>
      <c r="B122" s="23"/>
      <c r="C122" s="23"/>
      <c r="D122" s="23"/>
      <c r="E122" s="23"/>
      <c r="F122" s="23"/>
      <c r="G122" s="23"/>
      <c r="H122" s="23"/>
      <c r="I122" s="23"/>
      <c r="J122" s="23"/>
      <c r="K122" s="23"/>
      <c r="L122" s="27"/>
      <c r="M122" s="16"/>
      <c r="N122" s="101" t="s">
        <v>488</v>
      </c>
      <c r="O122" s="16"/>
      <c r="P122" s="16"/>
      <c r="Q122" s="16"/>
      <c r="R122" s="17"/>
      <c r="S122" s="17"/>
      <c r="T122" s="17"/>
      <c r="U122" s="17"/>
      <c r="V122" s="17"/>
      <c r="W122" s="17"/>
      <c r="X122" s="17">
        <f t="shared" si="1"/>
        <v>12</v>
      </c>
      <c r="Y122" s="18">
        <f t="shared" si="2"/>
        <v>1703784.5533254624</v>
      </c>
      <c r="Z122" s="24"/>
      <c r="AA122" s="20"/>
      <c r="AB122" s="21" t="b">
        <v>1</v>
      </c>
      <c r="AC122" s="22">
        <f t="shared" si="3"/>
        <v>0</v>
      </c>
      <c r="AD122" s="23"/>
      <c r="AE122" s="23"/>
    </row>
    <row r="123" spans="1:31" ht="15">
      <c r="A123" s="10">
        <f t="shared" si="0"/>
        <v>0</v>
      </c>
      <c r="B123" s="23"/>
      <c r="C123" s="23"/>
      <c r="D123" s="23"/>
      <c r="E123" s="23"/>
      <c r="F123" s="23"/>
      <c r="G123" s="23"/>
      <c r="H123" s="23"/>
      <c r="I123" s="23"/>
      <c r="J123" s="23"/>
      <c r="K123" s="23"/>
      <c r="L123" s="27"/>
      <c r="M123" s="16"/>
      <c r="N123" s="16"/>
      <c r="O123" s="16" t="s">
        <v>489</v>
      </c>
      <c r="P123" s="16"/>
      <c r="Q123" s="16"/>
      <c r="R123" s="17"/>
      <c r="S123" s="17"/>
      <c r="T123" s="17"/>
      <c r="U123" s="17"/>
      <c r="V123" s="17"/>
      <c r="W123" s="17"/>
      <c r="X123" s="17">
        <f t="shared" si="1"/>
        <v>12</v>
      </c>
      <c r="Y123" s="18">
        <f t="shared" si="2"/>
        <v>1703784.5533254624</v>
      </c>
      <c r="Z123" s="24"/>
      <c r="AA123" s="20"/>
      <c r="AB123" s="21" t="b">
        <v>1</v>
      </c>
      <c r="AC123" s="22">
        <f t="shared" si="3"/>
        <v>0</v>
      </c>
      <c r="AD123" s="23"/>
      <c r="AE123" s="23"/>
    </row>
    <row r="124" spans="1:31" ht="15">
      <c r="A124" s="10">
        <f t="shared" si="0"/>
        <v>0</v>
      </c>
      <c r="B124" s="23"/>
      <c r="C124" s="23"/>
      <c r="D124" s="23"/>
      <c r="E124" s="23"/>
      <c r="F124" s="23"/>
      <c r="G124" s="23"/>
      <c r="H124" s="23"/>
      <c r="I124" s="23"/>
      <c r="J124" s="23"/>
      <c r="K124" s="23"/>
      <c r="L124" s="27"/>
      <c r="M124" s="16"/>
      <c r="N124" s="16"/>
      <c r="O124" s="16" t="s">
        <v>418</v>
      </c>
      <c r="P124" s="16"/>
      <c r="Q124" s="16"/>
      <c r="R124" s="17"/>
      <c r="S124" s="17"/>
      <c r="T124" s="17"/>
      <c r="U124" s="17"/>
      <c r="V124" s="17"/>
      <c r="W124" s="17"/>
      <c r="X124" s="17">
        <f t="shared" si="1"/>
        <v>12</v>
      </c>
      <c r="Y124" s="18">
        <f t="shared" si="2"/>
        <v>1703784.5533254624</v>
      </c>
      <c r="Z124" s="24"/>
      <c r="AA124" s="20"/>
      <c r="AB124" s="21" t="b">
        <v>1</v>
      </c>
      <c r="AC124" s="22">
        <f t="shared" si="3"/>
        <v>0</v>
      </c>
      <c r="AD124" s="23"/>
      <c r="AE124" s="23"/>
    </row>
    <row r="125" spans="1:31">
      <c r="A125" s="10">
        <f t="shared" si="0"/>
        <v>476653.62062180246</v>
      </c>
      <c r="B125" s="23"/>
      <c r="C125" s="13">
        <v>0.5</v>
      </c>
      <c r="D125" s="13">
        <v>0.5</v>
      </c>
      <c r="E125" s="23"/>
      <c r="F125" s="13">
        <v>0.5</v>
      </c>
      <c r="G125" s="23"/>
      <c r="H125" s="23"/>
      <c r="I125" s="23"/>
      <c r="J125" s="23"/>
      <c r="K125" s="23"/>
      <c r="L125" s="27"/>
      <c r="M125" s="101" t="s">
        <v>490</v>
      </c>
      <c r="N125" s="16"/>
      <c r="O125" s="16"/>
      <c r="P125" s="16"/>
      <c r="Q125" s="16"/>
      <c r="R125" s="17"/>
      <c r="S125" s="17"/>
      <c r="T125" s="17"/>
      <c r="U125" s="17"/>
      <c r="V125" s="17"/>
      <c r="W125" s="17"/>
      <c r="X125" s="17">
        <f t="shared" si="1"/>
        <v>12</v>
      </c>
      <c r="Y125" s="18">
        <f t="shared" si="2"/>
        <v>1703784.5533254624</v>
      </c>
      <c r="Z125" s="24"/>
      <c r="AA125" s="20"/>
      <c r="AB125" s="21" t="b">
        <v>1</v>
      </c>
      <c r="AC125" s="22">
        <f t="shared" si="3"/>
        <v>0</v>
      </c>
      <c r="AD125" s="23"/>
      <c r="AE125" s="23"/>
    </row>
    <row r="126" spans="1:31" ht="15">
      <c r="A126" s="10">
        <f t="shared" si="0"/>
        <v>0</v>
      </c>
      <c r="B126" s="23"/>
      <c r="C126" s="23"/>
      <c r="D126" s="23"/>
      <c r="E126" s="23"/>
      <c r="F126" s="23"/>
      <c r="G126" s="23"/>
      <c r="H126" s="23"/>
      <c r="I126" s="23"/>
      <c r="J126" s="23"/>
      <c r="K126" s="23"/>
      <c r="L126" s="27"/>
      <c r="M126" s="16"/>
      <c r="N126" s="16" t="s">
        <v>491</v>
      </c>
      <c r="O126" s="16"/>
      <c r="P126" s="16"/>
      <c r="Q126" s="16"/>
      <c r="R126" s="17"/>
      <c r="S126" s="17"/>
      <c r="T126" s="17"/>
      <c r="U126" s="17"/>
      <c r="V126" s="17"/>
      <c r="W126" s="17"/>
      <c r="X126" s="17">
        <f t="shared" si="1"/>
        <v>12</v>
      </c>
      <c r="Y126" s="18">
        <f t="shared" si="2"/>
        <v>1703784.5533254624</v>
      </c>
      <c r="Z126" s="24"/>
      <c r="AA126" s="20"/>
      <c r="AB126" s="21" t="b">
        <v>1</v>
      </c>
      <c r="AC126" s="22">
        <f t="shared" si="3"/>
        <v>0</v>
      </c>
      <c r="AD126" s="23"/>
      <c r="AE126" s="23"/>
    </row>
    <row r="127" spans="1:31" ht="15">
      <c r="A127" s="10">
        <f t="shared" si="0"/>
        <v>0</v>
      </c>
      <c r="B127" s="23"/>
      <c r="C127" s="23"/>
      <c r="D127" s="23"/>
      <c r="E127" s="23"/>
      <c r="F127" s="23"/>
      <c r="G127" s="23"/>
      <c r="H127" s="23"/>
      <c r="I127" s="23"/>
      <c r="J127" s="23"/>
      <c r="K127" s="23"/>
      <c r="L127" s="27"/>
      <c r="M127" s="16"/>
      <c r="N127" s="16" t="s">
        <v>492</v>
      </c>
      <c r="O127" s="16"/>
      <c r="P127" s="16"/>
      <c r="Q127" s="16"/>
      <c r="R127" s="17"/>
      <c r="S127" s="17"/>
      <c r="T127" s="17"/>
      <c r="U127" s="17"/>
      <c r="V127" s="17"/>
      <c r="W127" s="17"/>
      <c r="X127" s="17">
        <f t="shared" si="1"/>
        <v>12</v>
      </c>
      <c r="Y127" s="18">
        <f t="shared" si="2"/>
        <v>1703784.5533254624</v>
      </c>
      <c r="Z127" s="24"/>
      <c r="AA127" s="20"/>
      <c r="AB127" s="21" t="b">
        <v>1</v>
      </c>
      <c r="AC127" s="22">
        <f t="shared" si="3"/>
        <v>0</v>
      </c>
      <c r="AD127" s="23"/>
      <c r="AE127" s="23"/>
    </row>
    <row r="128" spans="1:31" ht="15">
      <c r="A128" s="10">
        <f t="shared" si="0"/>
        <v>0</v>
      </c>
      <c r="B128" s="23"/>
      <c r="C128" s="23"/>
      <c r="D128" s="23"/>
      <c r="E128" s="23"/>
      <c r="F128" s="23"/>
      <c r="G128" s="23"/>
      <c r="H128" s="23"/>
      <c r="I128" s="23"/>
      <c r="J128" s="23"/>
      <c r="K128" s="23"/>
      <c r="L128" s="27"/>
      <c r="M128" s="16"/>
      <c r="N128" s="16" t="s">
        <v>493</v>
      </c>
      <c r="O128" s="16"/>
      <c r="P128" s="16"/>
      <c r="Q128" s="16"/>
      <c r="R128" s="17"/>
      <c r="S128" s="17"/>
      <c r="T128" s="17"/>
      <c r="U128" s="17"/>
      <c r="V128" s="17"/>
      <c r="W128" s="17"/>
      <c r="X128" s="17">
        <f t="shared" si="1"/>
        <v>12</v>
      </c>
      <c r="Y128" s="18">
        <f t="shared" si="2"/>
        <v>1703784.5533254624</v>
      </c>
      <c r="Z128" s="24"/>
      <c r="AA128" s="20"/>
      <c r="AB128" s="21" t="b">
        <v>1</v>
      </c>
      <c r="AC128" s="22">
        <f t="shared" si="3"/>
        <v>0</v>
      </c>
      <c r="AD128" s="23"/>
      <c r="AE128" s="23"/>
    </row>
    <row r="129" spans="1:31" ht="15">
      <c r="A129" s="10">
        <f t="shared" si="0"/>
        <v>0</v>
      </c>
      <c r="B129" s="23"/>
      <c r="C129" s="23"/>
      <c r="D129" s="23"/>
      <c r="E129" s="23"/>
      <c r="F129" s="23"/>
      <c r="G129" s="23"/>
      <c r="H129" s="23"/>
      <c r="I129" s="23"/>
      <c r="J129" s="23"/>
      <c r="K129" s="23"/>
      <c r="L129" s="27"/>
      <c r="M129" s="16"/>
      <c r="N129" s="16" t="s">
        <v>494</v>
      </c>
      <c r="O129" s="16"/>
      <c r="P129" s="16"/>
      <c r="Q129" s="16"/>
      <c r="R129" s="17"/>
      <c r="S129" s="17"/>
      <c r="T129" s="17"/>
      <c r="U129" s="17"/>
      <c r="V129" s="17"/>
      <c r="W129" s="17"/>
      <c r="X129" s="17">
        <f t="shared" si="1"/>
        <v>12</v>
      </c>
      <c r="Y129" s="18">
        <f t="shared" si="2"/>
        <v>1703784.5533254624</v>
      </c>
      <c r="Z129" s="24"/>
      <c r="AA129" s="20"/>
      <c r="AB129" s="21" t="b">
        <v>1</v>
      </c>
      <c r="AC129" s="22">
        <f t="shared" si="3"/>
        <v>0</v>
      </c>
      <c r="AD129" s="23"/>
      <c r="AE129" s="23"/>
    </row>
    <row r="130" spans="1:31" ht="15">
      <c r="A130" s="10">
        <f t="shared" si="0"/>
        <v>0</v>
      </c>
      <c r="B130" s="23"/>
      <c r="C130" s="23"/>
      <c r="D130" s="23"/>
      <c r="E130" s="23"/>
      <c r="F130" s="23"/>
      <c r="G130" s="23"/>
      <c r="H130" s="23"/>
      <c r="I130" s="23"/>
      <c r="J130" s="23"/>
      <c r="K130" s="23"/>
      <c r="L130" s="27"/>
      <c r="M130" s="16"/>
      <c r="N130" s="16" t="s">
        <v>495</v>
      </c>
      <c r="O130" s="16"/>
      <c r="P130" s="16"/>
      <c r="Q130" s="16"/>
      <c r="R130" s="17"/>
      <c r="S130" s="17"/>
      <c r="T130" s="17"/>
      <c r="U130" s="17"/>
      <c r="V130" s="17"/>
      <c r="W130" s="17"/>
      <c r="X130" s="17">
        <f t="shared" si="1"/>
        <v>12</v>
      </c>
      <c r="Y130" s="18">
        <f t="shared" si="2"/>
        <v>1703784.5533254624</v>
      </c>
      <c r="Z130" s="24"/>
      <c r="AA130" s="20"/>
      <c r="AB130" s="21" t="b">
        <v>1</v>
      </c>
      <c r="AC130" s="22">
        <f t="shared" si="3"/>
        <v>0</v>
      </c>
      <c r="AD130" s="23"/>
      <c r="AE130" s="23"/>
    </row>
    <row r="131" spans="1:31" ht="15">
      <c r="A131" s="10">
        <f t="shared" si="0"/>
        <v>0</v>
      </c>
      <c r="B131" s="23"/>
      <c r="C131" s="23"/>
      <c r="D131" s="23"/>
      <c r="E131" s="23"/>
      <c r="F131" s="23"/>
      <c r="G131" s="23"/>
      <c r="H131" s="23"/>
      <c r="I131" s="23"/>
      <c r="J131" s="23"/>
      <c r="K131" s="23"/>
      <c r="L131" s="27"/>
      <c r="M131" s="16"/>
      <c r="N131" s="16" t="s">
        <v>496</v>
      </c>
      <c r="O131" s="16"/>
      <c r="P131" s="16"/>
      <c r="Q131" s="16"/>
      <c r="R131" s="17"/>
      <c r="S131" s="17"/>
      <c r="T131" s="17"/>
      <c r="U131" s="17"/>
      <c r="V131" s="17"/>
      <c r="W131" s="17"/>
      <c r="X131" s="17">
        <f t="shared" si="1"/>
        <v>12</v>
      </c>
      <c r="Y131" s="18">
        <f t="shared" si="2"/>
        <v>1703784.5533254624</v>
      </c>
      <c r="Z131" s="24"/>
      <c r="AA131" s="20"/>
      <c r="AB131" s="21" t="b">
        <v>1</v>
      </c>
      <c r="AC131" s="22">
        <f t="shared" si="3"/>
        <v>0</v>
      </c>
      <c r="AD131" s="23"/>
      <c r="AE131" s="23"/>
    </row>
    <row r="132" spans="1:31" ht="15">
      <c r="A132" s="10">
        <f t="shared" si="0"/>
        <v>0</v>
      </c>
      <c r="B132" s="23"/>
      <c r="C132" s="23"/>
      <c r="D132" s="23"/>
      <c r="E132" s="23"/>
      <c r="F132" s="23"/>
      <c r="G132" s="23"/>
      <c r="H132" s="23"/>
      <c r="I132" s="23"/>
      <c r="J132" s="23"/>
      <c r="K132" s="23"/>
      <c r="L132" s="27"/>
      <c r="M132" s="16"/>
      <c r="N132" s="16"/>
      <c r="O132" s="17"/>
      <c r="P132" s="17"/>
      <c r="Q132" s="17"/>
      <c r="R132" s="17"/>
      <c r="S132" s="17"/>
      <c r="T132" s="17"/>
      <c r="U132" s="17"/>
      <c r="V132" s="17"/>
      <c r="W132" s="17"/>
      <c r="X132" s="17">
        <f t="shared" si="1"/>
        <v>12</v>
      </c>
      <c r="Y132" s="18">
        <f t="shared" si="2"/>
        <v>1703784.5533254624</v>
      </c>
      <c r="Z132" s="24"/>
      <c r="AA132" s="20"/>
      <c r="AB132" s="21" t="b">
        <v>1</v>
      </c>
      <c r="AC132" s="22">
        <f t="shared" si="3"/>
        <v>0</v>
      </c>
      <c r="AD132" s="23"/>
      <c r="AE132" s="23"/>
    </row>
    <row r="133" spans="1:31" ht="12.75">
      <c r="A133" s="33"/>
      <c r="B133" s="33"/>
      <c r="C133" s="33"/>
      <c r="D133" s="33"/>
      <c r="E133" s="33"/>
      <c r="F133" s="33"/>
      <c r="G133" s="33"/>
      <c r="H133" s="33"/>
      <c r="I133" s="33"/>
      <c r="J133" s="33"/>
      <c r="K133" s="33"/>
      <c r="L133" s="34"/>
      <c r="M133" s="34"/>
      <c r="N133" s="35"/>
      <c r="O133" s="35" t="s">
        <v>20</v>
      </c>
      <c r="P133" s="34"/>
      <c r="Q133" s="34"/>
      <c r="R133" s="34"/>
      <c r="S133" s="34"/>
      <c r="T133" s="34"/>
      <c r="U133" s="34"/>
      <c r="V133" s="34"/>
      <c r="W133" s="34"/>
      <c r="X133" s="34"/>
      <c r="Y133" s="34"/>
      <c r="Z133" s="34"/>
      <c r="AA133" s="34"/>
      <c r="AB133" s="34"/>
      <c r="AC133" s="34"/>
      <c r="AD133" s="23"/>
      <c r="AE133" s="23"/>
    </row>
    <row r="134" spans="1:31" ht="15">
      <c r="A134" s="36">
        <f>ROW()</f>
        <v>134</v>
      </c>
      <c r="B134" s="23">
        <f t="shared" ref="B134:K134" si="4">SUM(B2:B133)</f>
        <v>20.5</v>
      </c>
      <c r="C134" s="23">
        <f t="shared" si="4"/>
        <v>17.5</v>
      </c>
      <c r="D134" s="23">
        <f t="shared" si="4"/>
        <v>17.5</v>
      </c>
      <c r="E134" s="23">
        <f t="shared" si="4"/>
        <v>7.5</v>
      </c>
      <c r="F134" s="23">
        <f t="shared" si="4"/>
        <v>13</v>
      </c>
      <c r="G134" s="23">
        <f t="shared" si="4"/>
        <v>13</v>
      </c>
      <c r="H134" s="23">
        <f t="shared" si="4"/>
        <v>3</v>
      </c>
      <c r="I134" s="23">
        <f t="shared" si="4"/>
        <v>0</v>
      </c>
      <c r="J134" s="23">
        <f t="shared" si="4"/>
        <v>0</v>
      </c>
      <c r="K134" s="23">
        <f t="shared" si="4"/>
        <v>17</v>
      </c>
      <c r="L134" s="27"/>
      <c r="M134" s="16"/>
      <c r="N134" s="16"/>
      <c r="O134" s="17"/>
      <c r="P134" s="23"/>
      <c r="Q134" s="23"/>
      <c r="R134" s="23"/>
      <c r="S134" s="23"/>
      <c r="T134" s="23"/>
      <c r="U134" s="23"/>
      <c r="V134" s="23"/>
      <c r="W134" s="13"/>
      <c r="X134" s="23"/>
      <c r="Y134" s="23"/>
      <c r="Z134" s="23"/>
      <c r="AA134" s="23"/>
      <c r="AB134" s="23"/>
      <c r="AC134" s="37"/>
      <c r="AD134" s="23"/>
      <c r="AE134" s="23"/>
    </row>
    <row r="135" spans="1:31" ht="12.75">
      <c r="A135" s="23"/>
      <c r="B135" s="23"/>
      <c r="C135" s="38"/>
      <c r="D135" s="38"/>
      <c r="E135" s="38"/>
      <c r="F135" s="38"/>
      <c r="G135" s="38"/>
      <c r="H135" s="38"/>
      <c r="I135" s="130" t="s">
        <v>21</v>
      </c>
      <c r="J135" s="117"/>
      <c r="K135" s="117"/>
      <c r="L135" s="117"/>
      <c r="M135" s="131">
        <f>400000+120000</f>
        <v>520000</v>
      </c>
      <c r="N135" s="117"/>
      <c r="O135" s="117"/>
      <c r="P135" s="23"/>
      <c r="Q135" s="23"/>
      <c r="R135" s="23"/>
      <c r="S135" s="38"/>
      <c r="T135" s="38"/>
      <c r="U135" s="38"/>
      <c r="V135" s="23"/>
      <c r="W135" s="23"/>
      <c r="X135" s="23"/>
      <c r="Y135" s="23"/>
      <c r="Z135" s="23"/>
      <c r="AA135" s="23"/>
      <c r="AB135" s="23"/>
      <c r="AC135" s="37"/>
      <c r="AD135" s="23"/>
      <c r="AE135" s="23"/>
    </row>
    <row r="136" spans="1:31" ht="15">
      <c r="A136" s="23"/>
      <c r="B136" s="23"/>
      <c r="C136" s="38"/>
      <c r="D136" s="39" t="s">
        <v>22</v>
      </c>
      <c r="E136" s="40">
        <v>1750905</v>
      </c>
      <c r="F136" s="41" t="s">
        <v>23</v>
      </c>
      <c r="G136" s="42">
        <v>249095</v>
      </c>
      <c r="H136" s="38"/>
      <c r="I136" s="43" t="s">
        <v>24</v>
      </c>
      <c r="J136" s="44">
        <v>0.18</v>
      </c>
      <c r="K136" s="44"/>
      <c r="L136" s="45" t="s">
        <v>25</v>
      </c>
      <c r="M136" s="46">
        <f>2.7/12</f>
        <v>0.22500000000000001</v>
      </c>
      <c r="N136" s="47" t="s">
        <v>26</v>
      </c>
      <c r="O136" s="48">
        <f>40*4.2*((244-2)/260)</f>
        <v>156.36923076923077</v>
      </c>
      <c r="P136" s="38"/>
      <c r="Q136" s="43" t="s">
        <v>27</v>
      </c>
      <c r="R136" s="49"/>
      <c r="S136" s="38"/>
      <c r="T136" s="50">
        <v>8</v>
      </c>
      <c r="U136" s="51" t="s">
        <v>28</v>
      </c>
      <c r="V136" s="52"/>
      <c r="W136" s="23"/>
      <c r="X136" s="23"/>
      <c r="Y136" s="23"/>
      <c r="Z136" s="23"/>
      <c r="AA136" s="23"/>
      <c r="AB136" s="23"/>
      <c r="AC136" s="37">
        <f>AC1/0.6</f>
        <v>66151527.482618392</v>
      </c>
      <c r="AD136" s="23"/>
      <c r="AE136" s="23"/>
    </row>
    <row r="137" spans="1:31" ht="12.75">
      <c r="A137" s="23"/>
      <c r="B137" s="23"/>
      <c r="C137" s="127" t="s">
        <v>29</v>
      </c>
      <c r="D137" s="117"/>
      <c r="E137" s="117"/>
      <c r="F137" s="127" t="s">
        <v>30</v>
      </c>
      <c r="G137" s="117"/>
      <c r="H137" s="117"/>
      <c r="I137" s="127" t="s">
        <v>31</v>
      </c>
      <c r="J137" s="117"/>
      <c r="K137" s="117"/>
      <c r="L137" s="117"/>
      <c r="M137" s="127" t="s">
        <v>32</v>
      </c>
      <c r="N137" s="117"/>
      <c r="O137" s="117"/>
      <c r="P137" s="127" t="s">
        <v>33</v>
      </c>
      <c r="Q137" s="117"/>
      <c r="R137" s="117"/>
      <c r="S137" s="38"/>
      <c r="T137" s="38"/>
      <c r="U137" s="53" t="s">
        <v>26</v>
      </c>
      <c r="V137" s="127" t="s">
        <v>34</v>
      </c>
      <c r="W137" s="117"/>
      <c r="X137" s="117"/>
      <c r="Y137" s="23"/>
      <c r="Z137" s="23"/>
      <c r="AA137" s="23"/>
      <c r="AB137" s="23"/>
      <c r="AC137" s="37"/>
      <c r="AD137" s="23"/>
      <c r="AE137" s="23"/>
    </row>
    <row r="138" spans="1:31" ht="12.75">
      <c r="A138" s="54" t="s">
        <v>35</v>
      </c>
      <c r="B138" s="53" t="str">
        <f>B1</f>
        <v>DB</v>
      </c>
      <c r="C138" s="116">
        <v>6480000</v>
      </c>
      <c r="D138" s="117"/>
      <c r="E138" s="117"/>
      <c r="F138" s="116">
        <v>1080000</v>
      </c>
      <c r="G138" s="117"/>
      <c r="H138" s="117"/>
      <c r="I138" s="116">
        <v>0</v>
      </c>
      <c r="J138" s="117"/>
      <c r="K138" s="117"/>
      <c r="L138" s="117"/>
      <c r="M138" s="116">
        <f t="shared" ref="M138:M147" si="5">C138*(1+$J$136+$M$136)+F138+I138+$M$135+IF(($E$136*2)&gt;=C138,$G$136,0)</f>
        <v>10704400</v>
      </c>
      <c r="N138" s="117"/>
      <c r="O138" s="117"/>
      <c r="P138" s="124">
        <f t="shared" ref="P138:P147" si="6">M138/$O$136*(1+$R$136)</f>
        <v>68455.922865013781</v>
      </c>
      <c r="Q138" s="117"/>
      <c r="R138" s="117"/>
      <c r="S138" s="38"/>
      <c r="T138" s="38"/>
      <c r="U138" s="23">
        <f t="shared" ref="U138:U147" si="7">HLOOKUP(B138,$B$1:$K$134,$A$134,0)*$T$136</f>
        <v>164</v>
      </c>
      <c r="W138" s="55">
        <f t="shared" ref="W138:W147" si="8">P138*U138</f>
        <v>11226771.349862261</v>
      </c>
      <c r="Y138" s="23"/>
      <c r="Z138" s="23"/>
      <c r="AA138" s="23"/>
      <c r="AB138" s="23"/>
      <c r="AC138" s="37"/>
      <c r="AD138" s="23"/>
      <c r="AE138" s="23"/>
    </row>
    <row r="139" spans="1:31" ht="12.75">
      <c r="A139" s="54" t="s">
        <v>36</v>
      </c>
      <c r="B139" s="53" t="str">
        <f>C1</f>
        <v>UX</v>
      </c>
      <c r="C139" s="116">
        <v>3240000</v>
      </c>
      <c r="D139" s="117"/>
      <c r="E139" s="117"/>
      <c r="F139" s="116">
        <v>540000</v>
      </c>
      <c r="G139" s="117"/>
      <c r="H139" s="117"/>
      <c r="I139" s="116">
        <v>0</v>
      </c>
      <c r="J139" s="117"/>
      <c r="K139" s="117"/>
      <c r="L139" s="117"/>
      <c r="M139" s="116">
        <f t="shared" si="5"/>
        <v>5861295</v>
      </c>
      <c r="N139" s="117"/>
      <c r="O139" s="117"/>
      <c r="P139" s="124">
        <f t="shared" si="6"/>
        <v>37483.685064935067</v>
      </c>
      <c r="Q139" s="117"/>
      <c r="R139" s="117"/>
      <c r="S139" s="38"/>
      <c r="T139" s="38"/>
      <c r="U139" s="23">
        <f t="shared" si="7"/>
        <v>140</v>
      </c>
      <c r="W139" s="55">
        <f t="shared" si="8"/>
        <v>5247715.9090909092</v>
      </c>
      <c r="Y139" s="23"/>
      <c r="Z139" s="23"/>
      <c r="AA139" s="23"/>
      <c r="AB139" s="23"/>
      <c r="AC139" s="37"/>
      <c r="AD139" s="23"/>
      <c r="AE139" s="23"/>
    </row>
    <row r="140" spans="1:31" ht="12.75">
      <c r="A140" s="54" t="s">
        <v>37</v>
      </c>
      <c r="B140" s="53" t="str">
        <f>D1</f>
        <v>FM</v>
      </c>
      <c r="C140" s="116">
        <v>3240000</v>
      </c>
      <c r="D140" s="117"/>
      <c r="E140" s="117"/>
      <c r="F140" s="116">
        <v>540000</v>
      </c>
      <c r="G140" s="117"/>
      <c r="H140" s="117"/>
      <c r="I140" s="116">
        <v>0</v>
      </c>
      <c r="J140" s="117"/>
      <c r="K140" s="117"/>
      <c r="L140" s="117"/>
      <c r="M140" s="116">
        <f t="shared" si="5"/>
        <v>5861295</v>
      </c>
      <c r="N140" s="117"/>
      <c r="O140" s="117"/>
      <c r="P140" s="124">
        <f t="shared" si="6"/>
        <v>37483.685064935067</v>
      </c>
      <c r="Q140" s="117"/>
      <c r="R140" s="117"/>
      <c r="S140" s="38"/>
      <c r="T140" s="38"/>
      <c r="U140" s="23">
        <f t="shared" si="7"/>
        <v>140</v>
      </c>
      <c r="W140" s="55">
        <f t="shared" si="8"/>
        <v>5247715.9090909092</v>
      </c>
      <c r="Y140" s="23"/>
      <c r="Z140" s="23"/>
      <c r="AA140" s="23"/>
      <c r="AB140" s="23"/>
      <c r="AC140" s="37"/>
      <c r="AD140" s="23"/>
      <c r="AE140" s="23"/>
    </row>
    <row r="141" spans="1:31" ht="12.75">
      <c r="A141" s="54" t="s">
        <v>38</v>
      </c>
      <c r="B141" s="53" t="str">
        <f>E1</f>
        <v>BS</v>
      </c>
      <c r="C141" s="116">
        <v>4320000</v>
      </c>
      <c r="D141" s="117"/>
      <c r="E141" s="117"/>
      <c r="F141" s="116">
        <v>1620000</v>
      </c>
      <c r="G141" s="117"/>
      <c r="H141" s="117"/>
      <c r="I141" s="116">
        <v>0</v>
      </c>
      <c r="J141" s="117"/>
      <c r="K141" s="117"/>
      <c r="L141" s="117"/>
      <c r="M141" s="116">
        <f t="shared" si="5"/>
        <v>8209600</v>
      </c>
      <c r="N141" s="117"/>
      <c r="O141" s="117"/>
      <c r="P141" s="124">
        <f t="shared" si="6"/>
        <v>52501.377410468318</v>
      </c>
      <c r="Q141" s="117"/>
      <c r="R141" s="117"/>
      <c r="S141" s="38"/>
      <c r="T141" s="38"/>
      <c r="U141" s="23">
        <f t="shared" si="7"/>
        <v>60</v>
      </c>
      <c r="W141" s="55">
        <f t="shared" si="8"/>
        <v>3150082.6446280992</v>
      </c>
      <c r="Y141" s="23"/>
      <c r="Z141" s="23"/>
      <c r="AA141" s="23"/>
      <c r="AB141" s="23"/>
      <c r="AC141" s="37"/>
      <c r="AD141" s="23"/>
      <c r="AE141" s="23"/>
    </row>
    <row r="142" spans="1:31" ht="12.75">
      <c r="A142" s="54" t="s">
        <v>39</v>
      </c>
      <c r="B142" s="53" t="str">
        <f>F1</f>
        <v>BM</v>
      </c>
      <c r="C142" s="116">
        <v>3780000</v>
      </c>
      <c r="D142" s="117"/>
      <c r="E142" s="117"/>
      <c r="F142" s="116">
        <v>1080000</v>
      </c>
      <c r="G142" s="117"/>
      <c r="H142" s="117"/>
      <c r="I142" s="116">
        <v>0</v>
      </c>
      <c r="J142" s="117"/>
      <c r="K142" s="117"/>
      <c r="L142" s="117"/>
      <c r="M142" s="116">
        <f t="shared" si="5"/>
        <v>6910900</v>
      </c>
      <c r="N142" s="117"/>
      <c r="O142" s="117"/>
      <c r="P142" s="124">
        <f t="shared" si="6"/>
        <v>44196.035025580481</v>
      </c>
      <c r="Q142" s="117"/>
      <c r="R142" s="117"/>
      <c r="S142" s="38"/>
      <c r="T142" s="38"/>
      <c r="U142" s="23">
        <f t="shared" si="7"/>
        <v>104</v>
      </c>
      <c r="W142" s="55">
        <f t="shared" si="8"/>
        <v>4596387.6426603701</v>
      </c>
      <c r="Y142" s="23"/>
      <c r="Z142" s="23"/>
      <c r="AA142" s="23"/>
      <c r="AB142" s="23"/>
      <c r="AC142" s="37"/>
      <c r="AD142" s="23"/>
      <c r="AE142" s="23"/>
    </row>
    <row r="143" spans="1:31" ht="12.75">
      <c r="A143" s="54" t="s">
        <v>40</v>
      </c>
      <c r="B143" s="53" t="str">
        <f>G1</f>
        <v>QA</v>
      </c>
      <c r="C143" s="116">
        <v>2700000</v>
      </c>
      <c r="D143" s="117"/>
      <c r="E143" s="117"/>
      <c r="F143" s="116">
        <v>1080000</v>
      </c>
      <c r="G143" s="117"/>
      <c r="H143" s="117"/>
      <c r="I143" s="116">
        <v>54000</v>
      </c>
      <c r="J143" s="117"/>
      <c r="K143" s="117"/>
      <c r="L143" s="117"/>
      <c r="M143" s="116">
        <f t="shared" si="5"/>
        <v>5696595</v>
      </c>
      <c r="N143" s="117"/>
      <c r="O143" s="117"/>
      <c r="P143" s="124">
        <f t="shared" si="6"/>
        <v>36430.408795749703</v>
      </c>
      <c r="Q143" s="117"/>
      <c r="R143" s="117"/>
      <c r="S143" s="38"/>
      <c r="T143" s="38"/>
      <c r="U143" s="23">
        <f t="shared" si="7"/>
        <v>104</v>
      </c>
      <c r="W143" s="55">
        <f t="shared" si="8"/>
        <v>3788762.514757969</v>
      </c>
      <c r="Y143" s="23"/>
      <c r="Z143" s="23"/>
      <c r="AA143" s="23"/>
      <c r="AB143" s="23"/>
      <c r="AC143" s="37"/>
      <c r="AD143" s="23"/>
      <c r="AE143" s="23"/>
    </row>
    <row r="144" spans="1:31" ht="12.75">
      <c r="A144" s="54" t="s">
        <v>41</v>
      </c>
      <c r="B144" s="53" t="str">
        <f>H1</f>
        <v>IM</v>
      </c>
      <c r="C144" s="116">
        <v>2700000</v>
      </c>
      <c r="D144" s="117"/>
      <c r="E144" s="117"/>
      <c r="F144" s="116">
        <v>1080000</v>
      </c>
      <c r="G144" s="117"/>
      <c r="H144" s="117"/>
      <c r="I144" s="116">
        <v>0</v>
      </c>
      <c r="J144" s="117"/>
      <c r="K144" s="117"/>
      <c r="L144" s="117"/>
      <c r="M144" s="116">
        <f t="shared" si="5"/>
        <v>5642595</v>
      </c>
      <c r="N144" s="117"/>
      <c r="O144" s="117"/>
      <c r="P144" s="124">
        <f t="shared" si="6"/>
        <v>36085.07231404959</v>
      </c>
      <c r="Q144" s="117"/>
      <c r="R144" s="117"/>
      <c r="S144" s="38"/>
      <c r="T144" s="38"/>
      <c r="U144" s="23">
        <f t="shared" si="7"/>
        <v>24</v>
      </c>
      <c r="W144" s="55">
        <f t="shared" si="8"/>
        <v>866041.73553719022</v>
      </c>
      <c r="Y144" s="23"/>
      <c r="Z144" s="23"/>
      <c r="AA144" s="23"/>
      <c r="AB144" s="23"/>
      <c r="AC144" s="37"/>
      <c r="AD144" s="23"/>
      <c r="AE144" s="23"/>
    </row>
    <row r="145" spans="1:31" ht="12.75">
      <c r="A145" s="54" t="s">
        <v>42</v>
      </c>
      <c r="B145" s="53" t="str">
        <f>I1</f>
        <v>MS</v>
      </c>
      <c r="C145" s="116">
        <v>8100000</v>
      </c>
      <c r="D145" s="117"/>
      <c r="E145" s="117"/>
      <c r="F145" s="116">
        <v>2160000</v>
      </c>
      <c r="G145" s="117"/>
      <c r="H145" s="117"/>
      <c r="I145" s="116">
        <v>132000</v>
      </c>
      <c r="J145" s="117"/>
      <c r="K145" s="117"/>
      <c r="L145" s="117"/>
      <c r="M145" s="116">
        <f t="shared" si="5"/>
        <v>14192500</v>
      </c>
      <c r="N145" s="117"/>
      <c r="O145" s="117"/>
      <c r="P145" s="124">
        <f t="shared" si="6"/>
        <v>90762.741046831958</v>
      </c>
      <c r="Q145" s="117"/>
      <c r="R145" s="117"/>
      <c r="S145" s="38"/>
      <c r="T145" s="38"/>
      <c r="U145" s="23">
        <f t="shared" si="7"/>
        <v>0</v>
      </c>
      <c r="W145" s="55">
        <f t="shared" si="8"/>
        <v>0</v>
      </c>
      <c r="Y145" s="23"/>
      <c r="Z145" s="23"/>
      <c r="AA145" s="23"/>
      <c r="AB145" s="23"/>
      <c r="AC145" s="37"/>
      <c r="AD145" s="23"/>
      <c r="AE145" s="23"/>
    </row>
    <row r="146" spans="1:31" ht="12.75">
      <c r="A146" s="54" t="s">
        <v>43</v>
      </c>
      <c r="B146" s="53" t="str">
        <f>J1</f>
        <v>MM</v>
      </c>
      <c r="C146" s="116">
        <v>3240000</v>
      </c>
      <c r="D146" s="117"/>
      <c r="E146" s="117"/>
      <c r="F146" s="116">
        <v>1080000</v>
      </c>
      <c r="G146" s="117"/>
      <c r="H146" s="117"/>
      <c r="I146" s="116">
        <v>132000</v>
      </c>
      <c r="J146" s="117"/>
      <c r="K146" s="117"/>
      <c r="L146" s="117"/>
      <c r="M146" s="116">
        <f t="shared" si="5"/>
        <v>6533295</v>
      </c>
      <c r="N146" s="117"/>
      <c r="O146" s="117"/>
      <c r="P146" s="124">
        <f t="shared" si="6"/>
        <v>41781.205726092092</v>
      </c>
      <c r="Q146" s="117"/>
      <c r="R146" s="117"/>
      <c r="S146" s="38"/>
      <c r="T146" s="38"/>
      <c r="U146" s="23">
        <f t="shared" si="7"/>
        <v>0</v>
      </c>
      <c r="W146" s="55">
        <f t="shared" si="8"/>
        <v>0</v>
      </c>
      <c r="Y146" s="23"/>
      <c r="Z146" s="23"/>
      <c r="AA146" s="23"/>
      <c r="AB146" s="23"/>
      <c r="AC146" s="37"/>
      <c r="AD146" s="23"/>
      <c r="AE146" s="23"/>
    </row>
    <row r="147" spans="1:31" ht="12.75">
      <c r="A147" s="54" t="s">
        <v>44</v>
      </c>
      <c r="B147" s="53" t="s">
        <v>10</v>
      </c>
      <c r="C147" s="116">
        <v>3240000</v>
      </c>
      <c r="D147" s="117"/>
      <c r="E147" s="117"/>
      <c r="F147" s="116">
        <v>1080000</v>
      </c>
      <c r="G147" s="117"/>
      <c r="H147" s="117"/>
      <c r="I147" s="116"/>
      <c r="J147" s="117"/>
      <c r="K147" s="117"/>
      <c r="L147" s="117"/>
      <c r="M147" s="116">
        <f t="shared" si="5"/>
        <v>6401295</v>
      </c>
      <c r="N147" s="117"/>
      <c r="O147" s="117"/>
      <c r="P147" s="124">
        <f t="shared" si="6"/>
        <v>40937.049881936247</v>
      </c>
      <c r="Q147" s="117"/>
      <c r="R147" s="117"/>
      <c r="S147" s="38"/>
      <c r="T147" s="38"/>
      <c r="U147" s="23">
        <f t="shared" si="7"/>
        <v>136</v>
      </c>
      <c r="W147" s="55">
        <f t="shared" si="8"/>
        <v>5567438.7839433299</v>
      </c>
      <c r="Y147" s="23"/>
      <c r="Z147" s="23"/>
      <c r="AA147" s="23"/>
      <c r="AB147" s="23"/>
      <c r="AC147" s="37"/>
      <c r="AD147" s="23"/>
      <c r="AE147" s="23"/>
    </row>
    <row r="148" spans="1:31" ht="12.75">
      <c r="A148" s="54"/>
      <c r="B148" s="53"/>
      <c r="C148" s="38"/>
      <c r="D148" s="38"/>
      <c r="E148" s="38"/>
      <c r="F148" s="38"/>
      <c r="G148" s="38"/>
      <c r="H148" s="38"/>
      <c r="I148" s="23"/>
      <c r="J148" s="23"/>
      <c r="K148" s="23"/>
      <c r="L148" s="23"/>
      <c r="M148" s="23"/>
      <c r="N148" s="23"/>
      <c r="O148" s="23"/>
      <c r="P148" s="125">
        <f>SUM(P138:P147)</f>
        <v>486117.18319559225</v>
      </c>
      <c r="Q148" s="117"/>
      <c r="R148" s="117"/>
      <c r="S148" s="38"/>
      <c r="T148" s="38"/>
      <c r="U148" s="38"/>
      <c r="W148" s="56">
        <f>SUM(W138:W147)</f>
        <v>39690916.489571042</v>
      </c>
      <c r="Y148" s="23"/>
      <c r="Z148" s="23"/>
      <c r="AA148" s="23"/>
      <c r="AB148" s="23"/>
      <c r="AC148" s="37"/>
      <c r="AD148" s="23"/>
      <c r="AE148" s="23"/>
    </row>
    <row r="149" spans="1:31" ht="12.75">
      <c r="A149" s="23"/>
      <c r="B149" s="23"/>
      <c r="C149" s="57"/>
      <c r="D149" s="57"/>
      <c r="E149" s="23"/>
      <c r="F149" s="23"/>
      <c r="G149" s="23"/>
      <c r="H149" s="38"/>
      <c r="I149" s="23"/>
      <c r="J149" s="23"/>
      <c r="K149" s="23"/>
      <c r="L149" s="38"/>
      <c r="M149" s="23"/>
      <c r="N149" s="23"/>
      <c r="O149" s="23"/>
      <c r="P149" s="23"/>
      <c r="Q149" s="23"/>
      <c r="R149" s="23"/>
      <c r="S149" s="23"/>
      <c r="T149" s="23"/>
      <c r="U149" s="23"/>
      <c r="V149" s="23"/>
      <c r="W149" s="23"/>
      <c r="X149" s="23"/>
      <c r="Y149" s="23"/>
      <c r="Z149" s="23"/>
      <c r="AA149" s="23"/>
      <c r="AB149" s="23"/>
      <c r="AC149" s="37"/>
      <c r="AD149" s="23"/>
      <c r="AE149" s="23"/>
    </row>
    <row r="150" spans="1:31" ht="12.7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37"/>
      <c r="AD150" s="23"/>
      <c r="AE150" s="23"/>
    </row>
    <row r="151" spans="1:31" ht="12.75">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9"/>
      <c r="AD151" s="58"/>
      <c r="AE151" s="58"/>
    </row>
    <row r="152" spans="1:31" ht="15">
      <c r="A152" s="58"/>
      <c r="B152" s="58"/>
      <c r="C152" s="118"/>
      <c r="D152" s="119"/>
      <c r="E152" s="119"/>
      <c r="F152" s="120"/>
      <c r="G152" s="121"/>
      <c r="H152" s="122"/>
      <c r="I152" s="122"/>
      <c r="J152" s="123"/>
      <c r="K152" s="60"/>
      <c r="L152" s="126"/>
      <c r="M152" s="122"/>
      <c r="N152" s="122"/>
      <c r="O152" s="123"/>
      <c r="P152" s="121"/>
      <c r="Q152" s="122"/>
      <c r="R152" s="122"/>
      <c r="S152" s="123"/>
      <c r="T152" s="126"/>
      <c r="U152" s="122"/>
      <c r="V152" s="122"/>
      <c r="W152" s="123"/>
      <c r="X152" s="121"/>
      <c r="Y152" s="122"/>
      <c r="Z152" s="123"/>
      <c r="AA152" s="126"/>
      <c r="AB152" s="122"/>
      <c r="AC152" s="123"/>
      <c r="AD152" s="61"/>
      <c r="AE152" s="58"/>
    </row>
    <row r="153" spans="1:31" ht="12.75">
      <c r="A153" s="62" t="e">
        <f t="array" aca="1" ref="A153:A165" ca="1">unique(L1:L133)</f>
        <v>#NAME?</v>
      </c>
      <c r="B153" s="63"/>
      <c r="C153" s="64"/>
      <c r="D153" s="64"/>
      <c r="E153" s="64"/>
      <c r="F153" s="65"/>
      <c r="G153" s="66" t="s">
        <v>45</v>
      </c>
      <c r="H153" s="66" t="s">
        <v>46</v>
      </c>
      <c r="I153" s="66" t="s">
        <v>47</v>
      </c>
      <c r="J153" s="66" t="s">
        <v>48</v>
      </c>
      <c r="K153" s="66" t="s">
        <v>49</v>
      </c>
      <c r="L153" s="67" t="s">
        <v>50</v>
      </c>
      <c r="M153" s="67" t="s">
        <v>51</v>
      </c>
      <c r="N153" s="67" t="s">
        <v>52</v>
      </c>
      <c r="O153" s="67" t="s">
        <v>53</v>
      </c>
      <c r="P153" s="66" t="s">
        <v>54</v>
      </c>
      <c r="Q153" s="66"/>
      <c r="R153" s="66"/>
      <c r="S153" s="66"/>
      <c r="T153" s="67"/>
      <c r="U153" s="67"/>
      <c r="V153" s="67"/>
      <c r="W153" s="67"/>
      <c r="X153" s="66"/>
      <c r="Y153" s="66"/>
      <c r="Z153" s="66"/>
      <c r="AA153" s="67"/>
      <c r="AB153" s="67"/>
      <c r="AC153" s="68"/>
      <c r="AD153" s="67"/>
      <c r="AE153" s="58"/>
    </row>
    <row r="154" spans="1:31" ht="12.75">
      <c r="A154" s="69" t="e">
        <f ca="1"/>
        <v>#NAME?</v>
      </c>
      <c r="B154" s="70"/>
      <c r="C154" s="71"/>
      <c r="D154" s="71" t="s">
        <v>55</v>
      </c>
      <c r="E154" s="71"/>
      <c r="F154" s="72"/>
      <c r="G154" s="73"/>
      <c r="H154" s="73"/>
      <c r="I154" s="73"/>
      <c r="J154" s="73"/>
      <c r="K154" s="73"/>
      <c r="L154" s="74"/>
      <c r="M154" s="74"/>
      <c r="N154" s="74"/>
      <c r="O154" s="75"/>
      <c r="P154" s="76"/>
      <c r="Q154" s="76"/>
      <c r="R154" s="76"/>
      <c r="S154" s="76"/>
      <c r="T154" s="75"/>
      <c r="U154" s="75"/>
      <c r="V154" s="75"/>
      <c r="W154" s="75"/>
      <c r="X154" s="76"/>
      <c r="Y154" s="76"/>
      <c r="Z154" s="76"/>
      <c r="AA154" s="75"/>
      <c r="AB154" s="75"/>
      <c r="AC154" s="77"/>
      <c r="AD154" s="75"/>
      <c r="AE154" s="58"/>
    </row>
    <row r="155" spans="1:31" ht="12.75">
      <c r="A155" s="69" t="e">
        <f ca="1"/>
        <v>#NAME?</v>
      </c>
      <c r="B155" s="70"/>
      <c r="C155" s="71"/>
      <c r="D155" s="71"/>
      <c r="E155" s="71"/>
      <c r="F155" s="72"/>
      <c r="G155" s="73"/>
      <c r="H155" s="73"/>
      <c r="I155" s="73"/>
      <c r="J155" s="73"/>
      <c r="K155" s="73"/>
      <c r="L155" s="74"/>
      <c r="M155" s="75"/>
      <c r="N155" s="75"/>
      <c r="O155" s="75"/>
      <c r="P155" s="76"/>
      <c r="Q155" s="76"/>
      <c r="R155" s="76"/>
      <c r="S155" s="76"/>
      <c r="T155" s="75"/>
      <c r="U155" s="75"/>
      <c r="V155" s="75"/>
      <c r="W155" s="75"/>
      <c r="X155" s="76"/>
      <c r="Y155" s="76"/>
      <c r="Z155" s="76"/>
      <c r="AA155" s="75"/>
      <c r="AB155" s="75"/>
      <c r="AC155" s="77"/>
      <c r="AD155" s="75"/>
      <c r="AE155" s="58"/>
    </row>
    <row r="156" spans="1:31" ht="12.75">
      <c r="A156" s="69" t="e">
        <f ca="1"/>
        <v>#NAME?</v>
      </c>
      <c r="B156" s="70"/>
      <c r="C156" s="71"/>
      <c r="D156" s="71"/>
      <c r="E156" s="71"/>
      <c r="F156" s="72"/>
      <c r="G156" s="73"/>
      <c r="H156" s="73"/>
      <c r="I156" s="73"/>
      <c r="J156" s="73"/>
      <c r="K156" s="73"/>
      <c r="L156" s="74"/>
      <c r="M156" s="74"/>
      <c r="N156" s="74"/>
      <c r="O156" s="74"/>
      <c r="P156" s="76"/>
      <c r="Q156" s="76"/>
      <c r="R156" s="76"/>
      <c r="S156" s="76"/>
      <c r="T156" s="75"/>
      <c r="U156" s="75"/>
      <c r="V156" s="75"/>
      <c r="W156" s="75"/>
      <c r="X156" s="76"/>
      <c r="Y156" s="76"/>
      <c r="Z156" s="76"/>
      <c r="AA156" s="75"/>
      <c r="AB156" s="75"/>
      <c r="AC156" s="77"/>
      <c r="AD156" s="75"/>
      <c r="AE156" s="58"/>
    </row>
    <row r="157" spans="1:31" ht="12.75">
      <c r="A157" s="69" t="e">
        <f ca="1"/>
        <v>#NAME?</v>
      </c>
      <c r="B157" s="70"/>
      <c r="C157" s="71"/>
      <c r="D157" s="71"/>
      <c r="E157" s="71"/>
      <c r="F157" s="72"/>
      <c r="G157" s="73"/>
      <c r="H157" s="73"/>
      <c r="I157" s="73"/>
      <c r="J157" s="73"/>
      <c r="K157" s="73"/>
      <c r="L157" s="74"/>
      <c r="M157" s="74"/>
      <c r="N157" s="74"/>
      <c r="O157" s="75"/>
      <c r="P157" s="76"/>
      <c r="Q157" s="76"/>
      <c r="R157" s="76"/>
      <c r="S157" s="76"/>
      <c r="T157" s="75"/>
      <c r="U157" s="75"/>
      <c r="V157" s="75"/>
      <c r="W157" s="75"/>
      <c r="X157" s="76"/>
      <c r="Y157" s="76"/>
      <c r="Z157" s="76"/>
      <c r="AA157" s="75"/>
      <c r="AB157" s="75"/>
      <c r="AC157" s="77"/>
      <c r="AD157" s="75"/>
      <c r="AE157" s="58"/>
    </row>
    <row r="158" spans="1:31" ht="12.75">
      <c r="A158" s="69" t="e">
        <f ca="1"/>
        <v>#NAME?</v>
      </c>
      <c r="B158" s="70"/>
      <c r="C158" s="71"/>
      <c r="D158" s="71"/>
      <c r="E158" s="71"/>
      <c r="F158" s="72"/>
      <c r="G158" s="73"/>
      <c r="H158" s="73"/>
      <c r="I158" s="73"/>
      <c r="J158" s="73"/>
      <c r="K158" s="73"/>
      <c r="L158" s="74"/>
      <c r="M158" s="74"/>
      <c r="N158" s="74"/>
      <c r="O158" s="74"/>
      <c r="P158" s="76"/>
      <c r="Q158" s="76"/>
      <c r="R158" s="76"/>
      <c r="S158" s="76"/>
      <c r="T158" s="75"/>
      <c r="U158" s="75"/>
      <c r="V158" s="75"/>
      <c r="W158" s="75"/>
      <c r="X158" s="76"/>
      <c r="Y158" s="76"/>
      <c r="Z158" s="76"/>
      <c r="AA158" s="75"/>
      <c r="AB158" s="75"/>
      <c r="AC158" s="77"/>
      <c r="AD158" s="75"/>
      <c r="AE158" s="58"/>
    </row>
    <row r="159" spans="1:31" ht="12.75">
      <c r="A159" s="69" t="e">
        <f ca="1"/>
        <v>#NAME?</v>
      </c>
      <c r="B159" s="70"/>
      <c r="C159" s="71"/>
      <c r="D159" s="71"/>
      <c r="E159" s="71"/>
      <c r="F159" s="72"/>
      <c r="G159" s="73"/>
      <c r="H159" s="73"/>
      <c r="I159" s="73"/>
      <c r="J159" s="73"/>
      <c r="K159" s="73"/>
      <c r="L159" s="74"/>
      <c r="M159" s="74"/>
      <c r="N159" s="74"/>
      <c r="O159" s="75"/>
      <c r="P159" s="73"/>
      <c r="Q159" s="76"/>
      <c r="R159" s="76"/>
      <c r="S159" s="76"/>
      <c r="T159" s="75"/>
      <c r="U159" s="75"/>
      <c r="V159" s="75"/>
      <c r="W159" s="75"/>
      <c r="X159" s="76"/>
      <c r="Y159" s="76"/>
      <c r="Z159" s="76"/>
      <c r="AA159" s="75"/>
      <c r="AB159" s="75"/>
      <c r="AC159" s="77"/>
      <c r="AD159" s="75"/>
      <c r="AE159" s="58"/>
    </row>
    <row r="160" spans="1:31" ht="12.75">
      <c r="A160" s="69" t="e">
        <f ca="1"/>
        <v>#NAME?</v>
      </c>
      <c r="B160" s="70"/>
      <c r="C160" s="71"/>
      <c r="D160" s="71"/>
      <c r="E160" s="71"/>
      <c r="F160" s="72"/>
      <c r="G160" s="73"/>
      <c r="H160" s="73"/>
      <c r="I160" s="73"/>
      <c r="J160" s="73"/>
      <c r="K160" s="73"/>
      <c r="L160" s="74"/>
      <c r="M160" s="74"/>
      <c r="N160" s="74"/>
      <c r="O160" s="75"/>
      <c r="P160" s="73"/>
      <c r="Q160" s="76"/>
      <c r="R160" s="76"/>
      <c r="S160" s="76"/>
      <c r="T160" s="75"/>
      <c r="U160" s="75"/>
      <c r="V160" s="75"/>
      <c r="W160" s="75"/>
      <c r="X160" s="76"/>
      <c r="Y160" s="76"/>
      <c r="Z160" s="76"/>
      <c r="AA160" s="75"/>
      <c r="AB160" s="75"/>
      <c r="AC160" s="77"/>
      <c r="AD160" s="75"/>
      <c r="AE160" s="58"/>
    </row>
    <row r="161" spans="1:31" ht="12.75">
      <c r="A161" s="69" t="e">
        <f ca="1"/>
        <v>#NAME?</v>
      </c>
      <c r="B161" s="70"/>
      <c r="C161" s="71"/>
      <c r="D161" s="71"/>
      <c r="E161" s="71"/>
      <c r="F161" s="72"/>
      <c r="G161" s="73"/>
      <c r="H161" s="73"/>
      <c r="I161" s="73"/>
      <c r="J161" s="73"/>
      <c r="K161" s="73"/>
      <c r="L161" s="74"/>
      <c r="M161" s="74"/>
      <c r="N161" s="74"/>
      <c r="O161" s="74"/>
      <c r="P161" s="73"/>
      <c r="Q161" s="76"/>
      <c r="R161" s="76"/>
      <c r="S161" s="76"/>
      <c r="T161" s="75"/>
      <c r="U161" s="75"/>
      <c r="V161" s="75"/>
      <c r="W161" s="75"/>
      <c r="X161" s="76"/>
      <c r="Y161" s="76"/>
      <c r="Z161" s="76"/>
      <c r="AA161" s="75"/>
      <c r="AB161" s="75"/>
      <c r="AC161" s="77"/>
      <c r="AD161" s="75"/>
      <c r="AE161" s="58"/>
    </row>
    <row r="162" spans="1:31" ht="12.75">
      <c r="A162" s="69" t="e">
        <f ca="1"/>
        <v>#NAME?</v>
      </c>
      <c r="B162" s="70"/>
      <c r="C162" s="71"/>
      <c r="D162" s="71"/>
      <c r="E162" s="71"/>
      <c r="F162" s="72"/>
      <c r="G162" s="73"/>
      <c r="H162" s="73"/>
      <c r="I162" s="73"/>
      <c r="J162" s="73"/>
      <c r="K162" s="73"/>
      <c r="L162" s="74"/>
      <c r="M162" s="74"/>
      <c r="N162" s="74"/>
      <c r="O162" s="75"/>
      <c r="P162" s="76"/>
      <c r="Q162" s="76"/>
      <c r="R162" s="76"/>
      <c r="S162" s="76"/>
      <c r="T162" s="75"/>
      <c r="U162" s="75"/>
      <c r="V162" s="75"/>
      <c r="W162" s="75"/>
      <c r="X162" s="76"/>
      <c r="Y162" s="76"/>
      <c r="Z162" s="76"/>
      <c r="AA162" s="75"/>
      <c r="AB162" s="75"/>
      <c r="AC162" s="77"/>
      <c r="AD162" s="75"/>
      <c r="AE162" s="58"/>
    </row>
    <row r="163" spans="1:31" ht="12.75">
      <c r="A163" s="69" t="e">
        <f ca="1"/>
        <v>#NAME?</v>
      </c>
      <c r="B163" s="70"/>
      <c r="C163" s="71"/>
      <c r="D163" s="71"/>
      <c r="E163" s="71"/>
      <c r="F163" s="72"/>
      <c r="G163" s="73"/>
      <c r="H163" s="73"/>
      <c r="I163" s="73"/>
      <c r="J163" s="73"/>
      <c r="K163" s="73"/>
      <c r="L163" s="74"/>
      <c r="M163" s="74"/>
      <c r="N163" s="74"/>
      <c r="O163" s="75"/>
      <c r="P163" s="76"/>
      <c r="Q163" s="76"/>
      <c r="R163" s="76"/>
      <c r="S163" s="76"/>
      <c r="T163" s="75"/>
      <c r="U163" s="75"/>
      <c r="V163" s="75"/>
      <c r="W163" s="75"/>
      <c r="X163" s="76"/>
      <c r="Y163" s="76"/>
      <c r="Z163" s="76"/>
      <c r="AA163" s="75"/>
      <c r="AB163" s="75"/>
      <c r="AC163" s="77"/>
      <c r="AD163" s="75"/>
      <c r="AE163" s="58"/>
    </row>
    <row r="164" spans="1:31" ht="12.75">
      <c r="A164" s="69" t="e">
        <f ca="1"/>
        <v>#NAME?</v>
      </c>
      <c r="B164" s="70"/>
      <c r="C164" s="71"/>
      <c r="D164" s="71"/>
      <c r="E164" s="71"/>
      <c r="F164" s="72"/>
      <c r="G164" s="73"/>
      <c r="H164" s="73"/>
      <c r="I164" s="73"/>
      <c r="J164" s="73"/>
      <c r="K164" s="73"/>
      <c r="L164" s="74"/>
      <c r="M164" s="74"/>
      <c r="N164" s="74"/>
      <c r="O164" s="75"/>
      <c r="P164" s="76"/>
      <c r="Q164" s="76"/>
      <c r="R164" s="76"/>
      <c r="S164" s="76"/>
      <c r="T164" s="75"/>
      <c r="U164" s="75"/>
      <c r="V164" s="75"/>
      <c r="W164" s="75"/>
      <c r="X164" s="76"/>
      <c r="Y164" s="76"/>
      <c r="Z164" s="76"/>
      <c r="AA164" s="75"/>
      <c r="AB164" s="75"/>
      <c r="AC164" s="77"/>
      <c r="AD164" s="75"/>
      <c r="AE164" s="58"/>
    </row>
    <row r="165" spans="1:31" ht="12.75">
      <c r="A165" s="69" t="e">
        <f ca="1"/>
        <v>#NAME?</v>
      </c>
      <c r="B165" s="70"/>
      <c r="C165" s="71"/>
      <c r="D165" s="71"/>
      <c r="E165" s="71"/>
      <c r="F165" s="72"/>
      <c r="G165" s="73"/>
      <c r="H165" s="73"/>
      <c r="I165" s="73"/>
      <c r="J165" s="73"/>
      <c r="K165" s="73"/>
      <c r="L165" s="74"/>
      <c r="M165" s="74"/>
      <c r="N165" s="74"/>
      <c r="O165" s="75"/>
      <c r="P165" s="76"/>
      <c r="Q165" s="76"/>
      <c r="R165" s="76"/>
      <c r="S165" s="76"/>
      <c r="T165" s="75"/>
      <c r="U165" s="75"/>
      <c r="V165" s="75"/>
      <c r="W165" s="75"/>
      <c r="X165" s="76"/>
      <c r="Y165" s="76"/>
      <c r="Z165" s="76"/>
      <c r="AA165" s="75"/>
      <c r="AB165" s="75"/>
      <c r="AC165" s="77"/>
      <c r="AD165" s="75"/>
      <c r="AE165" s="58"/>
    </row>
    <row r="166" spans="1:31" ht="12.75">
      <c r="A166" s="69"/>
      <c r="B166" s="70"/>
      <c r="C166" s="71"/>
      <c r="D166" s="71"/>
      <c r="E166" s="71"/>
      <c r="F166" s="72"/>
      <c r="G166" s="73"/>
      <c r="H166" s="73"/>
      <c r="I166" s="73"/>
      <c r="J166" s="73"/>
      <c r="K166" s="73"/>
      <c r="L166" s="74"/>
      <c r="M166" s="74"/>
      <c r="N166" s="74"/>
      <c r="O166" s="75"/>
      <c r="P166" s="76"/>
      <c r="Q166" s="76"/>
      <c r="R166" s="76"/>
      <c r="S166" s="76"/>
      <c r="T166" s="75"/>
      <c r="U166" s="75"/>
      <c r="V166" s="75"/>
      <c r="W166" s="75"/>
      <c r="X166" s="76"/>
      <c r="Y166" s="76"/>
      <c r="Z166" s="76"/>
      <c r="AA166" s="75"/>
      <c r="AB166" s="75"/>
      <c r="AC166" s="77"/>
      <c r="AD166" s="75"/>
      <c r="AE166" s="58"/>
    </row>
    <row r="167" spans="1:31" ht="12.75">
      <c r="A167" s="69"/>
      <c r="B167" s="70"/>
      <c r="C167" s="71"/>
      <c r="D167" s="71"/>
      <c r="E167" s="71"/>
      <c r="F167" s="72"/>
      <c r="G167" s="73"/>
      <c r="H167" s="73"/>
      <c r="I167" s="73"/>
      <c r="J167" s="73"/>
      <c r="K167" s="73"/>
      <c r="L167" s="74"/>
      <c r="M167" s="74"/>
      <c r="N167" s="74"/>
      <c r="O167" s="75"/>
      <c r="P167" s="76"/>
      <c r="Q167" s="76"/>
      <c r="R167" s="76"/>
      <c r="S167" s="76"/>
      <c r="T167" s="75"/>
      <c r="U167" s="75"/>
      <c r="V167" s="75"/>
      <c r="W167" s="75"/>
      <c r="X167" s="76"/>
      <c r="Y167" s="76"/>
      <c r="Z167" s="76"/>
      <c r="AA167" s="75"/>
      <c r="AB167" s="75"/>
      <c r="AC167" s="77"/>
      <c r="AD167" s="75"/>
      <c r="AE167" s="58"/>
    </row>
    <row r="168" spans="1:31" ht="12.75">
      <c r="A168" s="69"/>
      <c r="B168" s="70"/>
      <c r="C168" s="71"/>
      <c r="D168" s="71"/>
      <c r="E168" s="71"/>
      <c r="F168" s="72"/>
      <c r="G168" s="73"/>
      <c r="H168" s="73"/>
      <c r="I168" s="73"/>
      <c r="J168" s="73"/>
      <c r="K168" s="73"/>
      <c r="L168" s="74"/>
      <c r="M168" s="74"/>
      <c r="N168" s="74"/>
      <c r="O168" s="75"/>
      <c r="P168" s="76"/>
      <c r="Q168" s="76"/>
      <c r="R168" s="76"/>
      <c r="S168" s="76"/>
      <c r="T168" s="75"/>
      <c r="U168" s="75"/>
      <c r="V168" s="75"/>
      <c r="W168" s="75"/>
      <c r="X168" s="76"/>
      <c r="Y168" s="76"/>
      <c r="Z168" s="76"/>
      <c r="AA168" s="75"/>
      <c r="AB168" s="75"/>
      <c r="AC168" s="77"/>
      <c r="AD168" s="75"/>
      <c r="AE168" s="58"/>
    </row>
    <row r="169" spans="1:31" ht="12.75">
      <c r="A169" s="69"/>
      <c r="B169" s="70"/>
      <c r="C169" s="71"/>
      <c r="D169" s="71"/>
      <c r="E169" s="71"/>
      <c r="F169" s="72"/>
      <c r="G169" s="73"/>
      <c r="H169" s="73"/>
      <c r="I169" s="73"/>
      <c r="J169" s="73"/>
      <c r="K169" s="73"/>
      <c r="L169" s="74"/>
      <c r="M169" s="74"/>
      <c r="N169" s="74"/>
      <c r="O169" s="75"/>
      <c r="P169" s="76"/>
      <c r="Q169" s="76"/>
      <c r="R169" s="76"/>
      <c r="S169" s="76"/>
      <c r="T169" s="75"/>
      <c r="U169" s="75"/>
      <c r="V169" s="75"/>
      <c r="W169" s="75"/>
      <c r="X169" s="76"/>
      <c r="Y169" s="76"/>
      <c r="Z169" s="76"/>
      <c r="AA169" s="75"/>
      <c r="AB169" s="75"/>
      <c r="AC169" s="77"/>
      <c r="AD169" s="75"/>
      <c r="AE169" s="58"/>
    </row>
    <row r="170" spans="1:31" ht="12.75">
      <c r="A170" s="69"/>
      <c r="B170" s="70"/>
      <c r="C170" s="71"/>
      <c r="D170" s="71"/>
      <c r="E170" s="71"/>
      <c r="F170" s="72"/>
      <c r="G170" s="73"/>
      <c r="H170" s="73"/>
      <c r="I170" s="73"/>
      <c r="J170" s="73"/>
      <c r="K170" s="73"/>
      <c r="L170" s="74"/>
      <c r="M170" s="74"/>
      <c r="N170" s="74"/>
      <c r="O170" s="75"/>
      <c r="P170" s="76"/>
      <c r="Q170" s="76"/>
      <c r="R170" s="76"/>
      <c r="S170" s="76"/>
      <c r="T170" s="75"/>
      <c r="U170" s="75"/>
      <c r="V170" s="75"/>
      <c r="W170" s="75"/>
      <c r="X170" s="76"/>
      <c r="Y170" s="76"/>
      <c r="Z170" s="76"/>
      <c r="AA170" s="75"/>
      <c r="AB170" s="75"/>
      <c r="AC170" s="77"/>
      <c r="AD170" s="75"/>
      <c r="AE170" s="58"/>
    </row>
    <row r="171" spans="1:31" ht="12.75">
      <c r="A171" s="69"/>
      <c r="B171" s="70"/>
      <c r="C171" s="71"/>
      <c r="D171" s="71"/>
      <c r="E171" s="71"/>
      <c r="F171" s="72"/>
      <c r="G171" s="73"/>
      <c r="H171" s="73"/>
      <c r="I171" s="73"/>
      <c r="J171" s="73"/>
      <c r="K171" s="73"/>
      <c r="L171" s="74"/>
      <c r="M171" s="74"/>
      <c r="N171" s="74"/>
      <c r="O171" s="75"/>
      <c r="P171" s="76"/>
      <c r="Q171" s="76"/>
      <c r="R171" s="76"/>
      <c r="S171" s="76"/>
      <c r="T171" s="75"/>
      <c r="U171" s="75"/>
      <c r="V171" s="75"/>
      <c r="W171" s="75"/>
      <c r="X171" s="76"/>
      <c r="Y171" s="76"/>
      <c r="Z171" s="76"/>
      <c r="AA171" s="75"/>
      <c r="AB171" s="75"/>
      <c r="AC171" s="77"/>
      <c r="AD171" s="75"/>
      <c r="AE171" s="58"/>
    </row>
    <row r="172" spans="1:31" ht="12.75">
      <c r="A172" s="69"/>
      <c r="B172" s="70"/>
      <c r="C172" s="71"/>
      <c r="D172" s="71"/>
      <c r="E172" s="71"/>
      <c r="F172" s="72"/>
      <c r="G172" s="73"/>
      <c r="H172" s="73"/>
      <c r="I172" s="73"/>
      <c r="J172" s="73"/>
      <c r="K172" s="73"/>
      <c r="L172" s="74"/>
      <c r="M172" s="74"/>
      <c r="N172" s="74"/>
      <c r="O172" s="75"/>
      <c r="P172" s="76"/>
      <c r="Q172" s="76"/>
      <c r="R172" s="76"/>
      <c r="S172" s="76"/>
      <c r="T172" s="75"/>
      <c r="U172" s="75"/>
      <c r="V172" s="75"/>
      <c r="W172" s="75"/>
      <c r="X172" s="76"/>
      <c r="Y172" s="76"/>
      <c r="Z172" s="76"/>
      <c r="AA172" s="75"/>
      <c r="AB172" s="75"/>
      <c r="AC172" s="77"/>
      <c r="AD172" s="75"/>
      <c r="AE172" s="58"/>
    </row>
    <row r="173" spans="1:31" ht="12.75">
      <c r="A173" s="69"/>
      <c r="B173" s="70"/>
      <c r="C173" s="71"/>
      <c r="D173" s="71"/>
      <c r="E173" s="71"/>
      <c r="F173" s="72"/>
      <c r="G173" s="73"/>
      <c r="H173" s="73"/>
      <c r="I173" s="73"/>
      <c r="J173" s="73"/>
      <c r="K173" s="73"/>
      <c r="L173" s="74"/>
      <c r="M173" s="74"/>
      <c r="N173" s="74"/>
      <c r="O173" s="75"/>
      <c r="P173" s="76"/>
      <c r="Q173" s="76"/>
      <c r="R173" s="76"/>
      <c r="S173" s="76"/>
      <c r="T173" s="75"/>
      <c r="U173" s="75"/>
      <c r="V173" s="75"/>
      <c r="W173" s="75"/>
      <c r="X173" s="76"/>
      <c r="Y173" s="76"/>
      <c r="Z173" s="76"/>
      <c r="AA173" s="75"/>
      <c r="AB173" s="75"/>
      <c r="AC173" s="77"/>
      <c r="AD173" s="75"/>
      <c r="AE173" s="58"/>
    </row>
    <row r="174" spans="1:31" ht="12.75">
      <c r="A174" s="69"/>
      <c r="B174" s="70"/>
      <c r="C174" s="71"/>
      <c r="D174" s="71"/>
      <c r="E174" s="71"/>
      <c r="F174" s="72"/>
      <c r="G174" s="73"/>
      <c r="H174" s="73"/>
      <c r="I174" s="73"/>
      <c r="J174" s="73"/>
      <c r="K174" s="73"/>
      <c r="L174" s="74"/>
      <c r="M174" s="74"/>
      <c r="N174" s="74"/>
      <c r="O174" s="75"/>
      <c r="P174" s="76"/>
      <c r="Q174" s="76"/>
      <c r="R174" s="76"/>
      <c r="S174" s="76"/>
      <c r="T174" s="75"/>
      <c r="U174" s="75"/>
      <c r="V174" s="75"/>
      <c r="W174" s="75"/>
      <c r="X174" s="76"/>
      <c r="Y174" s="76"/>
      <c r="Z174" s="76"/>
      <c r="AA174" s="75"/>
      <c r="AB174" s="75"/>
      <c r="AC174" s="77"/>
      <c r="AD174" s="75"/>
      <c r="AE174" s="58"/>
    </row>
    <row r="175" spans="1:31" ht="12.75">
      <c r="A175" s="69"/>
      <c r="B175" s="70"/>
      <c r="C175" s="71"/>
      <c r="D175" s="71"/>
      <c r="E175" s="71"/>
      <c r="F175" s="72"/>
      <c r="G175" s="73"/>
      <c r="H175" s="73"/>
      <c r="I175" s="73"/>
      <c r="J175" s="73"/>
      <c r="K175" s="73"/>
      <c r="L175" s="74"/>
      <c r="M175" s="74"/>
      <c r="N175" s="74"/>
      <c r="O175" s="75"/>
      <c r="P175" s="76"/>
      <c r="Q175" s="76"/>
      <c r="R175" s="76"/>
      <c r="S175" s="76"/>
      <c r="T175" s="75"/>
      <c r="U175" s="75"/>
      <c r="V175" s="75"/>
      <c r="W175" s="75"/>
      <c r="X175" s="76"/>
      <c r="Y175" s="76"/>
      <c r="Z175" s="76"/>
      <c r="AA175" s="75"/>
      <c r="AB175" s="75"/>
      <c r="AC175" s="77"/>
      <c r="AD175" s="75"/>
      <c r="AE175" s="58"/>
    </row>
    <row r="176" spans="1:31" ht="12.75">
      <c r="A176" s="69"/>
      <c r="B176" s="70"/>
      <c r="C176" s="71"/>
      <c r="D176" s="71"/>
      <c r="E176" s="71"/>
      <c r="F176" s="72"/>
      <c r="G176" s="73"/>
      <c r="H176" s="73"/>
      <c r="I176" s="73"/>
      <c r="J176" s="73"/>
      <c r="K176" s="73"/>
      <c r="L176" s="74"/>
      <c r="M176" s="74"/>
      <c r="N176" s="75"/>
      <c r="O176" s="75"/>
      <c r="P176" s="76"/>
      <c r="Q176" s="76"/>
      <c r="R176" s="76"/>
      <c r="S176" s="76"/>
      <c r="T176" s="75"/>
      <c r="U176" s="75"/>
      <c r="V176" s="75"/>
      <c r="W176" s="75"/>
      <c r="X176" s="76"/>
      <c r="Y176" s="76"/>
      <c r="Z176" s="76"/>
      <c r="AA176" s="75"/>
      <c r="AB176" s="75"/>
      <c r="AC176" s="77"/>
      <c r="AD176" s="75"/>
      <c r="AE176" s="58"/>
    </row>
    <row r="177" spans="1:31" ht="12.75">
      <c r="A177" s="69"/>
      <c r="B177" s="70"/>
      <c r="C177" s="71"/>
      <c r="D177" s="71"/>
      <c r="E177" s="71"/>
      <c r="F177" s="72"/>
      <c r="G177" s="73"/>
      <c r="H177" s="73"/>
      <c r="I177" s="73"/>
      <c r="J177" s="73"/>
      <c r="K177" s="73"/>
      <c r="L177" s="74"/>
      <c r="M177" s="74"/>
      <c r="N177" s="75"/>
      <c r="O177" s="75"/>
      <c r="P177" s="76"/>
      <c r="Q177" s="76"/>
      <c r="R177" s="76"/>
      <c r="S177" s="76"/>
      <c r="T177" s="75"/>
      <c r="U177" s="75"/>
      <c r="V177" s="75"/>
      <c r="W177" s="75"/>
      <c r="X177" s="76"/>
      <c r="Y177" s="76"/>
      <c r="Z177" s="76"/>
      <c r="AA177" s="75"/>
      <c r="AB177" s="75"/>
      <c r="AC177" s="77"/>
      <c r="AD177" s="75"/>
      <c r="AE177" s="58"/>
    </row>
    <row r="178" spans="1:31" ht="12.75">
      <c r="A178" s="23"/>
      <c r="B178" s="23"/>
      <c r="C178" s="23"/>
      <c r="D178" s="23"/>
      <c r="E178" s="23"/>
      <c r="F178" s="23"/>
      <c r="G178" s="23"/>
      <c r="H178" s="13"/>
      <c r="I178" s="13"/>
      <c r="J178" s="13"/>
      <c r="K178" s="13"/>
      <c r="L178" s="13"/>
      <c r="M178" s="13"/>
      <c r="N178" s="23"/>
      <c r="O178" s="23"/>
      <c r="P178" s="23"/>
      <c r="Q178" s="23"/>
      <c r="R178" s="23"/>
      <c r="S178" s="23"/>
      <c r="T178" s="23"/>
      <c r="U178" s="23"/>
      <c r="V178" s="23"/>
      <c r="W178" s="23"/>
      <c r="X178" s="23"/>
      <c r="Y178" s="23"/>
      <c r="Z178" s="23"/>
      <c r="AA178" s="23"/>
      <c r="AB178" s="23"/>
      <c r="AC178" s="37"/>
      <c r="AD178" s="23"/>
      <c r="AE178" s="58"/>
    </row>
    <row r="179" spans="1:31" ht="12.7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37"/>
      <c r="AD179" s="23"/>
      <c r="AE179" s="23"/>
    </row>
    <row r="180" spans="1:31" ht="12.7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37"/>
      <c r="AD180" s="23"/>
      <c r="AE180" s="23"/>
    </row>
  </sheetData>
  <mergeCells count="68">
    <mergeCell ref="C142:E142"/>
    <mergeCell ref="F142:H142"/>
    <mergeCell ref="C139:E139"/>
    <mergeCell ref="C140:E140"/>
    <mergeCell ref="F140:H140"/>
    <mergeCell ref="C141:E141"/>
    <mergeCell ref="F141:H141"/>
    <mergeCell ref="C143:E143"/>
    <mergeCell ref="F143:H143"/>
    <mergeCell ref="I143:L143"/>
    <mergeCell ref="M143:O143"/>
    <mergeCell ref="P143:R143"/>
    <mergeCell ref="F139:H139"/>
    <mergeCell ref="P139:R139"/>
    <mergeCell ref="I141:L141"/>
    <mergeCell ref="I142:L142"/>
    <mergeCell ref="M142:O142"/>
    <mergeCell ref="P142:R142"/>
    <mergeCell ref="I139:L139"/>
    <mergeCell ref="M139:O139"/>
    <mergeCell ref="I140:L140"/>
    <mergeCell ref="M140:O140"/>
    <mergeCell ref="P140:R140"/>
    <mergeCell ref="M141:O141"/>
    <mergeCell ref="P141:R141"/>
    <mergeCell ref="C138:E138"/>
    <mergeCell ref="F138:H138"/>
    <mergeCell ref="I138:L138"/>
    <mergeCell ref="M138:O138"/>
    <mergeCell ref="P138:R138"/>
    <mergeCell ref="I135:L135"/>
    <mergeCell ref="M135:O135"/>
    <mergeCell ref="C137:E137"/>
    <mergeCell ref="F137:H137"/>
    <mergeCell ref="I137:L137"/>
    <mergeCell ref="M137:O137"/>
    <mergeCell ref="P137:R137"/>
    <mergeCell ref="V137:X137"/>
    <mergeCell ref="M1:N1"/>
    <mergeCell ref="O1:U1"/>
    <mergeCell ref="AA152:AC152"/>
    <mergeCell ref="I145:L145"/>
    <mergeCell ref="M145:O145"/>
    <mergeCell ref="I146:L146"/>
    <mergeCell ref="M146:O146"/>
    <mergeCell ref="P146:R146"/>
    <mergeCell ref="I147:L147"/>
    <mergeCell ref="M147:O147"/>
    <mergeCell ref="P148:R148"/>
    <mergeCell ref="L152:O152"/>
    <mergeCell ref="P152:S152"/>
    <mergeCell ref="T152:W152"/>
    <mergeCell ref="X152:Z152"/>
    <mergeCell ref="M144:O144"/>
    <mergeCell ref="P144:R144"/>
    <mergeCell ref="F145:H145"/>
    <mergeCell ref="P145:R145"/>
    <mergeCell ref="P147:R147"/>
    <mergeCell ref="C152:F152"/>
    <mergeCell ref="G152:J152"/>
    <mergeCell ref="C144:E144"/>
    <mergeCell ref="F144:H144"/>
    <mergeCell ref="I144:L144"/>
    <mergeCell ref="C145:E145"/>
    <mergeCell ref="C146:E146"/>
    <mergeCell ref="F146:H146"/>
    <mergeCell ref="C147:E147"/>
    <mergeCell ref="F147:H147"/>
  </mergeCells>
  <conditionalFormatting sqref="C154:AD177">
    <cfRule type="notContainsBlanks" dxfId="34" priority="1">
      <formula>LEN(TRIM(C154))&gt;0</formula>
    </cfRule>
  </conditionalFormatting>
  <conditionalFormatting sqref="Y2:Y132">
    <cfRule type="expression" dxfId="33" priority="2">
      <formula>$L2&lt;&gt;""</formula>
    </cfRule>
  </conditionalFormatting>
  <conditionalFormatting sqref="Z1:Z132">
    <cfRule type="notContainsBlanks" dxfId="32" priority="3">
      <formula>LEN(TRIM(Z1))&gt;0</formula>
    </cfRule>
  </conditionalFormatting>
  <conditionalFormatting sqref="AA1:AA132">
    <cfRule type="notContainsBlanks" dxfId="31" priority="4">
      <formula>LEN(TRIM(AA1))&gt;0</formula>
    </cfRule>
  </conditionalFormatting>
  <conditionalFormatting sqref="AB2:AB132">
    <cfRule type="cellIs" dxfId="30" priority="5" operator="equal">
      <formula>FALSE()</formula>
    </cfRule>
  </conditionalFormatting>
  <dataValidations count="1">
    <dataValidation type="decimal" operator="greaterThanOrEqual" allowBlank="1" showDropDown="1" showErrorMessage="1" sqref="B2:K133">
      <formula1>0</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08"/>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4" width="5" customWidth="1"/>
    <col min="5" max="5" width="6.7109375" customWidth="1"/>
    <col min="6" max="8" width="5" customWidth="1"/>
    <col min="9" max="22" width="4.5703125" customWidth="1"/>
    <col min="23" max="23" width="63.425781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ht="74.25" customHeight="1">
      <c r="A1" s="1" t="s">
        <v>0</v>
      </c>
      <c r="B1" s="2" t="s">
        <v>1</v>
      </c>
      <c r="C1" s="2" t="s">
        <v>2</v>
      </c>
      <c r="D1" s="2" t="s">
        <v>3</v>
      </c>
      <c r="E1" s="2" t="s">
        <v>4</v>
      </c>
      <c r="F1" s="2" t="s">
        <v>5</v>
      </c>
      <c r="G1" s="2" t="s">
        <v>6</v>
      </c>
      <c r="H1" s="2" t="s">
        <v>7</v>
      </c>
      <c r="I1" s="2" t="s">
        <v>8</v>
      </c>
      <c r="J1" s="2" t="s">
        <v>9</v>
      </c>
      <c r="K1" s="2" t="s">
        <v>10</v>
      </c>
      <c r="L1" s="3"/>
      <c r="M1" s="128" t="s">
        <v>11</v>
      </c>
      <c r="N1" s="117"/>
      <c r="O1" s="129" t="s">
        <v>497</v>
      </c>
      <c r="P1" s="117"/>
      <c r="Q1" s="117"/>
      <c r="R1" s="117"/>
      <c r="S1" s="117"/>
      <c r="T1" s="117"/>
      <c r="U1" s="117"/>
      <c r="V1" s="3"/>
      <c r="W1" s="4">
        <v>46049</v>
      </c>
      <c r="X1" s="3"/>
      <c r="Y1" s="5">
        <f>SUMIFS(Y2:Y61,L2:L61,"&lt;&gt;"&amp;"")</f>
        <v>45781439.000393547</v>
      </c>
      <c r="Z1" s="6" t="s">
        <v>13</v>
      </c>
      <c r="AA1" s="7" t="s">
        <v>14</v>
      </c>
      <c r="AB1" s="8" t="s">
        <v>15</v>
      </c>
      <c r="AC1" s="9">
        <f>SUM(AC2:AC61)</f>
        <v>45781439.000393547</v>
      </c>
      <c r="AD1" s="3"/>
      <c r="AE1" s="3"/>
    </row>
    <row r="2" spans="1:31" ht="18">
      <c r="A2" s="10">
        <f t="shared" ref="A2:A28" si="0">(B2*$P$66+C2*$P$67+D2*$P$68+E2*$P$69+F2*$P$70+G2*$P$71+H2*$P$72+I2*$P$73+J2*$P$74+K2*$P$75)*$T$64</f>
        <v>1935316.8044077135</v>
      </c>
      <c r="B2" s="83">
        <v>2</v>
      </c>
      <c r="C2" s="12"/>
      <c r="D2" s="12"/>
      <c r="E2" s="84">
        <v>2</v>
      </c>
      <c r="F2" s="12"/>
      <c r="G2" s="12"/>
      <c r="H2" s="12"/>
      <c r="I2" s="12"/>
      <c r="J2" s="13"/>
      <c r="K2" s="13"/>
      <c r="L2" s="14" t="s">
        <v>16</v>
      </c>
      <c r="M2" s="15"/>
      <c r="N2" s="16"/>
      <c r="O2" s="17"/>
      <c r="P2" s="17"/>
      <c r="Q2" s="17"/>
      <c r="R2" s="17"/>
      <c r="S2" s="17"/>
      <c r="T2" s="17"/>
      <c r="U2" s="17"/>
      <c r="V2" s="17"/>
      <c r="W2" s="17"/>
      <c r="X2" s="17">
        <f t="shared" ref="X2:X28" si="1">COUNTIF($L$2:L2,"&lt;&gt;"&amp;"")</f>
        <v>1</v>
      </c>
      <c r="Y2" s="18">
        <f t="shared" ref="Y2:Y28" si="2">SUMIF($X$2:$X$61,X2,$A$2:$A$61)</f>
        <v>1935316.8044077135</v>
      </c>
      <c r="Z2" s="19"/>
      <c r="AA2" s="20"/>
      <c r="AB2" s="21" t="b">
        <v>1</v>
      </c>
      <c r="AC2" s="22">
        <f t="shared" ref="AC2:AC28" si="3">IF(L2="",0,IF(AB2=FALSE(),0,Y2))</f>
        <v>1935316.8044077135</v>
      </c>
      <c r="AD2" s="23"/>
      <c r="AE2" s="23"/>
    </row>
    <row r="3" spans="1:31" ht="15">
      <c r="A3" s="10">
        <f t="shared" si="0"/>
        <v>1199477.9220779222</v>
      </c>
      <c r="B3" s="12"/>
      <c r="C3" s="83">
        <v>2</v>
      </c>
      <c r="D3" s="83">
        <v>2</v>
      </c>
      <c r="E3" s="12"/>
      <c r="F3" s="84"/>
      <c r="G3" s="12"/>
      <c r="H3" s="12"/>
      <c r="I3" s="12"/>
      <c r="J3" s="13"/>
      <c r="K3" s="13"/>
      <c r="L3" s="14" t="s">
        <v>17</v>
      </c>
      <c r="M3" s="16"/>
      <c r="N3" s="16"/>
      <c r="O3" s="17"/>
      <c r="P3" s="17"/>
      <c r="Q3" s="17"/>
      <c r="R3" s="17"/>
      <c r="S3" s="17"/>
      <c r="T3" s="17"/>
      <c r="U3" s="17"/>
      <c r="V3" s="17"/>
      <c r="W3" s="17"/>
      <c r="X3" s="17">
        <f t="shared" si="1"/>
        <v>2</v>
      </c>
      <c r="Y3" s="18">
        <f t="shared" si="2"/>
        <v>1199477.9220779222</v>
      </c>
      <c r="Z3" s="24"/>
      <c r="AA3" s="20"/>
      <c r="AB3" s="21" t="b">
        <v>1</v>
      </c>
      <c r="AC3" s="22">
        <f t="shared" si="3"/>
        <v>1199477.9220779222</v>
      </c>
      <c r="AD3" s="23"/>
      <c r="AE3" s="23"/>
    </row>
    <row r="4" spans="1:31" ht="15">
      <c r="A4" s="10">
        <f t="shared" si="0"/>
        <v>866041.73553719022</v>
      </c>
      <c r="B4" s="12"/>
      <c r="C4" s="12"/>
      <c r="D4" s="12"/>
      <c r="E4" s="12"/>
      <c r="F4" s="12"/>
      <c r="G4" s="12"/>
      <c r="H4" s="83">
        <v>3</v>
      </c>
      <c r="I4" s="12"/>
      <c r="J4" s="13"/>
      <c r="K4" s="13"/>
      <c r="L4" s="14" t="s">
        <v>18</v>
      </c>
      <c r="M4" s="16"/>
      <c r="N4" s="16"/>
      <c r="O4" s="17"/>
      <c r="P4" s="17"/>
      <c r="Q4" s="17"/>
      <c r="R4" s="17"/>
      <c r="S4" s="17"/>
      <c r="T4" s="17"/>
      <c r="U4" s="17"/>
      <c r="V4" s="17"/>
      <c r="W4" s="17"/>
      <c r="X4" s="17">
        <f t="shared" si="1"/>
        <v>3</v>
      </c>
      <c r="Y4" s="18">
        <f t="shared" si="2"/>
        <v>866041.73553719022</v>
      </c>
      <c r="Z4" s="24"/>
      <c r="AA4" s="25"/>
      <c r="AB4" s="21" t="b">
        <v>1</v>
      </c>
      <c r="AC4" s="22">
        <f t="shared" si="3"/>
        <v>866041.73553719022</v>
      </c>
      <c r="AD4" s="23"/>
      <c r="AE4" s="23"/>
    </row>
    <row r="5" spans="1:31" ht="15">
      <c r="A5" s="10">
        <f t="shared" si="0"/>
        <v>0</v>
      </c>
      <c r="B5" s="13"/>
      <c r="C5" s="13"/>
      <c r="D5" s="13"/>
      <c r="E5" s="13"/>
      <c r="F5" s="13"/>
      <c r="G5" s="13"/>
      <c r="H5" s="13"/>
      <c r="I5" s="13"/>
      <c r="J5" s="13"/>
      <c r="K5" s="13"/>
      <c r="L5" s="26" t="s">
        <v>19</v>
      </c>
      <c r="M5" s="16"/>
      <c r="N5" s="16"/>
      <c r="O5" s="17"/>
      <c r="P5" s="17"/>
      <c r="Q5" s="17"/>
      <c r="R5" s="17"/>
      <c r="S5" s="17"/>
      <c r="T5" s="17"/>
      <c r="U5" s="17"/>
      <c r="V5" s="17"/>
      <c r="W5" s="17"/>
      <c r="X5" s="17">
        <f t="shared" si="1"/>
        <v>4</v>
      </c>
      <c r="Y5" s="18">
        <f t="shared" si="2"/>
        <v>0</v>
      </c>
      <c r="Z5" s="24"/>
      <c r="AA5" s="25"/>
      <c r="AB5" s="21" t="b">
        <v>1</v>
      </c>
      <c r="AC5" s="22">
        <f t="shared" si="3"/>
        <v>0</v>
      </c>
      <c r="AD5" s="23"/>
      <c r="AE5" s="23"/>
    </row>
    <row r="6" spans="1:31" ht="12.75">
      <c r="A6" s="10">
        <f t="shared" si="0"/>
        <v>0</v>
      </c>
      <c r="B6" s="13"/>
      <c r="C6" s="13"/>
      <c r="D6" s="13"/>
      <c r="E6" s="13"/>
      <c r="F6" s="13"/>
      <c r="G6" s="13"/>
      <c r="H6" s="13"/>
      <c r="I6" s="13"/>
      <c r="J6" s="13"/>
      <c r="K6" s="13"/>
      <c r="L6" s="16"/>
      <c r="M6" s="16"/>
      <c r="N6" s="16"/>
      <c r="O6" s="16"/>
      <c r="P6" s="16"/>
      <c r="Q6" s="16"/>
      <c r="R6" s="16"/>
      <c r="S6" s="16"/>
      <c r="T6" s="16"/>
      <c r="U6" s="16"/>
      <c r="V6" s="16"/>
      <c r="W6" s="16"/>
      <c r="X6" s="17">
        <f t="shared" si="1"/>
        <v>4</v>
      </c>
      <c r="Y6" s="18">
        <f t="shared" si="2"/>
        <v>0</v>
      </c>
      <c r="Z6" s="19"/>
      <c r="AA6" s="20"/>
      <c r="AB6" s="21" t="b">
        <v>1</v>
      </c>
      <c r="AC6" s="22">
        <f t="shared" si="3"/>
        <v>0</v>
      </c>
      <c r="AD6" s="23"/>
      <c r="AE6" s="23"/>
    </row>
    <row r="7" spans="1:31" ht="19.5">
      <c r="A7" s="10">
        <f t="shared" si="0"/>
        <v>0</v>
      </c>
      <c r="B7" s="13"/>
      <c r="C7" s="13"/>
      <c r="D7" s="13"/>
      <c r="E7" s="13"/>
      <c r="F7" s="13"/>
      <c r="G7" s="13"/>
      <c r="H7" s="13"/>
      <c r="I7" s="13"/>
      <c r="J7" s="13"/>
      <c r="K7" s="13"/>
      <c r="L7" s="102" t="s">
        <v>498</v>
      </c>
      <c r="M7" s="16"/>
      <c r="N7" s="16"/>
      <c r="O7" s="16"/>
      <c r="P7" s="16"/>
      <c r="Q7" s="16"/>
      <c r="R7" s="16"/>
      <c r="S7" s="16"/>
      <c r="T7" s="16"/>
      <c r="U7" s="16"/>
      <c r="V7" s="16"/>
      <c r="W7" s="16"/>
      <c r="X7" s="17">
        <f t="shared" si="1"/>
        <v>5</v>
      </c>
      <c r="Y7" s="18">
        <f t="shared" si="2"/>
        <v>19915270.316804405</v>
      </c>
      <c r="Z7" s="24"/>
      <c r="AA7" s="25"/>
      <c r="AB7" s="21" t="b">
        <v>1</v>
      </c>
      <c r="AC7" s="22">
        <f t="shared" si="3"/>
        <v>19915270.316804405</v>
      </c>
      <c r="AD7" s="23"/>
      <c r="AE7" s="23"/>
    </row>
    <row r="8" spans="1:31" ht="12.75">
      <c r="A8" s="10">
        <f t="shared" si="0"/>
        <v>0</v>
      </c>
      <c r="B8" s="13"/>
      <c r="C8" s="13"/>
      <c r="D8" s="13"/>
      <c r="E8" s="13"/>
      <c r="F8" s="13"/>
      <c r="G8" s="13"/>
      <c r="H8" s="13"/>
      <c r="I8" s="13"/>
      <c r="J8" s="13"/>
      <c r="K8" s="13"/>
      <c r="L8" s="16"/>
      <c r="M8" s="85" t="s">
        <v>499</v>
      </c>
      <c r="N8" s="16"/>
      <c r="O8" s="16"/>
      <c r="P8" s="16"/>
      <c r="Q8" s="16"/>
      <c r="R8" s="16"/>
      <c r="S8" s="16"/>
      <c r="T8" s="16"/>
      <c r="U8" s="16"/>
      <c r="V8" s="16"/>
      <c r="W8" s="16"/>
      <c r="X8" s="17">
        <f t="shared" si="1"/>
        <v>5</v>
      </c>
      <c r="Y8" s="18">
        <f t="shared" si="2"/>
        <v>19915270.316804405</v>
      </c>
      <c r="Z8" s="24"/>
      <c r="AA8" s="20"/>
      <c r="AB8" s="21" t="b">
        <v>1</v>
      </c>
      <c r="AC8" s="22">
        <f t="shared" si="3"/>
        <v>0</v>
      </c>
      <c r="AD8" s="28"/>
      <c r="AE8" s="28"/>
    </row>
    <row r="9" spans="1:31" ht="12.75">
      <c r="A9" s="10">
        <f t="shared" si="0"/>
        <v>2145966.1747343563</v>
      </c>
      <c r="B9" s="13">
        <v>1</v>
      </c>
      <c r="C9" s="13">
        <v>1</v>
      </c>
      <c r="D9" s="13">
        <v>1</v>
      </c>
      <c r="E9" s="13"/>
      <c r="F9" s="13">
        <v>2</v>
      </c>
      <c r="G9" s="13">
        <v>1</v>
      </c>
      <c r="H9" s="13"/>
      <c r="I9" s="13"/>
      <c r="J9" s="13"/>
      <c r="K9" s="13"/>
      <c r="L9" s="16"/>
      <c r="M9" s="16"/>
      <c r="N9" s="82" t="s">
        <v>500</v>
      </c>
      <c r="O9" s="16"/>
      <c r="P9" s="16"/>
      <c r="Q9" s="16"/>
      <c r="R9" s="16"/>
      <c r="S9" s="16"/>
      <c r="T9" s="16"/>
      <c r="U9" s="16"/>
      <c r="V9" s="16"/>
      <c r="W9" s="16"/>
      <c r="X9" s="17">
        <f t="shared" si="1"/>
        <v>5</v>
      </c>
      <c r="Y9" s="18">
        <f t="shared" si="2"/>
        <v>19915270.316804405</v>
      </c>
      <c r="Z9" s="24"/>
      <c r="AA9" s="20"/>
      <c r="AB9" s="21" t="b">
        <v>1</v>
      </c>
      <c r="AC9" s="22">
        <f t="shared" si="3"/>
        <v>0</v>
      </c>
      <c r="AD9" s="28"/>
      <c r="AE9" s="28"/>
    </row>
    <row r="10" spans="1:31" ht="12.75">
      <c r="A10" s="10">
        <f t="shared" si="0"/>
        <v>353568.28020464384</v>
      </c>
      <c r="B10" s="13"/>
      <c r="C10" s="13"/>
      <c r="D10" s="13"/>
      <c r="E10" s="13"/>
      <c r="F10" s="13">
        <v>1</v>
      </c>
      <c r="G10" s="13"/>
      <c r="H10" s="13"/>
      <c r="I10" s="13"/>
      <c r="J10" s="13"/>
      <c r="K10" s="13"/>
      <c r="L10" s="16"/>
      <c r="M10" s="16"/>
      <c r="N10" s="16" t="s">
        <v>501</v>
      </c>
      <c r="O10" s="16"/>
      <c r="P10" s="16"/>
      <c r="Q10" s="16"/>
      <c r="R10" s="16"/>
      <c r="S10" s="16"/>
      <c r="T10" s="16"/>
      <c r="U10" s="16"/>
      <c r="V10" s="16"/>
      <c r="W10" s="16"/>
      <c r="X10" s="17">
        <f t="shared" si="1"/>
        <v>5</v>
      </c>
      <c r="Y10" s="18">
        <f t="shared" si="2"/>
        <v>19915270.316804405</v>
      </c>
      <c r="Z10" s="24"/>
      <c r="AA10" s="20"/>
      <c r="AB10" s="21" t="b">
        <v>1</v>
      </c>
      <c r="AC10" s="22">
        <f t="shared" si="3"/>
        <v>0</v>
      </c>
      <c r="AD10" s="28"/>
      <c r="AE10" s="28"/>
    </row>
    <row r="11" spans="1:31" ht="12.75">
      <c r="A11" s="10">
        <f t="shared" si="0"/>
        <v>530352.42030696571</v>
      </c>
      <c r="B11" s="13"/>
      <c r="C11" s="13"/>
      <c r="D11" s="13"/>
      <c r="E11" s="13"/>
      <c r="F11" s="13">
        <v>1.5</v>
      </c>
      <c r="G11" s="13"/>
      <c r="H11" s="13"/>
      <c r="I11" s="13"/>
      <c r="J11" s="13"/>
      <c r="K11" s="13"/>
      <c r="L11" s="16"/>
      <c r="M11" s="16"/>
      <c r="N11" s="82" t="s">
        <v>502</v>
      </c>
      <c r="O11" s="16"/>
      <c r="P11" s="16"/>
      <c r="Q11" s="16"/>
      <c r="R11" s="16"/>
      <c r="S11" s="16"/>
      <c r="T11" s="16"/>
      <c r="U11" s="16"/>
      <c r="V11" s="16"/>
      <c r="W11" s="16"/>
      <c r="X11" s="17">
        <f t="shared" si="1"/>
        <v>5</v>
      </c>
      <c r="Y11" s="18">
        <f t="shared" si="2"/>
        <v>19915270.316804405</v>
      </c>
      <c r="Z11" s="24"/>
      <c r="AA11" s="20"/>
      <c r="AB11" s="21" t="b">
        <v>1</v>
      </c>
      <c r="AC11" s="22">
        <f t="shared" si="3"/>
        <v>0</v>
      </c>
      <c r="AD11" s="28"/>
      <c r="AE11" s="28"/>
    </row>
    <row r="12" spans="1:31" ht="12.75">
      <c r="A12" s="10">
        <f t="shared" si="0"/>
        <v>0</v>
      </c>
      <c r="B12" s="13"/>
      <c r="C12" s="13"/>
      <c r="D12" s="13"/>
      <c r="E12" s="13"/>
      <c r="F12" s="13"/>
      <c r="G12" s="13"/>
      <c r="H12" s="13"/>
      <c r="I12" s="13"/>
      <c r="J12" s="13"/>
      <c r="K12" s="13"/>
      <c r="L12" s="16"/>
      <c r="M12" s="85" t="s">
        <v>503</v>
      </c>
      <c r="N12" s="16"/>
      <c r="O12" s="16"/>
      <c r="P12" s="16"/>
      <c r="Q12" s="16"/>
      <c r="R12" s="16"/>
      <c r="S12" s="16"/>
      <c r="T12" s="16"/>
      <c r="U12" s="16"/>
      <c r="V12" s="16"/>
      <c r="W12" s="16"/>
      <c r="X12" s="17">
        <f t="shared" si="1"/>
        <v>5</v>
      </c>
      <c r="Y12" s="18">
        <f t="shared" si="2"/>
        <v>19915270.316804405</v>
      </c>
      <c r="Z12" s="24"/>
      <c r="AA12" s="20"/>
      <c r="AB12" s="21" t="b">
        <v>1</v>
      </c>
      <c r="AC12" s="22">
        <f t="shared" si="3"/>
        <v>0</v>
      </c>
      <c r="AD12" s="28"/>
      <c r="AE12" s="28"/>
    </row>
    <row r="13" spans="1:31" ht="12.75">
      <c r="A13" s="10">
        <f t="shared" si="0"/>
        <v>2000244.5395513577</v>
      </c>
      <c r="B13" s="13">
        <v>1</v>
      </c>
      <c r="C13" s="13">
        <v>1</v>
      </c>
      <c r="D13" s="13">
        <v>1</v>
      </c>
      <c r="E13" s="13"/>
      <c r="F13" s="13">
        <v>2</v>
      </c>
      <c r="G13" s="13">
        <v>0.5</v>
      </c>
      <c r="H13" s="13"/>
      <c r="I13" s="13"/>
      <c r="J13" s="13"/>
      <c r="K13" s="13"/>
      <c r="L13" s="16"/>
      <c r="M13" s="16"/>
      <c r="N13" s="16" t="s">
        <v>504</v>
      </c>
      <c r="O13" s="16"/>
      <c r="P13" s="16"/>
      <c r="Q13" s="16"/>
      <c r="R13" s="16"/>
      <c r="S13" s="16"/>
      <c r="T13" s="16"/>
      <c r="U13" s="16"/>
      <c r="V13" s="16"/>
      <c r="W13" s="16"/>
      <c r="X13" s="17">
        <f t="shared" si="1"/>
        <v>5</v>
      </c>
      <c r="Y13" s="18">
        <f t="shared" si="2"/>
        <v>19915270.316804405</v>
      </c>
      <c r="Z13" s="24"/>
      <c r="AA13" s="20"/>
      <c r="AB13" s="21" t="b">
        <v>1</v>
      </c>
      <c r="AC13" s="22">
        <f t="shared" si="3"/>
        <v>0</v>
      </c>
      <c r="AD13" s="28"/>
      <c r="AE13" s="28"/>
    </row>
    <row r="14" spans="1:31" ht="12.75">
      <c r="A14" s="10">
        <f t="shared" si="0"/>
        <v>0</v>
      </c>
      <c r="B14" s="13"/>
      <c r="C14" s="13"/>
      <c r="D14" s="13"/>
      <c r="E14" s="13"/>
      <c r="F14" s="13"/>
      <c r="G14" s="13"/>
      <c r="H14" s="13"/>
      <c r="I14" s="13"/>
      <c r="J14" s="13"/>
      <c r="K14" s="13"/>
      <c r="L14" s="16"/>
      <c r="M14" s="16"/>
      <c r="N14" s="16" t="s">
        <v>505</v>
      </c>
      <c r="O14" s="16"/>
      <c r="P14" s="16"/>
      <c r="Q14" s="16"/>
      <c r="R14" s="16"/>
      <c r="S14" s="16"/>
      <c r="T14" s="16"/>
      <c r="U14" s="16"/>
      <c r="V14" s="16"/>
      <c r="W14" s="16"/>
      <c r="X14" s="17">
        <f t="shared" si="1"/>
        <v>5</v>
      </c>
      <c r="Y14" s="18">
        <f t="shared" si="2"/>
        <v>19915270.316804405</v>
      </c>
      <c r="Z14" s="24"/>
      <c r="AA14" s="20"/>
      <c r="AB14" s="21" t="b">
        <v>1</v>
      </c>
      <c r="AC14" s="22">
        <f t="shared" si="3"/>
        <v>0</v>
      </c>
      <c r="AD14" s="28"/>
      <c r="AE14" s="28"/>
    </row>
    <row r="15" spans="1:31" ht="12.75">
      <c r="A15" s="10">
        <f t="shared" si="0"/>
        <v>0</v>
      </c>
      <c r="B15" s="13"/>
      <c r="C15" s="13"/>
      <c r="D15" s="13"/>
      <c r="E15" s="13"/>
      <c r="F15" s="13"/>
      <c r="G15" s="13"/>
      <c r="H15" s="13"/>
      <c r="I15" s="13"/>
      <c r="J15" s="13"/>
      <c r="K15" s="13"/>
      <c r="L15" s="16"/>
      <c r="M15" s="85" t="s">
        <v>506</v>
      </c>
      <c r="N15" s="16"/>
      <c r="O15" s="16"/>
      <c r="P15" s="16"/>
      <c r="Q15" s="16"/>
      <c r="R15" s="16"/>
      <c r="S15" s="16"/>
      <c r="T15" s="16"/>
      <c r="U15" s="16"/>
      <c r="V15" s="16"/>
      <c r="W15" s="16"/>
      <c r="X15" s="17">
        <f t="shared" si="1"/>
        <v>5</v>
      </c>
      <c r="Y15" s="18">
        <f t="shared" si="2"/>
        <v>19915270.316804405</v>
      </c>
      <c r="Z15" s="24"/>
      <c r="AA15" s="20"/>
      <c r="AB15" s="21" t="b">
        <v>1</v>
      </c>
      <c r="AC15" s="22">
        <f t="shared" si="3"/>
        <v>0</v>
      </c>
      <c r="AD15" s="28"/>
      <c r="AE15" s="28"/>
    </row>
    <row r="16" spans="1:31" ht="12.75">
      <c r="A16" s="10">
        <f t="shared" si="0"/>
        <v>2083841.1648957105</v>
      </c>
      <c r="B16" s="13">
        <v>1</v>
      </c>
      <c r="C16" s="13">
        <v>1</v>
      </c>
      <c r="D16" s="13">
        <v>1</v>
      </c>
      <c r="E16" s="13"/>
      <c r="F16" s="13">
        <v>1</v>
      </c>
      <c r="G16" s="13">
        <v>2</v>
      </c>
      <c r="H16" s="13"/>
      <c r="I16" s="13"/>
      <c r="J16" s="13"/>
      <c r="K16" s="13"/>
      <c r="L16" s="16"/>
      <c r="M16" s="16"/>
      <c r="N16" s="16" t="s">
        <v>507</v>
      </c>
      <c r="O16" s="16"/>
      <c r="P16" s="16"/>
      <c r="Q16" s="16"/>
      <c r="R16" s="16"/>
      <c r="S16" s="16"/>
      <c r="T16" s="16"/>
      <c r="U16" s="16"/>
      <c r="V16" s="16"/>
      <c r="W16" s="16"/>
      <c r="X16" s="17">
        <f t="shared" si="1"/>
        <v>5</v>
      </c>
      <c r="Y16" s="18">
        <f t="shared" si="2"/>
        <v>19915270.316804405</v>
      </c>
      <c r="Z16" s="24"/>
      <c r="AA16" s="20"/>
      <c r="AB16" s="21" t="b">
        <v>1</v>
      </c>
      <c r="AC16" s="22">
        <f t="shared" si="3"/>
        <v>0</v>
      </c>
      <c r="AD16" s="28"/>
      <c r="AE16" s="28"/>
    </row>
    <row r="17" spans="1:31" ht="12.75">
      <c r="A17" s="10">
        <f t="shared" si="0"/>
        <v>353568.28020464384</v>
      </c>
      <c r="B17" s="13"/>
      <c r="C17" s="13"/>
      <c r="D17" s="13"/>
      <c r="E17" s="13"/>
      <c r="F17" s="13">
        <v>1</v>
      </c>
      <c r="G17" s="13"/>
      <c r="H17" s="13"/>
      <c r="I17" s="13"/>
      <c r="J17" s="13"/>
      <c r="K17" s="13"/>
      <c r="L17" s="16"/>
      <c r="M17" s="16"/>
      <c r="N17" s="16" t="s">
        <v>508</v>
      </c>
      <c r="O17" s="16"/>
      <c r="P17" s="16"/>
      <c r="Q17" s="16"/>
      <c r="R17" s="16"/>
      <c r="S17" s="16"/>
      <c r="T17" s="16"/>
      <c r="U17" s="16"/>
      <c r="V17" s="16"/>
      <c r="W17" s="16"/>
      <c r="X17" s="17">
        <f t="shared" si="1"/>
        <v>5</v>
      </c>
      <c r="Y17" s="18">
        <f t="shared" si="2"/>
        <v>19915270.316804405</v>
      </c>
      <c r="Z17" s="24"/>
      <c r="AA17" s="20"/>
      <c r="AB17" s="21" t="b">
        <v>1</v>
      </c>
      <c r="AC17" s="22">
        <f t="shared" si="3"/>
        <v>0</v>
      </c>
      <c r="AD17" s="28"/>
      <c r="AE17" s="28"/>
    </row>
    <row r="18" spans="1:31" ht="12.75">
      <c r="A18" s="10">
        <f t="shared" si="0"/>
        <v>953307.24124360492</v>
      </c>
      <c r="B18" s="13"/>
      <c r="C18" s="13">
        <v>1</v>
      </c>
      <c r="D18" s="13">
        <v>1</v>
      </c>
      <c r="E18" s="13"/>
      <c r="F18" s="13">
        <v>1</v>
      </c>
      <c r="G18" s="13"/>
      <c r="H18" s="13"/>
      <c r="I18" s="13"/>
      <c r="J18" s="13"/>
      <c r="K18" s="13"/>
      <c r="L18" s="16"/>
      <c r="M18" s="16"/>
      <c r="N18" s="16" t="s">
        <v>509</v>
      </c>
      <c r="O18" s="16"/>
      <c r="P18" s="16"/>
      <c r="Q18" s="16"/>
      <c r="R18" s="16"/>
      <c r="S18" s="16"/>
      <c r="T18" s="16"/>
      <c r="U18" s="16"/>
      <c r="V18" s="16"/>
      <c r="W18" s="16"/>
      <c r="X18" s="17">
        <f t="shared" si="1"/>
        <v>5</v>
      </c>
      <c r="Y18" s="18">
        <f t="shared" si="2"/>
        <v>19915270.316804405</v>
      </c>
      <c r="Z18" s="24"/>
      <c r="AA18" s="20"/>
      <c r="AB18" s="21" t="b">
        <v>1</v>
      </c>
      <c r="AC18" s="22">
        <f t="shared" si="3"/>
        <v>0</v>
      </c>
      <c r="AD18" s="28"/>
      <c r="AE18" s="28"/>
    </row>
    <row r="19" spans="1:31" ht="12.75">
      <c r="A19" s="10">
        <f t="shared" si="0"/>
        <v>0</v>
      </c>
      <c r="B19" s="13"/>
      <c r="C19" s="13"/>
      <c r="D19" s="13"/>
      <c r="E19" s="13"/>
      <c r="F19" s="13"/>
      <c r="G19" s="13"/>
      <c r="H19" s="13"/>
      <c r="I19" s="13"/>
      <c r="J19" s="13"/>
      <c r="K19" s="13"/>
      <c r="L19" s="16"/>
      <c r="M19" s="16"/>
      <c r="N19" s="16"/>
      <c r="O19" s="16" t="s">
        <v>510</v>
      </c>
      <c r="P19" s="16"/>
      <c r="Q19" s="16"/>
      <c r="R19" s="16"/>
      <c r="S19" s="16"/>
      <c r="T19" s="16"/>
      <c r="U19" s="16"/>
      <c r="V19" s="16"/>
      <c r="W19" s="16"/>
      <c r="X19" s="17">
        <f t="shared" si="1"/>
        <v>5</v>
      </c>
      <c r="Y19" s="18">
        <f t="shared" si="2"/>
        <v>19915270.316804405</v>
      </c>
      <c r="Z19" s="19"/>
      <c r="AA19" s="20"/>
      <c r="AB19" s="21" t="b">
        <v>1</v>
      </c>
      <c r="AC19" s="22">
        <f t="shared" si="3"/>
        <v>0</v>
      </c>
      <c r="AD19" s="28"/>
      <c r="AE19" s="28"/>
    </row>
    <row r="20" spans="1:31" ht="12.75">
      <c r="A20" s="10">
        <f t="shared" si="0"/>
        <v>353568.28020464384</v>
      </c>
      <c r="B20" s="13"/>
      <c r="C20" s="13"/>
      <c r="D20" s="13"/>
      <c r="E20" s="13"/>
      <c r="F20" s="13">
        <v>1</v>
      </c>
      <c r="G20" s="13"/>
      <c r="H20" s="13"/>
      <c r="I20" s="13"/>
      <c r="J20" s="13"/>
      <c r="K20" s="13"/>
      <c r="L20" s="16"/>
      <c r="M20" s="16"/>
      <c r="N20" s="16" t="s">
        <v>511</v>
      </c>
      <c r="O20" s="16"/>
      <c r="P20" s="16"/>
      <c r="Q20" s="16"/>
      <c r="R20" s="16"/>
      <c r="S20" s="16"/>
      <c r="T20" s="16"/>
      <c r="U20" s="16"/>
      <c r="V20" s="16"/>
      <c r="W20" s="16"/>
      <c r="X20" s="17">
        <f t="shared" si="1"/>
        <v>5</v>
      </c>
      <c r="Y20" s="18">
        <f t="shared" si="2"/>
        <v>19915270.316804405</v>
      </c>
      <c r="Z20" s="24"/>
      <c r="AA20" s="20"/>
      <c r="AB20" s="21" t="b">
        <v>1</v>
      </c>
      <c r="AC20" s="22">
        <f t="shared" si="3"/>
        <v>0</v>
      </c>
      <c r="AD20" s="28"/>
      <c r="AE20" s="28"/>
    </row>
    <row r="21" spans="1:31" ht="12.75">
      <c r="A21" s="10">
        <f t="shared" si="0"/>
        <v>0</v>
      </c>
      <c r="B21" s="13"/>
      <c r="C21" s="13"/>
      <c r="D21" s="13"/>
      <c r="E21" s="13"/>
      <c r="F21" s="13"/>
      <c r="G21" s="13"/>
      <c r="H21" s="13"/>
      <c r="I21" s="13"/>
      <c r="J21" s="13"/>
      <c r="K21" s="13"/>
      <c r="L21" s="16"/>
      <c r="M21" s="85" t="s">
        <v>512</v>
      </c>
      <c r="N21" s="16"/>
      <c r="O21" s="16"/>
      <c r="P21" s="16"/>
      <c r="Q21" s="16"/>
      <c r="R21" s="16"/>
      <c r="S21" s="16"/>
      <c r="T21" s="16"/>
      <c r="U21" s="16"/>
      <c r="V21" s="16"/>
      <c r="W21" s="16"/>
      <c r="X21" s="17">
        <f t="shared" si="1"/>
        <v>5</v>
      </c>
      <c r="Y21" s="18">
        <f t="shared" si="2"/>
        <v>19915270.316804405</v>
      </c>
      <c r="Z21" s="24"/>
      <c r="AA21" s="20"/>
      <c r="AB21" s="21" t="b">
        <v>1</v>
      </c>
      <c r="AC21" s="22">
        <f t="shared" si="3"/>
        <v>0</v>
      </c>
      <c r="AD21" s="28"/>
      <c r="AE21" s="28"/>
    </row>
    <row r="22" spans="1:31" ht="12.75">
      <c r="A22" s="10">
        <f t="shared" si="0"/>
        <v>2697931.2868949235</v>
      </c>
      <c r="B22" s="13">
        <v>2</v>
      </c>
      <c r="C22" s="13">
        <v>1</v>
      </c>
      <c r="D22" s="13">
        <v>1</v>
      </c>
      <c r="E22" s="13">
        <v>1</v>
      </c>
      <c r="F22" s="13"/>
      <c r="G22" s="13">
        <v>2</v>
      </c>
      <c r="H22" s="13"/>
      <c r="I22" s="13"/>
      <c r="J22" s="13"/>
      <c r="K22" s="13"/>
      <c r="L22" s="16"/>
      <c r="M22" s="16"/>
      <c r="N22" s="16" t="s">
        <v>513</v>
      </c>
      <c r="O22" s="16"/>
      <c r="P22" s="16"/>
      <c r="Q22" s="16"/>
      <c r="R22" s="16"/>
      <c r="S22" s="16"/>
      <c r="T22" s="16"/>
      <c r="U22" s="16"/>
      <c r="V22" s="16"/>
      <c r="W22" s="16"/>
      <c r="X22" s="17">
        <f t="shared" si="1"/>
        <v>5</v>
      </c>
      <c r="Y22" s="18">
        <f t="shared" si="2"/>
        <v>19915270.316804405</v>
      </c>
      <c r="Z22" s="24"/>
      <c r="AA22" s="20"/>
      <c r="AB22" s="21" t="b">
        <v>1</v>
      </c>
      <c r="AC22" s="22">
        <f t="shared" si="3"/>
        <v>0</v>
      </c>
      <c r="AD22" s="28"/>
      <c r="AE22" s="28"/>
    </row>
    <row r="23" spans="1:31" ht="12.75">
      <c r="A23" s="10">
        <f t="shared" si="0"/>
        <v>420011.01928374654</v>
      </c>
      <c r="B23" s="13"/>
      <c r="C23" s="13"/>
      <c r="D23" s="13"/>
      <c r="E23" s="13">
        <v>1</v>
      </c>
      <c r="F23" s="13"/>
      <c r="G23" s="13"/>
      <c r="H23" s="13"/>
      <c r="I23" s="13"/>
      <c r="J23" s="13"/>
      <c r="K23" s="13"/>
      <c r="L23" s="16"/>
      <c r="M23" s="16"/>
      <c r="N23" s="16" t="s">
        <v>514</v>
      </c>
      <c r="O23" s="16"/>
      <c r="P23" s="16"/>
      <c r="Q23" s="16"/>
      <c r="R23" s="16"/>
      <c r="S23" s="16"/>
      <c r="T23" s="16"/>
      <c r="U23" s="16"/>
      <c r="V23" s="16"/>
      <c r="W23" s="16"/>
      <c r="X23" s="17">
        <f t="shared" si="1"/>
        <v>5</v>
      </c>
      <c r="Y23" s="18">
        <f t="shared" si="2"/>
        <v>19915270.316804405</v>
      </c>
      <c r="Z23" s="19"/>
      <c r="AA23" s="30"/>
      <c r="AB23" s="21" t="b">
        <v>1</v>
      </c>
      <c r="AC23" s="22">
        <f t="shared" si="3"/>
        <v>0</v>
      </c>
      <c r="AD23" s="28"/>
      <c r="AE23" s="28"/>
    </row>
    <row r="24" spans="1:31" ht="12.75">
      <c r="A24" s="10">
        <f t="shared" si="0"/>
        <v>747507.41833923652</v>
      </c>
      <c r="B24" s="13"/>
      <c r="C24" s="13"/>
      <c r="D24" s="13"/>
      <c r="E24" s="13">
        <v>1</v>
      </c>
      <c r="F24" s="13"/>
      <c r="G24" s="13"/>
      <c r="H24" s="13"/>
      <c r="I24" s="13"/>
      <c r="J24" s="13"/>
      <c r="K24" s="13">
        <v>1</v>
      </c>
      <c r="L24" s="16"/>
      <c r="M24" s="16"/>
      <c r="N24" s="16" t="s">
        <v>515</v>
      </c>
      <c r="O24" s="16"/>
      <c r="P24" s="16"/>
      <c r="Q24" s="16"/>
      <c r="R24" s="16"/>
      <c r="S24" s="16"/>
      <c r="T24" s="16"/>
      <c r="U24" s="16"/>
      <c r="V24" s="16"/>
      <c r="W24" s="16"/>
      <c r="X24" s="17">
        <f t="shared" si="1"/>
        <v>5</v>
      </c>
      <c r="Y24" s="18">
        <f t="shared" si="2"/>
        <v>19915270.316804405</v>
      </c>
      <c r="Z24" s="24"/>
      <c r="AA24" s="20"/>
      <c r="AB24" s="21" t="b">
        <v>1</v>
      </c>
      <c r="AC24" s="22">
        <f t="shared" si="3"/>
        <v>0</v>
      </c>
      <c r="AD24" s="28"/>
      <c r="AE24" s="28"/>
    </row>
    <row r="25" spans="1:31" ht="12.75">
      <c r="A25" s="10">
        <f t="shared" si="0"/>
        <v>1130091.3813459268</v>
      </c>
      <c r="B25" s="13"/>
      <c r="C25" s="13">
        <v>1</v>
      </c>
      <c r="D25" s="13">
        <v>1</v>
      </c>
      <c r="E25" s="13"/>
      <c r="F25" s="13">
        <v>1.5</v>
      </c>
      <c r="G25" s="13"/>
      <c r="H25" s="13"/>
      <c r="I25" s="13"/>
      <c r="J25" s="13"/>
      <c r="K25" s="13"/>
      <c r="L25" s="16"/>
      <c r="M25" s="16"/>
      <c r="N25" s="16" t="s">
        <v>516</v>
      </c>
      <c r="O25" s="16"/>
      <c r="P25" s="16"/>
      <c r="Q25" s="16"/>
      <c r="R25" s="16"/>
      <c r="S25" s="16"/>
      <c r="T25" s="16"/>
      <c r="U25" s="16"/>
      <c r="V25" s="16"/>
      <c r="W25" s="16"/>
      <c r="X25" s="17">
        <f t="shared" si="1"/>
        <v>5</v>
      </c>
      <c r="Y25" s="18">
        <f t="shared" si="2"/>
        <v>19915270.316804405</v>
      </c>
      <c r="Z25" s="24"/>
      <c r="AA25" s="20"/>
      <c r="AB25" s="21" t="b">
        <v>1</v>
      </c>
      <c r="AC25" s="22">
        <f t="shared" si="3"/>
        <v>0</v>
      </c>
      <c r="AD25" s="28"/>
      <c r="AE25" s="28"/>
    </row>
    <row r="26" spans="1:31" ht="12.75">
      <c r="A26" s="10">
        <f t="shared" si="0"/>
        <v>582886.54073199525</v>
      </c>
      <c r="B26" s="13"/>
      <c r="C26" s="13"/>
      <c r="D26" s="13"/>
      <c r="E26" s="13"/>
      <c r="F26" s="13"/>
      <c r="G26" s="13">
        <v>2</v>
      </c>
      <c r="H26" s="13"/>
      <c r="I26" s="13"/>
      <c r="J26" s="13"/>
      <c r="K26" s="13"/>
      <c r="L26" s="16"/>
      <c r="M26" s="85" t="s">
        <v>517</v>
      </c>
      <c r="N26" s="16"/>
      <c r="O26" s="16"/>
      <c r="P26" s="16"/>
      <c r="Q26" s="16"/>
      <c r="R26" s="16"/>
      <c r="S26" s="16"/>
      <c r="T26" s="16"/>
      <c r="U26" s="16"/>
      <c r="V26" s="16"/>
      <c r="W26" s="16"/>
      <c r="X26" s="17">
        <f t="shared" si="1"/>
        <v>5</v>
      </c>
      <c r="Y26" s="18">
        <f t="shared" si="2"/>
        <v>19915270.316804405</v>
      </c>
      <c r="Z26" s="24"/>
      <c r="AA26" s="20"/>
      <c r="AB26" s="21" t="b">
        <v>1</v>
      </c>
      <c r="AC26" s="22">
        <f t="shared" si="3"/>
        <v>0</v>
      </c>
      <c r="AD26" s="28"/>
      <c r="AE26" s="28"/>
    </row>
    <row r="27" spans="1:31" ht="12.75">
      <c r="A27" s="10">
        <f t="shared" si="0"/>
        <v>491244.59858323494</v>
      </c>
      <c r="B27" s="13"/>
      <c r="C27" s="13"/>
      <c r="D27" s="13"/>
      <c r="E27" s="13"/>
      <c r="F27" s="13"/>
      <c r="G27" s="13"/>
      <c r="H27" s="13"/>
      <c r="I27" s="13"/>
      <c r="J27" s="13"/>
      <c r="K27" s="13">
        <v>1.5</v>
      </c>
      <c r="L27" s="16"/>
      <c r="M27" s="16"/>
      <c r="N27" s="16" t="s">
        <v>518</v>
      </c>
      <c r="O27" s="16"/>
      <c r="P27" s="16"/>
      <c r="Q27" s="16"/>
      <c r="R27" s="16"/>
      <c r="S27" s="16"/>
      <c r="T27" s="16"/>
      <c r="U27" s="16"/>
      <c r="V27" s="16"/>
      <c r="W27" s="16"/>
      <c r="X27" s="17">
        <f t="shared" si="1"/>
        <v>5</v>
      </c>
      <c r="Y27" s="18">
        <f t="shared" si="2"/>
        <v>19915270.316804405</v>
      </c>
      <c r="Z27" s="24"/>
      <c r="AA27" s="20"/>
      <c r="AB27" s="21" t="b">
        <v>1</v>
      </c>
      <c r="AC27" s="22">
        <f t="shared" si="3"/>
        <v>0</v>
      </c>
      <c r="AD27" s="28"/>
      <c r="AE27" s="28"/>
    </row>
    <row r="28" spans="1:31" ht="12.75">
      <c r="A28" s="10">
        <f t="shared" si="0"/>
        <v>1838490.9779614327</v>
      </c>
      <c r="B28" s="13"/>
      <c r="C28" s="13">
        <v>1</v>
      </c>
      <c r="D28" s="13">
        <v>1</v>
      </c>
      <c r="E28" s="13">
        <v>1</v>
      </c>
      <c r="F28" s="13"/>
      <c r="G28" s="13"/>
      <c r="H28" s="13"/>
      <c r="I28" s="13"/>
      <c r="J28" s="13"/>
      <c r="K28" s="13">
        <v>2.5</v>
      </c>
      <c r="L28" s="16"/>
      <c r="M28" s="16"/>
      <c r="N28" s="16" t="s">
        <v>519</v>
      </c>
      <c r="O28" s="16"/>
      <c r="P28" s="16"/>
      <c r="Q28" s="16"/>
      <c r="R28" s="16"/>
      <c r="S28" s="16"/>
      <c r="T28" s="16"/>
      <c r="U28" s="16"/>
      <c r="V28" s="16"/>
      <c r="W28" s="16"/>
      <c r="X28" s="17">
        <f t="shared" si="1"/>
        <v>5</v>
      </c>
      <c r="Y28" s="18">
        <f t="shared" si="2"/>
        <v>19915270.316804405</v>
      </c>
      <c r="Z28" s="24"/>
      <c r="AA28" s="20"/>
      <c r="AB28" s="21" t="b">
        <v>1</v>
      </c>
      <c r="AC28" s="22">
        <f t="shared" si="3"/>
        <v>0</v>
      </c>
      <c r="AD28" s="28"/>
      <c r="AE28" s="28"/>
    </row>
    <row r="29" spans="1:31" ht="12.75">
      <c r="A29" s="10"/>
      <c r="B29" s="13"/>
      <c r="C29" s="13"/>
      <c r="D29" s="13"/>
      <c r="E29" s="13"/>
      <c r="F29" s="13"/>
      <c r="G29" s="13"/>
      <c r="H29" s="13"/>
      <c r="I29" s="13"/>
      <c r="J29" s="13"/>
      <c r="K29" s="13"/>
      <c r="L29" s="16"/>
      <c r="M29" s="16"/>
      <c r="N29" s="82" t="s">
        <v>520</v>
      </c>
      <c r="O29" s="16"/>
      <c r="P29" s="16"/>
      <c r="Q29" s="16"/>
      <c r="R29" s="16"/>
      <c r="S29" s="16"/>
      <c r="T29" s="16"/>
      <c r="U29" s="16"/>
      <c r="V29" s="16"/>
      <c r="W29" s="16"/>
      <c r="X29" s="17"/>
      <c r="Y29" s="18"/>
      <c r="Z29" s="24"/>
      <c r="AA29" s="20"/>
      <c r="AB29" s="21" t="b">
        <v>1</v>
      </c>
      <c r="AC29" s="22"/>
      <c r="AD29" s="28"/>
      <c r="AE29" s="28"/>
    </row>
    <row r="30" spans="1:31" ht="12.75">
      <c r="A30" s="10">
        <f t="shared" ref="A30:A60" si="4">(B30*$P$66+C30*$P$67+D30*$P$68+E30*$P$69+F30*$P$70+G30*$P$71+H30*$P$72+I30*$P$73+J30*$P$74+K30*$P$75)*$T$64</f>
        <v>0</v>
      </c>
      <c r="B30" s="13"/>
      <c r="C30" s="13"/>
      <c r="D30" s="13"/>
      <c r="E30" s="13"/>
      <c r="F30" s="13"/>
      <c r="G30" s="13"/>
      <c r="H30" s="13"/>
      <c r="I30" s="13"/>
      <c r="J30" s="13"/>
      <c r="K30" s="13"/>
      <c r="L30" s="16"/>
      <c r="M30" s="85" t="s">
        <v>521</v>
      </c>
      <c r="N30" s="16"/>
      <c r="O30" s="16"/>
      <c r="P30" s="16"/>
      <c r="Q30" s="16"/>
      <c r="R30" s="16"/>
      <c r="S30" s="16"/>
      <c r="T30" s="16"/>
      <c r="U30" s="16"/>
      <c r="V30" s="16"/>
      <c r="W30" s="16"/>
      <c r="X30" s="17">
        <f t="shared" ref="X30:X60" si="5">COUNTIF($L$2:L30,"&lt;&gt;"&amp;"")</f>
        <v>5</v>
      </c>
      <c r="Y30" s="18">
        <f t="shared" ref="Y30:Y60" si="6">SUMIF($X$2:$X$61,X30,$A$2:$A$61)</f>
        <v>19915270.316804405</v>
      </c>
      <c r="Z30" s="24"/>
      <c r="AA30" s="20"/>
      <c r="AB30" s="21" t="b">
        <v>1</v>
      </c>
      <c r="AC30" s="22">
        <f t="shared" ref="AC30:AC60" si="7">IF(L30="",0,IF(AB30=FALSE(),0,Y30))</f>
        <v>0</v>
      </c>
      <c r="AD30" s="28"/>
      <c r="AE30" s="28"/>
    </row>
    <row r="31" spans="1:31" ht="12.75">
      <c r="A31" s="10">
        <f t="shared" si="4"/>
        <v>1572246.9106650925</v>
      </c>
      <c r="B31" s="13"/>
      <c r="C31" s="13">
        <v>1</v>
      </c>
      <c r="D31" s="13">
        <v>1</v>
      </c>
      <c r="E31" s="13"/>
      <c r="F31" s="13">
        <v>1</v>
      </c>
      <c r="G31" s="13">
        <v>1</v>
      </c>
      <c r="H31" s="13"/>
      <c r="I31" s="13"/>
      <c r="J31" s="13"/>
      <c r="K31" s="13">
        <v>1</v>
      </c>
      <c r="L31" s="16"/>
      <c r="M31" s="16"/>
      <c r="N31" s="16" t="s">
        <v>522</v>
      </c>
      <c r="O31" s="16"/>
      <c r="P31" s="16"/>
      <c r="Q31" s="16"/>
      <c r="R31" s="16"/>
      <c r="S31" s="16"/>
      <c r="T31" s="16"/>
      <c r="U31" s="16"/>
      <c r="V31" s="16"/>
      <c r="W31" s="16"/>
      <c r="X31" s="17">
        <f t="shared" si="5"/>
        <v>5</v>
      </c>
      <c r="Y31" s="18">
        <f t="shared" si="6"/>
        <v>19915270.316804405</v>
      </c>
      <c r="Z31" s="24"/>
      <c r="AA31" s="20"/>
      <c r="AB31" s="21" t="b">
        <v>1</v>
      </c>
      <c r="AC31" s="22">
        <f t="shared" si="7"/>
        <v>0</v>
      </c>
      <c r="AD31" s="28"/>
      <c r="AE31" s="28"/>
    </row>
    <row r="32" spans="1:31" ht="12.75">
      <c r="A32" s="10">
        <f t="shared" si="4"/>
        <v>0</v>
      </c>
      <c r="B32" s="13"/>
      <c r="C32" s="13"/>
      <c r="D32" s="13"/>
      <c r="E32" s="13"/>
      <c r="F32" s="13"/>
      <c r="G32" s="13"/>
      <c r="H32" s="13"/>
      <c r="I32" s="13"/>
      <c r="J32" s="13"/>
      <c r="K32" s="13"/>
      <c r="L32" s="16"/>
      <c r="M32" s="16"/>
      <c r="N32" s="16"/>
      <c r="O32" s="16" t="s">
        <v>523</v>
      </c>
      <c r="P32" s="16"/>
      <c r="Q32" s="16"/>
      <c r="R32" s="16"/>
      <c r="S32" s="16"/>
      <c r="T32" s="16"/>
      <c r="U32" s="16"/>
      <c r="V32" s="16"/>
      <c r="W32" s="16"/>
      <c r="X32" s="17">
        <f t="shared" si="5"/>
        <v>5</v>
      </c>
      <c r="Y32" s="18">
        <f t="shared" si="6"/>
        <v>19915270.316804405</v>
      </c>
      <c r="Z32" s="24"/>
      <c r="AA32" s="20"/>
      <c r="AB32" s="21" t="b">
        <v>1</v>
      </c>
      <c r="AC32" s="22">
        <f t="shared" si="7"/>
        <v>0</v>
      </c>
      <c r="AD32" s="28"/>
      <c r="AE32" s="28"/>
    </row>
    <row r="33" spans="1:31" ht="12.75">
      <c r="A33" s="10">
        <f t="shared" si="4"/>
        <v>530352.42030696571</v>
      </c>
      <c r="B33" s="13"/>
      <c r="C33" s="13"/>
      <c r="D33" s="13"/>
      <c r="E33" s="13"/>
      <c r="F33" s="13">
        <v>1.5</v>
      </c>
      <c r="G33" s="13"/>
      <c r="H33" s="13"/>
      <c r="I33" s="13"/>
      <c r="J33" s="13"/>
      <c r="K33" s="13"/>
      <c r="L33" s="16"/>
      <c r="M33" s="16"/>
      <c r="N33" s="16" t="s">
        <v>524</v>
      </c>
      <c r="O33" s="16"/>
      <c r="P33" s="16"/>
      <c r="Q33" s="16"/>
      <c r="R33" s="16"/>
      <c r="S33" s="16"/>
      <c r="T33" s="16"/>
      <c r="U33" s="16"/>
      <c r="V33" s="16"/>
      <c r="W33" s="16"/>
      <c r="X33" s="17">
        <f t="shared" si="5"/>
        <v>5</v>
      </c>
      <c r="Y33" s="18">
        <f t="shared" si="6"/>
        <v>19915270.316804405</v>
      </c>
      <c r="Z33" s="24"/>
      <c r="AA33" s="20"/>
      <c r="AB33" s="21" t="b">
        <v>1</v>
      </c>
      <c r="AC33" s="22">
        <f t="shared" si="7"/>
        <v>0</v>
      </c>
      <c r="AD33" s="28"/>
      <c r="AE33" s="28"/>
    </row>
    <row r="34" spans="1:31" ht="12.75">
      <c r="A34" s="10">
        <f t="shared" si="4"/>
        <v>1130091.3813459268</v>
      </c>
      <c r="B34" s="13"/>
      <c r="C34" s="13">
        <v>1</v>
      </c>
      <c r="D34" s="13">
        <v>1</v>
      </c>
      <c r="E34" s="13"/>
      <c r="F34" s="13">
        <v>1.5</v>
      </c>
      <c r="G34" s="13"/>
      <c r="H34" s="13"/>
      <c r="I34" s="13"/>
      <c r="J34" s="13"/>
      <c r="K34" s="13"/>
      <c r="L34" s="16"/>
      <c r="M34" s="85"/>
      <c r="N34" s="16" t="s">
        <v>525</v>
      </c>
      <c r="O34" s="16"/>
      <c r="P34" s="16"/>
      <c r="Q34" s="16"/>
      <c r="R34" s="16"/>
      <c r="S34" s="16"/>
      <c r="T34" s="16"/>
      <c r="U34" s="16"/>
      <c r="V34" s="16"/>
      <c r="W34" s="16"/>
      <c r="X34" s="17">
        <f t="shared" si="5"/>
        <v>5</v>
      </c>
      <c r="Y34" s="18">
        <f t="shared" si="6"/>
        <v>19915270.316804405</v>
      </c>
      <c r="Z34" s="24"/>
      <c r="AA34" s="20"/>
      <c r="AB34" s="21" t="b">
        <v>1</v>
      </c>
      <c r="AC34" s="22">
        <f t="shared" si="7"/>
        <v>0</v>
      </c>
      <c r="AD34" s="28"/>
      <c r="AE34" s="28"/>
    </row>
    <row r="35" spans="1:31" ht="12.75">
      <c r="A35" s="10">
        <f t="shared" si="4"/>
        <v>0</v>
      </c>
      <c r="B35" s="13"/>
      <c r="C35" s="13"/>
      <c r="D35" s="13"/>
      <c r="E35" s="13"/>
      <c r="F35" s="13"/>
      <c r="G35" s="13"/>
      <c r="H35" s="13"/>
      <c r="I35" s="13"/>
      <c r="J35" s="13"/>
      <c r="K35" s="13"/>
      <c r="L35" s="85" t="s">
        <v>526</v>
      </c>
      <c r="M35" s="85"/>
      <c r="N35" s="16"/>
      <c r="O35" s="16"/>
      <c r="P35" s="16"/>
      <c r="Q35" s="16"/>
      <c r="R35" s="16"/>
      <c r="S35" s="16"/>
      <c r="T35" s="16"/>
      <c r="U35" s="16"/>
      <c r="V35" s="16"/>
      <c r="W35" s="85" t="s">
        <v>527</v>
      </c>
      <c r="X35" s="17">
        <f t="shared" si="5"/>
        <v>6</v>
      </c>
      <c r="Y35" s="18">
        <f t="shared" si="6"/>
        <v>8395175.7870916948</v>
      </c>
      <c r="Z35" s="24"/>
      <c r="AA35" s="20"/>
      <c r="AB35" s="21" t="b">
        <v>1</v>
      </c>
      <c r="AC35" s="22">
        <f t="shared" si="7"/>
        <v>8395175.7870916948</v>
      </c>
      <c r="AD35" s="32"/>
      <c r="AE35" s="32"/>
    </row>
    <row r="36" spans="1:31" ht="12.75">
      <c r="A36" s="10">
        <f t="shared" si="4"/>
        <v>3571959.6320346319</v>
      </c>
      <c r="B36" s="13">
        <v>2</v>
      </c>
      <c r="C36" s="13">
        <v>2</v>
      </c>
      <c r="D36" s="13">
        <v>2</v>
      </c>
      <c r="E36" s="13">
        <v>2</v>
      </c>
      <c r="F36" s="13"/>
      <c r="G36" s="13">
        <v>1.5</v>
      </c>
      <c r="H36" s="13"/>
      <c r="I36" s="13"/>
      <c r="J36" s="13"/>
      <c r="K36" s="13"/>
      <c r="L36" s="16"/>
      <c r="M36" s="16"/>
      <c r="N36" s="82" t="s">
        <v>528</v>
      </c>
      <c r="O36" s="16"/>
      <c r="P36" s="16"/>
      <c r="Q36" s="16"/>
      <c r="R36" s="16"/>
      <c r="S36" s="16"/>
      <c r="T36" s="16"/>
      <c r="U36" s="16"/>
      <c r="V36" s="16"/>
      <c r="W36" s="16"/>
      <c r="X36" s="17">
        <f t="shared" si="5"/>
        <v>6</v>
      </c>
      <c r="Y36" s="18">
        <f t="shared" si="6"/>
        <v>8395175.7870916948</v>
      </c>
      <c r="Z36" s="24"/>
      <c r="AA36" s="20"/>
      <c r="AB36" s="21" t="b">
        <v>1</v>
      </c>
      <c r="AC36" s="22">
        <f t="shared" si="7"/>
        <v>0</v>
      </c>
      <c r="AD36" s="32"/>
      <c r="AE36" s="32"/>
    </row>
    <row r="37" spans="1:31" ht="12.75">
      <c r="A37" s="10">
        <f t="shared" si="4"/>
        <v>840022.03856749309</v>
      </c>
      <c r="B37" s="13"/>
      <c r="C37" s="13"/>
      <c r="D37" s="13"/>
      <c r="E37" s="13">
        <v>2</v>
      </c>
      <c r="F37" s="13"/>
      <c r="G37" s="13"/>
      <c r="H37" s="13"/>
      <c r="I37" s="13"/>
      <c r="J37" s="13"/>
      <c r="K37" s="13"/>
      <c r="L37" s="16"/>
      <c r="M37" s="16"/>
      <c r="N37" s="82" t="s">
        <v>529</v>
      </c>
      <c r="O37" s="16"/>
      <c r="P37" s="16"/>
      <c r="Q37" s="16"/>
      <c r="R37" s="16"/>
      <c r="S37" s="16"/>
      <c r="T37" s="16"/>
      <c r="U37" s="16"/>
      <c r="V37" s="16"/>
      <c r="W37" s="16"/>
      <c r="X37" s="17">
        <f t="shared" si="5"/>
        <v>6</v>
      </c>
      <c r="Y37" s="18">
        <f t="shared" si="6"/>
        <v>8395175.7870916948</v>
      </c>
      <c r="Z37" s="24"/>
      <c r="AA37" s="20"/>
      <c r="AB37" s="21" t="b">
        <v>1</v>
      </c>
      <c r="AC37" s="22">
        <f t="shared" si="7"/>
        <v>0</v>
      </c>
      <c r="AD37" s="28"/>
      <c r="AE37" s="28"/>
    </row>
    <row r="38" spans="1:31" ht="12.75">
      <c r="A38" s="10">
        <f t="shared" si="4"/>
        <v>353568.28020464384</v>
      </c>
      <c r="B38" s="13"/>
      <c r="C38" s="13"/>
      <c r="D38" s="13"/>
      <c r="E38" s="13"/>
      <c r="F38" s="13">
        <v>1</v>
      </c>
      <c r="G38" s="13"/>
      <c r="H38" s="13"/>
      <c r="I38" s="13"/>
      <c r="J38" s="13"/>
      <c r="K38" s="13"/>
      <c r="L38" s="16"/>
      <c r="M38" s="16"/>
      <c r="N38" s="82" t="s">
        <v>530</v>
      </c>
      <c r="O38" s="16"/>
      <c r="P38" s="16"/>
      <c r="Q38" s="16"/>
      <c r="R38" s="16"/>
      <c r="S38" s="16"/>
      <c r="T38" s="16"/>
      <c r="U38" s="16"/>
      <c r="V38" s="16"/>
      <c r="W38" s="16"/>
      <c r="X38" s="17">
        <f t="shared" si="5"/>
        <v>6</v>
      </c>
      <c r="Y38" s="18">
        <f t="shared" si="6"/>
        <v>8395175.7870916948</v>
      </c>
      <c r="Z38" s="24"/>
      <c r="AA38" s="20"/>
      <c r="AB38" s="21" t="b">
        <v>1</v>
      </c>
      <c r="AC38" s="22">
        <f t="shared" si="7"/>
        <v>0</v>
      </c>
      <c r="AD38" s="28"/>
      <c r="AE38" s="28"/>
    </row>
    <row r="39" spans="1:31" ht="12.75">
      <c r="A39" s="10">
        <f t="shared" si="4"/>
        <v>1130091.3813459268</v>
      </c>
      <c r="B39" s="13"/>
      <c r="C39" s="13">
        <v>1</v>
      </c>
      <c r="D39" s="13">
        <v>1</v>
      </c>
      <c r="E39" s="13"/>
      <c r="F39" s="13">
        <v>1.5</v>
      </c>
      <c r="G39" s="13"/>
      <c r="H39" s="13"/>
      <c r="I39" s="13"/>
      <c r="J39" s="13"/>
      <c r="K39" s="13"/>
      <c r="L39" s="16"/>
      <c r="M39" s="16"/>
      <c r="N39" s="82" t="s">
        <v>531</v>
      </c>
      <c r="O39" s="16"/>
      <c r="P39" s="16"/>
      <c r="Q39" s="16"/>
      <c r="R39" s="16"/>
      <c r="S39" s="16"/>
      <c r="T39" s="16"/>
      <c r="U39" s="16"/>
      <c r="V39" s="16"/>
      <c r="W39" s="16"/>
      <c r="X39" s="17">
        <f t="shared" si="5"/>
        <v>6</v>
      </c>
      <c r="Y39" s="18">
        <f t="shared" si="6"/>
        <v>8395175.7870916948</v>
      </c>
      <c r="Z39" s="24"/>
      <c r="AA39" s="20"/>
      <c r="AB39" s="21" t="b">
        <v>1</v>
      </c>
      <c r="AC39" s="22">
        <f t="shared" si="7"/>
        <v>0</v>
      </c>
      <c r="AD39" s="28"/>
      <c r="AE39" s="28"/>
    </row>
    <row r="40" spans="1:31" ht="12.75">
      <c r="A40" s="10">
        <f t="shared" si="4"/>
        <v>0</v>
      </c>
      <c r="B40" s="13"/>
      <c r="C40" s="13"/>
      <c r="D40" s="13"/>
      <c r="E40" s="13"/>
      <c r="F40" s="13"/>
      <c r="G40" s="13"/>
      <c r="H40" s="13"/>
      <c r="I40" s="13"/>
      <c r="J40" s="13"/>
      <c r="K40" s="13"/>
      <c r="L40" s="16"/>
      <c r="M40" s="16"/>
      <c r="N40" s="82" t="s">
        <v>532</v>
      </c>
      <c r="O40" s="16"/>
      <c r="P40" s="16"/>
      <c r="Q40" s="16"/>
      <c r="R40" s="16"/>
      <c r="S40" s="16"/>
      <c r="T40" s="16"/>
      <c r="U40" s="16"/>
      <c r="V40" s="16"/>
      <c r="W40" s="16"/>
      <c r="X40" s="17">
        <f t="shared" si="5"/>
        <v>6</v>
      </c>
      <c r="Y40" s="18">
        <f t="shared" si="6"/>
        <v>8395175.7870916948</v>
      </c>
      <c r="Z40" s="24"/>
      <c r="AA40" s="20"/>
      <c r="AB40" s="21" t="b">
        <v>1</v>
      </c>
      <c r="AC40" s="22">
        <f t="shared" si="7"/>
        <v>0</v>
      </c>
      <c r="AD40" s="28"/>
      <c r="AE40" s="28"/>
    </row>
    <row r="41" spans="1:31" ht="12.75">
      <c r="A41" s="10">
        <f t="shared" si="4"/>
        <v>353568.28020464384</v>
      </c>
      <c r="B41" s="13"/>
      <c r="C41" s="13"/>
      <c r="D41" s="13"/>
      <c r="E41" s="13"/>
      <c r="F41" s="13">
        <v>1</v>
      </c>
      <c r="G41" s="13"/>
      <c r="H41" s="13"/>
      <c r="I41" s="13"/>
      <c r="J41" s="13"/>
      <c r="K41" s="13"/>
      <c r="L41" s="16"/>
      <c r="M41" s="16"/>
      <c r="N41" s="82" t="s">
        <v>533</v>
      </c>
      <c r="O41" s="16"/>
      <c r="P41" s="16"/>
      <c r="Q41" s="16"/>
      <c r="R41" s="16"/>
      <c r="S41" s="16"/>
      <c r="T41" s="16"/>
      <c r="U41" s="16"/>
      <c r="V41" s="16"/>
      <c r="W41" s="16"/>
      <c r="X41" s="17">
        <f t="shared" si="5"/>
        <v>6</v>
      </c>
      <c r="Y41" s="18">
        <f t="shared" si="6"/>
        <v>8395175.7870916948</v>
      </c>
      <c r="Z41" s="24"/>
      <c r="AA41" s="20"/>
      <c r="AB41" s="21" t="b">
        <v>1</v>
      </c>
      <c r="AC41" s="22">
        <f t="shared" si="7"/>
        <v>0</v>
      </c>
      <c r="AD41" s="28"/>
      <c r="AE41" s="28"/>
    </row>
    <row r="42" spans="1:31" ht="12.75">
      <c r="A42" s="10">
        <f t="shared" si="4"/>
        <v>2145966.1747343563</v>
      </c>
      <c r="B42" s="13">
        <v>1</v>
      </c>
      <c r="C42" s="13">
        <v>1</v>
      </c>
      <c r="D42" s="13">
        <v>1</v>
      </c>
      <c r="E42" s="13"/>
      <c r="F42" s="13">
        <v>2</v>
      </c>
      <c r="G42" s="13">
        <v>1</v>
      </c>
      <c r="H42" s="13"/>
      <c r="I42" s="13"/>
      <c r="J42" s="13"/>
      <c r="K42" s="13"/>
      <c r="L42" s="16"/>
      <c r="M42" s="16"/>
      <c r="N42" s="82" t="s">
        <v>534</v>
      </c>
      <c r="O42" s="16"/>
      <c r="P42" s="16"/>
      <c r="Q42" s="16"/>
      <c r="R42" s="16"/>
      <c r="S42" s="16"/>
      <c r="T42" s="16"/>
      <c r="U42" s="16"/>
      <c r="V42" s="16"/>
      <c r="W42" s="16"/>
      <c r="X42" s="17">
        <f t="shared" si="5"/>
        <v>6</v>
      </c>
      <c r="Y42" s="18">
        <f t="shared" si="6"/>
        <v>8395175.7870916948</v>
      </c>
      <c r="Z42" s="24"/>
      <c r="AA42" s="20"/>
      <c r="AB42" s="21" t="b">
        <v>1</v>
      </c>
      <c r="AC42" s="22">
        <f t="shared" si="7"/>
        <v>0</v>
      </c>
      <c r="AD42" s="28"/>
      <c r="AE42" s="28"/>
    </row>
    <row r="43" spans="1:31" ht="19.5">
      <c r="A43" s="10">
        <f t="shared" si="4"/>
        <v>0</v>
      </c>
      <c r="B43" s="13"/>
      <c r="C43" s="13"/>
      <c r="D43" s="13"/>
      <c r="E43" s="13"/>
      <c r="F43" s="13"/>
      <c r="G43" s="13"/>
      <c r="H43" s="13"/>
      <c r="I43" s="13"/>
      <c r="J43" s="13"/>
      <c r="K43" s="13"/>
      <c r="L43" s="102" t="s">
        <v>535</v>
      </c>
      <c r="M43" s="16"/>
      <c r="N43" s="16"/>
      <c r="O43" s="16"/>
      <c r="P43" s="16"/>
      <c r="Q43" s="16"/>
      <c r="R43" s="16"/>
      <c r="S43" s="16"/>
      <c r="T43" s="16"/>
      <c r="U43" s="16"/>
      <c r="V43" s="16"/>
      <c r="W43" s="16"/>
      <c r="X43" s="17">
        <f t="shared" si="5"/>
        <v>7</v>
      </c>
      <c r="Y43" s="18">
        <f t="shared" si="6"/>
        <v>7797914.9350649351</v>
      </c>
      <c r="Z43" s="24"/>
      <c r="AA43" s="20"/>
      <c r="AB43" s="21" t="b">
        <v>1</v>
      </c>
      <c r="AC43" s="22">
        <f t="shared" si="7"/>
        <v>7797914.9350649351</v>
      </c>
      <c r="AD43" s="28"/>
      <c r="AE43" s="28"/>
    </row>
    <row r="44" spans="1:31" ht="12.75">
      <c r="A44" s="10">
        <f t="shared" si="4"/>
        <v>0</v>
      </c>
      <c r="B44" s="13"/>
      <c r="C44" s="13"/>
      <c r="D44" s="13"/>
      <c r="E44" s="13"/>
      <c r="F44" s="13"/>
      <c r="G44" s="13"/>
      <c r="H44" s="13"/>
      <c r="I44" s="13"/>
      <c r="J44" s="13"/>
      <c r="K44" s="13"/>
      <c r="L44" s="16"/>
      <c r="M44" s="85" t="s">
        <v>536</v>
      </c>
      <c r="N44" s="16"/>
      <c r="O44" s="16"/>
      <c r="P44" s="16"/>
      <c r="Q44" s="16"/>
      <c r="R44" s="16"/>
      <c r="S44" s="16"/>
      <c r="T44" s="16"/>
      <c r="U44" s="16"/>
      <c r="V44" s="16"/>
      <c r="W44" s="16"/>
      <c r="X44" s="17">
        <f t="shared" si="5"/>
        <v>7</v>
      </c>
      <c r="Y44" s="18">
        <f t="shared" si="6"/>
        <v>7797914.9350649351</v>
      </c>
      <c r="Z44" s="24"/>
      <c r="AA44" s="20"/>
      <c r="AB44" s="21" t="b">
        <v>1</v>
      </c>
      <c r="AC44" s="22">
        <f t="shared" si="7"/>
        <v>0</v>
      </c>
      <c r="AD44" s="28"/>
      <c r="AE44" s="28"/>
    </row>
    <row r="45" spans="1:31" ht="12.75">
      <c r="A45" s="10">
        <f t="shared" si="4"/>
        <v>1518574.2030696576</v>
      </c>
      <c r="B45" s="13">
        <v>0.5</v>
      </c>
      <c r="C45" s="13">
        <v>1</v>
      </c>
      <c r="D45" s="13">
        <v>1</v>
      </c>
      <c r="E45" s="13"/>
      <c r="F45" s="13">
        <v>1</v>
      </c>
      <c r="G45" s="13">
        <v>1</v>
      </c>
      <c r="H45" s="13"/>
      <c r="I45" s="13"/>
      <c r="J45" s="13"/>
      <c r="K45" s="13"/>
      <c r="L45" s="16"/>
      <c r="M45" s="16"/>
      <c r="N45" s="16" t="s">
        <v>537</v>
      </c>
      <c r="O45" s="16"/>
      <c r="P45" s="16"/>
      <c r="Q45" s="16"/>
      <c r="R45" s="16"/>
      <c r="S45" s="16"/>
      <c r="T45" s="16"/>
      <c r="U45" s="16"/>
      <c r="V45" s="16"/>
      <c r="W45" s="16"/>
      <c r="X45" s="17">
        <f t="shared" si="5"/>
        <v>7</v>
      </c>
      <c r="Y45" s="18">
        <f t="shared" si="6"/>
        <v>7797914.9350649351</v>
      </c>
      <c r="Z45" s="24"/>
      <c r="AA45" s="20"/>
      <c r="AB45" s="21" t="b">
        <v>1</v>
      </c>
      <c r="AC45" s="22">
        <f t="shared" si="7"/>
        <v>0</v>
      </c>
      <c r="AD45" s="28"/>
      <c r="AE45" s="28"/>
    </row>
    <row r="46" spans="1:31" ht="12.75">
      <c r="A46" s="10">
        <f t="shared" si="4"/>
        <v>840022.03856749309</v>
      </c>
      <c r="B46" s="13"/>
      <c r="C46" s="13"/>
      <c r="D46" s="13"/>
      <c r="E46" s="13">
        <v>2</v>
      </c>
      <c r="F46" s="13"/>
      <c r="G46" s="13"/>
      <c r="H46" s="13"/>
      <c r="I46" s="13"/>
      <c r="J46" s="13"/>
      <c r="K46" s="13"/>
      <c r="L46" s="16"/>
      <c r="M46" s="16"/>
      <c r="N46" s="16" t="s">
        <v>538</v>
      </c>
      <c r="O46" s="16"/>
      <c r="P46" s="16"/>
      <c r="Q46" s="16"/>
      <c r="R46" s="16"/>
      <c r="S46" s="16"/>
      <c r="T46" s="16"/>
      <c r="U46" s="16"/>
      <c r="V46" s="16"/>
      <c r="W46" s="16"/>
      <c r="X46" s="17">
        <f t="shared" si="5"/>
        <v>7</v>
      </c>
      <c r="Y46" s="18">
        <f t="shared" si="6"/>
        <v>7797914.9350649351</v>
      </c>
      <c r="Z46" s="24"/>
      <c r="AA46" s="20"/>
      <c r="AB46" s="21" t="b">
        <v>1</v>
      </c>
      <c r="AC46" s="22">
        <f t="shared" si="7"/>
        <v>0</v>
      </c>
      <c r="AD46" s="28"/>
      <c r="AE46" s="28"/>
    </row>
    <row r="47" spans="1:31" ht="12.75">
      <c r="A47" s="10">
        <f t="shared" si="4"/>
        <v>0</v>
      </c>
      <c r="B47" s="13"/>
      <c r="C47" s="13"/>
      <c r="D47" s="13"/>
      <c r="E47" s="13"/>
      <c r="F47" s="13"/>
      <c r="G47" s="13"/>
      <c r="H47" s="13"/>
      <c r="I47" s="13"/>
      <c r="J47" s="13"/>
      <c r="K47" s="13"/>
      <c r="L47" s="16"/>
      <c r="M47" s="85" t="s">
        <v>539</v>
      </c>
      <c r="N47" s="16"/>
      <c r="O47" s="16"/>
      <c r="P47" s="16"/>
      <c r="Q47" s="16"/>
      <c r="R47" s="16"/>
      <c r="S47" s="16"/>
      <c r="T47" s="16"/>
      <c r="U47" s="16"/>
      <c r="V47" s="16"/>
      <c r="W47" s="16"/>
      <c r="X47" s="17">
        <f t="shared" si="5"/>
        <v>7</v>
      </c>
      <c r="Y47" s="18">
        <f t="shared" si="6"/>
        <v>7797914.9350649351</v>
      </c>
      <c r="Z47" s="24"/>
      <c r="AA47" s="20"/>
      <c r="AB47" s="21" t="b">
        <v>1</v>
      </c>
      <c r="AC47" s="22">
        <f t="shared" si="7"/>
        <v>0</v>
      </c>
      <c r="AD47" s="32"/>
      <c r="AE47" s="32"/>
    </row>
    <row r="48" spans="1:31" ht="12.75">
      <c r="A48" s="10">
        <f t="shared" si="4"/>
        <v>1854522.9043683589</v>
      </c>
      <c r="B48" s="13">
        <v>1</v>
      </c>
      <c r="C48" s="13">
        <v>1</v>
      </c>
      <c r="D48" s="13">
        <v>1</v>
      </c>
      <c r="E48" s="13"/>
      <c r="F48" s="13">
        <v>2</v>
      </c>
      <c r="G48" s="13"/>
      <c r="H48" s="13"/>
      <c r="I48" s="13"/>
      <c r="J48" s="13"/>
      <c r="K48" s="13"/>
      <c r="L48" s="16"/>
      <c r="M48" s="16"/>
      <c r="N48" s="16" t="s">
        <v>155</v>
      </c>
      <c r="O48" s="16"/>
      <c r="P48" s="16"/>
      <c r="Q48" s="16"/>
      <c r="R48" s="16"/>
      <c r="S48" s="16"/>
      <c r="T48" s="16"/>
      <c r="U48" s="16"/>
      <c r="V48" s="16"/>
      <c r="W48" s="16"/>
      <c r="X48" s="17">
        <f t="shared" si="5"/>
        <v>7</v>
      </c>
      <c r="Y48" s="18">
        <f t="shared" si="6"/>
        <v>7797914.9350649351</v>
      </c>
      <c r="Z48" s="24"/>
      <c r="AA48" s="20"/>
      <c r="AB48" s="21" t="b">
        <v>1</v>
      </c>
      <c r="AC48" s="22">
        <f t="shared" si="7"/>
        <v>0</v>
      </c>
      <c r="AD48" s="32"/>
      <c r="AE48" s="32"/>
    </row>
    <row r="49" spans="1:31" ht="12.75">
      <c r="A49" s="10">
        <f t="shared" si="4"/>
        <v>0</v>
      </c>
      <c r="B49" s="13"/>
      <c r="C49" s="13"/>
      <c r="D49" s="13"/>
      <c r="E49" s="13"/>
      <c r="F49" s="13"/>
      <c r="G49" s="13"/>
      <c r="H49" s="13"/>
      <c r="I49" s="13"/>
      <c r="J49" s="13"/>
      <c r="K49" s="13"/>
      <c r="L49" s="16"/>
      <c r="M49" s="16"/>
      <c r="N49" s="16" t="s">
        <v>540</v>
      </c>
      <c r="O49" s="16"/>
      <c r="P49" s="16"/>
      <c r="Q49" s="16"/>
      <c r="R49" s="16"/>
      <c r="S49" s="16"/>
      <c r="T49" s="16"/>
      <c r="U49" s="16"/>
      <c r="V49" s="16"/>
      <c r="X49" s="17">
        <f t="shared" si="5"/>
        <v>7</v>
      </c>
      <c r="Y49" s="18">
        <f t="shared" si="6"/>
        <v>7797914.9350649351</v>
      </c>
      <c r="Z49" s="24"/>
      <c r="AA49" s="20"/>
      <c r="AB49" s="21" t="b">
        <v>1</v>
      </c>
      <c r="AC49" s="22">
        <f t="shared" si="7"/>
        <v>0</v>
      </c>
      <c r="AD49" s="32"/>
      <c r="AE49" s="32"/>
    </row>
    <row r="50" spans="1:31" ht="12.75">
      <c r="A50" s="10">
        <f t="shared" si="4"/>
        <v>0</v>
      </c>
      <c r="B50" s="13"/>
      <c r="C50" s="13"/>
      <c r="D50" s="13"/>
      <c r="E50" s="13"/>
      <c r="F50" s="13"/>
      <c r="G50" s="13"/>
      <c r="H50" s="13"/>
      <c r="I50" s="13"/>
      <c r="J50" s="13"/>
      <c r="K50" s="13"/>
      <c r="L50" s="16"/>
      <c r="M50" s="85" t="s">
        <v>541</v>
      </c>
      <c r="N50" s="16"/>
      <c r="O50" s="16"/>
      <c r="P50" s="16"/>
      <c r="Q50" s="16"/>
      <c r="R50" s="16"/>
      <c r="S50" s="16"/>
      <c r="T50" s="16"/>
      <c r="U50" s="16"/>
      <c r="V50" s="16"/>
      <c r="W50" s="16"/>
      <c r="X50" s="17">
        <f t="shared" si="5"/>
        <v>7</v>
      </c>
      <c r="Y50" s="18">
        <f t="shared" si="6"/>
        <v>7797914.9350649351</v>
      </c>
      <c r="Z50" s="24"/>
      <c r="AA50" s="20"/>
      <c r="AB50" s="21" t="b">
        <v>1</v>
      </c>
      <c r="AC50" s="22">
        <f t="shared" si="7"/>
        <v>0</v>
      </c>
      <c r="AD50" s="32"/>
      <c r="AE50" s="32"/>
    </row>
    <row r="51" spans="1:31" ht="12.75">
      <c r="A51" s="10">
        <f t="shared" si="4"/>
        <v>3584795.7890594257</v>
      </c>
      <c r="B51" s="13">
        <v>2</v>
      </c>
      <c r="C51" s="13">
        <v>2</v>
      </c>
      <c r="D51" s="13">
        <v>2</v>
      </c>
      <c r="E51" s="13"/>
      <c r="F51" s="13">
        <v>2</v>
      </c>
      <c r="G51" s="13">
        <v>2</v>
      </c>
      <c r="H51" s="13"/>
      <c r="I51" s="13"/>
      <c r="J51" s="13"/>
      <c r="K51" s="13"/>
      <c r="L51" s="16"/>
      <c r="M51" s="16"/>
      <c r="N51" s="16" t="s">
        <v>542</v>
      </c>
      <c r="O51" s="16"/>
      <c r="P51" s="16"/>
      <c r="Q51" s="16"/>
      <c r="R51" s="16"/>
      <c r="S51" s="16"/>
      <c r="T51" s="16"/>
      <c r="U51" s="16"/>
      <c r="V51" s="16"/>
      <c r="W51" s="16"/>
      <c r="X51" s="17">
        <f t="shared" si="5"/>
        <v>7</v>
      </c>
      <c r="Y51" s="18">
        <f t="shared" si="6"/>
        <v>7797914.9350649351</v>
      </c>
      <c r="Z51" s="24"/>
      <c r="AA51" s="20"/>
      <c r="AB51" s="21" t="b">
        <v>1</v>
      </c>
      <c r="AC51" s="22">
        <f t="shared" si="7"/>
        <v>0</v>
      </c>
      <c r="AD51" s="32"/>
      <c r="AE51" s="32"/>
    </row>
    <row r="52" spans="1:31" ht="12.75">
      <c r="A52" s="10">
        <f t="shared" si="4"/>
        <v>0</v>
      </c>
      <c r="B52" s="13"/>
      <c r="C52" s="13"/>
      <c r="D52" s="13"/>
      <c r="E52" s="13"/>
      <c r="F52" s="13"/>
      <c r="G52" s="13"/>
      <c r="H52" s="13"/>
      <c r="I52" s="13"/>
      <c r="J52" s="13"/>
      <c r="K52" s="13"/>
      <c r="L52" s="16"/>
      <c r="M52" s="16"/>
      <c r="N52" s="16" t="s">
        <v>543</v>
      </c>
      <c r="O52" s="16"/>
      <c r="P52" s="16"/>
      <c r="Q52" s="16"/>
      <c r="R52" s="16"/>
      <c r="S52" s="16"/>
      <c r="T52" s="16"/>
      <c r="U52" s="16"/>
      <c r="V52" s="16"/>
      <c r="W52" s="16"/>
      <c r="X52" s="17">
        <f t="shared" si="5"/>
        <v>7</v>
      </c>
      <c r="Y52" s="18">
        <f t="shared" si="6"/>
        <v>7797914.9350649351</v>
      </c>
      <c r="Z52" s="24"/>
      <c r="AA52" s="20"/>
      <c r="AB52" s="21" t="b">
        <v>1</v>
      </c>
      <c r="AC52" s="22">
        <f t="shared" si="7"/>
        <v>0</v>
      </c>
      <c r="AD52" s="32"/>
      <c r="AE52" s="32"/>
    </row>
    <row r="53" spans="1:31" ht="12.75">
      <c r="A53" s="10">
        <f t="shared" si="4"/>
        <v>0</v>
      </c>
      <c r="B53" s="13"/>
      <c r="C53" s="13"/>
      <c r="D53" s="13"/>
      <c r="E53" s="13"/>
      <c r="F53" s="13"/>
      <c r="G53" s="13"/>
      <c r="H53" s="13"/>
      <c r="I53" s="13"/>
      <c r="J53" s="13"/>
      <c r="K53" s="13"/>
      <c r="L53" s="16"/>
      <c r="M53" s="16"/>
      <c r="N53" s="16" t="s">
        <v>544</v>
      </c>
      <c r="O53" s="16"/>
      <c r="P53" s="16"/>
      <c r="Q53" s="16"/>
      <c r="R53" s="16"/>
      <c r="S53" s="16"/>
      <c r="T53" s="16"/>
      <c r="U53" s="16"/>
      <c r="V53" s="16"/>
      <c r="W53" s="16" t="s">
        <v>545</v>
      </c>
      <c r="X53" s="17">
        <f t="shared" si="5"/>
        <v>7</v>
      </c>
      <c r="Y53" s="18">
        <f t="shared" si="6"/>
        <v>7797914.9350649351</v>
      </c>
      <c r="Z53" s="24"/>
      <c r="AA53" s="20"/>
      <c r="AB53" s="21" t="b">
        <v>1</v>
      </c>
      <c r="AC53" s="22">
        <f t="shared" si="7"/>
        <v>0</v>
      </c>
      <c r="AD53" s="32"/>
      <c r="AE53" s="32"/>
    </row>
    <row r="54" spans="1:31" ht="12.75">
      <c r="A54" s="10">
        <f t="shared" si="4"/>
        <v>0</v>
      </c>
      <c r="B54" s="13"/>
      <c r="C54" s="13"/>
      <c r="D54" s="13"/>
      <c r="E54" s="13"/>
      <c r="F54" s="13"/>
      <c r="G54" s="13"/>
      <c r="H54" s="13"/>
      <c r="I54" s="13"/>
      <c r="J54" s="13"/>
      <c r="K54" s="13"/>
      <c r="L54" s="16"/>
      <c r="M54" s="16"/>
      <c r="N54" s="82" t="s">
        <v>546</v>
      </c>
      <c r="O54" s="16"/>
      <c r="P54" s="16"/>
      <c r="Q54" s="16"/>
      <c r="R54" s="16"/>
      <c r="S54" s="16"/>
      <c r="T54" s="16"/>
      <c r="U54" s="16"/>
      <c r="V54" s="16"/>
      <c r="W54" s="16"/>
      <c r="X54" s="17">
        <f t="shared" si="5"/>
        <v>7</v>
      </c>
      <c r="Y54" s="18">
        <f t="shared" si="6"/>
        <v>7797914.9350649351</v>
      </c>
      <c r="Z54" s="24"/>
      <c r="AA54" s="20"/>
      <c r="AB54" s="21" t="b">
        <v>1</v>
      </c>
      <c r="AC54" s="22">
        <f t="shared" si="7"/>
        <v>0</v>
      </c>
      <c r="AD54" s="32"/>
      <c r="AE54" s="32"/>
    </row>
    <row r="55" spans="1:31">
      <c r="A55" s="10">
        <f t="shared" si="4"/>
        <v>0</v>
      </c>
      <c r="B55" s="13"/>
      <c r="C55" s="13"/>
      <c r="D55" s="13"/>
      <c r="E55" s="13"/>
      <c r="F55" s="13"/>
      <c r="G55" s="13"/>
      <c r="H55" s="13"/>
      <c r="I55" s="13"/>
      <c r="J55" s="13"/>
      <c r="K55" s="13"/>
      <c r="L55" s="103" t="s">
        <v>547</v>
      </c>
      <c r="M55" s="16"/>
      <c r="N55" s="16"/>
      <c r="O55" s="16"/>
      <c r="P55" s="16"/>
      <c r="Q55" s="16"/>
      <c r="R55" s="16"/>
      <c r="S55" s="16"/>
      <c r="T55" s="16"/>
      <c r="U55" s="16"/>
      <c r="V55" s="16"/>
      <c r="W55" s="16"/>
      <c r="X55" s="17">
        <f t="shared" si="5"/>
        <v>8</v>
      </c>
      <c r="Y55" s="18">
        <f t="shared" si="6"/>
        <v>5672241.4994096812</v>
      </c>
      <c r="Z55" s="24"/>
      <c r="AA55" s="20"/>
      <c r="AB55" s="21" t="b">
        <v>1</v>
      </c>
      <c r="AC55" s="22">
        <f t="shared" si="7"/>
        <v>5672241.4994096812</v>
      </c>
      <c r="AD55" s="32"/>
      <c r="AE55" s="32"/>
    </row>
    <row r="56" spans="1:31" ht="12.75">
      <c r="A56" s="10">
        <f t="shared" si="4"/>
        <v>0</v>
      </c>
      <c r="B56" s="13"/>
      <c r="C56" s="13"/>
      <c r="D56" s="13"/>
      <c r="E56" s="13"/>
      <c r="F56" s="13"/>
      <c r="G56" s="13"/>
      <c r="H56" s="13"/>
      <c r="I56" s="13"/>
      <c r="J56" s="13"/>
      <c r="K56" s="13"/>
      <c r="L56" s="16"/>
      <c r="M56" s="85" t="s">
        <v>548</v>
      </c>
      <c r="N56" s="16"/>
      <c r="O56" s="16"/>
      <c r="P56" s="16"/>
      <c r="Q56" s="16"/>
      <c r="R56" s="16"/>
      <c r="S56" s="16"/>
      <c r="T56" s="16"/>
      <c r="U56" s="16"/>
      <c r="V56" s="16"/>
      <c r="W56" s="16"/>
      <c r="X56" s="17">
        <f t="shared" si="5"/>
        <v>8</v>
      </c>
      <c r="Y56" s="18">
        <f t="shared" si="6"/>
        <v>5672241.4994096812</v>
      </c>
      <c r="Z56" s="24"/>
      <c r="AA56" s="20"/>
      <c r="AB56" s="21" t="b">
        <v>1</v>
      </c>
      <c r="AC56" s="22">
        <f t="shared" si="7"/>
        <v>0</v>
      </c>
      <c r="AD56" s="32"/>
      <c r="AE56" s="32"/>
    </row>
    <row r="57" spans="1:31" ht="12.75">
      <c r="A57" s="10">
        <f t="shared" si="4"/>
        <v>5672241.4994096812</v>
      </c>
      <c r="B57" s="13"/>
      <c r="C57" s="13">
        <v>6</v>
      </c>
      <c r="D57" s="13">
        <v>10</v>
      </c>
      <c r="E57" s="13"/>
      <c r="F57" s="13"/>
      <c r="G57" s="13">
        <v>3</v>
      </c>
      <c r="H57" s="13"/>
      <c r="I57" s="13"/>
      <c r="J57" s="13"/>
      <c r="K57" s="13"/>
      <c r="L57" s="16"/>
      <c r="M57" s="16"/>
      <c r="N57" s="16" t="s">
        <v>549</v>
      </c>
      <c r="O57" s="16"/>
      <c r="P57" s="16"/>
      <c r="Q57" s="16"/>
      <c r="R57" s="16"/>
      <c r="S57" s="16"/>
      <c r="T57" s="16"/>
      <c r="U57" s="16"/>
      <c r="V57" s="16"/>
      <c r="W57" s="16"/>
      <c r="X57" s="17">
        <f t="shared" si="5"/>
        <v>8</v>
      </c>
      <c r="Y57" s="18">
        <f t="shared" si="6"/>
        <v>5672241.4994096812</v>
      </c>
      <c r="Z57" s="24"/>
      <c r="AA57" s="20"/>
      <c r="AB57" s="21" t="b">
        <v>1</v>
      </c>
      <c r="AC57" s="22">
        <f t="shared" si="7"/>
        <v>0</v>
      </c>
      <c r="AD57" s="32"/>
      <c r="AE57" s="32"/>
    </row>
    <row r="58" spans="1:31" ht="12.75">
      <c r="A58" s="10">
        <f t="shared" si="4"/>
        <v>0</v>
      </c>
      <c r="B58" s="13"/>
      <c r="C58" s="13"/>
      <c r="D58" s="13"/>
      <c r="E58" s="13"/>
      <c r="F58" s="13"/>
      <c r="G58" s="13"/>
      <c r="H58" s="13"/>
      <c r="I58" s="13"/>
      <c r="J58" s="13"/>
      <c r="K58" s="13"/>
      <c r="L58" s="16"/>
      <c r="M58" s="85"/>
      <c r="N58" s="16"/>
      <c r="O58" s="16"/>
      <c r="P58" s="16"/>
      <c r="Q58" s="16"/>
      <c r="R58" s="16"/>
      <c r="S58" s="16"/>
      <c r="T58" s="16"/>
      <c r="U58" s="16"/>
      <c r="V58" s="16"/>
      <c r="W58" s="16"/>
      <c r="X58" s="17">
        <f t="shared" si="5"/>
        <v>8</v>
      </c>
      <c r="Y58" s="18">
        <f t="shared" si="6"/>
        <v>5672241.4994096812</v>
      </c>
      <c r="Z58" s="24"/>
      <c r="AA58" s="20"/>
      <c r="AB58" s="21" t="b">
        <v>1</v>
      </c>
      <c r="AC58" s="22">
        <f t="shared" si="7"/>
        <v>0</v>
      </c>
      <c r="AD58" s="32"/>
      <c r="AE58" s="32"/>
    </row>
    <row r="59" spans="1:31" ht="12.75">
      <c r="A59" s="10">
        <f t="shared" si="4"/>
        <v>0</v>
      </c>
      <c r="B59" s="13"/>
      <c r="C59" s="13"/>
      <c r="D59" s="13"/>
      <c r="E59" s="13"/>
      <c r="F59" s="13"/>
      <c r="G59" s="13"/>
      <c r="H59" s="13"/>
      <c r="I59" s="13"/>
      <c r="J59" s="13"/>
      <c r="K59" s="13"/>
      <c r="L59" s="16"/>
      <c r="M59" s="16"/>
      <c r="N59" s="16"/>
      <c r="O59" s="16"/>
      <c r="P59" s="16"/>
      <c r="Q59" s="16"/>
      <c r="R59" s="16"/>
      <c r="S59" s="16"/>
      <c r="T59" s="16"/>
      <c r="U59" s="16"/>
      <c r="V59" s="16"/>
      <c r="W59" s="16"/>
      <c r="X59" s="17">
        <f t="shared" si="5"/>
        <v>8</v>
      </c>
      <c r="Y59" s="18">
        <f t="shared" si="6"/>
        <v>5672241.4994096812</v>
      </c>
      <c r="Z59" s="24"/>
      <c r="AA59" s="20"/>
      <c r="AB59" s="21" t="b">
        <v>1</v>
      </c>
      <c r="AC59" s="22">
        <f t="shared" si="7"/>
        <v>0</v>
      </c>
      <c r="AD59" s="32"/>
      <c r="AE59" s="32"/>
    </row>
    <row r="60" spans="1:31" ht="15">
      <c r="A60" s="10">
        <f t="shared" si="4"/>
        <v>0</v>
      </c>
      <c r="B60" s="23"/>
      <c r="C60" s="23"/>
      <c r="D60" s="23"/>
      <c r="E60" s="23"/>
      <c r="F60" s="23"/>
      <c r="G60" s="23"/>
      <c r="H60" s="23"/>
      <c r="I60" s="23"/>
      <c r="J60" s="23"/>
      <c r="K60" s="23"/>
      <c r="L60" s="27"/>
      <c r="M60" s="16"/>
      <c r="N60" s="16"/>
      <c r="O60" s="17"/>
      <c r="P60" s="17"/>
      <c r="Q60" s="17"/>
      <c r="R60" s="17"/>
      <c r="S60" s="17"/>
      <c r="T60" s="17"/>
      <c r="U60" s="17"/>
      <c r="V60" s="17"/>
      <c r="W60" s="17"/>
      <c r="X60" s="17">
        <f t="shared" si="5"/>
        <v>8</v>
      </c>
      <c r="Y60" s="18">
        <f t="shared" si="6"/>
        <v>5672241.4994096812</v>
      </c>
      <c r="Z60" s="24"/>
      <c r="AA60" s="20"/>
      <c r="AB60" s="21" t="b">
        <v>1</v>
      </c>
      <c r="AC60" s="22">
        <f t="shared" si="7"/>
        <v>0</v>
      </c>
      <c r="AD60" s="23"/>
      <c r="AE60" s="23"/>
    </row>
    <row r="61" spans="1:31" ht="12.75">
      <c r="A61" s="33"/>
      <c r="B61" s="33"/>
      <c r="C61" s="33"/>
      <c r="D61" s="33"/>
      <c r="E61" s="33"/>
      <c r="F61" s="33"/>
      <c r="G61" s="33"/>
      <c r="H61" s="33"/>
      <c r="I61" s="33"/>
      <c r="J61" s="33"/>
      <c r="K61" s="33"/>
      <c r="L61" s="34"/>
      <c r="M61" s="34"/>
      <c r="N61" s="35"/>
      <c r="O61" s="35" t="s">
        <v>20</v>
      </c>
      <c r="P61" s="34"/>
      <c r="Q61" s="34"/>
      <c r="R61" s="34"/>
      <c r="S61" s="34"/>
      <c r="T61" s="34"/>
      <c r="U61" s="34"/>
      <c r="V61" s="34"/>
      <c r="W61" s="34"/>
      <c r="X61" s="34"/>
      <c r="Y61" s="34"/>
      <c r="Z61" s="34"/>
      <c r="AA61" s="34"/>
      <c r="AB61" s="34"/>
      <c r="AC61" s="34"/>
      <c r="AD61" s="23"/>
      <c r="AE61" s="23"/>
    </row>
    <row r="62" spans="1:31" ht="15">
      <c r="A62" s="36">
        <f>ROW()</f>
        <v>62</v>
      </c>
      <c r="B62" s="23">
        <f t="shared" ref="B62:K62" si="8">SUM(B2:B61)</f>
        <v>13.5</v>
      </c>
      <c r="C62" s="23">
        <f t="shared" si="8"/>
        <v>25</v>
      </c>
      <c r="D62" s="23">
        <f t="shared" si="8"/>
        <v>29</v>
      </c>
      <c r="E62" s="23">
        <f t="shared" si="8"/>
        <v>12</v>
      </c>
      <c r="F62" s="23">
        <f t="shared" si="8"/>
        <v>26.5</v>
      </c>
      <c r="G62" s="23">
        <f t="shared" si="8"/>
        <v>17</v>
      </c>
      <c r="H62" s="23">
        <f t="shared" si="8"/>
        <v>3</v>
      </c>
      <c r="I62" s="23">
        <f t="shared" si="8"/>
        <v>0</v>
      </c>
      <c r="J62" s="23">
        <f t="shared" si="8"/>
        <v>0</v>
      </c>
      <c r="K62" s="23">
        <f t="shared" si="8"/>
        <v>6</v>
      </c>
      <c r="L62" s="27"/>
      <c r="M62" s="16"/>
      <c r="N62" s="16"/>
      <c r="O62" s="17"/>
      <c r="P62" s="23"/>
      <c r="Q62" s="23"/>
      <c r="R62" s="23"/>
      <c r="S62" s="23"/>
      <c r="T62" s="23"/>
      <c r="U62" s="23"/>
      <c r="V62" s="23"/>
      <c r="W62" s="13"/>
      <c r="X62" s="23"/>
      <c r="Y62" s="23"/>
      <c r="Z62" s="23"/>
      <c r="AA62" s="23"/>
      <c r="AB62" s="23"/>
      <c r="AC62" s="37"/>
      <c r="AD62" s="23"/>
      <c r="AE62" s="23"/>
    </row>
    <row r="63" spans="1:31" ht="12.75">
      <c r="A63" s="23"/>
      <c r="B63" s="23"/>
      <c r="C63" s="38"/>
      <c r="D63" s="38"/>
      <c r="E63" s="38"/>
      <c r="F63" s="38"/>
      <c r="G63" s="38"/>
      <c r="H63" s="38"/>
      <c r="I63" s="130" t="s">
        <v>21</v>
      </c>
      <c r="J63" s="117"/>
      <c r="K63" s="117"/>
      <c r="L63" s="117"/>
      <c r="M63" s="131">
        <f>400000+120000</f>
        <v>520000</v>
      </c>
      <c r="N63" s="117"/>
      <c r="O63" s="117"/>
      <c r="P63" s="23"/>
      <c r="Q63" s="23"/>
      <c r="R63" s="23"/>
      <c r="S63" s="38"/>
      <c r="T63" s="38"/>
      <c r="U63" s="38"/>
      <c r="V63" s="23"/>
      <c r="W63" s="23"/>
      <c r="X63" s="23"/>
      <c r="Y63" s="23"/>
      <c r="Z63" s="23"/>
      <c r="AA63" s="23"/>
      <c r="AB63" s="23"/>
      <c r="AC63" s="37">
        <f>AC1/0.6</f>
        <v>76302398.333989248</v>
      </c>
      <c r="AD63" s="23"/>
      <c r="AE63" s="23"/>
    </row>
    <row r="64" spans="1:31" ht="15">
      <c r="A64" s="23"/>
      <c r="B64" s="23"/>
      <c r="C64" s="38"/>
      <c r="D64" s="39" t="s">
        <v>22</v>
      </c>
      <c r="E64" s="40">
        <v>1750905</v>
      </c>
      <c r="F64" s="41" t="s">
        <v>23</v>
      </c>
      <c r="G64" s="42">
        <v>249095</v>
      </c>
      <c r="H64" s="38"/>
      <c r="I64" s="43" t="s">
        <v>24</v>
      </c>
      <c r="J64" s="44">
        <v>0.18</v>
      </c>
      <c r="K64" s="44"/>
      <c r="L64" s="45" t="s">
        <v>25</v>
      </c>
      <c r="M64" s="46">
        <f>2.7/12</f>
        <v>0.22500000000000001</v>
      </c>
      <c r="N64" s="47" t="s">
        <v>26</v>
      </c>
      <c r="O64" s="48">
        <f>40*4.2*((244-2)/260)</f>
        <v>156.36923076923077</v>
      </c>
      <c r="P64" s="38"/>
      <c r="Q64" s="43" t="s">
        <v>27</v>
      </c>
      <c r="R64" s="49"/>
      <c r="S64" s="38"/>
      <c r="T64" s="50">
        <v>8</v>
      </c>
      <c r="U64" s="51" t="s">
        <v>28</v>
      </c>
      <c r="V64" s="52"/>
      <c r="W64" s="23"/>
      <c r="X64" s="23"/>
      <c r="Y64" s="23"/>
      <c r="Z64" s="23"/>
      <c r="AA64" s="23"/>
      <c r="AB64" s="23"/>
      <c r="AC64" s="37"/>
      <c r="AD64" s="23"/>
      <c r="AE64" s="23"/>
    </row>
    <row r="65" spans="1:31" ht="12.75">
      <c r="A65" s="23"/>
      <c r="B65" s="23"/>
      <c r="C65" s="127" t="s">
        <v>29</v>
      </c>
      <c r="D65" s="117"/>
      <c r="E65" s="117"/>
      <c r="F65" s="127" t="s">
        <v>30</v>
      </c>
      <c r="G65" s="117"/>
      <c r="H65" s="117"/>
      <c r="I65" s="127" t="s">
        <v>31</v>
      </c>
      <c r="J65" s="117"/>
      <c r="K65" s="117"/>
      <c r="L65" s="117"/>
      <c r="M65" s="127" t="s">
        <v>32</v>
      </c>
      <c r="N65" s="117"/>
      <c r="O65" s="117"/>
      <c r="P65" s="127" t="s">
        <v>33</v>
      </c>
      <c r="Q65" s="117"/>
      <c r="R65" s="117"/>
      <c r="S65" s="38"/>
      <c r="T65" s="38"/>
      <c r="U65" s="53" t="s">
        <v>26</v>
      </c>
      <c r="V65" s="127" t="s">
        <v>34</v>
      </c>
      <c r="W65" s="117"/>
      <c r="X65" s="117"/>
      <c r="Y65" s="23"/>
      <c r="Z65" s="23"/>
      <c r="AA65" s="23"/>
      <c r="AB65" s="23"/>
      <c r="AC65" s="37"/>
      <c r="AD65" s="23"/>
      <c r="AE65" s="23"/>
    </row>
    <row r="66" spans="1:31" ht="12.75">
      <c r="A66" s="54" t="s">
        <v>35</v>
      </c>
      <c r="B66" s="53" t="str">
        <f>B1</f>
        <v>DB</v>
      </c>
      <c r="C66" s="116">
        <v>6480000</v>
      </c>
      <c r="D66" s="117"/>
      <c r="E66" s="117"/>
      <c r="F66" s="116">
        <v>1080000</v>
      </c>
      <c r="G66" s="117"/>
      <c r="H66" s="117"/>
      <c r="I66" s="116">
        <v>0</v>
      </c>
      <c r="J66" s="117"/>
      <c r="K66" s="117"/>
      <c r="L66" s="117"/>
      <c r="M66" s="116">
        <f t="shared" ref="M66:M75" si="9">C66*(1+$J$64+$M$64)+F66+I66+$M$63+IF(($E$64*2)&gt;=C66,$G$64,0)</f>
        <v>10704400</v>
      </c>
      <c r="N66" s="117"/>
      <c r="O66" s="117"/>
      <c r="P66" s="124">
        <f t="shared" ref="P66:P75" si="10">M66/$O$64*(1+$R$64)</f>
        <v>68455.922865013781</v>
      </c>
      <c r="Q66" s="117"/>
      <c r="R66" s="117"/>
      <c r="S66" s="38"/>
      <c r="T66" s="38"/>
      <c r="U66" s="23">
        <f t="shared" ref="U66:U75" si="11">HLOOKUP(B66,$B$1:$K$62,$A$62,0)*$T$64</f>
        <v>108</v>
      </c>
      <c r="W66" s="55">
        <f t="shared" ref="W66:W75" si="12">P66*U66</f>
        <v>7393239.6694214884</v>
      </c>
      <c r="Y66" s="23"/>
      <c r="Z66" s="23"/>
      <c r="AA66" s="23"/>
      <c r="AB66" s="23"/>
      <c r="AC66" s="37"/>
      <c r="AD66" s="23"/>
      <c r="AE66" s="23"/>
    </row>
    <row r="67" spans="1:31" ht="12.75">
      <c r="A67" s="54" t="s">
        <v>36</v>
      </c>
      <c r="B67" s="53" t="str">
        <f>C1</f>
        <v>UX</v>
      </c>
      <c r="C67" s="116">
        <v>3240000</v>
      </c>
      <c r="D67" s="117"/>
      <c r="E67" s="117"/>
      <c r="F67" s="116">
        <v>540000</v>
      </c>
      <c r="G67" s="117"/>
      <c r="H67" s="117"/>
      <c r="I67" s="116">
        <v>0</v>
      </c>
      <c r="J67" s="117"/>
      <c r="K67" s="117"/>
      <c r="L67" s="117"/>
      <c r="M67" s="116">
        <f t="shared" si="9"/>
        <v>5861295</v>
      </c>
      <c r="N67" s="117"/>
      <c r="O67" s="117"/>
      <c r="P67" s="124">
        <f t="shared" si="10"/>
        <v>37483.685064935067</v>
      </c>
      <c r="Q67" s="117"/>
      <c r="R67" s="117"/>
      <c r="S67" s="38"/>
      <c r="T67" s="38"/>
      <c r="U67" s="23">
        <f t="shared" si="11"/>
        <v>200</v>
      </c>
      <c r="W67" s="55">
        <f t="shared" si="12"/>
        <v>7496737.0129870139</v>
      </c>
      <c r="Y67" s="23"/>
      <c r="Z67" s="23"/>
      <c r="AA67" s="23"/>
      <c r="AB67" s="23"/>
      <c r="AC67" s="37"/>
      <c r="AD67" s="23"/>
      <c r="AE67" s="23"/>
    </row>
    <row r="68" spans="1:31" ht="12.75">
      <c r="A68" s="54" t="s">
        <v>37</v>
      </c>
      <c r="B68" s="53" t="str">
        <f>D1</f>
        <v>FM</v>
      </c>
      <c r="C68" s="116">
        <v>3240000</v>
      </c>
      <c r="D68" s="117"/>
      <c r="E68" s="117"/>
      <c r="F68" s="116">
        <v>540000</v>
      </c>
      <c r="G68" s="117"/>
      <c r="H68" s="117"/>
      <c r="I68" s="116">
        <v>0</v>
      </c>
      <c r="J68" s="117"/>
      <c r="K68" s="117"/>
      <c r="L68" s="117"/>
      <c r="M68" s="116">
        <f t="shared" si="9"/>
        <v>5861295</v>
      </c>
      <c r="N68" s="117"/>
      <c r="O68" s="117"/>
      <c r="P68" s="124">
        <f t="shared" si="10"/>
        <v>37483.685064935067</v>
      </c>
      <c r="Q68" s="117"/>
      <c r="R68" s="117"/>
      <c r="S68" s="38"/>
      <c r="T68" s="38"/>
      <c r="U68" s="23">
        <f t="shared" si="11"/>
        <v>232</v>
      </c>
      <c r="W68" s="55">
        <f t="shared" si="12"/>
        <v>8696214.9350649361</v>
      </c>
      <c r="Y68" s="23"/>
      <c r="Z68" s="23"/>
      <c r="AA68" s="23"/>
      <c r="AB68" s="23"/>
      <c r="AC68" s="37"/>
      <c r="AD68" s="23"/>
      <c r="AE68" s="23"/>
    </row>
    <row r="69" spans="1:31" ht="12.75">
      <c r="A69" s="54" t="s">
        <v>38</v>
      </c>
      <c r="B69" s="53" t="str">
        <f>E1</f>
        <v>BS</v>
      </c>
      <c r="C69" s="116">
        <v>4320000</v>
      </c>
      <c r="D69" s="117"/>
      <c r="E69" s="117"/>
      <c r="F69" s="116">
        <v>1620000</v>
      </c>
      <c r="G69" s="117"/>
      <c r="H69" s="117"/>
      <c r="I69" s="116">
        <v>0</v>
      </c>
      <c r="J69" s="117"/>
      <c r="K69" s="117"/>
      <c r="L69" s="117"/>
      <c r="M69" s="116">
        <f t="shared" si="9"/>
        <v>8209600</v>
      </c>
      <c r="N69" s="117"/>
      <c r="O69" s="117"/>
      <c r="P69" s="124">
        <f t="shared" si="10"/>
        <v>52501.377410468318</v>
      </c>
      <c r="Q69" s="117"/>
      <c r="R69" s="117"/>
      <c r="S69" s="38"/>
      <c r="T69" s="38"/>
      <c r="U69" s="23">
        <f t="shared" si="11"/>
        <v>96</v>
      </c>
      <c r="W69" s="55">
        <f t="shared" si="12"/>
        <v>5040132.2314049583</v>
      </c>
      <c r="Y69" s="23"/>
      <c r="Z69" s="23"/>
      <c r="AA69" s="23"/>
      <c r="AB69" s="23"/>
      <c r="AC69" s="37"/>
      <c r="AD69" s="23"/>
      <c r="AE69" s="23"/>
    </row>
    <row r="70" spans="1:31" ht="12.75">
      <c r="A70" s="54" t="s">
        <v>39</v>
      </c>
      <c r="B70" s="53" t="str">
        <f>F1</f>
        <v>BM</v>
      </c>
      <c r="C70" s="116">
        <v>3780000</v>
      </c>
      <c r="D70" s="117"/>
      <c r="E70" s="117"/>
      <c r="F70" s="116">
        <v>1080000</v>
      </c>
      <c r="G70" s="117"/>
      <c r="H70" s="117"/>
      <c r="I70" s="116">
        <v>0</v>
      </c>
      <c r="J70" s="117"/>
      <c r="K70" s="117"/>
      <c r="L70" s="117"/>
      <c r="M70" s="116">
        <f t="shared" si="9"/>
        <v>6910900</v>
      </c>
      <c r="N70" s="117"/>
      <c r="O70" s="117"/>
      <c r="P70" s="124">
        <f t="shared" si="10"/>
        <v>44196.035025580481</v>
      </c>
      <c r="Q70" s="117"/>
      <c r="R70" s="117"/>
      <c r="S70" s="38"/>
      <c r="T70" s="38"/>
      <c r="U70" s="23">
        <f t="shared" si="11"/>
        <v>212</v>
      </c>
      <c r="W70" s="55">
        <f t="shared" si="12"/>
        <v>9369559.4254230615</v>
      </c>
      <c r="Y70" s="23"/>
      <c r="Z70" s="23"/>
      <c r="AA70" s="23"/>
      <c r="AB70" s="23"/>
      <c r="AC70" s="37"/>
      <c r="AD70" s="23"/>
      <c r="AE70" s="23"/>
    </row>
    <row r="71" spans="1:31" ht="12.75">
      <c r="A71" s="54" t="s">
        <v>40</v>
      </c>
      <c r="B71" s="53" t="str">
        <f>G1</f>
        <v>QA</v>
      </c>
      <c r="C71" s="116">
        <v>2700000</v>
      </c>
      <c r="D71" s="117"/>
      <c r="E71" s="117"/>
      <c r="F71" s="116">
        <v>1080000</v>
      </c>
      <c r="G71" s="117"/>
      <c r="H71" s="117"/>
      <c r="I71" s="116">
        <v>54000</v>
      </c>
      <c r="J71" s="117"/>
      <c r="K71" s="117"/>
      <c r="L71" s="117"/>
      <c r="M71" s="116">
        <f t="shared" si="9"/>
        <v>5696595</v>
      </c>
      <c r="N71" s="117"/>
      <c r="O71" s="117"/>
      <c r="P71" s="124">
        <f t="shared" si="10"/>
        <v>36430.408795749703</v>
      </c>
      <c r="Q71" s="117"/>
      <c r="R71" s="117"/>
      <c r="S71" s="38"/>
      <c r="T71" s="38"/>
      <c r="U71" s="23">
        <f t="shared" si="11"/>
        <v>136</v>
      </c>
      <c r="W71" s="55">
        <f t="shared" si="12"/>
        <v>4954535.5962219592</v>
      </c>
      <c r="Y71" s="23"/>
      <c r="Z71" s="23"/>
      <c r="AA71" s="23"/>
      <c r="AB71" s="23"/>
      <c r="AC71" s="37"/>
      <c r="AD71" s="23"/>
      <c r="AE71" s="23"/>
    </row>
    <row r="72" spans="1:31" ht="12.75">
      <c r="A72" s="54" t="s">
        <v>41</v>
      </c>
      <c r="B72" s="53" t="str">
        <f>H1</f>
        <v>IM</v>
      </c>
      <c r="C72" s="116">
        <v>2700000</v>
      </c>
      <c r="D72" s="117"/>
      <c r="E72" s="117"/>
      <c r="F72" s="116">
        <v>1080000</v>
      </c>
      <c r="G72" s="117"/>
      <c r="H72" s="117"/>
      <c r="I72" s="116">
        <v>0</v>
      </c>
      <c r="J72" s="117"/>
      <c r="K72" s="117"/>
      <c r="L72" s="117"/>
      <c r="M72" s="116">
        <f t="shared" si="9"/>
        <v>5642595</v>
      </c>
      <c r="N72" s="117"/>
      <c r="O72" s="117"/>
      <c r="P72" s="124">
        <f t="shared" si="10"/>
        <v>36085.07231404959</v>
      </c>
      <c r="Q72" s="117"/>
      <c r="R72" s="117"/>
      <c r="S72" s="38"/>
      <c r="T72" s="38"/>
      <c r="U72" s="23">
        <f t="shared" si="11"/>
        <v>24</v>
      </c>
      <c r="W72" s="55">
        <f t="shared" si="12"/>
        <v>866041.73553719022</v>
      </c>
      <c r="Y72" s="23"/>
      <c r="Z72" s="23"/>
      <c r="AA72" s="23"/>
      <c r="AB72" s="23"/>
      <c r="AC72" s="37"/>
      <c r="AD72" s="23"/>
      <c r="AE72" s="23"/>
    </row>
    <row r="73" spans="1:31" ht="12.75">
      <c r="A73" s="54" t="s">
        <v>42</v>
      </c>
      <c r="B73" s="53" t="str">
        <f>I1</f>
        <v>MS</v>
      </c>
      <c r="C73" s="116">
        <v>8100000</v>
      </c>
      <c r="D73" s="117"/>
      <c r="E73" s="117"/>
      <c r="F73" s="116">
        <v>2160000</v>
      </c>
      <c r="G73" s="117"/>
      <c r="H73" s="117"/>
      <c r="I73" s="116">
        <v>132000</v>
      </c>
      <c r="J73" s="117"/>
      <c r="K73" s="117"/>
      <c r="L73" s="117"/>
      <c r="M73" s="116">
        <f t="shared" si="9"/>
        <v>14192500</v>
      </c>
      <c r="N73" s="117"/>
      <c r="O73" s="117"/>
      <c r="P73" s="124">
        <f t="shared" si="10"/>
        <v>90762.741046831958</v>
      </c>
      <c r="Q73" s="117"/>
      <c r="R73" s="117"/>
      <c r="S73" s="38"/>
      <c r="T73" s="38"/>
      <c r="U73" s="23">
        <f t="shared" si="11"/>
        <v>0</v>
      </c>
      <c r="W73" s="55">
        <f t="shared" si="12"/>
        <v>0</v>
      </c>
      <c r="Y73" s="23"/>
      <c r="Z73" s="23"/>
      <c r="AA73" s="23"/>
      <c r="AB73" s="23"/>
      <c r="AC73" s="37"/>
      <c r="AD73" s="23"/>
      <c r="AE73" s="23"/>
    </row>
    <row r="74" spans="1:31" ht="12.75">
      <c r="A74" s="54" t="s">
        <v>43</v>
      </c>
      <c r="B74" s="53" t="str">
        <f>J1</f>
        <v>MM</v>
      </c>
      <c r="C74" s="116">
        <v>3240000</v>
      </c>
      <c r="D74" s="117"/>
      <c r="E74" s="117"/>
      <c r="F74" s="116">
        <v>1080000</v>
      </c>
      <c r="G74" s="117"/>
      <c r="H74" s="117"/>
      <c r="I74" s="116">
        <v>132000</v>
      </c>
      <c r="J74" s="117"/>
      <c r="K74" s="117"/>
      <c r="L74" s="117"/>
      <c r="M74" s="116">
        <f t="shared" si="9"/>
        <v>6533295</v>
      </c>
      <c r="N74" s="117"/>
      <c r="O74" s="117"/>
      <c r="P74" s="124">
        <f t="shared" si="10"/>
        <v>41781.205726092092</v>
      </c>
      <c r="Q74" s="117"/>
      <c r="R74" s="117"/>
      <c r="S74" s="38"/>
      <c r="T74" s="38"/>
      <c r="U74" s="23">
        <f t="shared" si="11"/>
        <v>0</v>
      </c>
      <c r="W74" s="55">
        <f t="shared" si="12"/>
        <v>0</v>
      </c>
      <c r="Y74" s="23"/>
      <c r="Z74" s="23"/>
      <c r="AA74" s="23"/>
      <c r="AB74" s="23"/>
      <c r="AC74" s="37"/>
      <c r="AD74" s="23"/>
      <c r="AE74" s="23"/>
    </row>
    <row r="75" spans="1:31" ht="12.75">
      <c r="A75" s="54" t="s">
        <v>44</v>
      </c>
      <c r="B75" s="53" t="s">
        <v>10</v>
      </c>
      <c r="C75" s="116">
        <v>3240000</v>
      </c>
      <c r="D75" s="117"/>
      <c r="E75" s="117"/>
      <c r="F75" s="116">
        <v>1080000</v>
      </c>
      <c r="G75" s="117"/>
      <c r="H75" s="117"/>
      <c r="I75" s="116"/>
      <c r="J75" s="117"/>
      <c r="K75" s="117"/>
      <c r="L75" s="117"/>
      <c r="M75" s="116">
        <f t="shared" si="9"/>
        <v>6401295</v>
      </c>
      <c r="N75" s="117"/>
      <c r="O75" s="117"/>
      <c r="P75" s="124">
        <f t="shared" si="10"/>
        <v>40937.049881936247</v>
      </c>
      <c r="Q75" s="117"/>
      <c r="R75" s="117"/>
      <c r="S75" s="38"/>
      <c r="T75" s="38"/>
      <c r="U75" s="23">
        <f t="shared" si="11"/>
        <v>48</v>
      </c>
      <c r="W75" s="55">
        <f t="shared" si="12"/>
        <v>1964978.3943329398</v>
      </c>
      <c r="Y75" s="23"/>
      <c r="Z75" s="23"/>
      <c r="AA75" s="23"/>
      <c r="AB75" s="23"/>
      <c r="AC75" s="37"/>
      <c r="AD75" s="23"/>
      <c r="AE75" s="23"/>
    </row>
    <row r="76" spans="1:31" ht="12.75">
      <c r="A76" s="54"/>
      <c r="B76" s="53"/>
      <c r="C76" s="38"/>
      <c r="D76" s="38"/>
      <c r="E76" s="38"/>
      <c r="F76" s="38"/>
      <c r="G76" s="38"/>
      <c r="H76" s="38"/>
      <c r="I76" s="23"/>
      <c r="J76" s="23"/>
      <c r="K76" s="23"/>
      <c r="L76" s="23"/>
      <c r="M76" s="23"/>
      <c r="N76" s="23"/>
      <c r="O76" s="23"/>
      <c r="P76" s="125">
        <f>SUM(P66:P75)</f>
        <v>486117.18319559225</v>
      </c>
      <c r="Q76" s="117"/>
      <c r="R76" s="117"/>
      <c r="S76" s="38"/>
      <c r="T76" s="38"/>
      <c r="U76" s="38"/>
      <c r="W76" s="56">
        <f>SUM(W66:W75)</f>
        <v>45781439.000393555</v>
      </c>
      <c r="Y76" s="23"/>
      <c r="Z76" s="23"/>
      <c r="AA76" s="23"/>
      <c r="AB76" s="23"/>
      <c r="AC76" s="37"/>
      <c r="AD76" s="23"/>
      <c r="AE76" s="23"/>
    </row>
    <row r="77" spans="1:31" ht="12.75">
      <c r="A77" s="23"/>
      <c r="B77" s="23"/>
      <c r="C77" s="57"/>
      <c r="D77" s="57"/>
      <c r="E77" s="23"/>
      <c r="F77" s="23"/>
      <c r="G77" s="23"/>
      <c r="H77" s="38"/>
      <c r="I77" s="23"/>
      <c r="J77" s="23"/>
      <c r="K77" s="23"/>
      <c r="L77" s="38"/>
      <c r="M77" s="23"/>
      <c r="N77" s="23"/>
      <c r="O77" s="23"/>
      <c r="P77" s="23"/>
      <c r="Q77" s="23"/>
      <c r="R77" s="23"/>
      <c r="S77" s="23"/>
      <c r="T77" s="23"/>
      <c r="U77" s="23"/>
      <c r="V77" s="23"/>
      <c r="W77" s="23"/>
      <c r="X77" s="23"/>
      <c r="Y77" s="23"/>
      <c r="Z77" s="23"/>
      <c r="AA77" s="23"/>
      <c r="AB77" s="23"/>
      <c r="AC77" s="37"/>
      <c r="AD77" s="23"/>
      <c r="AE77" s="23"/>
    </row>
    <row r="78" spans="1:31" ht="12.7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37"/>
      <c r="AD78" s="23"/>
      <c r="AE78" s="23"/>
    </row>
    <row r="79" spans="1:31" ht="12.75">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9"/>
      <c r="AD79" s="58"/>
      <c r="AE79" s="58"/>
    </row>
    <row r="80" spans="1:31" ht="15">
      <c r="A80" s="58"/>
      <c r="B80" s="58"/>
      <c r="C80" s="118"/>
      <c r="D80" s="119"/>
      <c r="E80" s="119"/>
      <c r="F80" s="120"/>
      <c r="G80" s="121"/>
      <c r="H80" s="122"/>
      <c r="I80" s="122"/>
      <c r="J80" s="123"/>
      <c r="K80" s="60"/>
      <c r="L80" s="126"/>
      <c r="M80" s="122"/>
      <c r="N80" s="122"/>
      <c r="O80" s="123"/>
      <c r="P80" s="121"/>
      <c r="Q80" s="122"/>
      <c r="R80" s="122"/>
      <c r="S80" s="123"/>
      <c r="T80" s="126"/>
      <c r="U80" s="122"/>
      <c r="V80" s="122"/>
      <c r="W80" s="123"/>
      <c r="X80" s="121"/>
      <c r="Y80" s="122"/>
      <c r="Z80" s="123"/>
      <c r="AA80" s="126"/>
      <c r="AB80" s="122"/>
      <c r="AC80" s="123"/>
      <c r="AD80" s="61"/>
      <c r="AE80" s="58"/>
    </row>
    <row r="81" spans="1:31" ht="12.75">
      <c r="A81" s="62" t="e">
        <f t="array" aca="1" ref="A81:A89" ca="1">unique(L1:L61)</f>
        <v>#NAME?</v>
      </c>
      <c r="B81" s="63"/>
      <c r="C81" s="64"/>
      <c r="D81" s="64"/>
      <c r="E81" s="64"/>
      <c r="F81" s="65"/>
      <c r="G81" s="66" t="s">
        <v>45</v>
      </c>
      <c r="H81" s="66" t="s">
        <v>46</v>
      </c>
      <c r="I81" s="66" t="s">
        <v>47</v>
      </c>
      <c r="J81" s="66" t="s">
        <v>48</v>
      </c>
      <c r="K81" s="66" t="s">
        <v>49</v>
      </c>
      <c r="L81" s="67" t="s">
        <v>50</v>
      </c>
      <c r="M81" s="67" t="s">
        <v>51</v>
      </c>
      <c r="N81" s="67" t="s">
        <v>52</v>
      </c>
      <c r="O81" s="67" t="s">
        <v>53</v>
      </c>
      <c r="P81" s="66" t="s">
        <v>54</v>
      </c>
      <c r="Q81" s="66"/>
      <c r="R81" s="66"/>
      <c r="S81" s="66"/>
      <c r="T81" s="67"/>
      <c r="U81" s="67"/>
      <c r="V81" s="67"/>
      <c r="W81" s="67"/>
      <c r="X81" s="66"/>
      <c r="Y81" s="66"/>
      <c r="Z81" s="66"/>
      <c r="AA81" s="67"/>
      <c r="AB81" s="67"/>
      <c r="AC81" s="68"/>
      <c r="AD81" s="67"/>
      <c r="AE81" s="58"/>
    </row>
    <row r="82" spans="1:31" ht="12.75">
      <c r="A82" s="69" t="e">
        <f ca="1"/>
        <v>#NAME?</v>
      </c>
      <c r="B82" s="70"/>
      <c r="C82" s="71"/>
      <c r="D82" s="71" t="s">
        <v>55</v>
      </c>
      <c r="E82" s="71"/>
      <c r="F82" s="72"/>
      <c r="G82" s="73"/>
      <c r="H82" s="73"/>
      <c r="I82" s="73"/>
      <c r="J82" s="73"/>
      <c r="K82" s="73"/>
      <c r="L82" s="74"/>
      <c r="M82" s="74"/>
      <c r="N82" s="74"/>
      <c r="O82" s="75"/>
      <c r="P82" s="76"/>
      <c r="Q82" s="76"/>
      <c r="R82" s="76"/>
      <c r="S82" s="76"/>
      <c r="T82" s="75"/>
      <c r="U82" s="75"/>
      <c r="V82" s="75"/>
      <c r="W82" s="75"/>
      <c r="X82" s="76"/>
      <c r="Y82" s="76"/>
      <c r="Z82" s="76"/>
      <c r="AA82" s="75"/>
      <c r="AB82" s="75"/>
      <c r="AC82" s="77"/>
      <c r="AD82" s="75"/>
      <c r="AE82" s="58"/>
    </row>
    <row r="83" spans="1:31" ht="12.75">
      <c r="A83" s="69" t="e">
        <f ca="1"/>
        <v>#NAME?</v>
      </c>
      <c r="B83" s="70"/>
      <c r="C83" s="71"/>
      <c r="D83" s="71"/>
      <c r="E83" s="71"/>
      <c r="F83" s="72"/>
      <c r="G83" s="73"/>
      <c r="H83" s="73"/>
      <c r="I83" s="73"/>
      <c r="J83" s="73"/>
      <c r="K83" s="73"/>
      <c r="L83" s="74"/>
      <c r="M83" s="75"/>
      <c r="N83" s="75"/>
      <c r="O83" s="75"/>
      <c r="P83" s="76"/>
      <c r="Q83" s="76"/>
      <c r="R83" s="76"/>
      <c r="S83" s="76"/>
      <c r="T83" s="75"/>
      <c r="U83" s="75"/>
      <c r="V83" s="75"/>
      <c r="W83" s="75"/>
      <c r="X83" s="76"/>
      <c r="Y83" s="76"/>
      <c r="Z83" s="76"/>
      <c r="AA83" s="75"/>
      <c r="AB83" s="75"/>
      <c r="AC83" s="77"/>
      <c r="AD83" s="75"/>
      <c r="AE83" s="58"/>
    </row>
    <row r="84" spans="1:31" ht="12.75">
      <c r="A84" s="69" t="e">
        <f ca="1"/>
        <v>#NAME?</v>
      </c>
      <c r="B84" s="70"/>
      <c r="C84" s="71"/>
      <c r="D84" s="71"/>
      <c r="E84" s="71"/>
      <c r="F84" s="72"/>
      <c r="G84" s="73"/>
      <c r="H84" s="73"/>
      <c r="I84" s="73"/>
      <c r="J84" s="73"/>
      <c r="K84" s="73"/>
      <c r="L84" s="74"/>
      <c r="M84" s="74"/>
      <c r="N84" s="74"/>
      <c r="O84" s="74"/>
      <c r="P84" s="76"/>
      <c r="Q84" s="76"/>
      <c r="R84" s="76"/>
      <c r="S84" s="76"/>
      <c r="T84" s="75"/>
      <c r="U84" s="75"/>
      <c r="V84" s="75"/>
      <c r="W84" s="75"/>
      <c r="X84" s="76"/>
      <c r="Y84" s="76"/>
      <c r="Z84" s="76"/>
      <c r="AA84" s="75"/>
      <c r="AB84" s="75"/>
      <c r="AC84" s="77"/>
      <c r="AD84" s="75"/>
      <c r="AE84" s="58"/>
    </row>
    <row r="85" spans="1:31" ht="12.75">
      <c r="A85" s="69" t="e">
        <f ca="1"/>
        <v>#NAME?</v>
      </c>
      <c r="B85" s="70"/>
      <c r="C85" s="71"/>
      <c r="D85" s="71"/>
      <c r="E85" s="71"/>
      <c r="F85" s="72"/>
      <c r="G85" s="73"/>
      <c r="H85" s="73"/>
      <c r="I85" s="73"/>
      <c r="J85" s="73"/>
      <c r="K85" s="73"/>
      <c r="L85" s="74"/>
      <c r="M85" s="74"/>
      <c r="N85" s="74"/>
      <c r="O85" s="75"/>
      <c r="P85" s="76"/>
      <c r="Q85" s="76"/>
      <c r="R85" s="76"/>
      <c r="S85" s="76"/>
      <c r="T85" s="75"/>
      <c r="U85" s="75"/>
      <c r="V85" s="75"/>
      <c r="W85" s="75"/>
      <c r="X85" s="76"/>
      <c r="Y85" s="76"/>
      <c r="Z85" s="76"/>
      <c r="AA85" s="75"/>
      <c r="AB85" s="75"/>
      <c r="AC85" s="77"/>
      <c r="AD85" s="75"/>
      <c r="AE85" s="58"/>
    </row>
    <row r="86" spans="1:31" ht="12.75">
      <c r="A86" s="69" t="e">
        <f ca="1"/>
        <v>#NAME?</v>
      </c>
      <c r="B86" s="70"/>
      <c r="C86" s="71"/>
      <c r="D86" s="71"/>
      <c r="E86" s="71"/>
      <c r="F86" s="72"/>
      <c r="G86" s="73"/>
      <c r="H86" s="73"/>
      <c r="I86" s="73"/>
      <c r="J86" s="73"/>
      <c r="K86" s="73"/>
      <c r="L86" s="74"/>
      <c r="M86" s="74"/>
      <c r="N86" s="74"/>
      <c r="O86" s="74"/>
      <c r="P86" s="76"/>
      <c r="Q86" s="76"/>
      <c r="R86" s="76"/>
      <c r="S86" s="76"/>
      <c r="T86" s="75"/>
      <c r="U86" s="75"/>
      <c r="V86" s="75"/>
      <c r="W86" s="75"/>
      <c r="X86" s="76"/>
      <c r="Y86" s="76"/>
      <c r="Z86" s="76"/>
      <c r="AA86" s="75"/>
      <c r="AB86" s="75"/>
      <c r="AC86" s="77"/>
      <c r="AD86" s="75"/>
      <c r="AE86" s="58"/>
    </row>
    <row r="87" spans="1:31" ht="12.75">
      <c r="A87" s="69" t="e">
        <f ca="1"/>
        <v>#NAME?</v>
      </c>
      <c r="B87" s="70"/>
      <c r="C87" s="71"/>
      <c r="D87" s="71"/>
      <c r="E87" s="71"/>
      <c r="F87" s="72"/>
      <c r="G87" s="73"/>
      <c r="H87" s="73"/>
      <c r="I87" s="73"/>
      <c r="J87" s="73"/>
      <c r="K87" s="73"/>
      <c r="L87" s="74"/>
      <c r="M87" s="74"/>
      <c r="N87" s="74"/>
      <c r="O87" s="75"/>
      <c r="P87" s="73"/>
      <c r="Q87" s="76"/>
      <c r="R87" s="76"/>
      <c r="S87" s="76"/>
      <c r="T87" s="75"/>
      <c r="U87" s="75"/>
      <c r="V87" s="75"/>
      <c r="W87" s="75"/>
      <c r="X87" s="76"/>
      <c r="Y87" s="76"/>
      <c r="Z87" s="76"/>
      <c r="AA87" s="75"/>
      <c r="AB87" s="75"/>
      <c r="AC87" s="77"/>
      <c r="AD87" s="75"/>
      <c r="AE87" s="58"/>
    </row>
    <row r="88" spans="1:31" ht="12.75">
      <c r="A88" s="69" t="e">
        <f ca="1"/>
        <v>#NAME?</v>
      </c>
      <c r="B88" s="70"/>
      <c r="C88" s="71"/>
      <c r="D88" s="71"/>
      <c r="E88" s="71"/>
      <c r="F88" s="72"/>
      <c r="G88" s="73"/>
      <c r="H88" s="73"/>
      <c r="I88" s="73"/>
      <c r="J88" s="73"/>
      <c r="K88" s="73"/>
      <c r="L88" s="74"/>
      <c r="M88" s="74"/>
      <c r="N88" s="74"/>
      <c r="O88" s="75"/>
      <c r="P88" s="73"/>
      <c r="Q88" s="76"/>
      <c r="R88" s="76"/>
      <c r="S88" s="76"/>
      <c r="T88" s="75"/>
      <c r="U88" s="75"/>
      <c r="V88" s="75"/>
      <c r="W88" s="75"/>
      <c r="X88" s="76"/>
      <c r="Y88" s="76"/>
      <c r="Z88" s="76"/>
      <c r="AA88" s="75"/>
      <c r="AB88" s="75"/>
      <c r="AC88" s="77"/>
      <c r="AD88" s="75"/>
      <c r="AE88" s="58"/>
    </row>
    <row r="89" spans="1:31" ht="12.75">
      <c r="A89" s="69" t="e">
        <f ca="1"/>
        <v>#NAME?</v>
      </c>
      <c r="B89" s="70"/>
      <c r="C89" s="71"/>
      <c r="D89" s="71"/>
      <c r="E89" s="71"/>
      <c r="F89" s="72"/>
      <c r="G89" s="73"/>
      <c r="H89" s="73"/>
      <c r="I89" s="73"/>
      <c r="J89" s="73"/>
      <c r="K89" s="73"/>
      <c r="L89" s="74"/>
      <c r="M89" s="74"/>
      <c r="N89" s="74"/>
      <c r="O89" s="74"/>
      <c r="P89" s="73"/>
      <c r="Q89" s="76"/>
      <c r="R89" s="76"/>
      <c r="S89" s="76"/>
      <c r="T89" s="75"/>
      <c r="U89" s="75"/>
      <c r="V89" s="75"/>
      <c r="W89" s="75"/>
      <c r="X89" s="76"/>
      <c r="Y89" s="76"/>
      <c r="Z89" s="76"/>
      <c r="AA89" s="75"/>
      <c r="AB89" s="75"/>
      <c r="AC89" s="77"/>
      <c r="AD89" s="75"/>
      <c r="AE89" s="58"/>
    </row>
    <row r="90" spans="1:31" ht="12.75">
      <c r="A90" s="69"/>
      <c r="B90" s="70"/>
      <c r="C90" s="71"/>
      <c r="D90" s="71"/>
      <c r="E90" s="71"/>
      <c r="F90" s="72"/>
      <c r="G90" s="73"/>
      <c r="H90" s="73"/>
      <c r="I90" s="73"/>
      <c r="J90" s="73"/>
      <c r="K90" s="73"/>
      <c r="L90" s="74"/>
      <c r="M90" s="74"/>
      <c r="N90" s="74"/>
      <c r="O90" s="75"/>
      <c r="P90" s="76"/>
      <c r="Q90" s="76"/>
      <c r="R90" s="76"/>
      <c r="S90" s="76"/>
      <c r="T90" s="75"/>
      <c r="U90" s="75"/>
      <c r="V90" s="75"/>
      <c r="W90" s="75"/>
      <c r="X90" s="76"/>
      <c r="Y90" s="76"/>
      <c r="Z90" s="76"/>
      <c r="AA90" s="75"/>
      <c r="AB90" s="75"/>
      <c r="AC90" s="77"/>
      <c r="AD90" s="75"/>
      <c r="AE90" s="58"/>
    </row>
    <row r="91" spans="1:31" ht="12.75">
      <c r="A91" s="69"/>
      <c r="B91" s="70"/>
      <c r="C91" s="71"/>
      <c r="D91" s="71"/>
      <c r="E91" s="71"/>
      <c r="F91" s="72"/>
      <c r="G91" s="73"/>
      <c r="H91" s="73"/>
      <c r="I91" s="73"/>
      <c r="J91" s="73"/>
      <c r="K91" s="73"/>
      <c r="L91" s="74"/>
      <c r="M91" s="74"/>
      <c r="N91" s="74"/>
      <c r="O91" s="75"/>
      <c r="P91" s="76"/>
      <c r="Q91" s="76"/>
      <c r="R91" s="76"/>
      <c r="S91" s="76"/>
      <c r="T91" s="75"/>
      <c r="U91" s="75"/>
      <c r="V91" s="75"/>
      <c r="W91" s="75"/>
      <c r="X91" s="76"/>
      <c r="Y91" s="76"/>
      <c r="Z91" s="76"/>
      <c r="AA91" s="75"/>
      <c r="AB91" s="75"/>
      <c r="AC91" s="77"/>
      <c r="AD91" s="75"/>
      <c r="AE91" s="58"/>
    </row>
    <row r="92" spans="1:31" ht="12.75">
      <c r="A92" s="69"/>
      <c r="B92" s="70"/>
      <c r="C92" s="71"/>
      <c r="D92" s="71"/>
      <c r="E92" s="71"/>
      <c r="F92" s="72"/>
      <c r="G92" s="73"/>
      <c r="H92" s="73"/>
      <c r="I92" s="73"/>
      <c r="J92" s="73"/>
      <c r="K92" s="73"/>
      <c r="L92" s="74"/>
      <c r="M92" s="74"/>
      <c r="N92" s="74"/>
      <c r="O92" s="75"/>
      <c r="P92" s="76"/>
      <c r="Q92" s="76"/>
      <c r="R92" s="76"/>
      <c r="S92" s="76"/>
      <c r="T92" s="75"/>
      <c r="U92" s="75"/>
      <c r="V92" s="75"/>
      <c r="W92" s="75"/>
      <c r="X92" s="76"/>
      <c r="Y92" s="76"/>
      <c r="Z92" s="76"/>
      <c r="AA92" s="75"/>
      <c r="AB92" s="75"/>
      <c r="AC92" s="77"/>
      <c r="AD92" s="75"/>
      <c r="AE92" s="58"/>
    </row>
    <row r="93" spans="1:31" ht="12.75">
      <c r="A93" s="69"/>
      <c r="B93" s="70"/>
      <c r="C93" s="71"/>
      <c r="D93" s="71"/>
      <c r="E93" s="71"/>
      <c r="F93" s="72"/>
      <c r="G93" s="73"/>
      <c r="H93" s="73"/>
      <c r="I93" s="73"/>
      <c r="J93" s="73"/>
      <c r="K93" s="73"/>
      <c r="L93" s="74"/>
      <c r="M93" s="74"/>
      <c r="N93" s="74"/>
      <c r="O93" s="75"/>
      <c r="P93" s="76"/>
      <c r="Q93" s="76"/>
      <c r="R93" s="76"/>
      <c r="S93" s="76"/>
      <c r="T93" s="75"/>
      <c r="U93" s="75"/>
      <c r="V93" s="75"/>
      <c r="W93" s="75"/>
      <c r="X93" s="76"/>
      <c r="Y93" s="76"/>
      <c r="Z93" s="76"/>
      <c r="AA93" s="75"/>
      <c r="AB93" s="75"/>
      <c r="AC93" s="77"/>
      <c r="AD93" s="75"/>
      <c r="AE93" s="58"/>
    </row>
    <row r="94" spans="1:31" ht="12.75">
      <c r="A94" s="69"/>
      <c r="B94" s="70"/>
      <c r="C94" s="71"/>
      <c r="D94" s="71"/>
      <c r="E94" s="71"/>
      <c r="F94" s="72"/>
      <c r="G94" s="73"/>
      <c r="H94" s="73"/>
      <c r="I94" s="73"/>
      <c r="J94" s="73"/>
      <c r="K94" s="73"/>
      <c r="L94" s="74"/>
      <c r="M94" s="74"/>
      <c r="N94" s="74"/>
      <c r="O94" s="75"/>
      <c r="P94" s="76"/>
      <c r="Q94" s="76"/>
      <c r="R94" s="76"/>
      <c r="S94" s="76"/>
      <c r="T94" s="75"/>
      <c r="U94" s="75"/>
      <c r="V94" s="75"/>
      <c r="W94" s="75"/>
      <c r="X94" s="76"/>
      <c r="Y94" s="76"/>
      <c r="Z94" s="76"/>
      <c r="AA94" s="75"/>
      <c r="AB94" s="75"/>
      <c r="AC94" s="77"/>
      <c r="AD94" s="75"/>
      <c r="AE94" s="58"/>
    </row>
    <row r="95" spans="1:31" ht="12.75">
      <c r="A95" s="69"/>
      <c r="B95" s="70"/>
      <c r="C95" s="71"/>
      <c r="D95" s="71"/>
      <c r="E95" s="71"/>
      <c r="F95" s="72"/>
      <c r="G95" s="73"/>
      <c r="H95" s="73"/>
      <c r="I95" s="73"/>
      <c r="J95" s="73"/>
      <c r="K95" s="73"/>
      <c r="L95" s="74"/>
      <c r="M95" s="74"/>
      <c r="N95" s="74"/>
      <c r="O95" s="75"/>
      <c r="P95" s="76"/>
      <c r="Q95" s="76"/>
      <c r="R95" s="76"/>
      <c r="S95" s="76"/>
      <c r="T95" s="75"/>
      <c r="U95" s="75"/>
      <c r="V95" s="75"/>
      <c r="W95" s="75"/>
      <c r="X95" s="76"/>
      <c r="Y95" s="76"/>
      <c r="Z95" s="76"/>
      <c r="AA95" s="75"/>
      <c r="AB95" s="75"/>
      <c r="AC95" s="77"/>
      <c r="AD95" s="75"/>
      <c r="AE95" s="58"/>
    </row>
    <row r="96" spans="1:31" ht="12.75">
      <c r="A96" s="69"/>
      <c r="B96" s="70"/>
      <c r="C96" s="71"/>
      <c r="D96" s="71"/>
      <c r="E96" s="71"/>
      <c r="F96" s="72"/>
      <c r="G96" s="73"/>
      <c r="H96" s="73"/>
      <c r="I96" s="73"/>
      <c r="J96" s="73"/>
      <c r="K96" s="73"/>
      <c r="L96" s="74"/>
      <c r="M96" s="74"/>
      <c r="N96" s="74"/>
      <c r="O96" s="75"/>
      <c r="P96" s="76"/>
      <c r="Q96" s="76"/>
      <c r="R96" s="76"/>
      <c r="S96" s="76"/>
      <c r="T96" s="75"/>
      <c r="U96" s="75"/>
      <c r="V96" s="75"/>
      <c r="W96" s="75"/>
      <c r="X96" s="76"/>
      <c r="Y96" s="76"/>
      <c r="Z96" s="76"/>
      <c r="AA96" s="75"/>
      <c r="AB96" s="75"/>
      <c r="AC96" s="77"/>
      <c r="AD96" s="75"/>
      <c r="AE96" s="58"/>
    </row>
    <row r="97" spans="1:31" ht="12.75">
      <c r="A97" s="69"/>
      <c r="B97" s="70"/>
      <c r="C97" s="71"/>
      <c r="D97" s="71"/>
      <c r="E97" s="71"/>
      <c r="F97" s="72"/>
      <c r="G97" s="73"/>
      <c r="H97" s="73"/>
      <c r="I97" s="73"/>
      <c r="J97" s="73"/>
      <c r="K97" s="73"/>
      <c r="L97" s="74"/>
      <c r="M97" s="74"/>
      <c r="N97" s="74"/>
      <c r="O97" s="75"/>
      <c r="P97" s="76"/>
      <c r="Q97" s="76"/>
      <c r="R97" s="76"/>
      <c r="S97" s="76"/>
      <c r="T97" s="75"/>
      <c r="U97" s="75"/>
      <c r="V97" s="75"/>
      <c r="W97" s="75"/>
      <c r="X97" s="76"/>
      <c r="Y97" s="76"/>
      <c r="Z97" s="76"/>
      <c r="AA97" s="75"/>
      <c r="AB97" s="75"/>
      <c r="AC97" s="77"/>
      <c r="AD97" s="75"/>
      <c r="AE97" s="58"/>
    </row>
    <row r="98" spans="1:31" ht="12.75">
      <c r="A98" s="69"/>
      <c r="B98" s="70"/>
      <c r="C98" s="71"/>
      <c r="D98" s="71"/>
      <c r="E98" s="71"/>
      <c r="F98" s="72"/>
      <c r="G98" s="73"/>
      <c r="H98" s="73"/>
      <c r="I98" s="73"/>
      <c r="J98" s="73"/>
      <c r="K98" s="73"/>
      <c r="L98" s="74"/>
      <c r="M98" s="74"/>
      <c r="N98" s="74"/>
      <c r="O98" s="75"/>
      <c r="P98" s="76"/>
      <c r="Q98" s="76"/>
      <c r="R98" s="76"/>
      <c r="S98" s="76"/>
      <c r="T98" s="75"/>
      <c r="U98" s="75"/>
      <c r="V98" s="75"/>
      <c r="W98" s="75"/>
      <c r="X98" s="76"/>
      <c r="Y98" s="76"/>
      <c r="Z98" s="76"/>
      <c r="AA98" s="75"/>
      <c r="AB98" s="75"/>
      <c r="AC98" s="77"/>
      <c r="AD98" s="75"/>
      <c r="AE98" s="58"/>
    </row>
    <row r="99" spans="1:31" ht="12.75">
      <c r="A99" s="69"/>
      <c r="B99" s="70"/>
      <c r="C99" s="71"/>
      <c r="D99" s="71"/>
      <c r="E99" s="71"/>
      <c r="F99" s="72"/>
      <c r="G99" s="73"/>
      <c r="H99" s="73"/>
      <c r="I99" s="73"/>
      <c r="J99" s="73"/>
      <c r="K99" s="73"/>
      <c r="L99" s="74"/>
      <c r="M99" s="74"/>
      <c r="N99" s="74"/>
      <c r="O99" s="75"/>
      <c r="P99" s="76"/>
      <c r="Q99" s="76"/>
      <c r="R99" s="76"/>
      <c r="S99" s="76"/>
      <c r="T99" s="75"/>
      <c r="U99" s="75"/>
      <c r="V99" s="75"/>
      <c r="W99" s="75"/>
      <c r="X99" s="76"/>
      <c r="Y99" s="76"/>
      <c r="Z99" s="76"/>
      <c r="AA99" s="75"/>
      <c r="AB99" s="75"/>
      <c r="AC99" s="77"/>
      <c r="AD99" s="75"/>
      <c r="AE99" s="58"/>
    </row>
    <row r="100" spans="1:31" ht="12.75">
      <c r="A100" s="69"/>
      <c r="B100" s="70"/>
      <c r="C100" s="71"/>
      <c r="D100" s="71"/>
      <c r="E100" s="71"/>
      <c r="F100" s="72"/>
      <c r="G100" s="73"/>
      <c r="H100" s="73"/>
      <c r="I100" s="73"/>
      <c r="J100" s="73"/>
      <c r="K100" s="73"/>
      <c r="L100" s="74"/>
      <c r="M100" s="74"/>
      <c r="N100" s="74"/>
      <c r="O100" s="75"/>
      <c r="P100" s="76"/>
      <c r="Q100" s="76"/>
      <c r="R100" s="76"/>
      <c r="S100" s="76"/>
      <c r="T100" s="75"/>
      <c r="U100" s="75"/>
      <c r="V100" s="75"/>
      <c r="W100" s="75"/>
      <c r="X100" s="76"/>
      <c r="Y100" s="76"/>
      <c r="Z100" s="76"/>
      <c r="AA100" s="75"/>
      <c r="AB100" s="75"/>
      <c r="AC100" s="77"/>
      <c r="AD100" s="75"/>
      <c r="AE100" s="58"/>
    </row>
    <row r="101" spans="1:31" ht="12.75">
      <c r="A101" s="69"/>
      <c r="B101" s="70"/>
      <c r="C101" s="71"/>
      <c r="D101" s="71"/>
      <c r="E101" s="71"/>
      <c r="F101" s="72"/>
      <c r="G101" s="73"/>
      <c r="H101" s="73"/>
      <c r="I101" s="73"/>
      <c r="J101" s="73"/>
      <c r="K101" s="73"/>
      <c r="L101" s="74"/>
      <c r="M101" s="74"/>
      <c r="N101" s="74"/>
      <c r="O101" s="75"/>
      <c r="P101" s="76"/>
      <c r="Q101" s="76"/>
      <c r="R101" s="76"/>
      <c r="S101" s="76"/>
      <c r="T101" s="75"/>
      <c r="U101" s="75"/>
      <c r="V101" s="75"/>
      <c r="W101" s="75"/>
      <c r="X101" s="76"/>
      <c r="Y101" s="76"/>
      <c r="Z101" s="76"/>
      <c r="AA101" s="75"/>
      <c r="AB101" s="75"/>
      <c r="AC101" s="77"/>
      <c r="AD101" s="75"/>
      <c r="AE101" s="58"/>
    </row>
    <row r="102" spans="1:31" ht="12.75">
      <c r="A102" s="69"/>
      <c r="B102" s="70"/>
      <c r="C102" s="71"/>
      <c r="D102" s="71"/>
      <c r="E102" s="71"/>
      <c r="F102" s="72"/>
      <c r="G102" s="73"/>
      <c r="H102" s="73"/>
      <c r="I102" s="73"/>
      <c r="J102" s="73"/>
      <c r="K102" s="73"/>
      <c r="L102" s="74"/>
      <c r="M102" s="74"/>
      <c r="N102" s="74"/>
      <c r="O102" s="75"/>
      <c r="P102" s="76"/>
      <c r="Q102" s="76"/>
      <c r="R102" s="76"/>
      <c r="S102" s="76"/>
      <c r="T102" s="75"/>
      <c r="U102" s="75"/>
      <c r="V102" s="75"/>
      <c r="W102" s="75"/>
      <c r="X102" s="76"/>
      <c r="Y102" s="76"/>
      <c r="Z102" s="76"/>
      <c r="AA102" s="75"/>
      <c r="AB102" s="75"/>
      <c r="AC102" s="77"/>
      <c r="AD102" s="75"/>
      <c r="AE102" s="58"/>
    </row>
    <row r="103" spans="1:31" ht="12.75">
      <c r="A103" s="69"/>
      <c r="B103" s="70"/>
      <c r="C103" s="71"/>
      <c r="D103" s="71"/>
      <c r="E103" s="71"/>
      <c r="F103" s="72"/>
      <c r="G103" s="73"/>
      <c r="H103" s="73"/>
      <c r="I103" s="73"/>
      <c r="J103" s="73"/>
      <c r="K103" s="73"/>
      <c r="L103" s="74"/>
      <c r="M103" s="74"/>
      <c r="N103" s="74"/>
      <c r="O103" s="75"/>
      <c r="P103" s="76"/>
      <c r="Q103" s="76"/>
      <c r="R103" s="76"/>
      <c r="S103" s="76"/>
      <c r="T103" s="75"/>
      <c r="U103" s="75"/>
      <c r="V103" s="75"/>
      <c r="W103" s="75"/>
      <c r="X103" s="76"/>
      <c r="Y103" s="76"/>
      <c r="Z103" s="76"/>
      <c r="AA103" s="75"/>
      <c r="AB103" s="75"/>
      <c r="AC103" s="77"/>
      <c r="AD103" s="75"/>
      <c r="AE103" s="58"/>
    </row>
    <row r="104" spans="1:31" ht="12.75">
      <c r="A104" s="69"/>
      <c r="B104" s="70"/>
      <c r="C104" s="71"/>
      <c r="D104" s="71"/>
      <c r="E104" s="71"/>
      <c r="F104" s="72"/>
      <c r="G104" s="73"/>
      <c r="H104" s="73"/>
      <c r="I104" s="73"/>
      <c r="J104" s="73"/>
      <c r="K104" s="73"/>
      <c r="L104" s="74"/>
      <c r="M104" s="74"/>
      <c r="N104" s="75"/>
      <c r="O104" s="75"/>
      <c r="P104" s="76"/>
      <c r="Q104" s="76"/>
      <c r="R104" s="76"/>
      <c r="S104" s="76"/>
      <c r="T104" s="75"/>
      <c r="U104" s="75"/>
      <c r="V104" s="75"/>
      <c r="W104" s="75"/>
      <c r="X104" s="76"/>
      <c r="Y104" s="76"/>
      <c r="Z104" s="76"/>
      <c r="AA104" s="75"/>
      <c r="AB104" s="75"/>
      <c r="AC104" s="77"/>
      <c r="AD104" s="75"/>
      <c r="AE104" s="58"/>
    </row>
    <row r="105" spans="1:31" ht="12.75">
      <c r="A105" s="69"/>
      <c r="B105" s="70"/>
      <c r="C105" s="71"/>
      <c r="D105" s="71"/>
      <c r="E105" s="71"/>
      <c r="F105" s="72"/>
      <c r="G105" s="73"/>
      <c r="H105" s="73"/>
      <c r="I105" s="73"/>
      <c r="J105" s="73"/>
      <c r="K105" s="73"/>
      <c r="L105" s="74"/>
      <c r="M105" s="74"/>
      <c r="N105" s="75"/>
      <c r="O105" s="75"/>
      <c r="P105" s="76"/>
      <c r="Q105" s="76"/>
      <c r="R105" s="76"/>
      <c r="S105" s="76"/>
      <c r="T105" s="75"/>
      <c r="U105" s="75"/>
      <c r="V105" s="75"/>
      <c r="W105" s="75"/>
      <c r="X105" s="76"/>
      <c r="Y105" s="76"/>
      <c r="Z105" s="76"/>
      <c r="AA105" s="75"/>
      <c r="AB105" s="75"/>
      <c r="AC105" s="77"/>
      <c r="AD105" s="75"/>
      <c r="AE105" s="58"/>
    </row>
    <row r="106" spans="1:31" ht="12.75">
      <c r="A106" s="23"/>
      <c r="B106" s="23"/>
      <c r="C106" s="23"/>
      <c r="D106" s="23"/>
      <c r="E106" s="23"/>
      <c r="F106" s="23"/>
      <c r="G106" s="23"/>
      <c r="H106" s="13"/>
      <c r="I106" s="13"/>
      <c r="J106" s="13"/>
      <c r="K106" s="13"/>
      <c r="L106" s="13"/>
      <c r="M106" s="13"/>
      <c r="N106" s="23"/>
      <c r="O106" s="23"/>
      <c r="P106" s="23"/>
      <c r="Q106" s="23"/>
      <c r="R106" s="23"/>
      <c r="S106" s="23"/>
      <c r="T106" s="23"/>
      <c r="U106" s="23"/>
      <c r="V106" s="23"/>
      <c r="W106" s="23"/>
      <c r="X106" s="23"/>
      <c r="Y106" s="23"/>
      <c r="Z106" s="23"/>
      <c r="AA106" s="23"/>
      <c r="AB106" s="23"/>
      <c r="AC106" s="37"/>
      <c r="AD106" s="23"/>
      <c r="AE106" s="58"/>
    </row>
    <row r="107" spans="1:31" ht="12.7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37"/>
      <c r="AD107" s="23"/>
      <c r="AE107" s="23"/>
    </row>
    <row r="108" spans="1:31" ht="12.7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37"/>
      <c r="AD108" s="23"/>
      <c r="AE108" s="23"/>
    </row>
  </sheetData>
  <mergeCells count="68">
    <mergeCell ref="C70:E70"/>
    <mergeCell ref="F70:H70"/>
    <mergeCell ref="C67:E67"/>
    <mergeCell ref="C68:E68"/>
    <mergeCell ref="F68:H68"/>
    <mergeCell ref="C69:E69"/>
    <mergeCell ref="F69:H69"/>
    <mergeCell ref="C71:E71"/>
    <mergeCell ref="F71:H71"/>
    <mergeCell ref="I71:L71"/>
    <mergeCell ref="M71:O71"/>
    <mergeCell ref="P71:R71"/>
    <mergeCell ref="F67:H67"/>
    <mergeCell ref="P67:R67"/>
    <mergeCell ref="I69:L69"/>
    <mergeCell ref="I70:L70"/>
    <mergeCell ref="M70:O70"/>
    <mergeCell ref="P70:R70"/>
    <mergeCell ref="I67:L67"/>
    <mergeCell ref="M67:O67"/>
    <mergeCell ref="I68:L68"/>
    <mergeCell ref="M68:O68"/>
    <mergeCell ref="P68:R68"/>
    <mergeCell ref="M69:O69"/>
    <mergeCell ref="P69:R69"/>
    <mergeCell ref="C66:E66"/>
    <mergeCell ref="F66:H66"/>
    <mergeCell ref="I66:L66"/>
    <mergeCell ref="M66:O66"/>
    <mergeCell ref="P66:R66"/>
    <mergeCell ref="I63:L63"/>
    <mergeCell ref="M63:O63"/>
    <mergeCell ref="C65:E65"/>
    <mergeCell ref="F65:H65"/>
    <mergeCell ref="I65:L65"/>
    <mergeCell ref="M65:O65"/>
    <mergeCell ref="P65:R65"/>
    <mergeCell ref="V65:X65"/>
    <mergeCell ref="M1:N1"/>
    <mergeCell ref="O1:U1"/>
    <mergeCell ref="AA80:AC80"/>
    <mergeCell ref="I73:L73"/>
    <mergeCell ref="M73:O73"/>
    <mergeCell ref="I74:L74"/>
    <mergeCell ref="M74:O74"/>
    <mergeCell ref="P74:R74"/>
    <mergeCell ref="I75:L75"/>
    <mergeCell ref="M75:O75"/>
    <mergeCell ref="P76:R76"/>
    <mergeCell ref="L80:O80"/>
    <mergeCell ref="P80:S80"/>
    <mergeCell ref="T80:W80"/>
    <mergeCell ref="X80:Z80"/>
    <mergeCell ref="M72:O72"/>
    <mergeCell ref="P72:R72"/>
    <mergeCell ref="F73:H73"/>
    <mergeCell ref="P73:R73"/>
    <mergeCell ref="P75:R75"/>
    <mergeCell ref="C80:F80"/>
    <mergeCell ref="G80:J80"/>
    <mergeCell ref="C72:E72"/>
    <mergeCell ref="F72:H72"/>
    <mergeCell ref="I72:L72"/>
    <mergeCell ref="C73:E73"/>
    <mergeCell ref="C74:E74"/>
    <mergeCell ref="F74:H74"/>
    <mergeCell ref="C75:E75"/>
    <mergeCell ref="F75:H75"/>
  </mergeCells>
  <conditionalFormatting sqref="C82:AD105">
    <cfRule type="notContainsBlanks" dxfId="29" priority="1">
      <formula>LEN(TRIM(C82))&gt;0</formula>
    </cfRule>
  </conditionalFormatting>
  <conditionalFormatting sqref="Y2:Y60">
    <cfRule type="expression" dxfId="28" priority="2">
      <formula>$L2&lt;&gt;""</formula>
    </cfRule>
  </conditionalFormatting>
  <conditionalFormatting sqref="Z1:Z60">
    <cfRule type="notContainsBlanks" dxfId="27" priority="3">
      <formula>LEN(TRIM(Z1))&gt;0</formula>
    </cfRule>
  </conditionalFormatting>
  <conditionalFormatting sqref="AA1:AA60">
    <cfRule type="notContainsBlanks" dxfId="26" priority="4">
      <formula>LEN(TRIM(AA1))&gt;0</formula>
    </cfRule>
  </conditionalFormatting>
  <conditionalFormatting sqref="AB2:AB60">
    <cfRule type="cellIs" dxfId="25" priority="5" operator="equal">
      <formula>FALSE()</formula>
    </cfRule>
  </conditionalFormatting>
  <dataValidations count="1">
    <dataValidation type="decimal" operator="greaterThanOrEqual" allowBlank="1" showDropDown="1" showErrorMessage="1" sqref="B2:K61">
      <formula1>0</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646"/>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4" width="5" customWidth="1"/>
    <col min="5" max="5" width="6.7109375" customWidth="1"/>
    <col min="6" max="8" width="5" customWidth="1"/>
    <col min="9" max="22" width="4.5703125" customWidth="1"/>
    <col min="23" max="23" width="45.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c r="A1" s="1" t="s">
        <v>0</v>
      </c>
      <c r="B1" s="2" t="s">
        <v>1</v>
      </c>
      <c r="C1" s="2" t="s">
        <v>2</v>
      </c>
      <c r="D1" s="2" t="s">
        <v>3</v>
      </c>
      <c r="E1" s="2" t="s">
        <v>4</v>
      </c>
      <c r="F1" s="2" t="s">
        <v>5</v>
      </c>
      <c r="G1" s="2" t="s">
        <v>6</v>
      </c>
      <c r="H1" s="2" t="s">
        <v>7</v>
      </c>
      <c r="I1" s="2" t="s">
        <v>8</v>
      </c>
      <c r="J1" s="2" t="s">
        <v>9</v>
      </c>
      <c r="K1" s="2" t="s">
        <v>10</v>
      </c>
      <c r="L1" s="3"/>
      <c r="M1" s="128" t="s">
        <v>11</v>
      </c>
      <c r="N1" s="117"/>
      <c r="O1" s="129" t="s">
        <v>550</v>
      </c>
      <c r="P1" s="117"/>
      <c r="Q1" s="117"/>
      <c r="R1" s="117"/>
      <c r="S1" s="117"/>
      <c r="T1" s="117"/>
      <c r="U1" s="117"/>
      <c r="V1" s="3"/>
      <c r="W1" s="4">
        <v>46049</v>
      </c>
      <c r="X1" s="3"/>
      <c r="Y1" s="5">
        <f>SUMIFS(Y2:Y98,L2:L98,"&lt;&gt;"&amp;"")</f>
        <v>0</v>
      </c>
      <c r="Z1" s="6" t="s">
        <v>13</v>
      </c>
      <c r="AA1" s="7" t="s">
        <v>14</v>
      </c>
      <c r="AB1" s="8" t="s">
        <v>15</v>
      </c>
      <c r="AC1" s="9">
        <f>SUM(AC2:AC98)</f>
        <v>0</v>
      </c>
      <c r="AD1" s="3"/>
      <c r="AE1" s="3"/>
    </row>
    <row r="2" spans="1:31" ht="15.75" customHeight="1">
      <c r="A2" s="10">
        <f t="shared" ref="A2:A97" si="0">(B2*$P$103+C2*$P$104+D2*$P$105+E2*$P$106+F2*$P$107+G2*$P$108+H2*$P$109+I2*$P$110+J2*$P$111+K2*$P$112)*$T$101</f>
        <v>0</v>
      </c>
      <c r="B2" s="11"/>
      <c r="C2" s="12"/>
      <c r="D2" s="12"/>
      <c r="E2" s="12"/>
      <c r="F2" s="12"/>
      <c r="G2" s="12"/>
      <c r="H2" s="12"/>
      <c r="I2" s="12"/>
      <c r="J2" s="13"/>
      <c r="K2" s="13"/>
      <c r="L2" s="14" t="s">
        <v>16</v>
      </c>
      <c r="M2" s="15"/>
      <c r="N2" s="16"/>
      <c r="O2" s="17"/>
      <c r="P2" s="17"/>
      <c r="Q2" s="17"/>
      <c r="R2" s="17"/>
      <c r="S2" s="17"/>
      <c r="T2" s="17"/>
      <c r="U2" s="17"/>
      <c r="V2" s="17"/>
      <c r="W2" s="17"/>
      <c r="X2" s="17">
        <f t="shared" ref="X2:X97" si="1">COUNTIF($L$2:L2,"&lt;&gt;"&amp;"")</f>
        <v>1</v>
      </c>
      <c r="Y2" s="18">
        <f t="shared" ref="Y2:Y97" si="2">SUMIF($X$2:$X$98,X2,$A$2:$A$98)</f>
        <v>0</v>
      </c>
      <c r="Z2" s="19"/>
      <c r="AA2" s="20"/>
      <c r="AB2" s="21" t="b">
        <v>1</v>
      </c>
      <c r="AC2" s="22">
        <f t="shared" ref="AC2:AC97" si="3">IF(L2="",0,IF(AB2=FALSE(),0,Y2))</f>
        <v>0</v>
      </c>
      <c r="AD2" s="23"/>
      <c r="AE2" s="23"/>
    </row>
    <row r="3" spans="1:31" ht="15.75" customHeight="1">
      <c r="A3" s="10">
        <f t="shared" si="0"/>
        <v>0</v>
      </c>
      <c r="B3" s="12"/>
      <c r="C3" s="11"/>
      <c r="D3" s="11"/>
      <c r="E3" s="12"/>
      <c r="F3" s="12"/>
      <c r="G3" s="12"/>
      <c r="H3" s="12"/>
      <c r="I3" s="12"/>
      <c r="J3" s="13"/>
      <c r="K3" s="13"/>
      <c r="L3" s="14" t="s">
        <v>17</v>
      </c>
      <c r="M3" s="16"/>
      <c r="N3" s="16"/>
      <c r="O3" s="17"/>
      <c r="P3" s="17"/>
      <c r="Q3" s="17"/>
      <c r="R3" s="17"/>
      <c r="S3" s="17"/>
      <c r="T3" s="17"/>
      <c r="U3" s="17"/>
      <c r="V3" s="17"/>
      <c r="W3" s="17"/>
      <c r="X3" s="17">
        <f t="shared" si="1"/>
        <v>2</v>
      </c>
      <c r="Y3" s="18">
        <f t="shared" si="2"/>
        <v>0</v>
      </c>
      <c r="Z3" s="24"/>
      <c r="AA3" s="20"/>
      <c r="AB3" s="21" t="b">
        <v>1</v>
      </c>
      <c r="AC3" s="22">
        <f t="shared" si="3"/>
        <v>0</v>
      </c>
      <c r="AD3" s="23"/>
      <c r="AE3" s="23"/>
    </row>
    <row r="4" spans="1:31" ht="15.75" customHeight="1">
      <c r="A4" s="10">
        <f t="shared" si="0"/>
        <v>0</v>
      </c>
      <c r="B4" s="12"/>
      <c r="C4" s="12"/>
      <c r="D4" s="12"/>
      <c r="E4" s="12"/>
      <c r="F4" s="12"/>
      <c r="G4" s="12"/>
      <c r="H4" s="11"/>
      <c r="I4" s="12"/>
      <c r="J4" s="13"/>
      <c r="K4" s="13"/>
      <c r="L4" s="14" t="s">
        <v>18</v>
      </c>
      <c r="M4" s="16"/>
      <c r="N4" s="16"/>
      <c r="O4" s="17"/>
      <c r="P4" s="17"/>
      <c r="Q4" s="17"/>
      <c r="R4" s="17"/>
      <c r="S4" s="17"/>
      <c r="T4" s="17"/>
      <c r="U4" s="17"/>
      <c r="V4" s="17"/>
      <c r="W4" s="17"/>
      <c r="X4" s="17">
        <f t="shared" si="1"/>
        <v>3</v>
      </c>
      <c r="Y4" s="18">
        <f t="shared" si="2"/>
        <v>0</v>
      </c>
      <c r="Z4" s="24"/>
      <c r="AA4" s="25"/>
      <c r="AB4" s="21" t="b">
        <v>1</v>
      </c>
      <c r="AC4" s="22">
        <f t="shared" si="3"/>
        <v>0</v>
      </c>
      <c r="AD4" s="23"/>
      <c r="AE4" s="23"/>
    </row>
    <row r="5" spans="1:31" ht="15.75" customHeight="1">
      <c r="A5" s="10">
        <f t="shared" si="0"/>
        <v>0</v>
      </c>
      <c r="B5" s="13"/>
      <c r="C5" s="13"/>
      <c r="D5" s="13"/>
      <c r="E5" s="13"/>
      <c r="F5" s="13"/>
      <c r="G5" s="13"/>
      <c r="H5" s="13"/>
      <c r="I5" s="13"/>
      <c r="J5" s="13"/>
      <c r="K5" s="13"/>
      <c r="L5" s="26" t="s">
        <v>19</v>
      </c>
      <c r="M5" s="16"/>
      <c r="N5" s="16"/>
      <c r="O5" s="17"/>
      <c r="P5" s="17"/>
      <c r="Q5" s="17"/>
      <c r="R5" s="17"/>
      <c r="S5" s="17"/>
      <c r="T5" s="17"/>
      <c r="U5" s="17"/>
      <c r="V5" s="17"/>
      <c r="W5" s="17"/>
      <c r="X5" s="17">
        <f t="shared" si="1"/>
        <v>4</v>
      </c>
      <c r="Y5" s="18">
        <f t="shared" si="2"/>
        <v>0</v>
      </c>
      <c r="Z5" s="24"/>
      <c r="AA5" s="25"/>
      <c r="AB5" s="21" t="b">
        <v>1</v>
      </c>
      <c r="AC5" s="22">
        <f t="shared" si="3"/>
        <v>0</v>
      </c>
      <c r="AD5" s="23"/>
      <c r="AE5" s="23"/>
    </row>
    <row r="6" spans="1:31">
      <c r="A6" s="10">
        <f t="shared" si="0"/>
        <v>0</v>
      </c>
      <c r="B6" s="13"/>
      <c r="C6" s="13"/>
      <c r="D6" s="13"/>
      <c r="E6" s="13"/>
      <c r="F6" s="13"/>
      <c r="G6" s="13"/>
      <c r="H6" s="13"/>
      <c r="I6" s="13"/>
      <c r="J6" s="13"/>
      <c r="K6" s="13"/>
      <c r="L6" s="27"/>
      <c r="M6" s="16"/>
      <c r="N6" s="16"/>
      <c r="O6" s="17"/>
      <c r="P6" s="17"/>
      <c r="Q6" s="17"/>
      <c r="R6" s="17"/>
      <c r="S6" s="17"/>
      <c r="T6" s="17"/>
      <c r="U6" s="17"/>
      <c r="V6" s="17"/>
      <c r="W6" s="17"/>
      <c r="X6" s="17">
        <f t="shared" si="1"/>
        <v>4</v>
      </c>
      <c r="Y6" s="18">
        <f t="shared" si="2"/>
        <v>0</v>
      </c>
      <c r="Z6" s="19"/>
      <c r="AA6" s="20"/>
      <c r="AB6" s="21" t="b">
        <v>1</v>
      </c>
      <c r="AC6" s="22">
        <f t="shared" si="3"/>
        <v>0</v>
      </c>
      <c r="AD6" s="23"/>
      <c r="AE6" s="23"/>
    </row>
    <row r="7" spans="1:31">
      <c r="A7" s="10">
        <f t="shared" si="0"/>
        <v>0</v>
      </c>
      <c r="B7" s="13"/>
      <c r="C7" s="13"/>
      <c r="D7" s="13"/>
      <c r="E7" s="13"/>
      <c r="F7" s="13"/>
      <c r="G7" s="13"/>
      <c r="H7" s="13"/>
      <c r="I7" s="13"/>
      <c r="J7" s="13"/>
      <c r="K7" s="13"/>
      <c r="L7" s="104" t="s">
        <v>551</v>
      </c>
      <c r="M7" s="105"/>
      <c r="N7" s="105"/>
      <c r="O7" s="16"/>
      <c r="P7" s="17"/>
      <c r="Q7" s="17"/>
      <c r="R7" s="17"/>
      <c r="S7" s="17"/>
      <c r="T7" s="106"/>
      <c r="U7" s="107"/>
      <c r="V7" s="17"/>
      <c r="W7" s="17"/>
      <c r="X7" s="17">
        <f t="shared" si="1"/>
        <v>5</v>
      </c>
      <c r="Y7" s="18">
        <f t="shared" si="2"/>
        <v>0</v>
      </c>
      <c r="Z7" s="24"/>
      <c r="AA7" s="25"/>
      <c r="AB7" s="21" t="b">
        <v>1</v>
      </c>
      <c r="AC7" s="22">
        <f t="shared" si="3"/>
        <v>0</v>
      </c>
      <c r="AD7" s="23"/>
      <c r="AE7" s="23"/>
    </row>
    <row r="8" spans="1:31">
      <c r="A8" s="10">
        <f t="shared" si="0"/>
        <v>0</v>
      </c>
      <c r="B8" s="13"/>
      <c r="C8" s="13"/>
      <c r="D8" s="13"/>
      <c r="E8" s="13"/>
      <c r="F8" s="13"/>
      <c r="G8" s="13"/>
      <c r="H8" s="13"/>
      <c r="I8" s="13"/>
      <c r="J8" s="13"/>
      <c r="K8" s="13"/>
      <c r="L8" s="105"/>
      <c r="M8" s="105"/>
      <c r="N8" s="105" t="s">
        <v>552</v>
      </c>
      <c r="O8" s="107"/>
      <c r="P8" s="107"/>
      <c r="Q8" s="107"/>
      <c r="R8" s="107"/>
      <c r="S8" s="107"/>
      <c r="T8" s="107"/>
      <c r="U8" s="107"/>
      <c r="V8" s="17"/>
      <c r="W8" s="17"/>
      <c r="X8" s="17">
        <f t="shared" si="1"/>
        <v>5</v>
      </c>
      <c r="Y8" s="18">
        <f t="shared" si="2"/>
        <v>0</v>
      </c>
      <c r="Z8" s="24"/>
      <c r="AA8" s="20"/>
      <c r="AB8" s="21" t="b">
        <v>1</v>
      </c>
      <c r="AC8" s="22">
        <f t="shared" si="3"/>
        <v>0</v>
      </c>
      <c r="AD8" s="28"/>
      <c r="AE8" s="28"/>
    </row>
    <row r="9" spans="1:31">
      <c r="A9" s="10">
        <f t="shared" si="0"/>
        <v>0</v>
      </c>
      <c r="B9" s="13"/>
      <c r="C9" s="13"/>
      <c r="D9" s="13"/>
      <c r="E9" s="13"/>
      <c r="F9" s="13"/>
      <c r="G9" s="13"/>
      <c r="H9" s="13"/>
      <c r="I9" s="13"/>
      <c r="J9" s="13"/>
      <c r="K9" s="13"/>
      <c r="L9" s="105"/>
      <c r="M9" s="105"/>
      <c r="N9" s="105" t="s">
        <v>553</v>
      </c>
      <c r="O9" s="107"/>
      <c r="P9" s="107"/>
      <c r="Q9" s="107"/>
      <c r="R9" s="107"/>
      <c r="S9" s="107"/>
      <c r="T9" s="107"/>
      <c r="U9" s="107"/>
      <c r="V9" s="17"/>
      <c r="W9" s="17"/>
      <c r="X9" s="17">
        <f t="shared" si="1"/>
        <v>5</v>
      </c>
      <c r="Y9" s="18">
        <f t="shared" si="2"/>
        <v>0</v>
      </c>
      <c r="Z9" s="24"/>
      <c r="AA9" s="20"/>
      <c r="AB9" s="21" t="b">
        <v>1</v>
      </c>
      <c r="AC9" s="22">
        <f t="shared" si="3"/>
        <v>0</v>
      </c>
      <c r="AD9" s="28"/>
      <c r="AE9" s="28"/>
    </row>
    <row r="10" spans="1:31">
      <c r="A10" s="10">
        <f t="shared" si="0"/>
        <v>0</v>
      </c>
      <c r="B10" s="13"/>
      <c r="C10" s="13"/>
      <c r="D10" s="13"/>
      <c r="E10" s="13"/>
      <c r="F10" s="13"/>
      <c r="G10" s="13"/>
      <c r="H10" s="13"/>
      <c r="I10" s="13"/>
      <c r="J10" s="13"/>
      <c r="K10" s="13"/>
      <c r="L10" s="105"/>
      <c r="M10" s="104" t="s">
        <v>554</v>
      </c>
      <c r="N10" s="105"/>
      <c r="O10" s="107"/>
      <c r="P10" s="107"/>
      <c r="Q10" s="107"/>
      <c r="R10" s="107"/>
      <c r="S10" s="107"/>
      <c r="T10" s="107"/>
      <c r="U10" s="107"/>
      <c r="V10" s="17"/>
      <c r="W10" s="17"/>
      <c r="X10" s="17">
        <f t="shared" si="1"/>
        <v>5</v>
      </c>
      <c r="Y10" s="18">
        <f t="shared" si="2"/>
        <v>0</v>
      </c>
      <c r="Z10" s="24"/>
      <c r="AA10" s="20"/>
      <c r="AB10" s="21" t="b">
        <v>1</v>
      </c>
      <c r="AC10" s="22">
        <f t="shared" si="3"/>
        <v>0</v>
      </c>
      <c r="AD10" s="28"/>
      <c r="AE10" s="28"/>
    </row>
    <row r="11" spans="1:31">
      <c r="A11" s="10">
        <f t="shared" si="0"/>
        <v>0</v>
      </c>
      <c r="B11" s="13"/>
      <c r="C11" s="13"/>
      <c r="D11" s="13"/>
      <c r="E11" s="13"/>
      <c r="F11" s="13"/>
      <c r="G11" s="13"/>
      <c r="H11" s="13"/>
      <c r="I11" s="13"/>
      <c r="J11" s="13"/>
      <c r="K11" s="13"/>
      <c r="L11" s="105"/>
      <c r="M11" s="105"/>
      <c r="N11" s="105" t="s">
        <v>555</v>
      </c>
      <c r="O11" s="107"/>
      <c r="P11" s="107"/>
      <c r="Q11" s="107"/>
      <c r="R11" s="107"/>
      <c r="S11" s="107"/>
      <c r="T11" s="107"/>
      <c r="U11" s="107"/>
      <c r="V11" s="17"/>
      <c r="W11" s="17"/>
      <c r="X11" s="17">
        <f t="shared" si="1"/>
        <v>5</v>
      </c>
      <c r="Y11" s="18">
        <f t="shared" si="2"/>
        <v>0</v>
      </c>
      <c r="Z11" s="24"/>
      <c r="AA11" s="20"/>
      <c r="AB11" s="21" t="b">
        <v>1</v>
      </c>
      <c r="AC11" s="22">
        <f t="shared" si="3"/>
        <v>0</v>
      </c>
      <c r="AD11" s="28"/>
      <c r="AE11" s="28"/>
    </row>
    <row r="12" spans="1:31">
      <c r="A12" s="10">
        <f t="shared" si="0"/>
        <v>0</v>
      </c>
      <c r="B12" s="13"/>
      <c r="C12" s="13"/>
      <c r="D12" s="13"/>
      <c r="E12" s="13"/>
      <c r="F12" s="13"/>
      <c r="G12" s="13"/>
      <c r="H12" s="13"/>
      <c r="I12" s="13"/>
      <c r="J12" s="13"/>
      <c r="K12" s="13"/>
      <c r="L12" s="105"/>
      <c r="M12" s="104" t="s">
        <v>556</v>
      </c>
      <c r="N12" s="105"/>
      <c r="O12" s="107"/>
      <c r="P12" s="107"/>
      <c r="Q12" s="107"/>
      <c r="R12" s="107"/>
      <c r="S12" s="107"/>
      <c r="T12" s="107"/>
      <c r="U12" s="107"/>
      <c r="V12" s="17"/>
      <c r="W12" s="17"/>
      <c r="X12" s="17">
        <f t="shared" si="1"/>
        <v>5</v>
      </c>
      <c r="Y12" s="18">
        <f t="shared" si="2"/>
        <v>0</v>
      </c>
      <c r="Z12" s="24"/>
      <c r="AA12" s="20"/>
      <c r="AB12" s="21" t="b">
        <v>1</v>
      </c>
      <c r="AC12" s="22">
        <f t="shared" si="3"/>
        <v>0</v>
      </c>
      <c r="AD12" s="28"/>
      <c r="AE12" s="28"/>
    </row>
    <row r="13" spans="1:31">
      <c r="A13" s="10">
        <f t="shared" si="0"/>
        <v>0</v>
      </c>
      <c r="B13" s="13"/>
      <c r="C13" s="13"/>
      <c r="D13" s="13"/>
      <c r="E13" s="13"/>
      <c r="F13" s="13"/>
      <c r="G13" s="13"/>
      <c r="H13" s="13"/>
      <c r="I13" s="13"/>
      <c r="J13" s="13"/>
      <c r="K13" s="13"/>
      <c r="L13" s="105"/>
      <c r="M13" s="105"/>
      <c r="N13" s="105" t="s">
        <v>557</v>
      </c>
      <c r="O13" s="107"/>
      <c r="P13" s="107"/>
      <c r="Q13" s="107"/>
      <c r="R13" s="107"/>
      <c r="S13" s="107"/>
      <c r="T13" s="107"/>
      <c r="U13" s="107"/>
      <c r="V13" s="17"/>
      <c r="W13" s="17"/>
      <c r="X13" s="17">
        <f t="shared" si="1"/>
        <v>5</v>
      </c>
      <c r="Y13" s="18">
        <f t="shared" si="2"/>
        <v>0</v>
      </c>
      <c r="Z13" s="24"/>
      <c r="AA13" s="20"/>
      <c r="AB13" s="21" t="b">
        <v>1</v>
      </c>
      <c r="AC13" s="22">
        <f t="shared" si="3"/>
        <v>0</v>
      </c>
      <c r="AD13" s="28"/>
      <c r="AE13" s="28"/>
    </row>
    <row r="14" spans="1:31">
      <c r="A14" s="10">
        <f t="shared" si="0"/>
        <v>0</v>
      </c>
      <c r="B14" s="13"/>
      <c r="C14" s="13"/>
      <c r="D14" s="13"/>
      <c r="E14" s="13"/>
      <c r="F14" s="13"/>
      <c r="G14" s="13"/>
      <c r="H14" s="13"/>
      <c r="I14" s="13"/>
      <c r="J14" s="13"/>
      <c r="K14" s="13"/>
      <c r="L14" s="104" t="s">
        <v>558</v>
      </c>
      <c r="M14" s="105"/>
      <c r="N14" s="105"/>
      <c r="O14" s="107"/>
      <c r="P14" s="107"/>
      <c r="Q14" s="107"/>
      <c r="R14" s="107"/>
      <c r="S14" s="107"/>
      <c r="T14" s="107"/>
      <c r="U14" s="107"/>
      <c r="V14" s="17"/>
      <c r="W14" s="17"/>
      <c r="X14" s="17">
        <f t="shared" si="1"/>
        <v>6</v>
      </c>
      <c r="Y14" s="18">
        <f t="shared" si="2"/>
        <v>0</v>
      </c>
      <c r="Z14" s="19"/>
      <c r="AA14" s="20"/>
      <c r="AB14" s="21" t="b">
        <v>1</v>
      </c>
      <c r="AC14" s="22">
        <f t="shared" si="3"/>
        <v>0</v>
      </c>
      <c r="AD14" s="28"/>
      <c r="AE14" s="28"/>
    </row>
    <row r="15" spans="1:31">
      <c r="A15" s="10">
        <f t="shared" si="0"/>
        <v>0</v>
      </c>
      <c r="B15" s="13"/>
      <c r="C15" s="13"/>
      <c r="D15" s="13"/>
      <c r="E15" s="13"/>
      <c r="F15" s="13"/>
      <c r="G15" s="13"/>
      <c r="H15" s="13"/>
      <c r="I15" s="13"/>
      <c r="J15" s="13"/>
      <c r="K15" s="13"/>
      <c r="L15" s="105"/>
      <c r="M15" s="105" t="s">
        <v>559</v>
      </c>
      <c r="N15" s="105"/>
      <c r="O15" s="107"/>
      <c r="P15" s="107"/>
      <c r="Q15" s="107"/>
      <c r="R15" s="107"/>
      <c r="S15" s="107"/>
      <c r="T15" s="107"/>
      <c r="U15" s="107"/>
      <c r="V15" s="17"/>
      <c r="W15" s="17"/>
      <c r="X15" s="17">
        <f t="shared" si="1"/>
        <v>6</v>
      </c>
      <c r="Y15" s="18">
        <f t="shared" si="2"/>
        <v>0</v>
      </c>
      <c r="Z15" s="24"/>
      <c r="AA15" s="20"/>
      <c r="AB15" s="21" t="b">
        <v>1</v>
      </c>
      <c r="AC15" s="22">
        <f t="shared" si="3"/>
        <v>0</v>
      </c>
      <c r="AD15" s="28"/>
      <c r="AE15" s="28"/>
    </row>
    <row r="16" spans="1:31">
      <c r="A16" s="10">
        <f t="shared" si="0"/>
        <v>0</v>
      </c>
      <c r="B16" s="13"/>
      <c r="C16" s="13"/>
      <c r="D16" s="13"/>
      <c r="E16" s="13"/>
      <c r="F16" s="13"/>
      <c r="G16" s="13"/>
      <c r="H16" s="13"/>
      <c r="I16" s="13"/>
      <c r="J16" s="13"/>
      <c r="K16" s="13"/>
      <c r="L16" s="105"/>
      <c r="M16" s="104" t="s">
        <v>560</v>
      </c>
      <c r="N16" s="105"/>
      <c r="O16" s="107"/>
      <c r="P16" s="107"/>
      <c r="Q16" s="107"/>
      <c r="R16" s="107"/>
      <c r="S16" s="107"/>
      <c r="T16" s="107"/>
      <c r="U16" s="107"/>
      <c r="V16" s="17"/>
      <c r="W16" s="17"/>
      <c r="X16" s="17">
        <f t="shared" si="1"/>
        <v>6</v>
      </c>
      <c r="Y16" s="18">
        <f t="shared" si="2"/>
        <v>0</v>
      </c>
      <c r="Z16" s="24"/>
      <c r="AA16" s="20"/>
      <c r="AB16" s="21" t="b">
        <v>1</v>
      </c>
      <c r="AC16" s="22">
        <f t="shared" si="3"/>
        <v>0</v>
      </c>
      <c r="AD16" s="28"/>
      <c r="AE16" s="28"/>
    </row>
    <row r="17" spans="1:31">
      <c r="A17" s="10">
        <f t="shared" si="0"/>
        <v>0</v>
      </c>
      <c r="B17" s="13"/>
      <c r="C17" s="13"/>
      <c r="D17" s="13"/>
      <c r="E17" s="13"/>
      <c r="F17" s="13"/>
      <c r="G17" s="13"/>
      <c r="H17" s="13"/>
      <c r="I17" s="13"/>
      <c r="J17" s="13"/>
      <c r="K17" s="13"/>
      <c r="L17" s="105"/>
      <c r="M17" s="105"/>
      <c r="N17" s="105" t="s">
        <v>561</v>
      </c>
      <c r="O17" s="105"/>
      <c r="P17" s="107"/>
      <c r="Q17" s="107"/>
      <c r="R17" s="107"/>
      <c r="S17" s="107"/>
      <c r="T17" s="107"/>
      <c r="U17" s="107"/>
      <c r="V17" s="17"/>
      <c r="W17" s="17"/>
      <c r="X17" s="17">
        <f t="shared" si="1"/>
        <v>6</v>
      </c>
      <c r="Y17" s="18">
        <f t="shared" si="2"/>
        <v>0</v>
      </c>
      <c r="Z17" s="24"/>
      <c r="AA17" s="20"/>
      <c r="AB17" s="21" t="b">
        <v>1</v>
      </c>
      <c r="AC17" s="22">
        <f t="shared" si="3"/>
        <v>0</v>
      </c>
      <c r="AD17" s="28"/>
      <c r="AE17" s="28"/>
    </row>
    <row r="18" spans="1:31">
      <c r="A18" s="10">
        <f t="shared" si="0"/>
        <v>0</v>
      </c>
      <c r="B18" s="13"/>
      <c r="C18" s="13"/>
      <c r="D18" s="13"/>
      <c r="E18" s="13"/>
      <c r="F18" s="13"/>
      <c r="G18" s="13"/>
      <c r="H18" s="13"/>
      <c r="I18" s="13"/>
      <c r="J18" s="13"/>
      <c r="K18" s="13"/>
      <c r="L18" s="105"/>
      <c r="M18" s="105"/>
      <c r="N18" s="105" t="s">
        <v>562</v>
      </c>
      <c r="O18" s="107"/>
      <c r="P18" s="107"/>
      <c r="Q18" s="107"/>
      <c r="R18" s="107"/>
      <c r="S18" s="107"/>
      <c r="T18" s="107"/>
      <c r="U18" s="107"/>
      <c r="V18" s="17"/>
      <c r="W18" s="17"/>
      <c r="X18" s="17">
        <f t="shared" si="1"/>
        <v>6</v>
      </c>
      <c r="Y18" s="18">
        <f t="shared" si="2"/>
        <v>0</v>
      </c>
      <c r="Z18" s="24"/>
      <c r="AA18" s="20"/>
      <c r="AB18" s="21" t="b">
        <v>1</v>
      </c>
      <c r="AC18" s="22">
        <f t="shared" si="3"/>
        <v>0</v>
      </c>
      <c r="AD18" s="28"/>
      <c r="AE18" s="28"/>
    </row>
    <row r="19" spans="1:31">
      <c r="A19" s="10">
        <f t="shared" si="0"/>
        <v>0</v>
      </c>
      <c r="B19" s="13"/>
      <c r="C19" s="13"/>
      <c r="D19" s="13"/>
      <c r="E19" s="13"/>
      <c r="F19" s="13"/>
      <c r="G19" s="13"/>
      <c r="H19" s="13"/>
      <c r="I19" s="13"/>
      <c r="J19" s="13"/>
      <c r="K19" s="13"/>
      <c r="L19" s="105"/>
      <c r="M19" s="105"/>
      <c r="N19" s="105" t="s">
        <v>563</v>
      </c>
      <c r="O19" s="107"/>
      <c r="P19" s="107"/>
      <c r="Q19" s="107"/>
      <c r="R19" s="107"/>
      <c r="S19" s="107"/>
      <c r="T19" s="107"/>
      <c r="U19" s="107"/>
      <c r="V19" s="17"/>
      <c r="W19" s="17"/>
      <c r="X19" s="17">
        <f t="shared" si="1"/>
        <v>6</v>
      </c>
      <c r="Y19" s="18">
        <f t="shared" si="2"/>
        <v>0</v>
      </c>
      <c r="Z19" s="24"/>
      <c r="AA19" s="20"/>
      <c r="AB19" s="21" t="b">
        <v>1</v>
      </c>
      <c r="AC19" s="22">
        <f t="shared" si="3"/>
        <v>0</v>
      </c>
      <c r="AD19" s="28"/>
      <c r="AE19" s="28"/>
    </row>
    <row r="20" spans="1:31">
      <c r="A20" s="10">
        <f t="shared" si="0"/>
        <v>0</v>
      </c>
      <c r="B20" s="13"/>
      <c r="C20" s="13"/>
      <c r="D20" s="13"/>
      <c r="E20" s="13"/>
      <c r="F20" s="13"/>
      <c r="G20" s="13"/>
      <c r="H20" s="13"/>
      <c r="I20" s="13"/>
      <c r="J20" s="13"/>
      <c r="K20" s="13"/>
      <c r="L20" s="105"/>
      <c r="M20" s="105"/>
      <c r="N20" s="105" t="s">
        <v>564</v>
      </c>
      <c r="O20" s="107"/>
      <c r="P20" s="107"/>
      <c r="Q20" s="107"/>
      <c r="R20" s="107"/>
      <c r="S20" s="107"/>
      <c r="T20" s="107"/>
      <c r="U20" s="107"/>
      <c r="V20" s="17"/>
      <c r="W20" s="17"/>
      <c r="X20" s="17">
        <f t="shared" si="1"/>
        <v>6</v>
      </c>
      <c r="Y20" s="18">
        <f t="shared" si="2"/>
        <v>0</v>
      </c>
      <c r="Z20" s="24"/>
      <c r="AA20" s="20"/>
      <c r="AB20" s="21" t="b">
        <v>1</v>
      </c>
      <c r="AC20" s="22">
        <f t="shared" si="3"/>
        <v>0</v>
      </c>
      <c r="AD20" s="28"/>
      <c r="AE20" s="28"/>
    </row>
    <row r="21" spans="1:31">
      <c r="A21" s="10">
        <f t="shared" si="0"/>
        <v>0</v>
      </c>
      <c r="B21" s="13"/>
      <c r="C21" s="13"/>
      <c r="D21" s="13"/>
      <c r="E21" s="13"/>
      <c r="F21" s="13"/>
      <c r="G21" s="13"/>
      <c r="H21" s="13"/>
      <c r="I21" s="13"/>
      <c r="J21" s="13"/>
      <c r="K21" s="13"/>
      <c r="L21" s="105"/>
      <c r="M21" s="104" t="s">
        <v>565</v>
      </c>
      <c r="N21" s="105"/>
      <c r="O21" s="107"/>
      <c r="P21" s="107"/>
      <c r="Q21" s="107"/>
      <c r="R21" s="107"/>
      <c r="S21" s="107"/>
      <c r="T21" s="107"/>
      <c r="U21" s="107"/>
      <c r="V21" s="17"/>
      <c r="W21" s="17"/>
      <c r="X21" s="17">
        <f t="shared" si="1"/>
        <v>6</v>
      </c>
      <c r="Y21" s="18">
        <f t="shared" si="2"/>
        <v>0</v>
      </c>
      <c r="Z21" s="24"/>
      <c r="AA21" s="20"/>
      <c r="AB21" s="21" t="b">
        <v>1</v>
      </c>
      <c r="AC21" s="22">
        <f t="shared" si="3"/>
        <v>0</v>
      </c>
      <c r="AD21" s="28"/>
      <c r="AE21" s="28"/>
    </row>
    <row r="22" spans="1:31">
      <c r="A22" s="10">
        <f t="shared" si="0"/>
        <v>0</v>
      </c>
      <c r="B22" s="13"/>
      <c r="C22" s="13"/>
      <c r="D22" s="13"/>
      <c r="E22" s="13"/>
      <c r="F22" s="13"/>
      <c r="G22" s="13"/>
      <c r="H22" s="13"/>
      <c r="I22" s="13"/>
      <c r="J22" s="13"/>
      <c r="K22" s="13"/>
      <c r="L22" s="105"/>
      <c r="M22" s="105"/>
      <c r="N22" s="105" t="s">
        <v>566</v>
      </c>
      <c r="O22" s="107"/>
      <c r="P22" s="107"/>
      <c r="Q22" s="107"/>
      <c r="R22" s="107"/>
      <c r="S22" s="107"/>
      <c r="T22" s="107"/>
      <c r="U22" s="107"/>
      <c r="V22" s="17"/>
      <c r="W22" s="17"/>
      <c r="X22" s="17">
        <f t="shared" si="1"/>
        <v>6</v>
      </c>
      <c r="Y22" s="18">
        <f t="shared" si="2"/>
        <v>0</v>
      </c>
      <c r="Z22" s="24"/>
      <c r="AA22" s="20"/>
      <c r="AB22" s="21" t="b">
        <v>1</v>
      </c>
      <c r="AC22" s="22">
        <f t="shared" si="3"/>
        <v>0</v>
      </c>
      <c r="AD22" s="28"/>
      <c r="AE22" s="28"/>
    </row>
    <row r="23" spans="1:31">
      <c r="A23" s="10">
        <f t="shared" si="0"/>
        <v>0</v>
      </c>
      <c r="B23" s="13"/>
      <c r="C23" s="13"/>
      <c r="D23" s="13"/>
      <c r="E23" s="13"/>
      <c r="F23" s="13"/>
      <c r="G23" s="13"/>
      <c r="H23" s="13"/>
      <c r="I23" s="13"/>
      <c r="J23" s="13"/>
      <c r="K23" s="13"/>
      <c r="L23" s="105"/>
      <c r="M23" s="105"/>
      <c r="N23" s="105" t="s">
        <v>567</v>
      </c>
      <c r="O23" s="107"/>
      <c r="P23" s="107"/>
      <c r="Q23" s="107"/>
      <c r="R23" s="107"/>
      <c r="S23" s="107"/>
      <c r="T23" s="107"/>
      <c r="U23" s="107"/>
      <c r="V23" s="17"/>
      <c r="W23" s="17"/>
      <c r="X23" s="17">
        <f t="shared" si="1"/>
        <v>6</v>
      </c>
      <c r="Y23" s="18">
        <f t="shared" si="2"/>
        <v>0</v>
      </c>
      <c r="Z23" s="24"/>
      <c r="AA23" s="20"/>
      <c r="AB23" s="21" t="b">
        <v>1</v>
      </c>
      <c r="AC23" s="22">
        <f t="shared" si="3"/>
        <v>0</v>
      </c>
      <c r="AD23" s="28"/>
      <c r="AE23" s="28"/>
    </row>
    <row r="24" spans="1:31">
      <c r="A24" s="10">
        <f t="shared" si="0"/>
        <v>0</v>
      </c>
      <c r="B24" s="13"/>
      <c r="C24" s="13"/>
      <c r="D24" s="13"/>
      <c r="E24" s="13"/>
      <c r="F24" s="13"/>
      <c r="G24" s="13"/>
      <c r="H24" s="13"/>
      <c r="I24" s="13"/>
      <c r="J24" s="13"/>
      <c r="K24" s="13"/>
      <c r="L24" s="104" t="s">
        <v>568</v>
      </c>
      <c r="M24" s="105"/>
      <c r="N24" s="105"/>
      <c r="O24" s="107"/>
      <c r="P24" s="107"/>
      <c r="Q24" s="107"/>
      <c r="R24" s="107"/>
      <c r="S24" s="107"/>
      <c r="T24" s="107"/>
      <c r="U24" s="107"/>
      <c r="V24" s="17"/>
      <c r="W24" s="17"/>
      <c r="X24" s="17">
        <f t="shared" si="1"/>
        <v>7</v>
      </c>
      <c r="Y24" s="18">
        <f t="shared" si="2"/>
        <v>0</v>
      </c>
      <c r="Z24" s="24"/>
      <c r="AA24" s="20"/>
      <c r="AB24" s="21" t="b">
        <v>1</v>
      </c>
      <c r="AC24" s="22">
        <f t="shared" si="3"/>
        <v>0</v>
      </c>
      <c r="AD24" s="28"/>
      <c r="AE24" s="28"/>
    </row>
    <row r="25" spans="1:31">
      <c r="A25" s="10">
        <f t="shared" si="0"/>
        <v>0</v>
      </c>
      <c r="B25" s="13"/>
      <c r="C25" s="13"/>
      <c r="D25" s="13"/>
      <c r="E25" s="13"/>
      <c r="F25" s="13"/>
      <c r="G25" s="13"/>
      <c r="H25" s="13"/>
      <c r="I25" s="13"/>
      <c r="J25" s="13"/>
      <c r="K25" s="13"/>
      <c r="L25" s="105"/>
      <c r="M25" s="105" t="s">
        <v>569</v>
      </c>
      <c r="N25" s="105"/>
      <c r="O25" s="107"/>
      <c r="P25" s="107"/>
      <c r="Q25" s="107"/>
      <c r="R25" s="107"/>
      <c r="S25" s="107"/>
      <c r="T25" s="107"/>
      <c r="U25" s="107"/>
      <c r="V25" s="17"/>
      <c r="W25" s="17"/>
      <c r="X25" s="17">
        <f t="shared" si="1"/>
        <v>7</v>
      </c>
      <c r="Y25" s="18">
        <f t="shared" si="2"/>
        <v>0</v>
      </c>
      <c r="Z25" s="24"/>
      <c r="AA25" s="20"/>
      <c r="AB25" s="21" t="b">
        <v>1</v>
      </c>
      <c r="AC25" s="22">
        <f t="shared" si="3"/>
        <v>0</v>
      </c>
      <c r="AD25" s="28"/>
      <c r="AE25" s="28"/>
    </row>
    <row r="26" spans="1:31">
      <c r="A26" s="10">
        <f t="shared" si="0"/>
        <v>0</v>
      </c>
      <c r="B26" s="13"/>
      <c r="C26" s="13"/>
      <c r="D26" s="13"/>
      <c r="E26" s="13"/>
      <c r="F26" s="13"/>
      <c r="G26" s="13"/>
      <c r="H26" s="13"/>
      <c r="I26" s="13"/>
      <c r="J26" s="13"/>
      <c r="K26" s="13"/>
      <c r="L26" s="105"/>
      <c r="M26" s="104" t="s">
        <v>570</v>
      </c>
      <c r="N26" s="105"/>
      <c r="O26" s="107"/>
      <c r="P26" s="107"/>
      <c r="Q26" s="107"/>
      <c r="R26" s="107"/>
      <c r="S26" s="107"/>
      <c r="T26" s="107"/>
      <c r="U26" s="107"/>
      <c r="V26" s="17"/>
      <c r="W26" s="17"/>
      <c r="X26" s="17">
        <f t="shared" si="1"/>
        <v>7</v>
      </c>
      <c r="Y26" s="18">
        <f t="shared" si="2"/>
        <v>0</v>
      </c>
      <c r="Z26" s="24"/>
      <c r="AA26" s="20"/>
      <c r="AB26" s="21" t="b">
        <v>1</v>
      </c>
      <c r="AC26" s="22">
        <f t="shared" si="3"/>
        <v>0</v>
      </c>
      <c r="AD26" s="28"/>
      <c r="AE26" s="28"/>
    </row>
    <row r="27" spans="1:31">
      <c r="A27" s="10">
        <f t="shared" si="0"/>
        <v>0</v>
      </c>
      <c r="B27" s="13"/>
      <c r="C27" s="13"/>
      <c r="D27" s="13"/>
      <c r="E27" s="13"/>
      <c r="F27" s="13"/>
      <c r="G27" s="13"/>
      <c r="H27" s="13"/>
      <c r="I27" s="13"/>
      <c r="J27" s="13"/>
      <c r="K27" s="13"/>
      <c r="L27" s="105"/>
      <c r="M27" s="105"/>
      <c r="N27" s="105" t="s">
        <v>571</v>
      </c>
      <c r="O27" s="107"/>
      <c r="P27" s="107"/>
      <c r="Q27" s="107"/>
      <c r="R27" s="107"/>
      <c r="S27" s="107"/>
      <c r="T27" s="107"/>
      <c r="U27" s="107"/>
      <c r="V27" s="17"/>
      <c r="W27" s="17"/>
      <c r="X27" s="17">
        <f t="shared" si="1"/>
        <v>7</v>
      </c>
      <c r="Y27" s="18">
        <f t="shared" si="2"/>
        <v>0</v>
      </c>
      <c r="Z27" s="24"/>
      <c r="AA27" s="20"/>
      <c r="AB27" s="21" t="b">
        <v>1</v>
      </c>
      <c r="AC27" s="22">
        <f t="shared" si="3"/>
        <v>0</v>
      </c>
      <c r="AD27" s="28"/>
      <c r="AE27" s="28"/>
    </row>
    <row r="28" spans="1:31">
      <c r="A28" s="10">
        <f t="shared" si="0"/>
        <v>0</v>
      </c>
      <c r="B28" s="13"/>
      <c r="C28" s="13"/>
      <c r="D28" s="13"/>
      <c r="E28" s="13"/>
      <c r="F28" s="13"/>
      <c r="G28" s="13"/>
      <c r="H28" s="13"/>
      <c r="I28" s="13"/>
      <c r="J28" s="13"/>
      <c r="K28" s="13"/>
      <c r="L28" s="105"/>
      <c r="M28" s="105"/>
      <c r="N28" s="105" t="s">
        <v>572</v>
      </c>
      <c r="O28" s="107"/>
      <c r="P28" s="107"/>
      <c r="Q28" s="107"/>
      <c r="R28" s="107"/>
      <c r="S28" s="107"/>
      <c r="T28" s="107"/>
      <c r="U28" s="107"/>
      <c r="V28" s="17"/>
      <c r="W28" s="17"/>
      <c r="X28" s="17">
        <f t="shared" si="1"/>
        <v>7</v>
      </c>
      <c r="Y28" s="18">
        <f t="shared" si="2"/>
        <v>0</v>
      </c>
      <c r="Z28" s="19"/>
      <c r="AA28" s="30"/>
      <c r="AB28" s="21" t="b">
        <v>1</v>
      </c>
      <c r="AC28" s="22">
        <f t="shared" si="3"/>
        <v>0</v>
      </c>
      <c r="AD28" s="28"/>
      <c r="AE28" s="28"/>
    </row>
    <row r="29" spans="1:31">
      <c r="A29" s="10">
        <f t="shared" si="0"/>
        <v>0</v>
      </c>
      <c r="B29" s="13"/>
      <c r="C29" s="13"/>
      <c r="D29" s="13"/>
      <c r="E29" s="13"/>
      <c r="F29" s="13"/>
      <c r="G29" s="13"/>
      <c r="H29" s="13"/>
      <c r="I29" s="13"/>
      <c r="J29" s="13"/>
      <c r="K29" s="13"/>
      <c r="L29" s="105"/>
      <c r="M29" s="105" t="s">
        <v>573</v>
      </c>
      <c r="N29" s="105"/>
      <c r="O29" s="107"/>
      <c r="P29" s="107"/>
      <c r="Q29" s="107"/>
      <c r="R29" s="107"/>
      <c r="S29" s="107"/>
      <c r="T29" s="107"/>
      <c r="U29" s="107"/>
      <c r="V29" s="17"/>
      <c r="W29" s="17"/>
      <c r="X29" s="17">
        <f t="shared" si="1"/>
        <v>7</v>
      </c>
      <c r="Y29" s="18">
        <f t="shared" si="2"/>
        <v>0</v>
      </c>
      <c r="Z29" s="19"/>
      <c r="AA29" s="30"/>
      <c r="AB29" s="21" t="b">
        <v>1</v>
      </c>
      <c r="AC29" s="22">
        <f t="shared" si="3"/>
        <v>0</v>
      </c>
      <c r="AD29" s="28"/>
      <c r="AE29" s="28"/>
    </row>
    <row r="30" spans="1:31">
      <c r="A30" s="10">
        <f t="shared" si="0"/>
        <v>0</v>
      </c>
      <c r="B30" s="13"/>
      <c r="C30" s="13"/>
      <c r="D30" s="13"/>
      <c r="E30" s="13"/>
      <c r="F30" s="13"/>
      <c r="G30" s="13"/>
      <c r="H30" s="13"/>
      <c r="I30" s="13"/>
      <c r="J30" s="13"/>
      <c r="K30" s="13"/>
      <c r="L30" s="105"/>
      <c r="M30" s="105" t="s">
        <v>574</v>
      </c>
      <c r="N30" s="105"/>
      <c r="O30" s="107"/>
      <c r="P30" s="107"/>
      <c r="Q30" s="107"/>
      <c r="R30" s="107"/>
      <c r="S30" s="107"/>
      <c r="T30" s="107"/>
      <c r="U30" s="107"/>
      <c r="V30" s="17"/>
      <c r="W30" s="17"/>
      <c r="X30" s="17">
        <f t="shared" si="1"/>
        <v>7</v>
      </c>
      <c r="Y30" s="18">
        <f t="shared" si="2"/>
        <v>0</v>
      </c>
      <c r="Z30" s="24"/>
      <c r="AA30" s="20"/>
      <c r="AB30" s="21" t="b">
        <v>1</v>
      </c>
      <c r="AC30" s="22">
        <f t="shared" si="3"/>
        <v>0</v>
      </c>
      <c r="AD30" s="32"/>
      <c r="AE30" s="32"/>
    </row>
    <row r="31" spans="1:31">
      <c r="A31" s="10">
        <f t="shared" si="0"/>
        <v>0</v>
      </c>
      <c r="B31" s="13"/>
      <c r="C31" s="13"/>
      <c r="D31" s="13"/>
      <c r="E31" s="13"/>
      <c r="F31" s="13"/>
      <c r="G31" s="13"/>
      <c r="H31" s="13"/>
      <c r="I31" s="13"/>
      <c r="J31" s="13"/>
      <c r="K31" s="13"/>
      <c r="L31" s="104"/>
      <c r="M31" s="105" t="s">
        <v>575</v>
      </c>
      <c r="N31" s="105"/>
      <c r="O31" s="107"/>
      <c r="P31" s="107"/>
      <c r="Q31" s="107"/>
      <c r="R31" s="107"/>
      <c r="S31" s="107"/>
      <c r="T31" s="107"/>
      <c r="U31" s="107"/>
      <c r="V31" s="17"/>
      <c r="W31" s="17"/>
      <c r="X31" s="17">
        <f t="shared" si="1"/>
        <v>7</v>
      </c>
      <c r="Y31" s="18">
        <f t="shared" si="2"/>
        <v>0</v>
      </c>
      <c r="Z31" s="19"/>
      <c r="AA31" s="20"/>
      <c r="AB31" s="21" t="b">
        <v>1</v>
      </c>
      <c r="AC31" s="22">
        <f t="shared" si="3"/>
        <v>0</v>
      </c>
      <c r="AD31" s="28"/>
      <c r="AE31" s="28"/>
    </row>
    <row r="32" spans="1:31">
      <c r="A32" s="10">
        <f t="shared" si="0"/>
        <v>0</v>
      </c>
      <c r="B32" s="13"/>
      <c r="C32" s="13"/>
      <c r="D32" s="13"/>
      <c r="E32" s="13"/>
      <c r="F32" s="13"/>
      <c r="G32" s="13"/>
      <c r="H32" s="13"/>
      <c r="I32" s="13"/>
      <c r="J32" s="13"/>
      <c r="K32" s="13"/>
      <c r="L32" s="104" t="s">
        <v>576</v>
      </c>
      <c r="M32" s="105"/>
      <c r="N32" s="105"/>
      <c r="O32" s="107"/>
      <c r="P32" s="107"/>
      <c r="Q32" s="107"/>
      <c r="R32" s="107"/>
      <c r="S32" s="107"/>
      <c r="T32" s="107"/>
      <c r="U32" s="107"/>
      <c r="V32" s="17"/>
      <c r="W32" s="17"/>
      <c r="X32" s="17">
        <f t="shared" si="1"/>
        <v>8</v>
      </c>
      <c r="Y32" s="18">
        <f t="shared" si="2"/>
        <v>0</v>
      </c>
      <c r="Z32" s="24"/>
      <c r="AA32" s="20"/>
      <c r="AB32" s="21" t="b">
        <v>1</v>
      </c>
      <c r="AC32" s="22">
        <f t="shared" si="3"/>
        <v>0</v>
      </c>
      <c r="AD32" s="32"/>
      <c r="AE32" s="32"/>
    </row>
    <row r="33" spans="1:31">
      <c r="A33" s="10">
        <f t="shared" si="0"/>
        <v>0</v>
      </c>
      <c r="B33" s="13"/>
      <c r="C33" s="13"/>
      <c r="D33" s="13"/>
      <c r="E33" s="13"/>
      <c r="F33" s="13"/>
      <c r="G33" s="13"/>
      <c r="H33" s="13"/>
      <c r="I33" s="13"/>
      <c r="J33" s="13"/>
      <c r="K33" s="13"/>
      <c r="L33" s="105"/>
      <c r="M33" s="105" t="s">
        <v>577</v>
      </c>
      <c r="N33" s="105"/>
      <c r="O33" s="107"/>
      <c r="P33" s="107"/>
      <c r="Q33" s="107"/>
      <c r="R33" s="107"/>
      <c r="S33" s="107"/>
      <c r="T33" s="107"/>
      <c r="U33" s="107"/>
      <c r="V33" s="17"/>
      <c r="W33" s="17"/>
      <c r="X33" s="17">
        <f t="shared" si="1"/>
        <v>8</v>
      </c>
      <c r="Y33" s="18">
        <f t="shared" si="2"/>
        <v>0</v>
      </c>
      <c r="Z33" s="24"/>
      <c r="AA33" s="20"/>
      <c r="AB33" s="21" t="b">
        <v>1</v>
      </c>
      <c r="AC33" s="22">
        <f t="shared" si="3"/>
        <v>0</v>
      </c>
      <c r="AD33" s="32"/>
      <c r="AE33" s="32"/>
    </row>
    <row r="34" spans="1:31">
      <c r="A34" s="10">
        <f t="shared" si="0"/>
        <v>0</v>
      </c>
      <c r="B34" s="13"/>
      <c r="C34" s="13"/>
      <c r="D34" s="13"/>
      <c r="E34" s="13"/>
      <c r="F34" s="13"/>
      <c r="G34" s="13"/>
      <c r="H34" s="13"/>
      <c r="I34" s="13"/>
      <c r="J34" s="13"/>
      <c r="K34" s="13"/>
      <c r="L34" s="105"/>
      <c r="M34" s="105" t="s">
        <v>578</v>
      </c>
      <c r="N34" s="105"/>
      <c r="O34" s="107"/>
      <c r="P34" s="107"/>
      <c r="Q34" s="107"/>
      <c r="R34" s="107"/>
      <c r="S34" s="107"/>
      <c r="T34" s="107"/>
      <c r="U34" s="107"/>
      <c r="V34" s="17"/>
      <c r="W34" s="17"/>
      <c r="X34" s="17">
        <f t="shared" si="1"/>
        <v>8</v>
      </c>
      <c r="Y34" s="18">
        <f t="shared" si="2"/>
        <v>0</v>
      </c>
      <c r="Z34" s="24"/>
      <c r="AA34" s="20"/>
      <c r="AB34" s="21" t="b">
        <v>1</v>
      </c>
      <c r="AC34" s="22">
        <f t="shared" si="3"/>
        <v>0</v>
      </c>
      <c r="AD34" s="28"/>
      <c r="AE34" s="28"/>
    </row>
    <row r="35" spans="1:31">
      <c r="A35" s="10">
        <f t="shared" si="0"/>
        <v>0</v>
      </c>
      <c r="B35" s="13"/>
      <c r="C35" s="13"/>
      <c r="D35" s="13"/>
      <c r="E35" s="13"/>
      <c r="F35" s="13"/>
      <c r="G35" s="13"/>
      <c r="H35" s="13"/>
      <c r="I35" s="13"/>
      <c r="J35" s="13"/>
      <c r="K35" s="13"/>
      <c r="L35" s="105"/>
      <c r="M35" s="105" t="s">
        <v>579</v>
      </c>
      <c r="N35" s="105"/>
      <c r="O35" s="107"/>
      <c r="P35" s="107"/>
      <c r="Q35" s="107"/>
      <c r="R35" s="107"/>
      <c r="S35" s="107"/>
      <c r="T35" s="107"/>
      <c r="U35" s="107"/>
      <c r="V35" s="17"/>
      <c r="W35" s="17"/>
      <c r="X35" s="17">
        <f t="shared" si="1"/>
        <v>8</v>
      </c>
      <c r="Y35" s="18">
        <f t="shared" si="2"/>
        <v>0</v>
      </c>
      <c r="Z35" s="24"/>
      <c r="AA35" s="20"/>
      <c r="AB35" s="21" t="b">
        <v>1</v>
      </c>
      <c r="AC35" s="22">
        <f t="shared" si="3"/>
        <v>0</v>
      </c>
      <c r="AD35" s="28"/>
      <c r="AE35" s="28"/>
    </row>
    <row r="36" spans="1:31">
      <c r="A36" s="10">
        <f t="shared" si="0"/>
        <v>0</v>
      </c>
      <c r="B36" s="13"/>
      <c r="C36" s="13"/>
      <c r="D36" s="13"/>
      <c r="E36" s="13"/>
      <c r="F36" s="13"/>
      <c r="G36" s="13"/>
      <c r="H36" s="13"/>
      <c r="I36" s="13"/>
      <c r="J36" s="13"/>
      <c r="K36" s="13"/>
      <c r="L36" s="105"/>
      <c r="M36" s="105" t="s">
        <v>580</v>
      </c>
      <c r="N36" s="105"/>
      <c r="O36" s="107"/>
      <c r="P36" s="107"/>
      <c r="Q36" s="107"/>
      <c r="R36" s="107"/>
      <c r="S36" s="107"/>
      <c r="T36" s="107"/>
      <c r="U36" s="107"/>
      <c r="V36" s="17"/>
      <c r="W36" s="17"/>
      <c r="X36" s="17">
        <f t="shared" si="1"/>
        <v>8</v>
      </c>
      <c r="Y36" s="18">
        <f t="shared" si="2"/>
        <v>0</v>
      </c>
      <c r="Z36" s="24"/>
      <c r="AA36" s="20"/>
      <c r="AB36" s="21" t="b">
        <v>1</v>
      </c>
      <c r="AC36" s="22">
        <f t="shared" si="3"/>
        <v>0</v>
      </c>
      <c r="AD36" s="28"/>
      <c r="AE36" s="28"/>
    </row>
    <row r="37" spans="1:31">
      <c r="A37" s="10">
        <f t="shared" si="0"/>
        <v>0</v>
      </c>
      <c r="B37" s="13"/>
      <c r="C37" s="13"/>
      <c r="D37" s="13"/>
      <c r="E37" s="13"/>
      <c r="F37" s="13"/>
      <c r="G37" s="13"/>
      <c r="H37" s="13"/>
      <c r="I37" s="13"/>
      <c r="J37" s="13"/>
      <c r="K37" s="13"/>
      <c r="L37" s="104" t="s">
        <v>581</v>
      </c>
      <c r="M37" s="105"/>
      <c r="N37" s="105"/>
      <c r="O37" s="107"/>
      <c r="P37" s="107"/>
      <c r="Q37" s="107"/>
      <c r="R37" s="107"/>
      <c r="S37" s="107"/>
      <c r="T37" s="107"/>
      <c r="U37" s="107"/>
      <c r="V37" s="17"/>
      <c r="W37" s="17"/>
      <c r="X37" s="17">
        <f t="shared" si="1"/>
        <v>9</v>
      </c>
      <c r="Y37" s="18">
        <f t="shared" si="2"/>
        <v>0</v>
      </c>
      <c r="Z37" s="24"/>
      <c r="AA37" s="20"/>
      <c r="AB37" s="21" t="b">
        <v>1</v>
      </c>
      <c r="AC37" s="22">
        <f t="shared" si="3"/>
        <v>0</v>
      </c>
      <c r="AD37" s="28"/>
      <c r="AE37" s="28"/>
    </row>
    <row r="38" spans="1:31">
      <c r="A38" s="10">
        <f t="shared" si="0"/>
        <v>0</v>
      </c>
      <c r="B38" s="13"/>
      <c r="C38" s="13"/>
      <c r="D38" s="13"/>
      <c r="E38" s="13"/>
      <c r="F38" s="13"/>
      <c r="G38" s="13"/>
      <c r="H38" s="13"/>
      <c r="I38" s="13"/>
      <c r="J38" s="13"/>
      <c r="K38" s="13"/>
      <c r="L38" s="105"/>
      <c r="M38" s="104" t="s">
        <v>582</v>
      </c>
      <c r="N38" s="105"/>
      <c r="O38" s="107"/>
      <c r="P38" s="107"/>
      <c r="Q38" s="107"/>
      <c r="R38" s="107"/>
      <c r="S38" s="107"/>
      <c r="T38" s="107"/>
      <c r="U38" s="107"/>
      <c r="V38" s="17"/>
      <c r="W38" s="17"/>
      <c r="X38" s="17">
        <f t="shared" si="1"/>
        <v>9</v>
      </c>
      <c r="Y38" s="18">
        <f t="shared" si="2"/>
        <v>0</v>
      </c>
      <c r="Z38" s="24"/>
      <c r="AA38" s="20"/>
      <c r="AB38" s="21" t="b">
        <v>1</v>
      </c>
      <c r="AC38" s="22">
        <f t="shared" si="3"/>
        <v>0</v>
      </c>
      <c r="AD38" s="28"/>
      <c r="AE38" s="28"/>
    </row>
    <row r="39" spans="1:31">
      <c r="A39" s="10">
        <f t="shared" si="0"/>
        <v>0</v>
      </c>
      <c r="B39" s="13"/>
      <c r="C39" s="13"/>
      <c r="D39" s="13"/>
      <c r="E39" s="13"/>
      <c r="F39" s="13"/>
      <c r="G39" s="13"/>
      <c r="H39" s="13"/>
      <c r="I39" s="13"/>
      <c r="J39" s="13"/>
      <c r="K39" s="13"/>
      <c r="L39" s="105"/>
      <c r="M39" s="105"/>
      <c r="N39" s="105" t="s">
        <v>583</v>
      </c>
      <c r="O39" s="107"/>
      <c r="P39" s="107"/>
      <c r="Q39" s="107"/>
      <c r="R39" s="107"/>
      <c r="S39" s="107"/>
      <c r="T39" s="107"/>
      <c r="U39" s="107"/>
      <c r="V39" s="17"/>
      <c r="W39" s="17"/>
      <c r="X39" s="17">
        <f t="shared" si="1"/>
        <v>9</v>
      </c>
      <c r="Y39" s="18">
        <f t="shared" si="2"/>
        <v>0</v>
      </c>
      <c r="Z39" s="24"/>
      <c r="AA39" s="20"/>
      <c r="AB39" s="21" t="b">
        <v>1</v>
      </c>
      <c r="AC39" s="22">
        <f t="shared" si="3"/>
        <v>0</v>
      </c>
      <c r="AD39" s="28"/>
      <c r="AE39" s="28"/>
    </row>
    <row r="40" spans="1:31">
      <c r="A40" s="10">
        <f t="shared" si="0"/>
        <v>0</v>
      </c>
      <c r="B40" s="13"/>
      <c r="C40" s="13"/>
      <c r="D40" s="13"/>
      <c r="E40" s="13"/>
      <c r="F40" s="13"/>
      <c r="G40" s="13"/>
      <c r="H40" s="13"/>
      <c r="I40" s="13"/>
      <c r="J40" s="13"/>
      <c r="K40" s="13"/>
      <c r="L40" s="105"/>
      <c r="M40" s="105"/>
      <c r="N40" s="105" t="s">
        <v>584</v>
      </c>
      <c r="O40" s="107"/>
      <c r="P40" s="107"/>
      <c r="Q40" s="107"/>
      <c r="R40" s="107"/>
      <c r="S40" s="107"/>
      <c r="T40" s="107"/>
      <c r="U40" s="107"/>
      <c r="V40" s="17"/>
      <c r="W40" s="17"/>
      <c r="X40" s="17">
        <f t="shared" si="1"/>
        <v>9</v>
      </c>
      <c r="Y40" s="18">
        <f t="shared" si="2"/>
        <v>0</v>
      </c>
      <c r="Z40" s="24"/>
      <c r="AA40" s="20"/>
      <c r="AB40" s="21" t="b">
        <v>1</v>
      </c>
      <c r="AC40" s="22">
        <f t="shared" si="3"/>
        <v>0</v>
      </c>
      <c r="AD40" s="32"/>
      <c r="AE40" s="32"/>
    </row>
    <row r="41" spans="1:31">
      <c r="A41" s="10">
        <f t="shared" si="0"/>
        <v>0</v>
      </c>
      <c r="B41" s="13"/>
      <c r="C41" s="13"/>
      <c r="D41" s="13"/>
      <c r="E41" s="13"/>
      <c r="F41" s="13"/>
      <c r="G41" s="13"/>
      <c r="H41" s="13"/>
      <c r="I41" s="13"/>
      <c r="J41" s="13"/>
      <c r="K41" s="13"/>
      <c r="L41" s="105"/>
      <c r="M41" s="105" t="s">
        <v>585</v>
      </c>
      <c r="N41" s="105"/>
      <c r="O41" s="107"/>
      <c r="P41" s="107"/>
      <c r="Q41" s="107"/>
      <c r="R41" s="107"/>
      <c r="S41" s="107"/>
      <c r="T41" s="107"/>
      <c r="U41" s="107"/>
      <c r="V41" s="17"/>
      <c r="W41" s="17"/>
      <c r="X41" s="17">
        <f t="shared" si="1"/>
        <v>9</v>
      </c>
      <c r="Y41" s="18">
        <f t="shared" si="2"/>
        <v>0</v>
      </c>
      <c r="Z41" s="24"/>
      <c r="AA41" s="20"/>
      <c r="AB41" s="21" t="b">
        <v>1</v>
      </c>
      <c r="AC41" s="22">
        <f t="shared" si="3"/>
        <v>0</v>
      </c>
      <c r="AD41" s="32"/>
      <c r="AE41" s="32"/>
    </row>
    <row r="42" spans="1:31" ht="16.5">
      <c r="A42" s="10">
        <f t="shared" si="0"/>
        <v>0</v>
      </c>
      <c r="B42" s="13"/>
      <c r="C42" s="13"/>
      <c r="D42" s="13"/>
      <c r="E42" s="13"/>
      <c r="F42" s="13"/>
      <c r="G42" s="13"/>
      <c r="H42" s="13"/>
      <c r="I42" s="13"/>
      <c r="J42" s="13"/>
      <c r="K42" s="13"/>
      <c r="L42" s="105"/>
      <c r="M42" s="105" t="s">
        <v>586</v>
      </c>
      <c r="N42" s="105"/>
      <c r="O42" s="107"/>
      <c r="P42" s="107"/>
      <c r="Q42" s="107"/>
      <c r="R42" s="107"/>
      <c r="S42" s="107"/>
      <c r="T42" s="107"/>
      <c r="U42" s="107"/>
      <c r="V42" s="17"/>
      <c r="W42" s="17"/>
      <c r="X42" s="17">
        <f t="shared" si="1"/>
        <v>9</v>
      </c>
      <c r="Y42" s="18">
        <f t="shared" si="2"/>
        <v>0</v>
      </c>
      <c r="Z42" s="24"/>
      <c r="AA42" s="20"/>
      <c r="AB42" s="21" t="b">
        <v>1</v>
      </c>
      <c r="AC42" s="22">
        <f t="shared" si="3"/>
        <v>0</v>
      </c>
      <c r="AD42" s="32"/>
      <c r="AE42" s="32"/>
    </row>
    <row r="43" spans="1:31" ht="16.5">
      <c r="A43" s="10">
        <f t="shared" si="0"/>
        <v>0</v>
      </c>
      <c r="B43" s="13"/>
      <c r="C43" s="13"/>
      <c r="D43" s="13"/>
      <c r="E43" s="13"/>
      <c r="F43" s="13"/>
      <c r="G43" s="13"/>
      <c r="H43" s="13"/>
      <c r="I43" s="13"/>
      <c r="J43" s="13"/>
      <c r="K43" s="13"/>
      <c r="L43" s="105"/>
      <c r="M43" s="105" t="s">
        <v>587</v>
      </c>
      <c r="N43" s="105"/>
      <c r="O43" s="107"/>
      <c r="P43" s="107"/>
      <c r="Q43" s="107"/>
      <c r="R43" s="107"/>
      <c r="S43" s="107"/>
      <c r="T43" s="107"/>
      <c r="U43" s="107"/>
      <c r="V43" s="17"/>
      <c r="W43" s="17"/>
      <c r="X43" s="17">
        <f t="shared" si="1"/>
        <v>9</v>
      </c>
      <c r="Y43" s="18">
        <f t="shared" si="2"/>
        <v>0</v>
      </c>
      <c r="Z43" s="24"/>
      <c r="AA43" s="20"/>
      <c r="AB43" s="21" t="b">
        <v>1</v>
      </c>
      <c r="AC43" s="22">
        <f t="shared" si="3"/>
        <v>0</v>
      </c>
      <c r="AD43" s="32"/>
      <c r="AE43" s="32"/>
    </row>
    <row r="44" spans="1:31" ht="16.5">
      <c r="A44" s="10">
        <f t="shared" si="0"/>
        <v>0</v>
      </c>
      <c r="B44" s="13"/>
      <c r="C44" s="13"/>
      <c r="D44" s="13"/>
      <c r="E44" s="13"/>
      <c r="F44" s="13"/>
      <c r="G44" s="13"/>
      <c r="H44" s="13"/>
      <c r="I44" s="13"/>
      <c r="J44" s="13"/>
      <c r="K44" s="13"/>
      <c r="L44" s="104" t="s">
        <v>588</v>
      </c>
      <c r="M44" s="105"/>
      <c r="N44" s="105"/>
      <c r="O44" s="107"/>
      <c r="P44" s="107"/>
      <c r="Q44" s="107"/>
      <c r="R44" s="107"/>
      <c r="S44" s="107"/>
      <c r="T44" s="107"/>
      <c r="U44" s="107"/>
      <c r="V44" s="17"/>
      <c r="W44" s="17"/>
      <c r="X44" s="17">
        <f t="shared" si="1"/>
        <v>10</v>
      </c>
      <c r="Y44" s="18">
        <f t="shared" si="2"/>
        <v>0</v>
      </c>
      <c r="Z44" s="24"/>
      <c r="AA44" s="20"/>
      <c r="AB44" s="21" t="b">
        <v>1</v>
      </c>
      <c r="AC44" s="22">
        <f t="shared" si="3"/>
        <v>0</v>
      </c>
      <c r="AD44" s="32"/>
      <c r="AE44" s="32"/>
    </row>
    <row r="45" spans="1:31" ht="16.5">
      <c r="A45" s="10">
        <f t="shared" si="0"/>
        <v>0</v>
      </c>
      <c r="B45" s="13"/>
      <c r="C45" s="13"/>
      <c r="D45" s="13"/>
      <c r="E45" s="13"/>
      <c r="F45" s="13"/>
      <c r="G45" s="13"/>
      <c r="H45" s="13"/>
      <c r="I45" s="13"/>
      <c r="J45" s="13"/>
      <c r="K45" s="13"/>
      <c r="L45" s="105"/>
      <c r="M45" s="105" t="s">
        <v>589</v>
      </c>
      <c r="N45" s="105"/>
      <c r="O45" s="107"/>
      <c r="P45" s="107"/>
      <c r="Q45" s="107"/>
      <c r="R45" s="107"/>
      <c r="S45" s="107"/>
      <c r="T45" s="107"/>
      <c r="U45" s="107"/>
      <c r="V45" s="17"/>
      <c r="W45" s="17"/>
      <c r="X45" s="17">
        <f t="shared" si="1"/>
        <v>10</v>
      </c>
      <c r="Y45" s="18">
        <f t="shared" si="2"/>
        <v>0</v>
      </c>
      <c r="Z45" s="24"/>
      <c r="AA45" s="20"/>
      <c r="AB45" s="21" t="b">
        <v>1</v>
      </c>
      <c r="AC45" s="22">
        <f t="shared" si="3"/>
        <v>0</v>
      </c>
      <c r="AD45" s="32"/>
      <c r="AE45" s="32"/>
    </row>
    <row r="46" spans="1:31" ht="16.5">
      <c r="A46" s="10">
        <f t="shared" si="0"/>
        <v>0</v>
      </c>
      <c r="B46" s="13"/>
      <c r="C46" s="13"/>
      <c r="D46" s="13"/>
      <c r="E46" s="13"/>
      <c r="F46" s="13"/>
      <c r="G46" s="13"/>
      <c r="H46" s="13"/>
      <c r="I46" s="13"/>
      <c r="J46" s="13"/>
      <c r="K46" s="13"/>
      <c r="L46" s="105"/>
      <c r="M46" s="104" t="s">
        <v>590</v>
      </c>
      <c r="N46" s="105"/>
      <c r="O46" s="107"/>
      <c r="P46" s="107"/>
      <c r="Q46" s="107"/>
      <c r="R46" s="107"/>
      <c r="S46" s="107"/>
      <c r="T46" s="107"/>
      <c r="U46" s="107"/>
      <c r="V46" s="17"/>
      <c r="W46" s="17"/>
      <c r="X46" s="17">
        <f t="shared" si="1"/>
        <v>10</v>
      </c>
      <c r="Y46" s="18">
        <f t="shared" si="2"/>
        <v>0</v>
      </c>
      <c r="Z46" s="24"/>
      <c r="AA46" s="20"/>
      <c r="AB46" s="21" t="b">
        <v>1</v>
      </c>
      <c r="AC46" s="22">
        <f t="shared" si="3"/>
        <v>0</v>
      </c>
      <c r="AD46" s="32"/>
      <c r="AE46" s="32"/>
    </row>
    <row r="47" spans="1:31" ht="16.5">
      <c r="A47" s="10">
        <f t="shared" si="0"/>
        <v>0</v>
      </c>
      <c r="B47" s="13"/>
      <c r="C47" s="13"/>
      <c r="D47" s="13"/>
      <c r="E47" s="13"/>
      <c r="F47" s="13"/>
      <c r="G47" s="13"/>
      <c r="H47" s="13"/>
      <c r="I47" s="13"/>
      <c r="J47" s="13"/>
      <c r="K47" s="13"/>
      <c r="L47" s="105"/>
      <c r="M47" s="105"/>
      <c r="N47" s="105" t="s">
        <v>591</v>
      </c>
      <c r="O47" s="107"/>
      <c r="P47" s="107"/>
      <c r="Q47" s="107"/>
      <c r="R47" s="107"/>
      <c r="S47" s="107"/>
      <c r="T47" s="107"/>
      <c r="U47" s="107"/>
      <c r="V47" s="17"/>
      <c r="W47" s="17"/>
      <c r="X47" s="17">
        <f t="shared" si="1"/>
        <v>10</v>
      </c>
      <c r="Y47" s="18">
        <f t="shared" si="2"/>
        <v>0</v>
      </c>
      <c r="Z47" s="24"/>
      <c r="AA47" s="20"/>
      <c r="AB47" s="21" t="b">
        <v>1</v>
      </c>
      <c r="AC47" s="22">
        <f t="shared" si="3"/>
        <v>0</v>
      </c>
      <c r="AD47" s="32"/>
      <c r="AE47" s="32"/>
    </row>
    <row r="48" spans="1:31" ht="16.5">
      <c r="A48" s="10">
        <f t="shared" si="0"/>
        <v>0</v>
      </c>
      <c r="B48" s="13"/>
      <c r="C48" s="13"/>
      <c r="D48" s="13"/>
      <c r="E48" s="13"/>
      <c r="F48" s="13"/>
      <c r="G48" s="13"/>
      <c r="H48" s="13"/>
      <c r="I48" s="13"/>
      <c r="J48" s="13"/>
      <c r="K48" s="13"/>
      <c r="L48" s="105"/>
      <c r="M48" s="105"/>
      <c r="N48" s="105" t="s">
        <v>592</v>
      </c>
      <c r="O48" s="107"/>
      <c r="P48" s="107"/>
      <c r="Q48" s="107"/>
      <c r="R48" s="107"/>
      <c r="S48" s="107"/>
      <c r="T48" s="107"/>
      <c r="U48" s="107"/>
      <c r="V48" s="17"/>
      <c r="W48" s="17"/>
      <c r="X48" s="17">
        <f t="shared" si="1"/>
        <v>10</v>
      </c>
      <c r="Y48" s="18">
        <f t="shared" si="2"/>
        <v>0</v>
      </c>
      <c r="Z48" s="24"/>
      <c r="AA48" s="20"/>
      <c r="AB48" s="21" t="b">
        <v>1</v>
      </c>
      <c r="AC48" s="22">
        <f t="shared" si="3"/>
        <v>0</v>
      </c>
      <c r="AD48" s="32"/>
      <c r="AE48" s="32"/>
    </row>
    <row r="49" spans="1:31" ht="16.5">
      <c r="A49" s="10">
        <f t="shared" si="0"/>
        <v>0</v>
      </c>
      <c r="B49" s="13"/>
      <c r="C49" s="13"/>
      <c r="D49" s="13"/>
      <c r="E49" s="13"/>
      <c r="F49" s="13"/>
      <c r="G49" s="13"/>
      <c r="H49" s="13"/>
      <c r="I49" s="13"/>
      <c r="J49" s="13"/>
      <c r="K49" s="13"/>
      <c r="L49" s="105"/>
      <c r="M49" s="105"/>
      <c r="N49" s="105" t="s">
        <v>593</v>
      </c>
      <c r="O49" s="107"/>
      <c r="P49" s="107"/>
      <c r="Q49" s="107"/>
      <c r="R49" s="107"/>
      <c r="S49" s="107"/>
      <c r="T49" s="107"/>
      <c r="U49" s="107"/>
      <c r="V49" s="17"/>
      <c r="W49" s="17"/>
      <c r="X49" s="17">
        <f t="shared" si="1"/>
        <v>10</v>
      </c>
      <c r="Y49" s="18">
        <f t="shared" si="2"/>
        <v>0</v>
      </c>
      <c r="Z49" s="24"/>
      <c r="AA49" s="20"/>
      <c r="AB49" s="21" t="b">
        <v>1</v>
      </c>
      <c r="AC49" s="22">
        <f t="shared" si="3"/>
        <v>0</v>
      </c>
      <c r="AD49" s="32"/>
      <c r="AE49" s="32"/>
    </row>
    <row r="50" spans="1:31" ht="16.5">
      <c r="A50" s="10">
        <f t="shared" si="0"/>
        <v>0</v>
      </c>
      <c r="B50" s="13"/>
      <c r="C50" s="13"/>
      <c r="D50" s="13"/>
      <c r="E50" s="13"/>
      <c r="F50" s="13"/>
      <c r="G50" s="13"/>
      <c r="H50" s="13"/>
      <c r="I50" s="13"/>
      <c r="J50" s="13"/>
      <c r="K50" s="13"/>
      <c r="L50" s="105"/>
      <c r="M50" s="105"/>
      <c r="N50" s="105" t="s">
        <v>594</v>
      </c>
      <c r="O50" s="107"/>
      <c r="P50" s="107"/>
      <c r="Q50" s="107"/>
      <c r="R50" s="107"/>
      <c r="S50" s="107"/>
      <c r="T50" s="107"/>
      <c r="U50" s="107"/>
      <c r="V50" s="17"/>
      <c r="W50" s="17"/>
      <c r="X50" s="17">
        <f t="shared" si="1"/>
        <v>10</v>
      </c>
      <c r="Y50" s="18">
        <f t="shared" si="2"/>
        <v>0</v>
      </c>
      <c r="Z50" s="24"/>
      <c r="AA50" s="20"/>
      <c r="AB50" s="21" t="b">
        <v>1</v>
      </c>
      <c r="AC50" s="22">
        <f t="shared" si="3"/>
        <v>0</v>
      </c>
      <c r="AD50" s="32"/>
      <c r="AE50" s="32"/>
    </row>
    <row r="51" spans="1:31" ht="16.5">
      <c r="A51" s="10">
        <f t="shared" si="0"/>
        <v>0</v>
      </c>
      <c r="B51" s="13"/>
      <c r="C51" s="13"/>
      <c r="D51" s="13"/>
      <c r="E51" s="13"/>
      <c r="F51" s="13"/>
      <c r="G51" s="13"/>
      <c r="H51" s="13"/>
      <c r="I51" s="13"/>
      <c r="J51" s="13"/>
      <c r="K51" s="13"/>
      <c r="L51" s="105"/>
      <c r="M51" s="104" t="s">
        <v>595</v>
      </c>
      <c r="N51" s="105"/>
      <c r="O51" s="107"/>
      <c r="P51" s="107"/>
      <c r="Q51" s="107"/>
      <c r="R51" s="107"/>
      <c r="S51" s="107"/>
      <c r="T51" s="107"/>
      <c r="U51" s="107"/>
      <c r="V51" s="17"/>
      <c r="W51" s="17"/>
      <c r="X51" s="17">
        <f t="shared" si="1"/>
        <v>10</v>
      </c>
      <c r="Y51" s="18">
        <f t="shared" si="2"/>
        <v>0</v>
      </c>
      <c r="Z51" s="24"/>
      <c r="AA51" s="20"/>
      <c r="AB51" s="21" t="b">
        <v>1</v>
      </c>
      <c r="AC51" s="22">
        <f t="shared" si="3"/>
        <v>0</v>
      </c>
      <c r="AD51" s="32"/>
      <c r="AE51" s="32"/>
    </row>
    <row r="52" spans="1:31" ht="16.5">
      <c r="A52" s="10">
        <f t="shared" si="0"/>
        <v>0</v>
      </c>
      <c r="B52" s="13"/>
      <c r="C52" s="13"/>
      <c r="D52" s="13"/>
      <c r="E52" s="13"/>
      <c r="F52" s="13"/>
      <c r="G52" s="13"/>
      <c r="H52" s="13"/>
      <c r="I52" s="13"/>
      <c r="J52" s="13"/>
      <c r="K52" s="13"/>
      <c r="L52" s="105"/>
      <c r="M52" s="105"/>
      <c r="N52" s="105" t="s">
        <v>596</v>
      </c>
      <c r="O52" s="107"/>
      <c r="P52" s="107"/>
      <c r="Q52" s="107"/>
      <c r="R52" s="107"/>
      <c r="S52" s="107"/>
      <c r="T52" s="107"/>
      <c r="U52" s="107"/>
      <c r="V52" s="17"/>
      <c r="W52" s="17"/>
      <c r="X52" s="17">
        <f t="shared" si="1"/>
        <v>10</v>
      </c>
      <c r="Y52" s="18">
        <f t="shared" si="2"/>
        <v>0</v>
      </c>
      <c r="Z52" s="24"/>
      <c r="AA52" s="20"/>
      <c r="AB52" s="21" t="b">
        <v>1</v>
      </c>
      <c r="AC52" s="22">
        <f t="shared" si="3"/>
        <v>0</v>
      </c>
      <c r="AD52" s="32"/>
      <c r="AE52" s="32"/>
    </row>
    <row r="53" spans="1:31" ht="16.5">
      <c r="A53" s="10">
        <f t="shared" si="0"/>
        <v>0</v>
      </c>
      <c r="B53" s="13"/>
      <c r="C53" s="13"/>
      <c r="D53" s="13"/>
      <c r="E53" s="13"/>
      <c r="F53" s="13"/>
      <c r="G53" s="13"/>
      <c r="H53" s="13"/>
      <c r="I53" s="13"/>
      <c r="J53" s="13"/>
      <c r="K53" s="13"/>
      <c r="L53" s="105"/>
      <c r="M53" s="105"/>
      <c r="N53" s="105" t="s">
        <v>597</v>
      </c>
      <c r="O53" s="107"/>
      <c r="P53" s="107"/>
      <c r="Q53" s="107"/>
      <c r="R53" s="107"/>
      <c r="S53" s="107"/>
      <c r="T53" s="107"/>
      <c r="U53" s="107"/>
      <c r="V53" s="17"/>
      <c r="W53" s="17"/>
      <c r="X53" s="17">
        <f t="shared" si="1"/>
        <v>10</v>
      </c>
      <c r="Y53" s="18">
        <f t="shared" si="2"/>
        <v>0</v>
      </c>
      <c r="Z53" s="24"/>
      <c r="AA53" s="20"/>
      <c r="AB53" s="21" t="b">
        <v>1</v>
      </c>
      <c r="AC53" s="22">
        <f t="shared" si="3"/>
        <v>0</v>
      </c>
      <c r="AD53" s="32"/>
      <c r="AE53" s="32"/>
    </row>
    <row r="54" spans="1:31" ht="16.5">
      <c r="A54" s="10">
        <f t="shared" si="0"/>
        <v>0</v>
      </c>
      <c r="B54" s="13"/>
      <c r="C54" s="13"/>
      <c r="D54" s="13"/>
      <c r="E54" s="13"/>
      <c r="F54" s="13"/>
      <c r="G54" s="13"/>
      <c r="H54" s="13"/>
      <c r="I54" s="13"/>
      <c r="J54" s="13"/>
      <c r="K54" s="13"/>
      <c r="L54" s="105"/>
      <c r="M54" s="105" t="s">
        <v>598</v>
      </c>
      <c r="N54" s="105"/>
      <c r="O54" s="107"/>
      <c r="P54" s="107"/>
      <c r="Q54" s="107"/>
      <c r="R54" s="107"/>
      <c r="S54" s="107"/>
      <c r="T54" s="107"/>
      <c r="U54" s="107"/>
      <c r="V54" s="17"/>
      <c r="W54" s="17"/>
      <c r="X54" s="17">
        <f t="shared" si="1"/>
        <v>10</v>
      </c>
      <c r="Y54" s="18">
        <f t="shared" si="2"/>
        <v>0</v>
      </c>
      <c r="Z54" s="24"/>
      <c r="AA54" s="20"/>
      <c r="AB54" s="21" t="b">
        <v>1</v>
      </c>
      <c r="AC54" s="22">
        <f t="shared" si="3"/>
        <v>0</v>
      </c>
      <c r="AD54" s="32"/>
      <c r="AE54" s="32"/>
    </row>
    <row r="55" spans="1:31" ht="16.5">
      <c r="A55" s="10">
        <f t="shared" si="0"/>
        <v>0</v>
      </c>
      <c r="B55" s="13"/>
      <c r="C55" s="13"/>
      <c r="D55" s="13"/>
      <c r="E55" s="13"/>
      <c r="F55" s="13"/>
      <c r="G55" s="13"/>
      <c r="H55" s="13"/>
      <c r="I55" s="13"/>
      <c r="J55" s="13"/>
      <c r="K55" s="13"/>
      <c r="L55" s="104" t="s">
        <v>599</v>
      </c>
      <c r="M55" s="105"/>
      <c r="N55" s="105"/>
      <c r="O55" s="107"/>
      <c r="P55" s="107"/>
      <c r="Q55" s="107"/>
      <c r="R55" s="107"/>
      <c r="S55" s="107"/>
      <c r="T55" s="107"/>
      <c r="U55" s="107"/>
      <c r="V55" s="17"/>
      <c r="W55" s="17"/>
      <c r="X55" s="17">
        <f t="shared" si="1"/>
        <v>11</v>
      </c>
      <c r="Y55" s="18">
        <f t="shared" si="2"/>
        <v>0</v>
      </c>
      <c r="Z55" s="24"/>
      <c r="AA55" s="20"/>
      <c r="AB55" s="21" t="b">
        <v>1</v>
      </c>
      <c r="AC55" s="22">
        <f t="shared" si="3"/>
        <v>0</v>
      </c>
      <c r="AD55" s="32"/>
      <c r="AE55" s="32"/>
    </row>
    <row r="56" spans="1:31" ht="16.5">
      <c r="A56" s="10">
        <f t="shared" si="0"/>
        <v>0</v>
      </c>
      <c r="B56" s="13"/>
      <c r="C56" s="13"/>
      <c r="D56" s="13"/>
      <c r="E56" s="13"/>
      <c r="F56" s="13"/>
      <c r="G56" s="13"/>
      <c r="H56" s="13"/>
      <c r="I56" s="13"/>
      <c r="J56" s="13"/>
      <c r="K56" s="13"/>
      <c r="L56" s="105"/>
      <c r="M56" s="104" t="s">
        <v>600</v>
      </c>
      <c r="N56" s="105"/>
      <c r="O56" s="107"/>
      <c r="P56" s="107"/>
      <c r="Q56" s="107"/>
      <c r="R56" s="107"/>
      <c r="S56" s="107"/>
      <c r="T56" s="107"/>
      <c r="U56" s="107"/>
      <c r="V56" s="17"/>
      <c r="W56" s="17"/>
      <c r="X56" s="17">
        <f t="shared" si="1"/>
        <v>11</v>
      </c>
      <c r="Y56" s="18">
        <f t="shared" si="2"/>
        <v>0</v>
      </c>
      <c r="Z56" s="24"/>
      <c r="AA56" s="20"/>
      <c r="AB56" s="21" t="b">
        <v>1</v>
      </c>
      <c r="AC56" s="22">
        <f t="shared" si="3"/>
        <v>0</v>
      </c>
      <c r="AD56" s="28"/>
      <c r="AE56" s="28"/>
    </row>
    <row r="57" spans="1:31" ht="16.5">
      <c r="A57" s="10">
        <f t="shared" si="0"/>
        <v>0</v>
      </c>
      <c r="B57" s="13"/>
      <c r="C57" s="13"/>
      <c r="D57" s="13"/>
      <c r="E57" s="13"/>
      <c r="F57" s="13"/>
      <c r="G57" s="13"/>
      <c r="H57" s="13"/>
      <c r="I57" s="13"/>
      <c r="J57" s="13"/>
      <c r="K57" s="13"/>
      <c r="L57" s="105"/>
      <c r="M57" s="105"/>
      <c r="N57" s="105" t="s">
        <v>601</v>
      </c>
      <c r="O57" s="107"/>
      <c r="P57" s="107"/>
      <c r="Q57" s="107"/>
      <c r="R57" s="107"/>
      <c r="S57" s="107"/>
      <c r="T57" s="107"/>
      <c r="U57" s="107"/>
      <c r="V57" s="17"/>
      <c r="W57" s="17"/>
      <c r="X57" s="17">
        <f t="shared" si="1"/>
        <v>11</v>
      </c>
      <c r="Y57" s="18">
        <f t="shared" si="2"/>
        <v>0</v>
      </c>
      <c r="Z57" s="24"/>
      <c r="AA57" s="20"/>
      <c r="AB57" s="21" t="b">
        <v>1</v>
      </c>
      <c r="AC57" s="22">
        <f t="shared" si="3"/>
        <v>0</v>
      </c>
      <c r="AD57" s="32"/>
      <c r="AE57" s="32"/>
    </row>
    <row r="58" spans="1:31" ht="16.5">
      <c r="A58" s="10">
        <f t="shared" si="0"/>
        <v>0</v>
      </c>
      <c r="B58" s="13"/>
      <c r="C58" s="13"/>
      <c r="D58" s="13"/>
      <c r="E58" s="13"/>
      <c r="F58" s="13"/>
      <c r="G58" s="13"/>
      <c r="H58" s="13"/>
      <c r="I58" s="13"/>
      <c r="J58" s="13"/>
      <c r="K58" s="13"/>
      <c r="L58" s="105"/>
      <c r="M58" s="105"/>
      <c r="N58" s="105" t="s">
        <v>602</v>
      </c>
      <c r="O58" s="107"/>
      <c r="P58" s="107"/>
      <c r="Q58" s="107"/>
      <c r="R58" s="107"/>
      <c r="S58" s="107"/>
      <c r="T58" s="107"/>
      <c r="U58" s="107"/>
      <c r="V58" s="17"/>
      <c r="W58" s="17"/>
      <c r="X58" s="17">
        <f t="shared" si="1"/>
        <v>11</v>
      </c>
      <c r="Y58" s="18">
        <f t="shared" si="2"/>
        <v>0</v>
      </c>
      <c r="Z58" s="24"/>
      <c r="AA58" s="20"/>
      <c r="AB58" s="21" t="b">
        <v>1</v>
      </c>
      <c r="AC58" s="22">
        <f t="shared" si="3"/>
        <v>0</v>
      </c>
      <c r="AD58" s="32"/>
      <c r="AE58" s="32"/>
    </row>
    <row r="59" spans="1:31" ht="16.5">
      <c r="A59" s="10">
        <f t="shared" si="0"/>
        <v>0</v>
      </c>
      <c r="B59" s="13"/>
      <c r="C59" s="13"/>
      <c r="D59" s="13"/>
      <c r="E59" s="13"/>
      <c r="F59" s="13"/>
      <c r="G59" s="13"/>
      <c r="H59" s="13"/>
      <c r="I59" s="13"/>
      <c r="J59" s="13"/>
      <c r="K59" s="13"/>
      <c r="L59" s="105"/>
      <c r="M59" s="105"/>
      <c r="N59" s="105" t="s">
        <v>603</v>
      </c>
      <c r="O59" s="107"/>
      <c r="P59" s="107"/>
      <c r="Q59" s="107"/>
      <c r="R59" s="107"/>
      <c r="S59" s="107"/>
      <c r="T59" s="107"/>
      <c r="U59" s="107"/>
      <c r="V59" s="17"/>
      <c r="W59" s="17"/>
      <c r="X59" s="17">
        <f t="shared" si="1"/>
        <v>11</v>
      </c>
      <c r="Y59" s="18">
        <f t="shared" si="2"/>
        <v>0</v>
      </c>
      <c r="Z59" s="24"/>
      <c r="AA59" s="20"/>
      <c r="AB59" s="21" t="b">
        <v>1</v>
      </c>
      <c r="AC59" s="22">
        <f t="shared" si="3"/>
        <v>0</v>
      </c>
      <c r="AD59" s="32"/>
      <c r="AE59" s="32"/>
    </row>
    <row r="60" spans="1:31" ht="16.5">
      <c r="A60" s="10">
        <f t="shared" si="0"/>
        <v>0</v>
      </c>
      <c r="B60" s="13"/>
      <c r="C60" s="13"/>
      <c r="D60" s="13"/>
      <c r="E60" s="13"/>
      <c r="F60" s="13"/>
      <c r="G60" s="13"/>
      <c r="H60" s="13"/>
      <c r="I60" s="13"/>
      <c r="J60" s="13"/>
      <c r="K60" s="13"/>
      <c r="L60" s="105"/>
      <c r="M60" s="105"/>
      <c r="N60" s="105" t="s">
        <v>604</v>
      </c>
      <c r="O60" s="107"/>
      <c r="P60" s="107"/>
      <c r="Q60" s="107"/>
      <c r="R60" s="107"/>
      <c r="S60" s="107"/>
      <c r="T60" s="107"/>
      <c r="U60" s="107"/>
      <c r="V60" s="17"/>
      <c r="W60" s="17"/>
      <c r="X60" s="17">
        <f t="shared" si="1"/>
        <v>11</v>
      </c>
      <c r="Y60" s="18">
        <f t="shared" si="2"/>
        <v>0</v>
      </c>
      <c r="Z60" s="24"/>
      <c r="AA60" s="20"/>
      <c r="AB60" s="21" t="b">
        <v>1</v>
      </c>
      <c r="AC60" s="22">
        <f t="shared" si="3"/>
        <v>0</v>
      </c>
      <c r="AD60" s="32"/>
      <c r="AE60" s="32"/>
    </row>
    <row r="61" spans="1:31" ht="16.5">
      <c r="A61" s="10">
        <f t="shared" si="0"/>
        <v>0</v>
      </c>
      <c r="B61" s="13"/>
      <c r="C61" s="13"/>
      <c r="D61" s="13"/>
      <c r="E61" s="13"/>
      <c r="F61" s="13"/>
      <c r="G61" s="13"/>
      <c r="H61" s="13"/>
      <c r="I61" s="13"/>
      <c r="J61" s="13"/>
      <c r="K61" s="13"/>
      <c r="L61" s="105"/>
      <c r="M61" s="105" t="s">
        <v>605</v>
      </c>
      <c r="N61" s="105"/>
      <c r="O61" s="107"/>
      <c r="P61" s="107"/>
      <c r="Q61" s="107"/>
      <c r="R61" s="107"/>
      <c r="S61" s="107"/>
      <c r="T61" s="107"/>
      <c r="U61" s="107"/>
      <c r="V61" s="17"/>
      <c r="W61" s="17"/>
      <c r="X61" s="17">
        <f t="shared" si="1"/>
        <v>11</v>
      </c>
      <c r="Y61" s="18">
        <f t="shared" si="2"/>
        <v>0</v>
      </c>
      <c r="Z61" s="24"/>
      <c r="AA61" s="20"/>
      <c r="AB61" s="21" t="b">
        <v>1</v>
      </c>
      <c r="AC61" s="22">
        <f t="shared" si="3"/>
        <v>0</v>
      </c>
      <c r="AD61" s="32"/>
      <c r="AE61" s="32"/>
    </row>
    <row r="62" spans="1:31" ht="16.5">
      <c r="A62" s="10">
        <f t="shared" si="0"/>
        <v>0</v>
      </c>
      <c r="B62" s="13"/>
      <c r="C62" s="13"/>
      <c r="D62" s="13"/>
      <c r="E62" s="13"/>
      <c r="F62" s="13"/>
      <c r="G62" s="13"/>
      <c r="H62" s="13"/>
      <c r="I62" s="13"/>
      <c r="J62" s="13"/>
      <c r="K62" s="13"/>
      <c r="L62" s="105"/>
      <c r="M62" s="105" t="s">
        <v>606</v>
      </c>
      <c r="N62" s="105"/>
      <c r="O62" s="107"/>
      <c r="P62" s="107"/>
      <c r="Q62" s="107"/>
      <c r="R62" s="107"/>
      <c r="S62" s="107"/>
      <c r="T62" s="107"/>
      <c r="U62" s="107"/>
      <c r="V62" s="17"/>
      <c r="W62" s="17"/>
      <c r="X62" s="17">
        <f t="shared" si="1"/>
        <v>11</v>
      </c>
      <c r="Y62" s="18">
        <f t="shared" si="2"/>
        <v>0</v>
      </c>
      <c r="Z62" s="24"/>
      <c r="AA62" s="20"/>
      <c r="AB62" s="21" t="b">
        <v>1</v>
      </c>
      <c r="AC62" s="22">
        <f t="shared" si="3"/>
        <v>0</v>
      </c>
      <c r="AD62" s="32"/>
      <c r="AE62" s="32"/>
    </row>
    <row r="63" spans="1:31" ht="16.5">
      <c r="A63" s="10">
        <f t="shared" si="0"/>
        <v>0</v>
      </c>
      <c r="B63" s="13"/>
      <c r="C63" s="13"/>
      <c r="D63" s="13"/>
      <c r="E63" s="13"/>
      <c r="F63" s="13"/>
      <c r="G63" s="13"/>
      <c r="H63" s="13"/>
      <c r="I63" s="13"/>
      <c r="J63" s="13"/>
      <c r="K63" s="13"/>
      <c r="L63" s="104" t="s">
        <v>607</v>
      </c>
      <c r="M63" s="105"/>
      <c r="N63" s="105"/>
      <c r="O63" s="107"/>
      <c r="P63" s="107"/>
      <c r="Q63" s="107"/>
      <c r="R63" s="107"/>
      <c r="S63" s="107"/>
      <c r="T63" s="107"/>
      <c r="U63" s="107"/>
      <c r="V63" s="17"/>
      <c r="W63" s="17"/>
      <c r="X63" s="17">
        <f t="shared" si="1"/>
        <v>12</v>
      </c>
      <c r="Y63" s="18">
        <f t="shared" si="2"/>
        <v>0</v>
      </c>
      <c r="Z63" s="24"/>
      <c r="AA63" s="20"/>
      <c r="AB63" s="21" t="b">
        <v>1</v>
      </c>
      <c r="AC63" s="22">
        <f t="shared" si="3"/>
        <v>0</v>
      </c>
      <c r="AD63" s="32"/>
      <c r="AE63" s="32"/>
    </row>
    <row r="64" spans="1:31" ht="16.5">
      <c r="A64" s="10">
        <f t="shared" si="0"/>
        <v>0</v>
      </c>
      <c r="B64" s="13"/>
      <c r="C64" s="13"/>
      <c r="D64" s="13"/>
      <c r="E64" s="13"/>
      <c r="F64" s="13"/>
      <c r="G64" s="13"/>
      <c r="H64" s="13"/>
      <c r="I64" s="13"/>
      <c r="J64" s="13"/>
      <c r="K64" s="13"/>
      <c r="L64" s="105"/>
      <c r="M64" s="104" t="s">
        <v>608</v>
      </c>
      <c r="N64" s="105"/>
      <c r="O64" s="107"/>
      <c r="P64" s="107"/>
      <c r="Q64" s="107"/>
      <c r="R64" s="107"/>
      <c r="S64" s="107"/>
      <c r="T64" s="107"/>
      <c r="U64" s="107"/>
      <c r="V64" s="17"/>
      <c r="W64" s="17"/>
      <c r="X64" s="17">
        <f t="shared" si="1"/>
        <v>12</v>
      </c>
      <c r="Y64" s="18">
        <f t="shared" si="2"/>
        <v>0</v>
      </c>
      <c r="Z64" s="24"/>
      <c r="AA64" s="20"/>
      <c r="AB64" s="21" t="b">
        <v>1</v>
      </c>
      <c r="AC64" s="22">
        <f t="shared" si="3"/>
        <v>0</v>
      </c>
      <c r="AD64" s="32"/>
      <c r="AE64" s="32"/>
    </row>
    <row r="65" spans="1:31" ht="16.5">
      <c r="A65" s="10">
        <f t="shared" si="0"/>
        <v>0</v>
      </c>
      <c r="B65" s="13"/>
      <c r="C65" s="13"/>
      <c r="D65" s="13"/>
      <c r="E65" s="13"/>
      <c r="F65" s="13"/>
      <c r="G65" s="13"/>
      <c r="H65" s="13"/>
      <c r="I65" s="13"/>
      <c r="J65" s="13"/>
      <c r="K65" s="13"/>
      <c r="L65" s="105"/>
      <c r="M65" s="105"/>
      <c r="N65" s="105" t="s">
        <v>609</v>
      </c>
      <c r="O65" s="107"/>
      <c r="P65" s="107"/>
      <c r="Q65" s="107"/>
      <c r="R65" s="107"/>
      <c r="S65" s="107"/>
      <c r="T65" s="107"/>
      <c r="U65" s="107"/>
      <c r="V65" s="17"/>
      <c r="W65" s="17"/>
      <c r="X65" s="17">
        <f t="shared" si="1"/>
        <v>12</v>
      </c>
      <c r="Y65" s="18">
        <f t="shared" si="2"/>
        <v>0</v>
      </c>
      <c r="Z65" s="24"/>
      <c r="AA65" s="20"/>
      <c r="AB65" s="21" t="b">
        <v>1</v>
      </c>
      <c r="AC65" s="22">
        <f t="shared" si="3"/>
        <v>0</v>
      </c>
      <c r="AD65" s="32"/>
      <c r="AE65" s="32"/>
    </row>
    <row r="66" spans="1:31" ht="16.5">
      <c r="A66" s="10">
        <f t="shared" si="0"/>
        <v>0</v>
      </c>
      <c r="B66" s="13"/>
      <c r="C66" s="13"/>
      <c r="D66" s="13"/>
      <c r="E66" s="13"/>
      <c r="F66" s="13"/>
      <c r="G66" s="13"/>
      <c r="H66" s="13"/>
      <c r="I66" s="13"/>
      <c r="J66" s="13"/>
      <c r="K66" s="13"/>
      <c r="L66" s="105"/>
      <c r="M66" s="105"/>
      <c r="N66" s="105" t="s">
        <v>610</v>
      </c>
      <c r="O66" s="107"/>
      <c r="P66" s="107"/>
      <c r="Q66" s="107"/>
      <c r="R66" s="107"/>
      <c r="S66" s="107"/>
      <c r="T66" s="107"/>
      <c r="U66" s="107"/>
      <c r="V66" s="17"/>
      <c r="W66" s="17"/>
      <c r="X66" s="17">
        <f t="shared" si="1"/>
        <v>12</v>
      </c>
      <c r="Y66" s="18">
        <f t="shared" si="2"/>
        <v>0</v>
      </c>
      <c r="Z66" s="24"/>
      <c r="AA66" s="20"/>
      <c r="AB66" s="21" t="b">
        <v>1</v>
      </c>
      <c r="AC66" s="22">
        <f t="shared" si="3"/>
        <v>0</v>
      </c>
      <c r="AD66" s="32"/>
      <c r="AE66" s="32"/>
    </row>
    <row r="67" spans="1:31" ht="16.5">
      <c r="A67" s="10">
        <f t="shared" si="0"/>
        <v>0</v>
      </c>
      <c r="B67" s="13"/>
      <c r="C67" s="13"/>
      <c r="D67" s="13"/>
      <c r="E67" s="13"/>
      <c r="F67" s="13"/>
      <c r="G67" s="13"/>
      <c r="H67" s="13"/>
      <c r="I67" s="13"/>
      <c r="J67" s="13"/>
      <c r="K67" s="13"/>
      <c r="L67" s="105"/>
      <c r="M67" s="105"/>
      <c r="N67" s="105" t="s">
        <v>417</v>
      </c>
      <c r="O67" s="107"/>
      <c r="P67" s="107"/>
      <c r="Q67" s="107"/>
      <c r="R67" s="107"/>
      <c r="S67" s="107"/>
      <c r="T67" s="107"/>
      <c r="U67" s="107"/>
      <c r="V67" s="17"/>
      <c r="W67" s="17"/>
      <c r="X67" s="17">
        <f t="shared" si="1"/>
        <v>12</v>
      </c>
      <c r="Y67" s="18">
        <f t="shared" si="2"/>
        <v>0</v>
      </c>
      <c r="Z67" s="24"/>
      <c r="AA67" s="20"/>
      <c r="AB67" s="21" t="b">
        <v>1</v>
      </c>
      <c r="AC67" s="22">
        <f t="shared" si="3"/>
        <v>0</v>
      </c>
      <c r="AD67" s="28"/>
      <c r="AE67" s="28"/>
    </row>
    <row r="68" spans="1:31" ht="16.5">
      <c r="A68" s="10">
        <f t="shared" si="0"/>
        <v>0</v>
      </c>
      <c r="B68" s="13"/>
      <c r="C68" s="13"/>
      <c r="D68" s="13"/>
      <c r="E68" s="13"/>
      <c r="F68" s="13"/>
      <c r="G68" s="13"/>
      <c r="H68" s="13"/>
      <c r="I68" s="13"/>
      <c r="J68" s="13"/>
      <c r="K68" s="13"/>
      <c r="L68" s="105"/>
      <c r="M68" s="104" t="s">
        <v>611</v>
      </c>
      <c r="N68" s="105"/>
      <c r="O68" s="107"/>
      <c r="P68" s="107"/>
      <c r="Q68" s="107"/>
      <c r="R68" s="107"/>
      <c r="S68" s="107"/>
      <c r="T68" s="107"/>
      <c r="U68" s="107"/>
      <c r="V68" s="17"/>
      <c r="W68" s="17"/>
      <c r="X68" s="17">
        <f t="shared" si="1"/>
        <v>12</v>
      </c>
      <c r="Y68" s="18">
        <f t="shared" si="2"/>
        <v>0</v>
      </c>
      <c r="Z68" s="24"/>
      <c r="AA68" s="20"/>
      <c r="AB68" s="21" t="b">
        <v>1</v>
      </c>
      <c r="AC68" s="22">
        <f t="shared" si="3"/>
        <v>0</v>
      </c>
      <c r="AD68" s="28"/>
      <c r="AE68" s="28"/>
    </row>
    <row r="69" spans="1:31" ht="16.5">
      <c r="A69" s="10">
        <f t="shared" si="0"/>
        <v>0</v>
      </c>
      <c r="B69" s="13"/>
      <c r="C69" s="13"/>
      <c r="D69" s="13"/>
      <c r="E69" s="13"/>
      <c r="F69" s="13"/>
      <c r="G69" s="13"/>
      <c r="H69" s="13"/>
      <c r="I69" s="13"/>
      <c r="J69" s="13"/>
      <c r="K69" s="13"/>
      <c r="L69" s="105"/>
      <c r="M69" s="105"/>
      <c r="N69" s="105" t="s">
        <v>612</v>
      </c>
      <c r="O69" s="107"/>
      <c r="P69" s="107"/>
      <c r="Q69" s="107"/>
      <c r="R69" s="107"/>
      <c r="S69" s="107"/>
      <c r="T69" s="107"/>
      <c r="U69" s="107"/>
      <c r="V69" s="17"/>
      <c r="W69" s="17"/>
      <c r="X69" s="17">
        <f t="shared" si="1"/>
        <v>12</v>
      </c>
      <c r="Y69" s="18">
        <f t="shared" si="2"/>
        <v>0</v>
      </c>
      <c r="Z69" s="24"/>
      <c r="AA69" s="20"/>
      <c r="AB69" s="21" t="b">
        <v>1</v>
      </c>
      <c r="AC69" s="22">
        <f t="shared" si="3"/>
        <v>0</v>
      </c>
      <c r="AD69" s="28"/>
      <c r="AE69" s="28"/>
    </row>
    <row r="70" spans="1:31" ht="16.5">
      <c r="A70" s="10">
        <f t="shared" si="0"/>
        <v>0</v>
      </c>
      <c r="B70" s="13"/>
      <c r="C70" s="13"/>
      <c r="D70" s="13"/>
      <c r="E70" s="13"/>
      <c r="F70" s="13"/>
      <c r="G70" s="13"/>
      <c r="H70" s="13"/>
      <c r="I70" s="13"/>
      <c r="J70" s="13"/>
      <c r="K70" s="13"/>
      <c r="L70" s="105"/>
      <c r="M70" s="105"/>
      <c r="N70" s="105" t="s">
        <v>613</v>
      </c>
      <c r="O70" s="107"/>
      <c r="P70" s="107"/>
      <c r="Q70" s="107"/>
      <c r="R70" s="107"/>
      <c r="S70" s="107"/>
      <c r="T70" s="107"/>
      <c r="U70" s="107"/>
      <c r="V70" s="17"/>
      <c r="W70" s="17"/>
      <c r="X70" s="17">
        <f t="shared" si="1"/>
        <v>12</v>
      </c>
      <c r="Y70" s="18">
        <f t="shared" si="2"/>
        <v>0</v>
      </c>
      <c r="Z70" s="24"/>
      <c r="AA70" s="20"/>
      <c r="AB70" s="21" t="b">
        <v>1</v>
      </c>
      <c r="AC70" s="22">
        <f t="shared" si="3"/>
        <v>0</v>
      </c>
      <c r="AD70" s="28"/>
      <c r="AE70" s="28"/>
    </row>
    <row r="71" spans="1:31" ht="16.5">
      <c r="A71" s="10">
        <f t="shared" si="0"/>
        <v>0</v>
      </c>
      <c r="B71" s="13"/>
      <c r="C71" s="13"/>
      <c r="D71" s="13"/>
      <c r="E71" s="13"/>
      <c r="F71" s="13"/>
      <c r="G71" s="13"/>
      <c r="H71" s="13"/>
      <c r="I71" s="13"/>
      <c r="J71" s="13"/>
      <c r="K71" s="13"/>
      <c r="L71" s="105"/>
      <c r="M71" s="105" t="s">
        <v>614</v>
      </c>
      <c r="N71" s="105"/>
      <c r="O71" s="107"/>
      <c r="P71" s="107"/>
      <c r="Q71" s="107"/>
      <c r="R71" s="107"/>
      <c r="S71" s="107"/>
      <c r="T71" s="107"/>
      <c r="U71" s="107"/>
      <c r="V71" s="17"/>
      <c r="W71" s="17"/>
      <c r="X71" s="17">
        <f t="shared" si="1"/>
        <v>12</v>
      </c>
      <c r="Y71" s="18">
        <f t="shared" si="2"/>
        <v>0</v>
      </c>
      <c r="Z71" s="24"/>
      <c r="AA71" s="20"/>
      <c r="AB71" s="21" t="b">
        <v>1</v>
      </c>
      <c r="AC71" s="22">
        <f t="shared" si="3"/>
        <v>0</v>
      </c>
      <c r="AD71" s="28"/>
      <c r="AE71" s="28"/>
    </row>
    <row r="72" spans="1:31" ht="16.5">
      <c r="A72" s="10">
        <f t="shared" si="0"/>
        <v>0</v>
      </c>
      <c r="B72" s="13"/>
      <c r="C72" s="23"/>
      <c r="D72" s="13"/>
      <c r="E72" s="23"/>
      <c r="F72" s="13"/>
      <c r="G72" s="23"/>
      <c r="H72" s="23"/>
      <c r="I72" s="23"/>
      <c r="J72" s="23"/>
      <c r="K72" s="23"/>
      <c r="L72" s="105"/>
      <c r="M72" s="105" t="s">
        <v>615</v>
      </c>
      <c r="N72" s="105"/>
      <c r="O72" s="107"/>
      <c r="P72" s="107"/>
      <c r="Q72" s="107"/>
      <c r="R72" s="107"/>
      <c r="S72" s="107"/>
      <c r="T72" s="107"/>
      <c r="U72" s="107"/>
      <c r="V72" s="17"/>
      <c r="W72" s="17"/>
      <c r="X72" s="17">
        <f t="shared" si="1"/>
        <v>12</v>
      </c>
      <c r="Y72" s="18">
        <f t="shared" si="2"/>
        <v>0</v>
      </c>
      <c r="Z72" s="24"/>
      <c r="AA72" s="20"/>
      <c r="AB72" s="21" t="b">
        <v>1</v>
      </c>
      <c r="AC72" s="22">
        <f t="shared" si="3"/>
        <v>0</v>
      </c>
      <c r="AD72" s="23"/>
      <c r="AE72" s="23"/>
    </row>
    <row r="73" spans="1:31" ht="16.5">
      <c r="A73" s="10">
        <f t="shared" si="0"/>
        <v>0</v>
      </c>
      <c r="B73" s="23"/>
      <c r="C73" s="23"/>
      <c r="D73" s="23"/>
      <c r="E73" s="23"/>
      <c r="F73" s="23"/>
      <c r="G73" s="23"/>
      <c r="H73" s="23"/>
      <c r="I73" s="23"/>
      <c r="J73" s="23"/>
      <c r="K73" s="23"/>
      <c r="L73" s="104" t="s">
        <v>616</v>
      </c>
      <c r="M73" s="105"/>
      <c r="N73" s="105"/>
      <c r="O73" s="107"/>
      <c r="P73" s="107"/>
      <c r="Q73" s="107"/>
      <c r="R73" s="107"/>
      <c r="S73" s="107"/>
      <c r="T73" s="107"/>
      <c r="U73" s="107"/>
      <c r="V73" s="17"/>
      <c r="W73" s="17"/>
      <c r="X73" s="17">
        <f t="shared" si="1"/>
        <v>13</v>
      </c>
      <c r="Y73" s="18">
        <f t="shared" si="2"/>
        <v>0</v>
      </c>
      <c r="Z73" s="24"/>
      <c r="AA73" s="20"/>
      <c r="AB73" s="21" t="b">
        <v>1</v>
      </c>
      <c r="AC73" s="22">
        <f t="shared" si="3"/>
        <v>0</v>
      </c>
      <c r="AD73" s="23"/>
      <c r="AE73" s="23"/>
    </row>
    <row r="74" spans="1:31" ht="16.5">
      <c r="A74" s="10">
        <f t="shared" si="0"/>
        <v>0</v>
      </c>
      <c r="B74" s="23"/>
      <c r="C74" s="23"/>
      <c r="D74" s="23"/>
      <c r="E74" s="23"/>
      <c r="F74" s="23"/>
      <c r="G74" s="23"/>
      <c r="H74" s="23"/>
      <c r="I74" s="23"/>
      <c r="J74" s="23"/>
      <c r="K74" s="23"/>
      <c r="L74" s="105"/>
      <c r="M74" s="104" t="s">
        <v>617</v>
      </c>
      <c r="N74" s="105"/>
      <c r="O74" s="107"/>
      <c r="P74" s="107"/>
      <c r="Q74" s="107"/>
      <c r="R74" s="107"/>
      <c r="S74" s="107"/>
      <c r="T74" s="107"/>
      <c r="U74" s="107"/>
      <c r="V74" s="17"/>
      <c r="W74" s="17"/>
      <c r="X74" s="17">
        <f t="shared" si="1"/>
        <v>13</v>
      </c>
      <c r="Y74" s="18">
        <f t="shared" si="2"/>
        <v>0</v>
      </c>
      <c r="Z74" s="24"/>
      <c r="AA74" s="20"/>
      <c r="AB74" s="21" t="b">
        <v>1</v>
      </c>
      <c r="AC74" s="22">
        <f t="shared" si="3"/>
        <v>0</v>
      </c>
      <c r="AD74" s="23"/>
      <c r="AE74" s="23"/>
    </row>
    <row r="75" spans="1:31" ht="16.5">
      <c r="A75" s="10">
        <f t="shared" si="0"/>
        <v>0</v>
      </c>
      <c r="B75" s="23"/>
      <c r="C75" s="23"/>
      <c r="D75" s="13"/>
      <c r="E75" s="23"/>
      <c r="F75" s="13"/>
      <c r="G75" s="23"/>
      <c r="H75" s="23"/>
      <c r="I75" s="23"/>
      <c r="J75" s="23"/>
      <c r="K75" s="23"/>
      <c r="L75" s="105"/>
      <c r="M75" s="105"/>
      <c r="N75" s="105" t="s">
        <v>618</v>
      </c>
      <c r="O75" s="107"/>
      <c r="P75" s="107"/>
      <c r="Q75" s="107"/>
      <c r="R75" s="107"/>
      <c r="S75" s="107"/>
      <c r="T75" s="107"/>
      <c r="U75" s="107"/>
      <c r="V75" s="17"/>
      <c r="W75" s="17"/>
      <c r="X75" s="17">
        <f t="shared" si="1"/>
        <v>13</v>
      </c>
      <c r="Y75" s="18">
        <f t="shared" si="2"/>
        <v>0</v>
      </c>
      <c r="Z75" s="24"/>
      <c r="AA75" s="20"/>
      <c r="AB75" s="21" t="b">
        <v>1</v>
      </c>
      <c r="AC75" s="22">
        <f t="shared" si="3"/>
        <v>0</v>
      </c>
      <c r="AD75" s="23"/>
      <c r="AE75" s="23"/>
    </row>
    <row r="76" spans="1:31" ht="16.5">
      <c r="A76" s="10">
        <f t="shared" si="0"/>
        <v>0</v>
      </c>
      <c r="B76" s="23"/>
      <c r="C76" s="23"/>
      <c r="D76" s="23"/>
      <c r="E76" s="23"/>
      <c r="F76" s="23"/>
      <c r="G76" s="23"/>
      <c r="H76" s="23"/>
      <c r="I76" s="23"/>
      <c r="J76" s="23"/>
      <c r="K76" s="23"/>
      <c r="L76" s="105"/>
      <c r="M76" s="105"/>
      <c r="N76" s="105" t="s">
        <v>619</v>
      </c>
      <c r="O76" s="107"/>
      <c r="P76" s="107"/>
      <c r="Q76" s="107"/>
      <c r="R76" s="107"/>
      <c r="S76" s="107"/>
      <c r="T76" s="107"/>
      <c r="U76" s="107"/>
      <c r="V76" s="17"/>
      <c r="W76" s="17"/>
      <c r="X76" s="17">
        <f t="shared" si="1"/>
        <v>13</v>
      </c>
      <c r="Y76" s="18">
        <f t="shared" si="2"/>
        <v>0</v>
      </c>
      <c r="Z76" s="24"/>
      <c r="AA76" s="20"/>
      <c r="AB76" s="21" t="b">
        <v>1</v>
      </c>
      <c r="AC76" s="22">
        <f t="shared" si="3"/>
        <v>0</v>
      </c>
      <c r="AD76" s="23"/>
      <c r="AE76" s="23"/>
    </row>
    <row r="77" spans="1:31" ht="16.5">
      <c r="A77" s="10">
        <f t="shared" si="0"/>
        <v>0</v>
      </c>
      <c r="B77" s="13"/>
      <c r="C77" s="13"/>
      <c r="D77" s="13"/>
      <c r="E77" s="13"/>
      <c r="F77" s="13"/>
      <c r="G77" s="13"/>
      <c r="H77" s="13"/>
      <c r="I77" s="13"/>
      <c r="J77" s="13"/>
      <c r="K77" s="13"/>
      <c r="L77" s="105"/>
      <c r="M77" s="104" t="s">
        <v>620</v>
      </c>
      <c r="N77" s="105"/>
      <c r="O77" s="107"/>
      <c r="P77" s="107"/>
      <c r="Q77" s="107"/>
      <c r="R77" s="107"/>
      <c r="S77" s="107"/>
      <c r="T77" s="107"/>
      <c r="U77" s="107"/>
      <c r="V77" s="17"/>
      <c r="W77" s="17"/>
      <c r="X77" s="17">
        <f t="shared" si="1"/>
        <v>13</v>
      </c>
      <c r="Y77" s="18">
        <f t="shared" si="2"/>
        <v>0</v>
      </c>
      <c r="Z77" s="24"/>
      <c r="AA77" s="20"/>
      <c r="AB77" s="21" t="b">
        <v>1</v>
      </c>
      <c r="AC77" s="22">
        <f t="shared" si="3"/>
        <v>0</v>
      </c>
      <c r="AD77" s="32"/>
      <c r="AE77" s="32"/>
    </row>
    <row r="78" spans="1:31" ht="16.5">
      <c r="A78" s="10">
        <f t="shared" si="0"/>
        <v>0</v>
      </c>
      <c r="B78" s="13"/>
      <c r="C78" s="13"/>
      <c r="D78" s="13"/>
      <c r="E78" s="13"/>
      <c r="F78" s="13"/>
      <c r="G78" s="13"/>
      <c r="H78" s="13"/>
      <c r="I78" s="13"/>
      <c r="J78" s="13"/>
      <c r="K78" s="13"/>
      <c r="L78" s="105"/>
      <c r="M78" s="105"/>
      <c r="N78" s="105" t="s">
        <v>621</v>
      </c>
      <c r="O78" s="107"/>
      <c r="P78" s="107"/>
      <c r="Q78" s="107"/>
      <c r="R78" s="107"/>
      <c r="S78" s="107"/>
      <c r="T78" s="107"/>
      <c r="U78" s="107"/>
      <c r="V78" s="17"/>
      <c r="W78" s="17"/>
      <c r="X78" s="17">
        <f t="shared" si="1"/>
        <v>13</v>
      </c>
      <c r="Y78" s="18">
        <f t="shared" si="2"/>
        <v>0</v>
      </c>
      <c r="Z78" s="19"/>
      <c r="AA78" s="30"/>
      <c r="AB78" s="21" t="b">
        <v>1</v>
      </c>
      <c r="AC78" s="22">
        <f t="shared" si="3"/>
        <v>0</v>
      </c>
      <c r="AD78" s="32"/>
      <c r="AE78" s="32"/>
    </row>
    <row r="79" spans="1:31" ht="16.5">
      <c r="A79" s="10">
        <f t="shared" si="0"/>
        <v>0</v>
      </c>
      <c r="B79" s="13"/>
      <c r="C79" s="13"/>
      <c r="D79" s="13"/>
      <c r="E79" s="13"/>
      <c r="F79" s="13"/>
      <c r="G79" s="13"/>
      <c r="H79" s="13"/>
      <c r="I79" s="13"/>
      <c r="J79" s="13"/>
      <c r="K79" s="13"/>
      <c r="L79" s="105"/>
      <c r="M79" s="105"/>
      <c r="N79" s="105" t="s">
        <v>622</v>
      </c>
      <c r="O79" s="107"/>
      <c r="P79" s="107"/>
      <c r="Q79" s="107"/>
      <c r="R79" s="107"/>
      <c r="S79" s="107"/>
      <c r="T79" s="107"/>
      <c r="U79" s="107"/>
      <c r="V79" s="17"/>
      <c r="W79" s="17"/>
      <c r="X79" s="17">
        <f t="shared" si="1"/>
        <v>13</v>
      </c>
      <c r="Y79" s="18">
        <f t="shared" si="2"/>
        <v>0</v>
      </c>
      <c r="Z79" s="19"/>
      <c r="AA79" s="30"/>
      <c r="AB79" s="21" t="b">
        <v>1</v>
      </c>
      <c r="AC79" s="22">
        <f t="shared" si="3"/>
        <v>0</v>
      </c>
      <c r="AD79" s="32"/>
      <c r="AE79" s="32"/>
    </row>
    <row r="80" spans="1:31" ht="16.5">
      <c r="A80" s="10">
        <f t="shared" si="0"/>
        <v>0</v>
      </c>
      <c r="B80" s="13"/>
      <c r="C80" s="13"/>
      <c r="D80" s="13"/>
      <c r="E80" s="13"/>
      <c r="F80" s="13"/>
      <c r="G80" s="13"/>
      <c r="H80" s="13"/>
      <c r="I80" s="13"/>
      <c r="J80" s="13"/>
      <c r="K80" s="13"/>
      <c r="L80" s="104" t="s">
        <v>623</v>
      </c>
      <c r="M80" s="105"/>
      <c r="N80" s="105"/>
      <c r="O80" s="107"/>
      <c r="P80" s="107"/>
      <c r="Q80" s="107"/>
      <c r="R80" s="107"/>
      <c r="S80" s="107"/>
      <c r="T80" s="107"/>
      <c r="U80" s="107"/>
      <c r="V80" s="17"/>
      <c r="W80" s="17"/>
      <c r="X80" s="17">
        <f t="shared" si="1"/>
        <v>14</v>
      </c>
      <c r="Y80" s="18">
        <f t="shared" si="2"/>
        <v>0</v>
      </c>
      <c r="Z80" s="19"/>
      <c r="AA80" s="30"/>
      <c r="AB80" s="21" t="b">
        <v>1</v>
      </c>
      <c r="AC80" s="22">
        <f t="shared" si="3"/>
        <v>0</v>
      </c>
      <c r="AD80" s="32"/>
      <c r="AE80" s="32"/>
    </row>
    <row r="81" spans="1:31" ht="16.5">
      <c r="A81" s="10">
        <f t="shared" si="0"/>
        <v>0</v>
      </c>
      <c r="B81" s="13"/>
      <c r="C81" s="13"/>
      <c r="D81" s="13"/>
      <c r="E81" s="13"/>
      <c r="F81" s="13"/>
      <c r="G81" s="13"/>
      <c r="H81" s="13"/>
      <c r="I81" s="13"/>
      <c r="J81" s="13"/>
      <c r="K81" s="13"/>
      <c r="L81" s="105"/>
      <c r="M81" s="105" t="s">
        <v>624</v>
      </c>
      <c r="N81" s="105"/>
      <c r="O81" s="107"/>
      <c r="P81" s="107"/>
      <c r="Q81" s="107"/>
      <c r="R81" s="107"/>
      <c r="S81" s="107"/>
      <c r="T81" s="107"/>
      <c r="U81" s="107"/>
      <c r="V81" s="17"/>
      <c r="W81" s="17"/>
      <c r="X81" s="17">
        <f t="shared" si="1"/>
        <v>14</v>
      </c>
      <c r="Y81" s="18">
        <f t="shared" si="2"/>
        <v>0</v>
      </c>
      <c r="Z81" s="19"/>
      <c r="AA81" s="30"/>
      <c r="AB81" s="21" t="b">
        <v>1</v>
      </c>
      <c r="AC81" s="22">
        <f t="shared" si="3"/>
        <v>0</v>
      </c>
      <c r="AD81" s="32"/>
      <c r="AE81" s="32"/>
    </row>
    <row r="82" spans="1:31" ht="16.5">
      <c r="A82" s="10">
        <f t="shared" si="0"/>
        <v>0</v>
      </c>
      <c r="B82" s="13"/>
      <c r="C82" s="13"/>
      <c r="D82" s="13"/>
      <c r="E82" s="13"/>
      <c r="F82" s="13"/>
      <c r="G82" s="13"/>
      <c r="H82" s="13"/>
      <c r="I82" s="13"/>
      <c r="J82" s="13"/>
      <c r="K82" s="13"/>
      <c r="L82" s="105"/>
      <c r="M82" s="105" t="s">
        <v>625</v>
      </c>
      <c r="N82" s="105"/>
      <c r="O82" s="107"/>
      <c r="P82" s="107"/>
      <c r="Q82" s="107"/>
      <c r="R82" s="107"/>
      <c r="S82" s="107"/>
      <c r="T82" s="107"/>
      <c r="U82" s="107"/>
      <c r="V82" s="17"/>
      <c r="W82" s="17"/>
      <c r="X82" s="17">
        <f t="shared" si="1"/>
        <v>14</v>
      </c>
      <c r="Y82" s="18">
        <f t="shared" si="2"/>
        <v>0</v>
      </c>
      <c r="Z82" s="19"/>
      <c r="AA82" s="30"/>
      <c r="AB82" s="21" t="b">
        <v>1</v>
      </c>
      <c r="AC82" s="22">
        <f t="shared" si="3"/>
        <v>0</v>
      </c>
      <c r="AD82" s="32"/>
      <c r="AE82" s="32"/>
    </row>
    <row r="83" spans="1:31" ht="16.5">
      <c r="A83" s="10">
        <f t="shared" si="0"/>
        <v>0</v>
      </c>
      <c r="B83" s="13"/>
      <c r="C83" s="13"/>
      <c r="D83" s="13"/>
      <c r="E83" s="13"/>
      <c r="F83" s="13"/>
      <c r="G83" s="13"/>
      <c r="H83" s="13"/>
      <c r="I83" s="13"/>
      <c r="J83" s="13"/>
      <c r="K83" s="13"/>
      <c r="L83" s="105"/>
      <c r="M83" s="104" t="s">
        <v>626</v>
      </c>
      <c r="N83" s="105"/>
      <c r="O83" s="107"/>
      <c r="P83" s="107"/>
      <c r="Q83" s="107"/>
      <c r="R83" s="107"/>
      <c r="S83" s="107"/>
      <c r="T83" s="107"/>
      <c r="U83" s="107"/>
      <c r="V83" s="17"/>
      <c r="W83" s="17"/>
      <c r="X83" s="17">
        <f t="shared" si="1"/>
        <v>14</v>
      </c>
      <c r="Y83" s="18">
        <f t="shared" si="2"/>
        <v>0</v>
      </c>
      <c r="Z83" s="19"/>
      <c r="AA83" s="30"/>
      <c r="AB83" s="21" t="b">
        <v>1</v>
      </c>
      <c r="AC83" s="22">
        <f t="shared" si="3"/>
        <v>0</v>
      </c>
      <c r="AD83" s="32"/>
      <c r="AE83" s="32"/>
    </row>
    <row r="84" spans="1:31" ht="16.5">
      <c r="A84" s="10">
        <f t="shared" si="0"/>
        <v>0</v>
      </c>
      <c r="B84" s="13"/>
      <c r="C84" s="13"/>
      <c r="D84" s="13"/>
      <c r="E84" s="13"/>
      <c r="F84" s="13"/>
      <c r="G84" s="13"/>
      <c r="H84" s="13"/>
      <c r="I84" s="13"/>
      <c r="J84" s="13"/>
      <c r="K84" s="13"/>
      <c r="L84" s="105"/>
      <c r="M84" s="105"/>
      <c r="N84" s="105" t="s">
        <v>627</v>
      </c>
      <c r="O84" s="107"/>
      <c r="P84" s="107"/>
      <c r="Q84" s="107"/>
      <c r="R84" s="107"/>
      <c r="S84" s="107"/>
      <c r="T84" s="107"/>
      <c r="U84" s="107"/>
      <c r="V84" s="17"/>
      <c r="W84" s="17"/>
      <c r="X84" s="17">
        <f t="shared" si="1"/>
        <v>14</v>
      </c>
      <c r="Y84" s="18">
        <f t="shared" si="2"/>
        <v>0</v>
      </c>
      <c r="Z84" s="19"/>
      <c r="AA84" s="30"/>
      <c r="AB84" s="21" t="b">
        <v>1</v>
      </c>
      <c r="AC84" s="22">
        <f t="shared" si="3"/>
        <v>0</v>
      </c>
      <c r="AD84" s="32"/>
      <c r="AE84" s="32"/>
    </row>
    <row r="85" spans="1:31" ht="16.5">
      <c r="A85" s="10">
        <f t="shared" si="0"/>
        <v>0</v>
      </c>
      <c r="B85" s="13"/>
      <c r="C85" s="13"/>
      <c r="D85" s="13"/>
      <c r="E85" s="13"/>
      <c r="F85" s="13"/>
      <c r="G85" s="13"/>
      <c r="H85" s="13"/>
      <c r="I85" s="13"/>
      <c r="J85" s="13"/>
      <c r="K85" s="13"/>
      <c r="L85" s="105"/>
      <c r="M85" s="105" t="s">
        <v>628</v>
      </c>
      <c r="N85" s="105"/>
      <c r="O85" s="107"/>
      <c r="P85" s="107"/>
      <c r="Q85" s="107"/>
      <c r="R85" s="107"/>
      <c r="S85" s="107"/>
      <c r="T85" s="107"/>
      <c r="U85" s="107"/>
      <c r="V85" s="17"/>
      <c r="W85" s="17"/>
      <c r="X85" s="17">
        <f t="shared" si="1"/>
        <v>14</v>
      </c>
      <c r="Y85" s="18">
        <f t="shared" si="2"/>
        <v>0</v>
      </c>
      <c r="Z85" s="19"/>
      <c r="AA85" s="30"/>
      <c r="AB85" s="21" t="b">
        <v>1</v>
      </c>
      <c r="AC85" s="22">
        <f t="shared" si="3"/>
        <v>0</v>
      </c>
      <c r="AD85" s="32"/>
      <c r="AE85" s="32"/>
    </row>
    <row r="86" spans="1:31" ht="16.5">
      <c r="A86" s="10">
        <f t="shared" si="0"/>
        <v>0</v>
      </c>
      <c r="B86" s="13"/>
      <c r="C86" s="13"/>
      <c r="D86" s="13"/>
      <c r="E86" s="13"/>
      <c r="F86" s="13"/>
      <c r="G86" s="13"/>
      <c r="H86" s="13"/>
      <c r="I86" s="13"/>
      <c r="J86" s="13"/>
      <c r="K86" s="13"/>
      <c r="L86" s="104" t="s">
        <v>629</v>
      </c>
      <c r="M86" s="105"/>
      <c r="N86" s="105"/>
      <c r="O86" s="107"/>
      <c r="P86" s="107"/>
      <c r="Q86" s="107"/>
      <c r="R86" s="107"/>
      <c r="S86" s="107"/>
      <c r="T86" s="107"/>
      <c r="U86" s="107"/>
      <c r="V86" s="17"/>
      <c r="W86" s="17"/>
      <c r="X86" s="17">
        <f t="shared" si="1"/>
        <v>15</v>
      </c>
      <c r="Y86" s="18">
        <f t="shared" si="2"/>
        <v>0</v>
      </c>
      <c r="Z86" s="19"/>
      <c r="AA86" s="30"/>
      <c r="AB86" s="21" t="b">
        <v>1</v>
      </c>
      <c r="AC86" s="22">
        <f t="shared" si="3"/>
        <v>0</v>
      </c>
      <c r="AD86" s="32"/>
      <c r="AE86" s="32"/>
    </row>
    <row r="87" spans="1:31" ht="16.5">
      <c r="A87" s="10">
        <f t="shared" si="0"/>
        <v>0</v>
      </c>
      <c r="B87" s="13"/>
      <c r="C87" s="13"/>
      <c r="D87" s="13"/>
      <c r="E87" s="13"/>
      <c r="F87" s="13"/>
      <c r="G87" s="13"/>
      <c r="H87" s="13"/>
      <c r="I87" s="13"/>
      <c r="J87" s="13"/>
      <c r="K87" s="13"/>
      <c r="L87" s="105"/>
      <c r="M87" s="105" t="s">
        <v>630</v>
      </c>
      <c r="N87" s="105"/>
      <c r="O87" s="107"/>
      <c r="P87" s="107"/>
      <c r="Q87" s="107"/>
      <c r="R87" s="107"/>
      <c r="S87" s="107"/>
      <c r="T87" s="107"/>
      <c r="U87" s="107"/>
      <c r="V87" s="17"/>
      <c r="W87" s="17"/>
      <c r="X87" s="17">
        <f t="shared" si="1"/>
        <v>15</v>
      </c>
      <c r="Y87" s="18">
        <f t="shared" si="2"/>
        <v>0</v>
      </c>
      <c r="Z87" s="19"/>
      <c r="AA87" s="30"/>
      <c r="AB87" s="21" t="b">
        <v>1</v>
      </c>
      <c r="AC87" s="22">
        <f t="shared" si="3"/>
        <v>0</v>
      </c>
      <c r="AD87" s="32"/>
      <c r="AE87" s="32"/>
    </row>
    <row r="88" spans="1:31" ht="16.5">
      <c r="A88" s="10">
        <f t="shared" si="0"/>
        <v>0</v>
      </c>
      <c r="B88" s="13"/>
      <c r="C88" s="13"/>
      <c r="D88" s="13"/>
      <c r="E88" s="13"/>
      <c r="F88" s="13"/>
      <c r="G88" s="13"/>
      <c r="H88" s="13"/>
      <c r="I88" s="13"/>
      <c r="J88" s="13"/>
      <c r="K88" s="13"/>
      <c r="L88" s="105"/>
      <c r="M88" s="105" t="s">
        <v>631</v>
      </c>
      <c r="N88" s="105"/>
      <c r="O88" s="107"/>
      <c r="P88" s="107"/>
      <c r="Q88" s="107"/>
      <c r="R88" s="107"/>
      <c r="S88" s="107"/>
      <c r="T88" s="107"/>
      <c r="U88" s="107"/>
      <c r="V88" s="17"/>
      <c r="W88" s="17"/>
      <c r="X88" s="17">
        <f t="shared" si="1"/>
        <v>15</v>
      </c>
      <c r="Y88" s="18">
        <f t="shared" si="2"/>
        <v>0</v>
      </c>
      <c r="Z88" s="19"/>
      <c r="AA88" s="30"/>
      <c r="AB88" s="21" t="b">
        <v>1</v>
      </c>
      <c r="AC88" s="22">
        <f t="shared" si="3"/>
        <v>0</v>
      </c>
      <c r="AD88" s="32"/>
      <c r="AE88" s="32"/>
    </row>
    <row r="89" spans="1:31" ht="16.5">
      <c r="A89" s="10">
        <f t="shared" si="0"/>
        <v>0</v>
      </c>
      <c r="B89" s="13"/>
      <c r="C89" s="13"/>
      <c r="D89" s="13"/>
      <c r="E89" s="13"/>
      <c r="F89" s="13"/>
      <c r="G89" s="13"/>
      <c r="H89" s="13"/>
      <c r="I89" s="13"/>
      <c r="J89" s="13"/>
      <c r="K89" s="13"/>
      <c r="L89" s="105"/>
      <c r="M89" s="104" t="s">
        <v>632</v>
      </c>
      <c r="N89" s="105"/>
      <c r="O89" s="107"/>
      <c r="P89" s="107"/>
      <c r="Q89" s="107"/>
      <c r="R89" s="107"/>
      <c r="S89" s="107"/>
      <c r="T89" s="107"/>
      <c r="U89" s="107"/>
      <c r="V89" s="17"/>
      <c r="W89" s="17"/>
      <c r="X89" s="17">
        <f t="shared" si="1"/>
        <v>15</v>
      </c>
      <c r="Y89" s="18">
        <f t="shared" si="2"/>
        <v>0</v>
      </c>
      <c r="Z89" s="19"/>
      <c r="AA89" s="30"/>
      <c r="AB89" s="21" t="b">
        <v>1</v>
      </c>
      <c r="AC89" s="22">
        <f t="shared" si="3"/>
        <v>0</v>
      </c>
      <c r="AD89" s="32"/>
      <c r="AE89" s="32"/>
    </row>
    <row r="90" spans="1:31" ht="16.5">
      <c r="A90" s="10">
        <f t="shared" si="0"/>
        <v>0</v>
      </c>
      <c r="B90" s="13"/>
      <c r="C90" s="13"/>
      <c r="D90" s="13"/>
      <c r="E90" s="13"/>
      <c r="F90" s="13"/>
      <c r="G90" s="13"/>
      <c r="H90" s="13"/>
      <c r="I90" s="13"/>
      <c r="J90" s="13"/>
      <c r="K90" s="13"/>
      <c r="L90" s="105"/>
      <c r="M90" s="105"/>
      <c r="N90" s="105" t="s">
        <v>633</v>
      </c>
      <c r="O90" s="107"/>
      <c r="P90" s="107"/>
      <c r="Q90" s="107"/>
      <c r="R90" s="107"/>
      <c r="S90" s="107"/>
      <c r="T90" s="107"/>
      <c r="U90" s="107"/>
      <c r="V90" s="17"/>
      <c r="W90" s="17"/>
      <c r="X90" s="17">
        <f t="shared" si="1"/>
        <v>15</v>
      </c>
      <c r="Y90" s="18">
        <f t="shared" si="2"/>
        <v>0</v>
      </c>
      <c r="Z90" s="19"/>
      <c r="AA90" s="30"/>
      <c r="AB90" s="21" t="b">
        <v>1</v>
      </c>
      <c r="AC90" s="22">
        <f t="shared" si="3"/>
        <v>0</v>
      </c>
      <c r="AD90" s="32"/>
      <c r="AE90" s="32"/>
    </row>
    <row r="91" spans="1:31" ht="16.5">
      <c r="A91" s="10">
        <f t="shared" si="0"/>
        <v>0</v>
      </c>
      <c r="B91" s="13"/>
      <c r="C91" s="13"/>
      <c r="D91" s="13"/>
      <c r="E91" s="13"/>
      <c r="F91" s="13"/>
      <c r="G91" s="13"/>
      <c r="H91" s="13"/>
      <c r="I91" s="13"/>
      <c r="J91" s="13"/>
      <c r="K91" s="13"/>
      <c r="L91" s="105"/>
      <c r="M91" s="105"/>
      <c r="N91" s="105" t="s">
        <v>634</v>
      </c>
      <c r="O91" s="107"/>
      <c r="P91" s="107"/>
      <c r="Q91" s="107"/>
      <c r="R91" s="107"/>
      <c r="S91" s="107"/>
      <c r="T91" s="107"/>
      <c r="U91" s="107"/>
      <c r="V91" s="17"/>
      <c r="W91" s="17"/>
      <c r="X91" s="17">
        <f t="shared" si="1"/>
        <v>15</v>
      </c>
      <c r="Y91" s="18">
        <f t="shared" si="2"/>
        <v>0</v>
      </c>
      <c r="Z91" s="19"/>
      <c r="AA91" s="30"/>
      <c r="AB91" s="21" t="b">
        <v>1</v>
      </c>
      <c r="AC91" s="22">
        <f t="shared" si="3"/>
        <v>0</v>
      </c>
      <c r="AD91" s="32"/>
      <c r="AE91" s="32"/>
    </row>
    <row r="92" spans="1:31" ht="16.5">
      <c r="A92" s="10">
        <f t="shared" si="0"/>
        <v>0</v>
      </c>
      <c r="B92" s="13"/>
      <c r="C92" s="13"/>
      <c r="D92" s="13"/>
      <c r="E92" s="13"/>
      <c r="F92" s="13"/>
      <c r="G92" s="13"/>
      <c r="H92" s="13"/>
      <c r="I92" s="13"/>
      <c r="J92" s="13"/>
      <c r="K92" s="13"/>
      <c r="L92" s="105"/>
      <c r="M92" s="104" t="s">
        <v>635</v>
      </c>
      <c r="N92" s="105"/>
      <c r="O92" s="107"/>
      <c r="P92" s="107"/>
      <c r="Q92" s="107"/>
      <c r="R92" s="107"/>
      <c r="S92" s="107"/>
      <c r="T92" s="107"/>
      <c r="U92" s="107"/>
      <c r="V92" s="17"/>
      <c r="W92" s="17"/>
      <c r="X92" s="17">
        <f t="shared" si="1"/>
        <v>15</v>
      </c>
      <c r="Y92" s="18">
        <f t="shared" si="2"/>
        <v>0</v>
      </c>
      <c r="Z92" s="19"/>
      <c r="AA92" s="30"/>
      <c r="AB92" s="21" t="b">
        <v>1</v>
      </c>
      <c r="AC92" s="22">
        <f t="shared" si="3"/>
        <v>0</v>
      </c>
      <c r="AD92" s="32"/>
      <c r="AE92" s="32"/>
    </row>
    <row r="93" spans="1:31" ht="16.5">
      <c r="A93" s="10">
        <f t="shared" si="0"/>
        <v>0</v>
      </c>
      <c r="B93" s="13"/>
      <c r="C93" s="13"/>
      <c r="D93" s="13"/>
      <c r="E93" s="13"/>
      <c r="F93" s="13"/>
      <c r="G93" s="13"/>
      <c r="H93" s="13"/>
      <c r="I93" s="13"/>
      <c r="J93" s="13"/>
      <c r="K93" s="13"/>
      <c r="L93" s="105"/>
      <c r="M93" s="105"/>
      <c r="N93" s="105" t="s">
        <v>636</v>
      </c>
      <c r="O93" s="107"/>
      <c r="P93" s="107"/>
      <c r="Q93" s="107"/>
      <c r="R93" s="107"/>
      <c r="S93" s="107"/>
      <c r="T93" s="107"/>
      <c r="U93" s="107"/>
      <c r="V93" s="17"/>
      <c r="W93" s="17"/>
      <c r="X93" s="17">
        <f t="shared" si="1"/>
        <v>15</v>
      </c>
      <c r="Y93" s="18">
        <f t="shared" si="2"/>
        <v>0</v>
      </c>
      <c r="Z93" s="19"/>
      <c r="AA93" s="30"/>
      <c r="AB93" s="21" t="b">
        <v>1</v>
      </c>
      <c r="AC93" s="22">
        <f t="shared" si="3"/>
        <v>0</v>
      </c>
      <c r="AD93" s="23"/>
      <c r="AE93" s="23"/>
    </row>
    <row r="94" spans="1:31" ht="16.5">
      <c r="A94" s="10">
        <f t="shared" si="0"/>
        <v>0</v>
      </c>
      <c r="B94" s="13"/>
      <c r="C94" s="13"/>
      <c r="D94" s="13"/>
      <c r="E94" s="13"/>
      <c r="F94" s="13"/>
      <c r="G94" s="13"/>
      <c r="H94" s="13"/>
      <c r="I94" s="13"/>
      <c r="J94" s="13"/>
      <c r="K94" s="13"/>
      <c r="L94" s="105"/>
      <c r="M94" s="104" t="s">
        <v>637</v>
      </c>
      <c r="N94" s="105"/>
      <c r="O94" s="107"/>
      <c r="P94" s="107"/>
      <c r="Q94" s="107"/>
      <c r="R94" s="107"/>
      <c r="S94" s="107"/>
      <c r="T94" s="107"/>
      <c r="U94" s="107"/>
      <c r="V94" s="17"/>
      <c r="W94" s="17"/>
      <c r="X94" s="17">
        <f t="shared" si="1"/>
        <v>15</v>
      </c>
      <c r="Y94" s="18">
        <f t="shared" si="2"/>
        <v>0</v>
      </c>
      <c r="Z94" s="19"/>
      <c r="AA94" s="30"/>
      <c r="AB94" s="21" t="b">
        <v>1</v>
      </c>
      <c r="AC94" s="22">
        <f t="shared" si="3"/>
        <v>0</v>
      </c>
      <c r="AD94" s="23"/>
      <c r="AE94" s="23"/>
    </row>
    <row r="95" spans="1:31" ht="16.5">
      <c r="A95" s="10">
        <f t="shared" si="0"/>
        <v>0</v>
      </c>
      <c r="B95" s="13"/>
      <c r="C95" s="13"/>
      <c r="D95" s="13"/>
      <c r="E95" s="13"/>
      <c r="F95" s="13"/>
      <c r="G95" s="13"/>
      <c r="H95" s="13"/>
      <c r="I95" s="13"/>
      <c r="J95" s="13"/>
      <c r="K95" s="13"/>
      <c r="L95" s="105"/>
      <c r="M95" s="105"/>
      <c r="N95" s="105" t="s">
        <v>638</v>
      </c>
      <c r="O95" s="107"/>
      <c r="P95" s="107"/>
      <c r="Q95" s="107"/>
      <c r="R95" s="107"/>
      <c r="S95" s="107"/>
      <c r="T95" s="107"/>
      <c r="U95" s="107"/>
      <c r="V95" s="17"/>
      <c r="W95" s="17"/>
      <c r="X95" s="17">
        <f t="shared" si="1"/>
        <v>15</v>
      </c>
      <c r="Y95" s="18">
        <f t="shared" si="2"/>
        <v>0</v>
      </c>
      <c r="Z95" s="24"/>
      <c r="AA95" s="20"/>
      <c r="AB95" s="21" t="b">
        <v>1</v>
      </c>
      <c r="AC95" s="22">
        <f t="shared" si="3"/>
        <v>0</v>
      </c>
      <c r="AD95" s="32"/>
      <c r="AE95" s="32"/>
    </row>
    <row r="96" spans="1:31" ht="16.5">
      <c r="A96" s="10">
        <f t="shared" si="0"/>
        <v>0</v>
      </c>
      <c r="B96" s="13"/>
      <c r="C96" s="13"/>
      <c r="D96" s="13"/>
      <c r="E96" s="13"/>
      <c r="F96" s="13"/>
      <c r="G96" s="13"/>
      <c r="H96" s="13"/>
      <c r="I96" s="13"/>
      <c r="J96" s="13"/>
      <c r="K96" s="13"/>
      <c r="L96" s="105"/>
      <c r="M96" s="104" t="s">
        <v>639</v>
      </c>
      <c r="N96" s="105"/>
      <c r="O96" s="107"/>
      <c r="P96" s="107"/>
      <c r="Q96" s="107"/>
      <c r="R96" s="107"/>
      <c r="S96" s="107"/>
      <c r="T96" s="107"/>
      <c r="U96" s="107"/>
      <c r="V96" s="17"/>
      <c r="W96" s="17"/>
      <c r="X96" s="17">
        <f t="shared" si="1"/>
        <v>15</v>
      </c>
      <c r="Y96" s="18">
        <f t="shared" si="2"/>
        <v>0</v>
      </c>
      <c r="Z96" s="24"/>
      <c r="AA96" s="20"/>
      <c r="AB96" s="21" t="b">
        <v>1</v>
      </c>
      <c r="AC96" s="22">
        <f t="shared" si="3"/>
        <v>0</v>
      </c>
      <c r="AD96" s="32"/>
      <c r="AE96" s="32"/>
    </row>
    <row r="97" spans="1:31" ht="16.5">
      <c r="A97" s="10">
        <f t="shared" si="0"/>
        <v>0</v>
      </c>
      <c r="B97" s="13"/>
      <c r="C97" s="13"/>
      <c r="D97" s="13"/>
      <c r="E97" s="13"/>
      <c r="F97" s="13"/>
      <c r="G97" s="13"/>
      <c r="H97" s="13"/>
      <c r="I97" s="13"/>
      <c r="J97" s="13"/>
      <c r="K97" s="13"/>
      <c r="L97" s="105"/>
      <c r="M97" s="105"/>
      <c r="N97" s="105" t="s">
        <v>640</v>
      </c>
      <c r="O97" s="107"/>
      <c r="P97" s="107"/>
      <c r="Q97" s="107"/>
      <c r="R97" s="107"/>
      <c r="S97" s="107"/>
      <c r="T97" s="107"/>
      <c r="U97" s="107"/>
      <c r="V97" s="17"/>
      <c r="W97" s="17"/>
      <c r="X97" s="17">
        <f t="shared" si="1"/>
        <v>15</v>
      </c>
      <c r="Y97" s="18">
        <f t="shared" si="2"/>
        <v>0</v>
      </c>
      <c r="Z97" s="24"/>
      <c r="AA97" s="20"/>
      <c r="AB97" s="21" t="b">
        <v>1</v>
      </c>
      <c r="AC97" s="22">
        <f t="shared" si="3"/>
        <v>0</v>
      </c>
      <c r="AD97" s="32"/>
      <c r="AE97" s="32"/>
    </row>
    <row r="98" spans="1:31" ht="12.75">
      <c r="A98" s="33"/>
      <c r="B98" s="33"/>
      <c r="C98" s="33"/>
      <c r="D98" s="33"/>
      <c r="E98" s="33"/>
      <c r="F98" s="33"/>
      <c r="G98" s="33"/>
      <c r="H98" s="33"/>
      <c r="I98" s="33"/>
      <c r="J98" s="33"/>
      <c r="K98" s="33"/>
      <c r="L98" s="34"/>
      <c r="M98" s="34"/>
      <c r="N98" s="35"/>
      <c r="O98" s="35" t="s">
        <v>20</v>
      </c>
      <c r="P98" s="34"/>
      <c r="Q98" s="34"/>
      <c r="R98" s="34"/>
      <c r="S98" s="34"/>
      <c r="T98" s="34"/>
      <c r="U98" s="34"/>
      <c r="V98" s="34"/>
      <c r="W98" s="34"/>
      <c r="X98" s="34"/>
      <c r="Y98" s="34"/>
      <c r="Z98" s="34"/>
      <c r="AA98" s="34"/>
      <c r="AB98" s="34"/>
      <c r="AC98" s="34"/>
      <c r="AD98" s="23"/>
      <c r="AE98" s="23"/>
    </row>
    <row r="99" spans="1:31" ht="15">
      <c r="A99" s="36">
        <f>ROW()</f>
        <v>99</v>
      </c>
      <c r="B99" s="23">
        <f t="shared" ref="B99:K99" si="4">SUM(B2:B98)</f>
        <v>0</v>
      </c>
      <c r="C99" s="23">
        <f t="shared" si="4"/>
        <v>0</v>
      </c>
      <c r="D99" s="23">
        <f t="shared" si="4"/>
        <v>0</v>
      </c>
      <c r="E99" s="23">
        <f t="shared" si="4"/>
        <v>0</v>
      </c>
      <c r="F99" s="23">
        <f t="shared" si="4"/>
        <v>0</v>
      </c>
      <c r="G99" s="23">
        <f t="shared" si="4"/>
        <v>0</v>
      </c>
      <c r="H99" s="23">
        <f t="shared" si="4"/>
        <v>0</v>
      </c>
      <c r="I99" s="23">
        <f t="shared" si="4"/>
        <v>0</v>
      </c>
      <c r="J99" s="23">
        <f t="shared" si="4"/>
        <v>0</v>
      </c>
      <c r="K99" s="23">
        <f t="shared" si="4"/>
        <v>0</v>
      </c>
      <c r="L99" s="27"/>
      <c r="M99" s="16"/>
      <c r="N99" s="16"/>
      <c r="O99" s="17"/>
      <c r="P99" s="23"/>
      <c r="Q99" s="23"/>
      <c r="R99" s="23"/>
      <c r="S99" s="23"/>
      <c r="T99" s="23"/>
      <c r="U99" s="23"/>
      <c r="V99" s="23"/>
      <c r="W99" s="13"/>
      <c r="X99" s="23"/>
      <c r="Y99" s="23"/>
      <c r="Z99" s="23"/>
      <c r="AA99" s="23"/>
      <c r="AB99" s="23"/>
      <c r="AC99" s="37"/>
      <c r="AD99" s="23"/>
      <c r="AE99" s="23"/>
    </row>
    <row r="100" spans="1:31" ht="12.75">
      <c r="A100" s="23"/>
      <c r="B100" s="23"/>
      <c r="C100" s="38"/>
      <c r="D100" s="38"/>
      <c r="E100" s="38"/>
      <c r="F100" s="38"/>
      <c r="G100" s="38"/>
      <c r="H100" s="38"/>
      <c r="I100" s="130" t="s">
        <v>21</v>
      </c>
      <c r="J100" s="117"/>
      <c r="K100" s="117"/>
      <c r="L100" s="117"/>
      <c r="M100" s="131">
        <f>400000+120000</f>
        <v>520000</v>
      </c>
      <c r="N100" s="117"/>
      <c r="O100" s="117"/>
      <c r="P100" s="23"/>
      <c r="Q100" s="23"/>
      <c r="R100" s="23"/>
      <c r="S100" s="38"/>
      <c r="T100" s="38"/>
      <c r="U100" s="38"/>
      <c r="V100" s="23"/>
      <c r="W100" s="23"/>
      <c r="X100" s="23"/>
      <c r="Y100" s="23"/>
      <c r="Z100" s="23"/>
      <c r="AA100" s="23"/>
      <c r="AB100" s="23"/>
      <c r="AC100" s="37"/>
      <c r="AD100" s="23"/>
      <c r="AE100" s="23"/>
    </row>
    <row r="101" spans="1:31" ht="15">
      <c r="A101" s="23"/>
      <c r="B101" s="23"/>
      <c r="C101" s="38"/>
      <c r="D101" s="39" t="s">
        <v>22</v>
      </c>
      <c r="E101" s="40">
        <v>1750905</v>
      </c>
      <c r="F101" s="41" t="s">
        <v>23</v>
      </c>
      <c r="G101" s="42">
        <v>249095</v>
      </c>
      <c r="H101" s="38"/>
      <c r="I101" s="43" t="s">
        <v>24</v>
      </c>
      <c r="J101" s="44">
        <v>0.18</v>
      </c>
      <c r="K101" s="44"/>
      <c r="L101" s="45" t="s">
        <v>25</v>
      </c>
      <c r="M101" s="46">
        <f>2.7/12</f>
        <v>0.22500000000000001</v>
      </c>
      <c r="N101" s="47" t="s">
        <v>26</v>
      </c>
      <c r="O101" s="48">
        <f>40*4.2*((244-2)/260)</f>
        <v>156.36923076923077</v>
      </c>
      <c r="P101" s="38"/>
      <c r="Q101" s="43" t="s">
        <v>27</v>
      </c>
      <c r="R101" s="49"/>
      <c r="S101" s="38"/>
      <c r="T101" s="50">
        <v>8</v>
      </c>
      <c r="U101" s="51" t="s">
        <v>28</v>
      </c>
      <c r="V101" s="52"/>
      <c r="W101" s="23"/>
      <c r="X101" s="23"/>
      <c r="Y101" s="23"/>
      <c r="Z101" s="23"/>
      <c r="AA101" s="23"/>
      <c r="AB101" s="23"/>
      <c r="AC101" s="37"/>
      <c r="AD101" s="23"/>
      <c r="AE101" s="23"/>
    </row>
    <row r="102" spans="1:31" ht="12.75">
      <c r="A102" s="23"/>
      <c r="B102" s="23"/>
      <c r="C102" s="127" t="s">
        <v>29</v>
      </c>
      <c r="D102" s="117"/>
      <c r="E102" s="117"/>
      <c r="F102" s="127" t="s">
        <v>30</v>
      </c>
      <c r="G102" s="117"/>
      <c r="H102" s="117"/>
      <c r="I102" s="127" t="s">
        <v>31</v>
      </c>
      <c r="J102" s="117"/>
      <c r="K102" s="117"/>
      <c r="L102" s="117"/>
      <c r="M102" s="127" t="s">
        <v>32</v>
      </c>
      <c r="N102" s="117"/>
      <c r="O102" s="117"/>
      <c r="P102" s="127" t="s">
        <v>33</v>
      </c>
      <c r="Q102" s="117"/>
      <c r="R102" s="117"/>
      <c r="S102" s="38"/>
      <c r="T102" s="38"/>
      <c r="U102" s="53" t="s">
        <v>26</v>
      </c>
      <c r="V102" s="127" t="s">
        <v>34</v>
      </c>
      <c r="W102" s="117"/>
      <c r="X102" s="117"/>
      <c r="Y102" s="23"/>
      <c r="Z102" s="23"/>
      <c r="AA102" s="23"/>
      <c r="AB102" s="23"/>
      <c r="AC102" s="37"/>
      <c r="AD102" s="23"/>
      <c r="AE102" s="23"/>
    </row>
    <row r="103" spans="1:31" ht="12.75">
      <c r="A103" s="54" t="s">
        <v>35</v>
      </c>
      <c r="B103" s="53" t="str">
        <f>B1</f>
        <v>DB</v>
      </c>
      <c r="C103" s="116">
        <v>6480000</v>
      </c>
      <c r="D103" s="117"/>
      <c r="E103" s="117"/>
      <c r="F103" s="116">
        <v>1080000</v>
      </c>
      <c r="G103" s="117"/>
      <c r="H103" s="117"/>
      <c r="I103" s="116">
        <v>0</v>
      </c>
      <c r="J103" s="117"/>
      <c r="K103" s="117"/>
      <c r="L103" s="117"/>
      <c r="M103" s="116">
        <f t="shared" ref="M103:M112" si="5">C103*(1+$J$101+$M$101)+F103+I103+$M$100+IF(($E$101*2)&gt;=C103,$G$101,0)</f>
        <v>10704400</v>
      </c>
      <c r="N103" s="117"/>
      <c r="O103" s="117"/>
      <c r="P103" s="124">
        <f t="shared" ref="P103:P112" si="6">M103/$O$101*(1+$R$101)</f>
        <v>68455.922865013781</v>
      </c>
      <c r="Q103" s="117"/>
      <c r="R103" s="117"/>
      <c r="S103" s="38"/>
      <c r="T103" s="38"/>
      <c r="U103" s="23">
        <f t="shared" ref="U103:U112" si="7">HLOOKUP(B103,$B$1:$K$99,$A$99,0)*$T$101</f>
        <v>0</v>
      </c>
      <c r="W103" s="55">
        <f t="shared" ref="W103:W112" si="8">P103*U103</f>
        <v>0</v>
      </c>
      <c r="Y103" s="23"/>
      <c r="Z103" s="23"/>
      <c r="AA103" s="23"/>
      <c r="AB103" s="23"/>
      <c r="AC103" s="37"/>
      <c r="AD103" s="23"/>
      <c r="AE103" s="23"/>
    </row>
    <row r="104" spans="1:31" ht="12.75">
      <c r="A104" s="54" t="s">
        <v>36</v>
      </c>
      <c r="B104" s="53" t="str">
        <f>C1</f>
        <v>UX</v>
      </c>
      <c r="C104" s="116">
        <v>3240000</v>
      </c>
      <c r="D104" s="117"/>
      <c r="E104" s="117"/>
      <c r="F104" s="116">
        <v>540000</v>
      </c>
      <c r="G104" s="117"/>
      <c r="H104" s="117"/>
      <c r="I104" s="116">
        <v>0</v>
      </c>
      <c r="J104" s="117"/>
      <c r="K104" s="117"/>
      <c r="L104" s="117"/>
      <c r="M104" s="116">
        <f t="shared" si="5"/>
        <v>5861295</v>
      </c>
      <c r="N104" s="117"/>
      <c r="O104" s="117"/>
      <c r="P104" s="124">
        <f t="shared" si="6"/>
        <v>37483.685064935067</v>
      </c>
      <c r="Q104" s="117"/>
      <c r="R104" s="117"/>
      <c r="S104" s="38"/>
      <c r="T104" s="38"/>
      <c r="U104" s="23">
        <f t="shared" si="7"/>
        <v>0</v>
      </c>
      <c r="W104" s="55">
        <f t="shared" si="8"/>
        <v>0</v>
      </c>
      <c r="Y104" s="23"/>
      <c r="Z104" s="23"/>
      <c r="AA104" s="23"/>
      <c r="AB104" s="23"/>
      <c r="AC104" s="37"/>
      <c r="AD104" s="23"/>
      <c r="AE104" s="23"/>
    </row>
    <row r="105" spans="1:31" ht="12.75">
      <c r="A105" s="54" t="s">
        <v>37</v>
      </c>
      <c r="B105" s="53" t="str">
        <f>D1</f>
        <v>FM</v>
      </c>
      <c r="C105" s="116">
        <v>3240000</v>
      </c>
      <c r="D105" s="117"/>
      <c r="E105" s="117"/>
      <c r="F105" s="116">
        <v>540000</v>
      </c>
      <c r="G105" s="117"/>
      <c r="H105" s="117"/>
      <c r="I105" s="116">
        <v>0</v>
      </c>
      <c r="J105" s="117"/>
      <c r="K105" s="117"/>
      <c r="L105" s="117"/>
      <c r="M105" s="116">
        <f t="shared" si="5"/>
        <v>5861295</v>
      </c>
      <c r="N105" s="117"/>
      <c r="O105" s="117"/>
      <c r="P105" s="124">
        <f t="shared" si="6"/>
        <v>37483.685064935067</v>
      </c>
      <c r="Q105" s="117"/>
      <c r="R105" s="117"/>
      <c r="S105" s="38"/>
      <c r="T105" s="38"/>
      <c r="U105" s="23">
        <f t="shared" si="7"/>
        <v>0</v>
      </c>
      <c r="W105" s="55">
        <f t="shared" si="8"/>
        <v>0</v>
      </c>
      <c r="Y105" s="23"/>
      <c r="Z105" s="23"/>
      <c r="AA105" s="23"/>
      <c r="AB105" s="23"/>
      <c r="AC105" s="37"/>
      <c r="AD105" s="23"/>
      <c r="AE105" s="23"/>
    </row>
    <row r="106" spans="1:31" ht="12.75">
      <c r="A106" s="54" t="s">
        <v>38</v>
      </c>
      <c r="B106" s="53" t="str">
        <f>E1</f>
        <v>BS</v>
      </c>
      <c r="C106" s="116">
        <v>4320000</v>
      </c>
      <c r="D106" s="117"/>
      <c r="E106" s="117"/>
      <c r="F106" s="116">
        <v>1620000</v>
      </c>
      <c r="G106" s="117"/>
      <c r="H106" s="117"/>
      <c r="I106" s="116">
        <v>0</v>
      </c>
      <c r="J106" s="117"/>
      <c r="K106" s="117"/>
      <c r="L106" s="117"/>
      <c r="M106" s="116">
        <f t="shared" si="5"/>
        <v>8209600</v>
      </c>
      <c r="N106" s="117"/>
      <c r="O106" s="117"/>
      <c r="P106" s="124">
        <f t="shared" si="6"/>
        <v>52501.377410468318</v>
      </c>
      <c r="Q106" s="117"/>
      <c r="R106" s="117"/>
      <c r="S106" s="38"/>
      <c r="T106" s="38"/>
      <c r="U106" s="23">
        <f t="shared" si="7"/>
        <v>0</v>
      </c>
      <c r="W106" s="55">
        <f t="shared" si="8"/>
        <v>0</v>
      </c>
      <c r="Y106" s="23"/>
      <c r="Z106" s="23"/>
      <c r="AA106" s="23"/>
      <c r="AB106" s="23"/>
      <c r="AC106" s="37"/>
      <c r="AD106" s="23"/>
      <c r="AE106" s="23"/>
    </row>
    <row r="107" spans="1:31" ht="12.75">
      <c r="A107" s="54" t="s">
        <v>39</v>
      </c>
      <c r="B107" s="53" t="str">
        <f>F1</f>
        <v>BM</v>
      </c>
      <c r="C107" s="116">
        <v>3780000</v>
      </c>
      <c r="D107" s="117"/>
      <c r="E107" s="117"/>
      <c r="F107" s="116">
        <v>1080000</v>
      </c>
      <c r="G107" s="117"/>
      <c r="H107" s="117"/>
      <c r="I107" s="116">
        <v>0</v>
      </c>
      <c r="J107" s="117"/>
      <c r="K107" s="117"/>
      <c r="L107" s="117"/>
      <c r="M107" s="116">
        <f t="shared" si="5"/>
        <v>6910900</v>
      </c>
      <c r="N107" s="117"/>
      <c r="O107" s="117"/>
      <c r="P107" s="124">
        <f t="shared" si="6"/>
        <v>44196.035025580481</v>
      </c>
      <c r="Q107" s="117"/>
      <c r="R107" s="117"/>
      <c r="S107" s="38"/>
      <c r="T107" s="38"/>
      <c r="U107" s="23">
        <f t="shared" si="7"/>
        <v>0</v>
      </c>
      <c r="W107" s="55">
        <f t="shared" si="8"/>
        <v>0</v>
      </c>
      <c r="Y107" s="23"/>
      <c r="Z107" s="23"/>
      <c r="AA107" s="23"/>
      <c r="AB107" s="23"/>
      <c r="AC107" s="37"/>
      <c r="AD107" s="23"/>
      <c r="AE107" s="23"/>
    </row>
    <row r="108" spans="1:31" ht="12.75">
      <c r="A108" s="54" t="s">
        <v>40</v>
      </c>
      <c r="B108" s="53" t="str">
        <f>G1</f>
        <v>QA</v>
      </c>
      <c r="C108" s="116">
        <v>2700000</v>
      </c>
      <c r="D108" s="117"/>
      <c r="E108" s="117"/>
      <c r="F108" s="116">
        <v>1080000</v>
      </c>
      <c r="G108" s="117"/>
      <c r="H108" s="117"/>
      <c r="I108" s="116">
        <v>54000</v>
      </c>
      <c r="J108" s="117"/>
      <c r="K108" s="117"/>
      <c r="L108" s="117"/>
      <c r="M108" s="116">
        <f t="shared" si="5"/>
        <v>5696595</v>
      </c>
      <c r="N108" s="117"/>
      <c r="O108" s="117"/>
      <c r="P108" s="124">
        <f t="shared" si="6"/>
        <v>36430.408795749703</v>
      </c>
      <c r="Q108" s="117"/>
      <c r="R108" s="117"/>
      <c r="S108" s="38"/>
      <c r="T108" s="38"/>
      <c r="U108" s="23">
        <f t="shared" si="7"/>
        <v>0</v>
      </c>
      <c r="W108" s="55">
        <f t="shared" si="8"/>
        <v>0</v>
      </c>
      <c r="Y108" s="23"/>
      <c r="Z108" s="23"/>
      <c r="AA108" s="23"/>
      <c r="AB108" s="23"/>
      <c r="AC108" s="37"/>
      <c r="AD108" s="23"/>
      <c r="AE108" s="23"/>
    </row>
    <row r="109" spans="1:31" ht="12.75">
      <c r="A109" s="54" t="s">
        <v>41</v>
      </c>
      <c r="B109" s="53" t="str">
        <f>H1</f>
        <v>IM</v>
      </c>
      <c r="C109" s="116">
        <v>2700000</v>
      </c>
      <c r="D109" s="117"/>
      <c r="E109" s="117"/>
      <c r="F109" s="116">
        <v>1080000</v>
      </c>
      <c r="G109" s="117"/>
      <c r="H109" s="117"/>
      <c r="I109" s="116">
        <v>0</v>
      </c>
      <c r="J109" s="117"/>
      <c r="K109" s="117"/>
      <c r="L109" s="117"/>
      <c r="M109" s="116">
        <f t="shared" si="5"/>
        <v>5642595</v>
      </c>
      <c r="N109" s="117"/>
      <c r="O109" s="117"/>
      <c r="P109" s="124">
        <f t="shared" si="6"/>
        <v>36085.07231404959</v>
      </c>
      <c r="Q109" s="117"/>
      <c r="R109" s="117"/>
      <c r="S109" s="38"/>
      <c r="T109" s="38"/>
      <c r="U109" s="23">
        <f t="shared" si="7"/>
        <v>0</v>
      </c>
      <c r="W109" s="55">
        <f t="shared" si="8"/>
        <v>0</v>
      </c>
      <c r="Y109" s="23"/>
      <c r="Z109" s="23"/>
      <c r="AA109" s="23"/>
      <c r="AB109" s="23"/>
      <c r="AC109" s="37"/>
      <c r="AD109" s="23"/>
      <c r="AE109" s="23"/>
    </row>
    <row r="110" spans="1:31" ht="12.75">
      <c r="A110" s="54" t="s">
        <v>42</v>
      </c>
      <c r="B110" s="53" t="str">
        <f>I1</f>
        <v>MS</v>
      </c>
      <c r="C110" s="116">
        <v>8100000</v>
      </c>
      <c r="D110" s="117"/>
      <c r="E110" s="117"/>
      <c r="F110" s="116">
        <v>2160000</v>
      </c>
      <c r="G110" s="117"/>
      <c r="H110" s="117"/>
      <c r="I110" s="116">
        <v>132000</v>
      </c>
      <c r="J110" s="117"/>
      <c r="K110" s="117"/>
      <c r="L110" s="117"/>
      <c r="M110" s="116">
        <f t="shared" si="5"/>
        <v>14192500</v>
      </c>
      <c r="N110" s="117"/>
      <c r="O110" s="117"/>
      <c r="P110" s="124">
        <f t="shared" si="6"/>
        <v>90762.741046831958</v>
      </c>
      <c r="Q110" s="117"/>
      <c r="R110" s="117"/>
      <c r="S110" s="38"/>
      <c r="T110" s="38"/>
      <c r="U110" s="23">
        <f t="shared" si="7"/>
        <v>0</v>
      </c>
      <c r="W110" s="55">
        <f t="shared" si="8"/>
        <v>0</v>
      </c>
      <c r="Y110" s="23"/>
      <c r="Z110" s="23"/>
      <c r="AA110" s="23"/>
      <c r="AB110" s="23"/>
      <c r="AC110" s="37"/>
      <c r="AD110" s="23"/>
      <c r="AE110" s="23"/>
    </row>
    <row r="111" spans="1:31" ht="12.75">
      <c r="A111" s="54" t="s">
        <v>43</v>
      </c>
      <c r="B111" s="53" t="str">
        <f>J1</f>
        <v>MM</v>
      </c>
      <c r="C111" s="116">
        <v>3240000</v>
      </c>
      <c r="D111" s="117"/>
      <c r="E111" s="117"/>
      <c r="F111" s="116">
        <v>1080000</v>
      </c>
      <c r="G111" s="117"/>
      <c r="H111" s="117"/>
      <c r="I111" s="116">
        <v>132000</v>
      </c>
      <c r="J111" s="117"/>
      <c r="K111" s="117"/>
      <c r="L111" s="117"/>
      <c r="M111" s="116">
        <f t="shared" si="5"/>
        <v>6533295</v>
      </c>
      <c r="N111" s="117"/>
      <c r="O111" s="117"/>
      <c r="P111" s="124">
        <f t="shared" si="6"/>
        <v>41781.205726092092</v>
      </c>
      <c r="Q111" s="117"/>
      <c r="R111" s="117"/>
      <c r="S111" s="38"/>
      <c r="T111" s="38"/>
      <c r="U111" s="23">
        <f t="shared" si="7"/>
        <v>0</v>
      </c>
      <c r="W111" s="55">
        <f t="shared" si="8"/>
        <v>0</v>
      </c>
      <c r="Y111" s="23"/>
      <c r="Z111" s="23"/>
      <c r="AA111" s="23"/>
      <c r="AB111" s="23"/>
      <c r="AC111" s="37"/>
      <c r="AD111" s="23"/>
      <c r="AE111" s="23"/>
    </row>
    <row r="112" spans="1:31" ht="12.75">
      <c r="A112" s="54" t="s">
        <v>44</v>
      </c>
      <c r="B112" s="53" t="s">
        <v>10</v>
      </c>
      <c r="C112" s="116">
        <v>3240000</v>
      </c>
      <c r="D112" s="117"/>
      <c r="E112" s="117"/>
      <c r="F112" s="116">
        <v>1080000</v>
      </c>
      <c r="G112" s="117"/>
      <c r="H112" s="117"/>
      <c r="I112" s="116"/>
      <c r="J112" s="117"/>
      <c r="K112" s="117"/>
      <c r="L112" s="117"/>
      <c r="M112" s="116">
        <f t="shared" si="5"/>
        <v>6401295</v>
      </c>
      <c r="N112" s="117"/>
      <c r="O112" s="117"/>
      <c r="P112" s="124">
        <f t="shared" si="6"/>
        <v>40937.049881936247</v>
      </c>
      <c r="Q112" s="117"/>
      <c r="R112" s="117"/>
      <c r="S112" s="38"/>
      <c r="T112" s="38"/>
      <c r="U112" s="23">
        <f t="shared" si="7"/>
        <v>0</v>
      </c>
      <c r="W112" s="55">
        <f t="shared" si="8"/>
        <v>0</v>
      </c>
      <c r="Y112" s="23"/>
      <c r="Z112" s="23"/>
      <c r="AA112" s="23"/>
      <c r="AB112" s="23"/>
      <c r="AC112" s="37"/>
      <c r="AD112" s="23"/>
      <c r="AE112" s="23"/>
    </row>
    <row r="113" spans="1:31" ht="12.75">
      <c r="A113" s="54"/>
      <c r="B113" s="53"/>
      <c r="C113" s="38"/>
      <c r="D113" s="38"/>
      <c r="E113" s="38"/>
      <c r="F113" s="38"/>
      <c r="G113" s="38"/>
      <c r="H113" s="38"/>
      <c r="I113" s="23"/>
      <c r="J113" s="23"/>
      <c r="K113" s="23"/>
      <c r="L113" s="23"/>
      <c r="M113" s="23"/>
      <c r="N113" s="23"/>
      <c r="O113" s="23"/>
      <c r="P113" s="125">
        <f>SUM(P103:P112)</f>
        <v>486117.18319559225</v>
      </c>
      <c r="Q113" s="117"/>
      <c r="R113" s="117"/>
      <c r="S113" s="38"/>
      <c r="T113" s="38"/>
      <c r="U113" s="38"/>
      <c r="W113" s="56">
        <f>SUM(W103:W112)</f>
        <v>0</v>
      </c>
      <c r="Y113" s="23"/>
      <c r="Z113" s="23"/>
      <c r="AA113" s="23"/>
      <c r="AB113" s="23"/>
      <c r="AC113" s="37"/>
      <c r="AD113" s="23"/>
      <c r="AE113" s="23"/>
    </row>
    <row r="114" spans="1:31" ht="12.75">
      <c r="A114" s="23"/>
      <c r="B114" s="23"/>
      <c r="C114" s="57"/>
      <c r="D114" s="57"/>
      <c r="E114" s="23"/>
      <c r="F114" s="23"/>
      <c r="G114" s="23"/>
      <c r="H114" s="38"/>
      <c r="I114" s="23"/>
      <c r="J114" s="23"/>
      <c r="K114" s="23"/>
      <c r="L114" s="38"/>
      <c r="M114" s="23"/>
      <c r="N114" s="23"/>
      <c r="O114" s="23"/>
      <c r="P114" s="23"/>
      <c r="Q114" s="23"/>
      <c r="R114" s="23"/>
      <c r="S114" s="23"/>
      <c r="T114" s="23"/>
      <c r="U114" s="23"/>
      <c r="V114" s="23"/>
      <c r="W114" s="23"/>
      <c r="X114" s="23"/>
      <c r="Y114" s="23"/>
      <c r="Z114" s="23"/>
      <c r="AA114" s="23"/>
      <c r="AB114" s="23"/>
      <c r="AC114" s="37"/>
      <c r="AD114" s="23"/>
      <c r="AE114" s="23"/>
    </row>
    <row r="115" spans="1:31" ht="12.7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37"/>
      <c r="AD115" s="23"/>
      <c r="AE115" s="23"/>
    </row>
    <row r="116" spans="1:31" ht="12.75">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9"/>
      <c r="AD116" s="58"/>
      <c r="AE116" s="58"/>
    </row>
    <row r="117" spans="1:31" ht="15">
      <c r="A117" s="58"/>
      <c r="B117" s="58"/>
      <c r="C117" s="118"/>
      <c r="D117" s="119"/>
      <c r="E117" s="119"/>
      <c r="F117" s="120"/>
      <c r="G117" s="121"/>
      <c r="H117" s="122"/>
      <c r="I117" s="122"/>
      <c r="J117" s="123"/>
      <c r="K117" s="60"/>
      <c r="L117" s="126"/>
      <c r="M117" s="122"/>
      <c r="N117" s="122"/>
      <c r="O117" s="123"/>
      <c r="P117" s="121"/>
      <c r="Q117" s="122"/>
      <c r="R117" s="122"/>
      <c r="S117" s="123"/>
      <c r="T117" s="126"/>
      <c r="U117" s="122"/>
      <c r="V117" s="122"/>
      <c r="W117" s="123"/>
      <c r="X117" s="121"/>
      <c r="Y117" s="122"/>
      <c r="Z117" s="123"/>
      <c r="AA117" s="126"/>
      <c r="AB117" s="122"/>
      <c r="AC117" s="123"/>
      <c r="AD117" s="61"/>
      <c r="AE117" s="58"/>
    </row>
    <row r="118" spans="1:31" ht="12.75">
      <c r="A118" s="62" t="e">
        <f t="array" aca="1" ref="A118:A133" ca="1">unique(L1:L98)</f>
        <v>#NAME?</v>
      </c>
      <c r="B118" s="63"/>
      <c r="C118" s="64"/>
      <c r="D118" s="64"/>
      <c r="E118" s="64"/>
      <c r="F118" s="65"/>
      <c r="G118" s="66" t="s">
        <v>45</v>
      </c>
      <c r="H118" s="66" t="s">
        <v>46</v>
      </c>
      <c r="I118" s="66" t="s">
        <v>47</v>
      </c>
      <c r="J118" s="66" t="s">
        <v>48</v>
      </c>
      <c r="K118" s="66" t="s">
        <v>49</v>
      </c>
      <c r="L118" s="67" t="s">
        <v>50</v>
      </c>
      <c r="M118" s="67" t="s">
        <v>51</v>
      </c>
      <c r="N118" s="67" t="s">
        <v>52</v>
      </c>
      <c r="O118" s="67" t="s">
        <v>53</v>
      </c>
      <c r="P118" s="66" t="s">
        <v>54</v>
      </c>
      <c r="Q118" s="66"/>
      <c r="R118" s="66"/>
      <c r="S118" s="66"/>
      <c r="T118" s="67"/>
      <c r="U118" s="67"/>
      <c r="V118" s="67"/>
      <c r="W118" s="67"/>
      <c r="X118" s="66"/>
      <c r="Y118" s="66"/>
      <c r="Z118" s="66"/>
      <c r="AA118" s="67"/>
      <c r="AB118" s="67"/>
      <c r="AC118" s="68"/>
      <c r="AD118" s="67"/>
      <c r="AE118" s="58"/>
    </row>
    <row r="119" spans="1:31" ht="12.75">
      <c r="A119" s="69" t="e">
        <f ca="1"/>
        <v>#NAME?</v>
      </c>
      <c r="B119" s="70"/>
      <c r="C119" s="71"/>
      <c r="D119" s="71" t="s">
        <v>55</v>
      </c>
      <c r="E119" s="71"/>
      <c r="F119" s="72"/>
      <c r="G119" s="73"/>
      <c r="H119" s="73"/>
      <c r="I119" s="73"/>
      <c r="J119" s="73"/>
      <c r="K119" s="73"/>
      <c r="L119" s="74"/>
      <c r="M119" s="74"/>
      <c r="N119" s="74"/>
      <c r="O119" s="75"/>
      <c r="P119" s="76"/>
      <c r="Q119" s="76"/>
      <c r="R119" s="76"/>
      <c r="S119" s="76"/>
      <c r="T119" s="75"/>
      <c r="U119" s="75"/>
      <c r="V119" s="75"/>
      <c r="W119" s="75"/>
      <c r="X119" s="76"/>
      <c r="Y119" s="76"/>
      <c r="Z119" s="76"/>
      <c r="AA119" s="75"/>
      <c r="AB119" s="75"/>
      <c r="AC119" s="77"/>
      <c r="AD119" s="75"/>
      <c r="AE119" s="58"/>
    </row>
    <row r="120" spans="1:31" ht="12.75">
      <c r="A120" s="69" t="e">
        <f ca="1"/>
        <v>#NAME?</v>
      </c>
      <c r="B120" s="70"/>
      <c r="C120" s="71"/>
      <c r="D120" s="71"/>
      <c r="E120" s="71"/>
      <c r="F120" s="72"/>
      <c r="G120" s="73"/>
      <c r="H120" s="73"/>
      <c r="I120" s="73"/>
      <c r="J120" s="73"/>
      <c r="K120" s="73"/>
      <c r="L120" s="74"/>
      <c r="M120" s="75"/>
      <c r="N120" s="75"/>
      <c r="O120" s="75"/>
      <c r="P120" s="76"/>
      <c r="Q120" s="76"/>
      <c r="R120" s="76"/>
      <c r="S120" s="76"/>
      <c r="T120" s="75"/>
      <c r="U120" s="75"/>
      <c r="V120" s="75"/>
      <c r="W120" s="75"/>
      <c r="X120" s="76"/>
      <c r="Y120" s="76"/>
      <c r="Z120" s="76"/>
      <c r="AA120" s="75"/>
      <c r="AB120" s="75"/>
      <c r="AC120" s="77"/>
      <c r="AD120" s="75"/>
      <c r="AE120" s="58"/>
    </row>
    <row r="121" spans="1:31" ht="12.75">
      <c r="A121" s="69" t="e">
        <f ca="1"/>
        <v>#NAME?</v>
      </c>
      <c r="B121" s="70"/>
      <c r="C121" s="71"/>
      <c r="D121" s="71"/>
      <c r="E121" s="71"/>
      <c r="F121" s="72"/>
      <c r="G121" s="73"/>
      <c r="H121" s="73"/>
      <c r="I121" s="73"/>
      <c r="J121" s="73"/>
      <c r="K121" s="73"/>
      <c r="L121" s="74"/>
      <c r="M121" s="74"/>
      <c r="N121" s="74"/>
      <c r="O121" s="74"/>
      <c r="P121" s="76"/>
      <c r="Q121" s="76"/>
      <c r="R121" s="76"/>
      <c r="S121" s="76"/>
      <c r="T121" s="75"/>
      <c r="U121" s="75"/>
      <c r="V121" s="75"/>
      <c r="W121" s="75"/>
      <c r="X121" s="76"/>
      <c r="Y121" s="76"/>
      <c r="Z121" s="76"/>
      <c r="AA121" s="75"/>
      <c r="AB121" s="75"/>
      <c r="AC121" s="77"/>
      <c r="AD121" s="75"/>
      <c r="AE121" s="58"/>
    </row>
    <row r="122" spans="1:31" ht="12.75">
      <c r="A122" s="69" t="e">
        <f ca="1"/>
        <v>#NAME?</v>
      </c>
      <c r="B122" s="70"/>
      <c r="C122" s="71"/>
      <c r="D122" s="71"/>
      <c r="E122" s="71"/>
      <c r="F122" s="72"/>
      <c r="G122" s="73"/>
      <c r="H122" s="73"/>
      <c r="I122" s="73"/>
      <c r="J122" s="73"/>
      <c r="K122" s="73"/>
      <c r="L122" s="74"/>
      <c r="M122" s="74"/>
      <c r="N122" s="74"/>
      <c r="O122" s="75"/>
      <c r="P122" s="76"/>
      <c r="Q122" s="76"/>
      <c r="R122" s="76"/>
      <c r="S122" s="76"/>
      <c r="T122" s="75"/>
      <c r="U122" s="75"/>
      <c r="V122" s="75"/>
      <c r="W122" s="75"/>
      <c r="X122" s="76"/>
      <c r="Y122" s="76"/>
      <c r="Z122" s="76"/>
      <c r="AA122" s="75"/>
      <c r="AB122" s="75"/>
      <c r="AC122" s="77"/>
      <c r="AD122" s="75"/>
      <c r="AE122" s="58"/>
    </row>
    <row r="123" spans="1:31" ht="12.75">
      <c r="A123" s="69" t="e">
        <f ca="1"/>
        <v>#NAME?</v>
      </c>
      <c r="B123" s="70"/>
      <c r="C123" s="71"/>
      <c r="D123" s="71"/>
      <c r="E123" s="71"/>
      <c r="F123" s="72"/>
      <c r="G123" s="73"/>
      <c r="H123" s="73"/>
      <c r="I123" s="73"/>
      <c r="J123" s="73"/>
      <c r="K123" s="73"/>
      <c r="L123" s="74"/>
      <c r="M123" s="74"/>
      <c r="N123" s="74"/>
      <c r="O123" s="74"/>
      <c r="P123" s="76"/>
      <c r="Q123" s="76"/>
      <c r="R123" s="76"/>
      <c r="S123" s="76"/>
      <c r="T123" s="75"/>
      <c r="U123" s="75"/>
      <c r="V123" s="75"/>
      <c r="W123" s="75"/>
      <c r="X123" s="76"/>
      <c r="Y123" s="76"/>
      <c r="Z123" s="76"/>
      <c r="AA123" s="75"/>
      <c r="AB123" s="75"/>
      <c r="AC123" s="77"/>
      <c r="AD123" s="75"/>
      <c r="AE123" s="58"/>
    </row>
    <row r="124" spans="1:31" ht="12.75">
      <c r="A124" s="69" t="e">
        <f ca="1"/>
        <v>#NAME?</v>
      </c>
      <c r="B124" s="70"/>
      <c r="C124" s="71"/>
      <c r="D124" s="71"/>
      <c r="E124" s="71"/>
      <c r="F124" s="72"/>
      <c r="G124" s="73"/>
      <c r="H124" s="73"/>
      <c r="I124" s="73"/>
      <c r="J124" s="73"/>
      <c r="K124" s="73"/>
      <c r="L124" s="74"/>
      <c r="M124" s="74"/>
      <c r="N124" s="74"/>
      <c r="O124" s="75"/>
      <c r="P124" s="73"/>
      <c r="Q124" s="76"/>
      <c r="R124" s="76"/>
      <c r="S124" s="76"/>
      <c r="T124" s="75"/>
      <c r="U124" s="75"/>
      <c r="V124" s="75"/>
      <c r="W124" s="75"/>
      <c r="X124" s="76"/>
      <c r="Y124" s="76"/>
      <c r="Z124" s="76"/>
      <c r="AA124" s="75"/>
      <c r="AB124" s="75"/>
      <c r="AC124" s="77"/>
      <c r="AD124" s="75"/>
      <c r="AE124" s="58"/>
    </row>
    <row r="125" spans="1:31" ht="12.75">
      <c r="A125" s="69" t="e">
        <f ca="1"/>
        <v>#NAME?</v>
      </c>
      <c r="B125" s="70"/>
      <c r="C125" s="71"/>
      <c r="D125" s="71"/>
      <c r="E125" s="71"/>
      <c r="F125" s="72"/>
      <c r="G125" s="73"/>
      <c r="H125" s="73"/>
      <c r="I125" s="73"/>
      <c r="J125" s="73"/>
      <c r="K125" s="73"/>
      <c r="L125" s="74"/>
      <c r="M125" s="74"/>
      <c r="N125" s="74"/>
      <c r="O125" s="75"/>
      <c r="P125" s="73"/>
      <c r="Q125" s="76"/>
      <c r="R125" s="76"/>
      <c r="S125" s="76"/>
      <c r="T125" s="75"/>
      <c r="U125" s="75"/>
      <c r="V125" s="75"/>
      <c r="W125" s="75"/>
      <c r="X125" s="76"/>
      <c r="Y125" s="76"/>
      <c r="Z125" s="76"/>
      <c r="AA125" s="75"/>
      <c r="AB125" s="75"/>
      <c r="AC125" s="77"/>
      <c r="AD125" s="75"/>
      <c r="AE125" s="58"/>
    </row>
    <row r="126" spans="1:31" ht="12.75">
      <c r="A126" s="69" t="e">
        <f ca="1"/>
        <v>#NAME?</v>
      </c>
      <c r="B126" s="70"/>
      <c r="C126" s="71"/>
      <c r="D126" s="71"/>
      <c r="E126" s="71"/>
      <c r="F126" s="72"/>
      <c r="G126" s="73"/>
      <c r="H126" s="73"/>
      <c r="I126" s="73"/>
      <c r="J126" s="73"/>
      <c r="K126" s="73"/>
      <c r="L126" s="74"/>
      <c r="M126" s="74"/>
      <c r="N126" s="74"/>
      <c r="O126" s="74"/>
      <c r="P126" s="73"/>
      <c r="Q126" s="76"/>
      <c r="R126" s="76"/>
      <c r="S126" s="76"/>
      <c r="T126" s="75"/>
      <c r="U126" s="75"/>
      <c r="V126" s="75"/>
      <c r="W126" s="75"/>
      <c r="X126" s="76"/>
      <c r="Y126" s="76"/>
      <c r="Z126" s="76"/>
      <c r="AA126" s="75"/>
      <c r="AB126" s="75"/>
      <c r="AC126" s="77"/>
      <c r="AD126" s="75"/>
      <c r="AE126" s="58"/>
    </row>
    <row r="127" spans="1:31" ht="12.75">
      <c r="A127" s="69" t="e">
        <f ca="1"/>
        <v>#NAME?</v>
      </c>
      <c r="B127" s="70"/>
      <c r="C127" s="71"/>
      <c r="D127" s="71"/>
      <c r="E127" s="71"/>
      <c r="F127" s="72"/>
      <c r="G127" s="73"/>
      <c r="H127" s="73"/>
      <c r="I127" s="73"/>
      <c r="J127" s="73"/>
      <c r="K127" s="73"/>
      <c r="L127" s="74"/>
      <c r="M127" s="74"/>
      <c r="N127" s="74"/>
      <c r="O127" s="75"/>
      <c r="P127" s="76"/>
      <c r="Q127" s="76"/>
      <c r="R127" s="76"/>
      <c r="S127" s="76"/>
      <c r="T127" s="75"/>
      <c r="U127" s="75"/>
      <c r="V127" s="75"/>
      <c r="W127" s="75"/>
      <c r="X127" s="76"/>
      <c r="Y127" s="76"/>
      <c r="Z127" s="76"/>
      <c r="AA127" s="75"/>
      <c r="AB127" s="75"/>
      <c r="AC127" s="77"/>
      <c r="AD127" s="75"/>
      <c r="AE127" s="58"/>
    </row>
    <row r="128" spans="1:31" ht="12.75">
      <c r="A128" s="69" t="e">
        <f ca="1"/>
        <v>#NAME?</v>
      </c>
      <c r="B128" s="70"/>
      <c r="C128" s="71"/>
      <c r="D128" s="71"/>
      <c r="E128" s="71"/>
      <c r="F128" s="72"/>
      <c r="G128" s="73"/>
      <c r="H128" s="73"/>
      <c r="I128" s="73"/>
      <c r="J128" s="73"/>
      <c r="K128" s="73"/>
      <c r="L128" s="74"/>
      <c r="M128" s="74"/>
      <c r="N128" s="74"/>
      <c r="O128" s="75"/>
      <c r="P128" s="76"/>
      <c r="Q128" s="76"/>
      <c r="R128" s="76"/>
      <c r="S128" s="76"/>
      <c r="T128" s="75"/>
      <c r="U128" s="75"/>
      <c r="V128" s="75"/>
      <c r="W128" s="75"/>
      <c r="X128" s="76"/>
      <c r="Y128" s="76"/>
      <c r="Z128" s="76"/>
      <c r="AA128" s="75"/>
      <c r="AB128" s="75"/>
      <c r="AC128" s="77"/>
      <c r="AD128" s="75"/>
      <c r="AE128" s="58"/>
    </row>
    <row r="129" spans="1:31" ht="12.75">
      <c r="A129" s="69" t="e">
        <f ca="1"/>
        <v>#NAME?</v>
      </c>
      <c r="B129" s="70"/>
      <c r="C129" s="71"/>
      <c r="D129" s="71"/>
      <c r="E129" s="71"/>
      <c r="F129" s="72"/>
      <c r="G129" s="73"/>
      <c r="H129" s="73"/>
      <c r="I129" s="73"/>
      <c r="J129" s="73"/>
      <c r="K129" s="73"/>
      <c r="L129" s="74"/>
      <c r="M129" s="74"/>
      <c r="N129" s="74"/>
      <c r="O129" s="75"/>
      <c r="P129" s="76"/>
      <c r="Q129" s="76"/>
      <c r="R129" s="76"/>
      <c r="S129" s="76"/>
      <c r="T129" s="75"/>
      <c r="U129" s="75"/>
      <c r="V129" s="75"/>
      <c r="W129" s="75"/>
      <c r="X129" s="76"/>
      <c r="Y129" s="76"/>
      <c r="Z129" s="76"/>
      <c r="AA129" s="75"/>
      <c r="AB129" s="75"/>
      <c r="AC129" s="77"/>
      <c r="AD129" s="75"/>
      <c r="AE129" s="58"/>
    </row>
    <row r="130" spans="1:31" ht="12.75">
      <c r="A130" s="69" t="e">
        <f ca="1"/>
        <v>#NAME?</v>
      </c>
      <c r="B130" s="70"/>
      <c r="C130" s="71"/>
      <c r="D130" s="71"/>
      <c r="E130" s="71"/>
      <c r="F130" s="72"/>
      <c r="G130" s="73"/>
      <c r="H130" s="73"/>
      <c r="I130" s="73"/>
      <c r="J130" s="73"/>
      <c r="K130" s="73"/>
      <c r="L130" s="74"/>
      <c r="M130" s="74"/>
      <c r="N130" s="74"/>
      <c r="O130" s="75"/>
      <c r="P130" s="76"/>
      <c r="Q130" s="76"/>
      <c r="R130" s="76"/>
      <c r="S130" s="76"/>
      <c r="T130" s="75"/>
      <c r="U130" s="75"/>
      <c r="V130" s="75"/>
      <c r="W130" s="75"/>
      <c r="X130" s="76"/>
      <c r="Y130" s="76"/>
      <c r="Z130" s="76"/>
      <c r="AA130" s="75"/>
      <c r="AB130" s="75"/>
      <c r="AC130" s="77"/>
      <c r="AD130" s="75"/>
      <c r="AE130" s="58"/>
    </row>
    <row r="131" spans="1:31" ht="12.75">
      <c r="A131" s="69" t="e">
        <f ca="1"/>
        <v>#NAME?</v>
      </c>
      <c r="B131" s="70"/>
      <c r="C131" s="71"/>
      <c r="D131" s="71"/>
      <c r="E131" s="71"/>
      <c r="F131" s="72"/>
      <c r="G131" s="73"/>
      <c r="H131" s="73"/>
      <c r="I131" s="73"/>
      <c r="J131" s="73"/>
      <c r="K131" s="73"/>
      <c r="L131" s="74"/>
      <c r="M131" s="74"/>
      <c r="N131" s="74"/>
      <c r="O131" s="75"/>
      <c r="P131" s="76"/>
      <c r="Q131" s="76"/>
      <c r="R131" s="76"/>
      <c r="S131" s="76"/>
      <c r="T131" s="75"/>
      <c r="U131" s="75"/>
      <c r="V131" s="75"/>
      <c r="W131" s="75"/>
      <c r="X131" s="76"/>
      <c r="Y131" s="76"/>
      <c r="Z131" s="76"/>
      <c r="AA131" s="75"/>
      <c r="AB131" s="75"/>
      <c r="AC131" s="77"/>
      <c r="AD131" s="75"/>
      <c r="AE131" s="58"/>
    </row>
    <row r="132" spans="1:31" ht="12.75">
      <c r="A132" s="69" t="e">
        <f ca="1"/>
        <v>#NAME?</v>
      </c>
      <c r="B132" s="70"/>
      <c r="C132" s="71"/>
      <c r="D132" s="71"/>
      <c r="E132" s="71"/>
      <c r="F132" s="72"/>
      <c r="G132" s="73"/>
      <c r="H132" s="73"/>
      <c r="I132" s="73"/>
      <c r="J132" s="73"/>
      <c r="K132" s="73"/>
      <c r="L132" s="74"/>
      <c r="M132" s="74"/>
      <c r="N132" s="74"/>
      <c r="O132" s="75"/>
      <c r="P132" s="76"/>
      <c r="Q132" s="76"/>
      <c r="R132" s="76"/>
      <c r="S132" s="76"/>
      <c r="T132" s="75"/>
      <c r="U132" s="75"/>
      <c r="V132" s="75"/>
      <c r="W132" s="75"/>
      <c r="X132" s="76"/>
      <c r="Y132" s="76"/>
      <c r="Z132" s="76"/>
      <c r="AA132" s="75"/>
      <c r="AB132" s="75"/>
      <c r="AC132" s="77"/>
      <c r="AD132" s="75"/>
      <c r="AE132" s="58"/>
    </row>
    <row r="133" spans="1:31" ht="12.75">
      <c r="A133" s="69" t="e">
        <f ca="1"/>
        <v>#NAME?</v>
      </c>
      <c r="B133" s="70"/>
      <c r="C133" s="71"/>
      <c r="D133" s="71"/>
      <c r="E133" s="71"/>
      <c r="F133" s="72"/>
      <c r="G133" s="73"/>
      <c r="H133" s="73"/>
      <c r="I133" s="73"/>
      <c r="J133" s="73"/>
      <c r="K133" s="73"/>
      <c r="L133" s="74"/>
      <c r="M133" s="74"/>
      <c r="N133" s="74"/>
      <c r="O133" s="75"/>
      <c r="P133" s="76"/>
      <c r="Q133" s="76"/>
      <c r="R133" s="76"/>
      <c r="S133" s="76"/>
      <c r="T133" s="75"/>
      <c r="U133" s="75"/>
      <c r="V133" s="75"/>
      <c r="W133" s="75"/>
      <c r="X133" s="76"/>
      <c r="Y133" s="76"/>
      <c r="Z133" s="76"/>
      <c r="AA133" s="75"/>
      <c r="AB133" s="75"/>
      <c r="AC133" s="77"/>
      <c r="AD133" s="75"/>
      <c r="AE133" s="58"/>
    </row>
    <row r="134" spans="1:31" ht="12.75">
      <c r="A134" s="69"/>
      <c r="B134" s="70"/>
      <c r="C134" s="71"/>
      <c r="D134" s="71"/>
      <c r="E134" s="71"/>
      <c r="F134" s="72"/>
      <c r="G134" s="73"/>
      <c r="H134" s="73"/>
      <c r="I134" s="73"/>
      <c r="J134" s="73"/>
      <c r="K134" s="73"/>
      <c r="L134" s="74"/>
      <c r="M134" s="74"/>
      <c r="N134" s="74"/>
      <c r="O134" s="75"/>
      <c r="P134" s="76"/>
      <c r="Q134" s="76"/>
      <c r="R134" s="76"/>
      <c r="S134" s="76"/>
      <c r="T134" s="75"/>
      <c r="U134" s="75"/>
      <c r="V134" s="75"/>
      <c r="W134" s="75"/>
      <c r="X134" s="76"/>
      <c r="Y134" s="76"/>
      <c r="Z134" s="76"/>
      <c r="AA134" s="75"/>
      <c r="AB134" s="75"/>
      <c r="AC134" s="77"/>
      <c r="AD134" s="75"/>
      <c r="AE134" s="58"/>
    </row>
    <row r="135" spans="1:31" ht="12.75">
      <c r="A135" s="69"/>
      <c r="B135" s="70"/>
      <c r="C135" s="71"/>
      <c r="D135" s="71"/>
      <c r="E135" s="71"/>
      <c r="F135" s="72"/>
      <c r="G135" s="73"/>
      <c r="H135" s="73"/>
      <c r="I135" s="73"/>
      <c r="J135" s="73"/>
      <c r="K135" s="73"/>
      <c r="L135" s="74"/>
      <c r="M135" s="74"/>
      <c r="N135" s="74"/>
      <c r="O135" s="75"/>
      <c r="P135" s="76"/>
      <c r="Q135" s="76"/>
      <c r="R135" s="76"/>
      <c r="S135" s="76"/>
      <c r="T135" s="75"/>
      <c r="U135" s="75"/>
      <c r="V135" s="75"/>
      <c r="W135" s="75"/>
      <c r="X135" s="76"/>
      <c r="Y135" s="76"/>
      <c r="Z135" s="76"/>
      <c r="AA135" s="75"/>
      <c r="AB135" s="75"/>
      <c r="AC135" s="77"/>
      <c r="AD135" s="75"/>
      <c r="AE135" s="58"/>
    </row>
    <row r="136" spans="1:31" ht="12.75">
      <c r="A136" s="69"/>
      <c r="B136" s="70"/>
      <c r="C136" s="71"/>
      <c r="D136" s="71"/>
      <c r="E136" s="71"/>
      <c r="F136" s="72"/>
      <c r="G136" s="73"/>
      <c r="H136" s="73"/>
      <c r="I136" s="73"/>
      <c r="J136" s="73"/>
      <c r="K136" s="73"/>
      <c r="L136" s="74"/>
      <c r="M136" s="74"/>
      <c r="N136" s="74"/>
      <c r="O136" s="75"/>
      <c r="P136" s="76"/>
      <c r="Q136" s="76"/>
      <c r="R136" s="76"/>
      <c r="S136" s="76"/>
      <c r="T136" s="75"/>
      <c r="U136" s="75"/>
      <c r="V136" s="75"/>
      <c r="W136" s="75"/>
      <c r="X136" s="76"/>
      <c r="Y136" s="76"/>
      <c r="Z136" s="76"/>
      <c r="AA136" s="75"/>
      <c r="AB136" s="75"/>
      <c r="AC136" s="77"/>
      <c r="AD136" s="75"/>
      <c r="AE136" s="58"/>
    </row>
    <row r="137" spans="1:31" ht="12.75">
      <c r="A137" s="69"/>
      <c r="B137" s="70"/>
      <c r="C137" s="71"/>
      <c r="D137" s="71"/>
      <c r="E137" s="71"/>
      <c r="F137" s="72"/>
      <c r="G137" s="73"/>
      <c r="H137" s="73"/>
      <c r="I137" s="73"/>
      <c r="J137" s="73"/>
      <c r="K137" s="73"/>
      <c r="L137" s="74"/>
      <c r="M137" s="74"/>
      <c r="N137" s="74"/>
      <c r="O137" s="75"/>
      <c r="P137" s="76"/>
      <c r="Q137" s="76"/>
      <c r="R137" s="76"/>
      <c r="S137" s="76"/>
      <c r="T137" s="75"/>
      <c r="U137" s="75"/>
      <c r="V137" s="75"/>
      <c r="W137" s="75"/>
      <c r="X137" s="76"/>
      <c r="Y137" s="76"/>
      <c r="Z137" s="76"/>
      <c r="AA137" s="75"/>
      <c r="AB137" s="75"/>
      <c r="AC137" s="77"/>
      <c r="AD137" s="75"/>
      <c r="AE137" s="58"/>
    </row>
    <row r="138" spans="1:31" ht="12.75">
      <c r="A138" s="69"/>
      <c r="B138" s="70"/>
      <c r="C138" s="71"/>
      <c r="D138" s="71"/>
      <c r="E138" s="71"/>
      <c r="F138" s="72"/>
      <c r="G138" s="73"/>
      <c r="H138" s="73"/>
      <c r="I138" s="73"/>
      <c r="J138" s="73"/>
      <c r="K138" s="73"/>
      <c r="L138" s="74"/>
      <c r="M138" s="74"/>
      <c r="N138" s="74"/>
      <c r="O138" s="75"/>
      <c r="P138" s="76"/>
      <c r="Q138" s="76"/>
      <c r="R138" s="76"/>
      <c r="S138" s="76"/>
      <c r="T138" s="75"/>
      <c r="U138" s="75"/>
      <c r="V138" s="75"/>
      <c r="W138" s="75"/>
      <c r="X138" s="76"/>
      <c r="Y138" s="76"/>
      <c r="Z138" s="76"/>
      <c r="AA138" s="75"/>
      <c r="AB138" s="75"/>
      <c r="AC138" s="77"/>
      <c r="AD138" s="75"/>
      <c r="AE138" s="58"/>
    </row>
    <row r="139" spans="1:31" ht="12.75">
      <c r="A139" s="69"/>
      <c r="B139" s="70"/>
      <c r="C139" s="71"/>
      <c r="D139" s="71"/>
      <c r="E139" s="71"/>
      <c r="F139" s="72"/>
      <c r="G139" s="73"/>
      <c r="H139" s="73"/>
      <c r="I139" s="73"/>
      <c r="J139" s="73"/>
      <c r="K139" s="73"/>
      <c r="L139" s="74"/>
      <c r="M139" s="74"/>
      <c r="N139" s="74"/>
      <c r="O139" s="75"/>
      <c r="P139" s="76"/>
      <c r="Q139" s="76"/>
      <c r="R139" s="76"/>
      <c r="S139" s="76"/>
      <c r="T139" s="75"/>
      <c r="U139" s="75"/>
      <c r="V139" s="75"/>
      <c r="W139" s="75"/>
      <c r="X139" s="76"/>
      <c r="Y139" s="76"/>
      <c r="Z139" s="76"/>
      <c r="AA139" s="75"/>
      <c r="AB139" s="75"/>
      <c r="AC139" s="77"/>
      <c r="AD139" s="75"/>
      <c r="AE139" s="58"/>
    </row>
    <row r="140" spans="1:31" ht="12.75">
      <c r="A140" s="69"/>
      <c r="B140" s="70"/>
      <c r="C140" s="71"/>
      <c r="D140" s="71"/>
      <c r="E140" s="71"/>
      <c r="F140" s="72"/>
      <c r="G140" s="73"/>
      <c r="H140" s="73"/>
      <c r="I140" s="73"/>
      <c r="J140" s="73"/>
      <c r="K140" s="73"/>
      <c r="L140" s="74"/>
      <c r="M140" s="74"/>
      <c r="N140" s="74"/>
      <c r="O140" s="75"/>
      <c r="P140" s="76"/>
      <c r="Q140" s="76"/>
      <c r="R140" s="76"/>
      <c r="S140" s="76"/>
      <c r="T140" s="75"/>
      <c r="U140" s="75"/>
      <c r="V140" s="75"/>
      <c r="W140" s="75"/>
      <c r="X140" s="76"/>
      <c r="Y140" s="76"/>
      <c r="Z140" s="76"/>
      <c r="AA140" s="75"/>
      <c r="AB140" s="75"/>
      <c r="AC140" s="77"/>
      <c r="AD140" s="75"/>
      <c r="AE140" s="58"/>
    </row>
    <row r="141" spans="1:31" ht="12.75">
      <c r="A141" s="69"/>
      <c r="B141" s="70"/>
      <c r="C141" s="71"/>
      <c r="D141" s="71"/>
      <c r="E141" s="71"/>
      <c r="F141" s="72"/>
      <c r="G141" s="73"/>
      <c r="H141" s="73"/>
      <c r="I141" s="73"/>
      <c r="J141" s="73"/>
      <c r="K141" s="73"/>
      <c r="L141" s="74"/>
      <c r="M141" s="74"/>
      <c r="N141" s="75"/>
      <c r="O141" s="75"/>
      <c r="P141" s="76"/>
      <c r="Q141" s="76"/>
      <c r="R141" s="76"/>
      <c r="S141" s="76"/>
      <c r="T141" s="75"/>
      <c r="U141" s="75"/>
      <c r="V141" s="75"/>
      <c r="W141" s="75"/>
      <c r="X141" s="76"/>
      <c r="Y141" s="76"/>
      <c r="Z141" s="76"/>
      <c r="AA141" s="75"/>
      <c r="AB141" s="75"/>
      <c r="AC141" s="77"/>
      <c r="AD141" s="75"/>
      <c r="AE141" s="58"/>
    </row>
    <row r="142" spans="1:31" ht="12.75">
      <c r="A142" s="69"/>
      <c r="B142" s="70"/>
      <c r="C142" s="71"/>
      <c r="D142" s="71"/>
      <c r="E142" s="71"/>
      <c r="F142" s="72"/>
      <c r="G142" s="73"/>
      <c r="H142" s="73"/>
      <c r="I142" s="73"/>
      <c r="J142" s="73"/>
      <c r="K142" s="73"/>
      <c r="L142" s="74"/>
      <c r="M142" s="74"/>
      <c r="N142" s="75"/>
      <c r="O142" s="75"/>
      <c r="P142" s="76"/>
      <c r="Q142" s="76"/>
      <c r="R142" s="76"/>
      <c r="S142" s="76"/>
      <c r="T142" s="75"/>
      <c r="U142" s="75"/>
      <c r="V142" s="75"/>
      <c r="W142" s="75"/>
      <c r="X142" s="76"/>
      <c r="Y142" s="76"/>
      <c r="Z142" s="76"/>
      <c r="AA142" s="75"/>
      <c r="AB142" s="75"/>
      <c r="AC142" s="77"/>
      <c r="AD142" s="75"/>
      <c r="AE142" s="58"/>
    </row>
    <row r="143" spans="1:31" ht="12.75">
      <c r="A143" s="23"/>
      <c r="B143" s="23"/>
      <c r="C143" s="23"/>
      <c r="D143" s="23"/>
      <c r="E143" s="23"/>
      <c r="F143" s="23"/>
      <c r="G143" s="23"/>
      <c r="H143" s="13"/>
      <c r="I143" s="13"/>
      <c r="J143" s="13"/>
      <c r="K143" s="13"/>
      <c r="L143" s="13"/>
      <c r="M143" s="13"/>
      <c r="N143" s="23"/>
      <c r="O143" s="23"/>
      <c r="P143" s="23"/>
      <c r="Q143" s="23"/>
      <c r="R143" s="23"/>
      <c r="S143" s="23"/>
      <c r="T143" s="23"/>
      <c r="U143" s="23"/>
      <c r="V143" s="23"/>
      <c r="W143" s="23"/>
      <c r="X143" s="23"/>
      <c r="Y143" s="23"/>
      <c r="Z143" s="23"/>
      <c r="AA143" s="23"/>
      <c r="AB143" s="23"/>
      <c r="AC143" s="37"/>
      <c r="AD143" s="23"/>
      <c r="AE143" s="58"/>
    </row>
    <row r="144" spans="1:31" ht="12.7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37"/>
      <c r="AD144" s="23"/>
      <c r="AE144" s="23"/>
    </row>
    <row r="145" spans="1:31" ht="12.7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37"/>
      <c r="AD145" s="23"/>
      <c r="AE145" s="23"/>
    </row>
    <row r="146" spans="1:31" ht="12.7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37"/>
      <c r="AD146" s="23"/>
      <c r="AE146" s="23"/>
    </row>
    <row r="147" spans="1:31" ht="12.7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37"/>
      <c r="AD147" s="23"/>
      <c r="AE147" s="23"/>
    </row>
    <row r="148" spans="1:31" ht="12.7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37"/>
      <c r="AD148" s="23"/>
      <c r="AE148" s="23"/>
    </row>
    <row r="149" spans="1:31" ht="12.7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37"/>
      <c r="AD149" s="23"/>
      <c r="AE149" s="23"/>
    </row>
    <row r="150" spans="1:31" ht="12.7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37"/>
      <c r="AD150" s="23"/>
      <c r="AE150" s="23"/>
    </row>
    <row r="151" spans="1:31" ht="12.7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37"/>
      <c r="AD151" s="23"/>
      <c r="AE151" s="23"/>
    </row>
    <row r="152" spans="1:31" ht="12.7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37"/>
      <c r="AD152" s="23"/>
      <c r="AE152" s="23"/>
    </row>
    <row r="153" spans="1:31" ht="12.7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37"/>
      <c r="AD153" s="23"/>
      <c r="AE153" s="23"/>
    </row>
    <row r="154" spans="1:31" ht="12.7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37"/>
      <c r="AD154" s="23"/>
      <c r="AE154" s="23"/>
    </row>
    <row r="155" spans="1:31" ht="12.7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37"/>
      <c r="AD155" s="23"/>
      <c r="AE155" s="23"/>
    </row>
    <row r="156" spans="1:31" ht="12.7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37"/>
      <c r="AD156" s="23"/>
      <c r="AE156" s="23"/>
    </row>
    <row r="157" spans="1:31" ht="12.7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37"/>
      <c r="AD157" s="23"/>
      <c r="AE157" s="23"/>
    </row>
    <row r="158" spans="1:31" ht="12.7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37"/>
      <c r="AD158" s="23"/>
      <c r="AE158" s="23"/>
    </row>
    <row r="159" spans="1:31" ht="12.7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37"/>
      <c r="AD159" s="23"/>
      <c r="AE159" s="23"/>
    </row>
    <row r="160" spans="1:31" ht="12.7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37"/>
      <c r="AD160" s="23"/>
      <c r="AE160" s="23"/>
    </row>
    <row r="161" spans="1:31" ht="12.7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37"/>
      <c r="AD161" s="23"/>
      <c r="AE161" s="23"/>
    </row>
    <row r="162" spans="1:31" ht="12.7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37"/>
      <c r="AD162" s="23"/>
      <c r="AE162" s="23"/>
    </row>
    <row r="163" spans="1:31" ht="12.7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37"/>
      <c r="AD163" s="23"/>
      <c r="AE163" s="23"/>
    </row>
    <row r="164" spans="1:31" ht="12.7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37"/>
      <c r="AD164" s="23"/>
      <c r="AE164" s="23"/>
    </row>
    <row r="165" spans="1:31" ht="12.7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37"/>
      <c r="AD165" s="23"/>
      <c r="AE165" s="23"/>
    </row>
    <row r="166" spans="1:31" ht="12.7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37"/>
      <c r="AD166" s="23"/>
      <c r="AE166" s="23"/>
    </row>
    <row r="167" spans="1:31" ht="12.7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37"/>
      <c r="AD167" s="23"/>
      <c r="AE167" s="23"/>
    </row>
    <row r="168" spans="1:31" ht="12.7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37"/>
      <c r="AD168" s="23"/>
      <c r="AE168" s="23"/>
    </row>
    <row r="169" spans="1:31" ht="12.7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37"/>
      <c r="AD169" s="23"/>
      <c r="AE169" s="23"/>
    </row>
    <row r="170" spans="1:31" ht="12.7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37"/>
      <c r="AD170" s="23"/>
      <c r="AE170" s="23"/>
    </row>
    <row r="171" spans="1:31" ht="12.7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37"/>
      <c r="AD171" s="23"/>
      <c r="AE171" s="23"/>
    </row>
    <row r="172" spans="1:31" ht="12.7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37"/>
      <c r="AD172" s="23"/>
      <c r="AE172" s="23"/>
    </row>
    <row r="173" spans="1:31" ht="12.7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37"/>
      <c r="AD173" s="23"/>
      <c r="AE173" s="23"/>
    </row>
    <row r="174" spans="1:31" ht="12.7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37"/>
      <c r="AD174" s="23"/>
      <c r="AE174" s="23"/>
    </row>
    <row r="175" spans="1:31" ht="12.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37"/>
      <c r="AD175" s="23"/>
      <c r="AE175" s="23"/>
    </row>
    <row r="176" spans="1:31" ht="12.7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37"/>
      <c r="AD176" s="23"/>
      <c r="AE176" s="23"/>
    </row>
    <row r="177" spans="1:31" ht="12.7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37"/>
      <c r="AD177" s="23"/>
      <c r="AE177" s="23"/>
    </row>
    <row r="178" spans="1:31" ht="12.7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37"/>
      <c r="AD178" s="23"/>
      <c r="AE178" s="23"/>
    </row>
    <row r="179" spans="1:31" ht="12.7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37"/>
      <c r="AD179" s="23"/>
      <c r="AE179" s="23"/>
    </row>
    <row r="180" spans="1:31" ht="12.7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37"/>
      <c r="AD180" s="23"/>
      <c r="AE180" s="23"/>
    </row>
    <row r="181" spans="1:31" ht="12.7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37"/>
      <c r="AD181" s="23"/>
      <c r="AE181" s="23"/>
    </row>
    <row r="182" spans="1:31" ht="12.7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37"/>
      <c r="AD182" s="23"/>
      <c r="AE182" s="23"/>
    </row>
    <row r="183" spans="1:31" ht="12.7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37"/>
      <c r="AD183" s="23"/>
      <c r="AE183" s="23"/>
    </row>
    <row r="184" spans="1:31" ht="12.7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37"/>
      <c r="AD184" s="23"/>
      <c r="AE184" s="23"/>
    </row>
    <row r="185" spans="1:31" ht="12.7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37"/>
      <c r="AD185" s="23"/>
      <c r="AE185" s="23"/>
    </row>
    <row r="186" spans="1:31" ht="12.7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37"/>
      <c r="AD186" s="23"/>
      <c r="AE186" s="23"/>
    </row>
    <row r="187" spans="1:31" ht="12.7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37"/>
      <c r="AD187" s="23"/>
      <c r="AE187" s="23"/>
    </row>
    <row r="188" spans="1:31" ht="12.7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37"/>
      <c r="AD188" s="23"/>
      <c r="AE188" s="23"/>
    </row>
    <row r="189" spans="1:31" ht="12.7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37"/>
      <c r="AD189" s="23"/>
      <c r="AE189" s="23"/>
    </row>
    <row r="190" spans="1:31" ht="12.7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37"/>
      <c r="AD190" s="23"/>
      <c r="AE190" s="23"/>
    </row>
    <row r="191" spans="1:31" ht="12.7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37"/>
      <c r="AD191" s="23"/>
      <c r="AE191" s="23"/>
    </row>
    <row r="192" spans="1:31" ht="12.7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37"/>
      <c r="AD192" s="23"/>
      <c r="AE192" s="23"/>
    </row>
    <row r="193" spans="1:31" ht="12.7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37"/>
      <c r="AD193" s="23"/>
      <c r="AE193" s="23"/>
    </row>
    <row r="194" spans="1:31" ht="12.7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37"/>
      <c r="AD194" s="23"/>
      <c r="AE194" s="23"/>
    </row>
    <row r="195" spans="1:31" ht="12.7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37"/>
      <c r="AD195" s="23"/>
      <c r="AE195" s="23"/>
    </row>
    <row r="196" spans="1:31" ht="12.7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37"/>
      <c r="AD196" s="23"/>
      <c r="AE196" s="23"/>
    </row>
    <row r="197" spans="1:31" ht="12.7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37"/>
      <c r="AD197" s="23"/>
      <c r="AE197" s="23"/>
    </row>
    <row r="198" spans="1:31" ht="12.7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37"/>
      <c r="AD198" s="23"/>
      <c r="AE198" s="23"/>
    </row>
    <row r="199" spans="1:31" ht="12.7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37"/>
      <c r="AD199" s="23"/>
      <c r="AE199" s="23"/>
    </row>
    <row r="200" spans="1:31" ht="12.7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37"/>
      <c r="AD200" s="23"/>
      <c r="AE200" s="23"/>
    </row>
    <row r="201" spans="1:31" ht="12.7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37"/>
      <c r="AD201" s="23"/>
      <c r="AE201" s="23"/>
    </row>
    <row r="202" spans="1:31" ht="12.7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37"/>
      <c r="AD202" s="23"/>
      <c r="AE202" s="23"/>
    </row>
    <row r="203" spans="1:31" ht="12.7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37"/>
      <c r="AD203" s="23"/>
      <c r="AE203" s="23"/>
    </row>
    <row r="204" spans="1:31" ht="12.7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37"/>
      <c r="AD204" s="23"/>
      <c r="AE204" s="23"/>
    </row>
    <row r="205" spans="1:31" ht="12.7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37"/>
      <c r="AD205" s="23"/>
      <c r="AE205" s="23"/>
    </row>
    <row r="206" spans="1:31" ht="12.7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37"/>
      <c r="AD206" s="23"/>
      <c r="AE206" s="23"/>
    </row>
    <row r="207" spans="1:31" ht="12.7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37"/>
      <c r="AD207" s="23"/>
      <c r="AE207" s="23"/>
    </row>
    <row r="208" spans="1:31" ht="12.7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37"/>
      <c r="AD208" s="23"/>
      <c r="AE208" s="23"/>
    </row>
    <row r="209" spans="1:31" ht="12.7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37"/>
      <c r="AD209" s="23"/>
      <c r="AE209" s="23"/>
    </row>
    <row r="210" spans="1:31" ht="12.7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37"/>
      <c r="AD210" s="23"/>
      <c r="AE210" s="23"/>
    </row>
    <row r="211" spans="1:31" ht="12.7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37"/>
      <c r="AD211" s="23"/>
      <c r="AE211" s="23"/>
    </row>
    <row r="212" spans="1:31" ht="12.7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37"/>
      <c r="AD212" s="23"/>
      <c r="AE212" s="23"/>
    </row>
    <row r="213" spans="1:31" ht="12.7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37"/>
      <c r="AD213" s="23"/>
      <c r="AE213" s="23"/>
    </row>
    <row r="214" spans="1:31" ht="12.7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37"/>
      <c r="AD214" s="23"/>
      <c r="AE214" s="23"/>
    </row>
    <row r="215" spans="1:31" ht="12.7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37"/>
      <c r="AD215" s="23"/>
      <c r="AE215" s="23"/>
    </row>
    <row r="216" spans="1:31" ht="12.7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37"/>
      <c r="AD216" s="23"/>
      <c r="AE216" s="23"/>
    </row>
    <row r="217" spans="1:31" ht="12.7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37"/>
      <c r="AD217" s="23"/>
      <c r="AE217" s="23"/>
    </row>
    <row r="218" spans="1:31" ht="12.7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37"/>
      <c r="AD218" s="23"/>
      <c r="AE218" s="23"/>
    </row>
    <row r="219" spans="1:31" ht="12.7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37"/>
      <c r="AD219" s="23"/>
      <c r="AE219" s="23"/>
    </row>
    <row r="220" spans="1:31" ht="12.7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37"/>
      <c r="AD220" s="23"/>
      <c r="AE220" s="23"/>
    </row>
    <row r="221" spans="1:31" ht="12.7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37"/>
      <c r="AD221" s="23"/>
      <c r="AE221" s="23"/>
    </row>
    <row r="222" spans="1:31" ht="12.7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37"/>
      <c r="AD222" s="23"/>
      <c r="AE222" s="23"/>
    </row>
    <row r="223" spans="1:31" ht="12.7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37"/>
      <c r="AD223" s="23"/>
      <c r="AE223" s="23"/>
    </row>
    <row r="224" spans="1:31" ht="12.7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37"/>
      <c r="AD224" s="23"/>
      <c r="AE224" s="23"/>
    </row>
    <row r="225" spans="1:31" ht="12.7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37"/>
      <c r="AD225" s="23"/>
      <c r="AE225" s="23"/>
    </row>
    <row r="226" spans="1:31" ht="12.7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37"/>
      <c r="AD226" s="23"/>
      <c r="AE226" s="23"/>
    </row>
    <row r="227" spans="1:31" ht="12.7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37"/>
      <c r="AD227" s="23"/>
      <c r="AE227" s="23"/>
    </row>
    <row r="228" spans="1:31" ht="12.7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37"/>
      <c r="AD228" s="23"/>
      <c r="AE228" s="23"/>
    </row>
    <row r="229" spans="1:31" ht="12.7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37"/>
      <c r="AD229" s="23"/>
      <c r="AE229" s="23"/>
    </row>
    <row r="230" spans="1:31" ht="12.7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37"/>
      <c r="AD230" s="23"/>
      <c r="AE230" s="23"/>
    </row>
    <row r="231" spans="1:31" ht="12.7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37"/>
      <c r="AD231" s="23"/>
      <c r="AE231" s="23"/>
    </row>
    <row r="232" spans="1:31" ht="12.7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37"/>
      <c r="AD232" s="23"/>
      <c r="AE232" s="23"/>
    </row>
    <row r="233" spans="1:31" ht="12.7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37"/>
      <c r="AD233" s="23"/>
      <c r="AE233" s="23"/>
    </row>
    <row r="234" spans="1:31" ht="12.7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37"/>
      <c r="AD234" s="23"/>
      <c r="AE234" s="23"/>
    </row>
    <row r="235" spans="1:31" ht="12.7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37"/>
      <c r="AD235" s="23"/>
      <c r="AE235" s="23"/>
    </row>
    <row r="236" spans="1:31" ht="12.7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37"/>
      <c r="AD236" s="23"/>
      <c r="AE236" s="23"/>
    </row>
    <row r="237" spans="1:31" ht="12.7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37"/>
      <c r="AD237" s="23"/>
      <c r="AE237" s="23"/>
    </row>
    <row r="238" spans="1:31" ht="12.7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37"/>
      <c r="AD238" s="23"/>
      <c r="AE238" s="23"/>
    </row>
    <row r="239" spans="1:31" ht="12.7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37"/>
      <c r="AD239" s="23"/>
      <c r="AE239" s="23"/>
    </row>
    <row r="240" spans="1:31" ht="12.7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37"/>
      <c r="AD240" s="23"/>
      <c r="AE240" s="23"/>
    </row>
    <row r="241" spans="1:31" ht="12.7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37"/>
      <c r="AD241" s="23"/>
      <c r="AE241" s="23"/>
    </row>
    <row r="242" spans="1:31" ht="12.7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37"/>
      <c r="AD242" s="23"/>
      <c r="AE242" s="23"/>
    </row>
    <row r="243" spans="1:31" ht="12.7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37"/>
      <c r="AD243" s="23"/>
      <c r="AE243" s="23"/>
    </row>
    <row r="244" spans="1:31" ht="12.7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37"/>
      <c r="AD244" s="23"/>
      <c r="AE244" s="23"/>
    </row>
    <row r="245" spans="1:31" ht="12.7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37"/>
      <c r="AD245" s="23"/>
      <c r="AE245" s="23"/>
    </row>
    <row r="246" spans="1:31" ht="12.7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37"/>
      <c r="AD246" s="23"/>
      <c r="AE246" s="23"/>
    </row>
    <row r="247" spans="1:31" ht="12.7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37"/>
      <c r="AD247" s="23"/>
      <c r="AE247" s="23"/>
    </row>
    <row r="248" spans="1:31" ht="12.7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37"/>
      <c r="AD248" s="23"/>
      <c r="AE248" s="23"/>
    </row>
    <row r="249" spans="1:31" ht="12.7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37"/>
      <c r="AD249" s="23"/>
      <c r="AE249" s="23"/>
    </row>
    <row r="250" spans="1:31" ht="12.7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37"/>
      <c r="AD250" s="23"/>
      <c r="AE250" s="23"/>
    </row>
    <row r="251" spans="1:31" ht="12.7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37"/>
      <c r="AD251" s="23"/>
      <c r="AE251" s="23"/>
    </row>
    <row r="252" spans="1:31" ht="12.7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37"/>
      <c r="AD252" s="23"/>
      <c r="AE252" s="23"/>
    </row>
    <row r="253" spans="1:31" ht="12.7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37"/>
      <c r="AD253" s="23"/>
      <c r="AE253" s="23"/>
    </row>
    <row r="254" spans="1:31" ht="12.7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37"/>
      <c r="AD254" s="23"/>
      <c r="AE254" s="23"/>
    </row>
    <row r="255" spans="1:31" ht="12.7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37"/>
      <c r="AD255" s="23"/>
      <c r="AE255" s="23"/>
    </row>
    <row r="256" spans="1:31" ht="12.7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37"/>
      <c r="AD256" s="23"/>
      <c r="AE256" s="23"/>
    </row>
    <row r="257" spans="1:31" ht="12.7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37"/>
      <c r="AD257" s="23"/>
      <c r="AE257" s="23"/>
    </row>
    <row r="258" spans="1:31" ht="12.7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37"/>
      <c r="AD258" s="23"/>
      <c r="AE258" s="23"/>
    </row>
    <row r="259" spans="1:31" ht="12.7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37"/>
      <c r="AD259" s="23"/>
      <c r="AE259" s="23"/>
    </row>
    <row r="260" spans="1:31" ht="12.7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37"/>
      <c r="AD260" s="23"/>
      <c r="AE260" s="23"/>
    </row>
    <row r="261" spans="1:31" ht="12.7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37"/>
      <c r="AD261" s="23"/>
      <c r="AE261" s="23"/>
    </row>
    <row r="262" spans="1:31" ht="12.7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37"/>
      <c r="AD262" s="23"/>
      <c r="AE262" s="23"/>
    </row>
    <row r="263" spans="1:31" ht="12.7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37"/>
      <c r="AD263" s="23"/>
      <c r="AE263" s="23"/>
    </row>
    <row r="264" spans="1:31" ht="12.7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37"/>
      <c r="AD264" s="23"/>
      <c r="AE264" s="23"/>
    </row>
    <row r="265" spans="1:31" ht="12.7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37"/>
      <c r="AD265" s="23"/>
      <c r="AE265" s="23"/>
    </row>
    <row r="266" spans="1:31" ht="12.7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37"/>
      <c r="AD266" s="23"/>
      <c r="AE266" s="23"/>
    </row>
    <row r="267" spans="1:31" ht="12.7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37"/>
      <c r="AD267" s="23"/>
      <c r="AE267" s="23"/>
    </row>
    <row r="268" spans="1:31" ht="12.7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37"/>
      <c r="AD268" s="23"/>
      <c r="AE268" s="23"/>
    </row>
    <row r="269" spans="1:31" ht="12.7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37"/>
      <c r="AD269" s="23"/>
      <c r="AE269" s="23"/>
    </row>
    <row r="270" spans="1:31" ht="12.7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37"/>
      <c r="AD270" s="23"/>
      <c r="AE270" s="23"/>
    </row>
    <row r="271" spans="1:31" ht="12.7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37"/>
      <c r="AD271" s="23"/>
      <c r="AE271" s="23"/>
    </row>
    <row r="272" spans="1:31" ht="12.7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37"/>
      <c r="AD272" s="23"/>
      <c r="AE272" s="23"/>
    </row>
    <row r="273" spans="1:31" ht="12.7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37"/>
      <c r="AD273" s="23"/>
      <c r="AE273" s="23"/>
    </row>
    <row r="274" spans="1:31" ht="12.7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37"/>
      <c r="AD274" s="23"/>
      <c r="AE274" s="23"/>
    </row>
    <row r="275" spans="1:31" ht="1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37"/>
      <c r="AD275" s="23"/>
      <c r="AE275" s="23"/>
    </row>
    <row r="276" spans="1:31" ht="12.7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37"/>
      <c r="AD276" s="23"/>
      <c r="AE276" s="23"/>
    </row>
    <row r="277" spans="1:31" ht="12.7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37"/>
      <c r="AD277" s="23"/>
      <c r="AE277" s="23"/>
    </row>
    <row r="278" spans="1:31" ht="12.7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37"/>
      <c r="AD278" s="23"/>
      <c r="AE278" s="23"/>
    </row>
    <row r="279" spans="1:31" ht="12.7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37"/>
      <c r="AD279" s="23"/>
      <c r="AE279" s="23"/>
    </row>
    <row r="280" spans="1:31" ht="12.7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37"/>
      <c r="AD280" s="23"/>
      <c r="AE280" s="23"/>
    </row>
    <row r="281" spans="1:31" ht="12.7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37"/>
      <c r="AD281" s="23"/>
      <c r="AE281" s="23"/>
    </row>
    <row r="282" spans="1:31" ht="12.7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37"/>
      <c r="AD282" s="23"/>
      <c r="AE282" s="23"/>
    </row>
    <row r="283" spans="1:31" ht="12.7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37"/>
      <c r="AD283" s="23"/>
      <c r="AE283" s="23"/>
    </row>
    <row r="284" spans="1:31" ht="12.7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37"/>
      <c r="AD284" s="23"/>
      <c r="AE284" s="23"/>
    </row>
    <row r="285" spans="1:31" ht="12.7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37"/>
      <c r="AD285" s="23"/>
      <c r="AE285" s="23"/>
    </row>
    <row r="286" spans="1:31" ht="12.7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37"/>
      <c r="AD286" s="23"/>
      <c r="AE286" s="23"/>
    </row>
    <row r="287" spans="1:31" ht="12.7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37"/>
      <c r="AD287" s="23"/>
      <c r="AE287" s="23"/>
    </row>
    <row r="288" spans="1:31" ht="12.7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37"/>
      <c r="AD288" s="23"/>
      <c r="AE288" s="23"/>
    </row>
    <row r="289" spans="1:31" ht="12.7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37"/>
      <c r="AD289" s="23"/>
      <c r="AE289" s="23"/>
    </row>
    <row r="290" spans="1:31" ht="12.7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37"/>
      <c r="AD290" s="23"/>
      <c r="AE290" s="23"/>
    </row>
    <row r="291" spans="1:31" ht="12.7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37"/>
      <c r="AD291" s="23"/>
      <c r="AE291" s="23"/>
    </row>
    <row r="292" spans="1:31" ht="12.7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37"/>
      <c r="AD292" s="23"/>
      <c r="AE292" s="23"/>
    </row>
    <row r="293" spans="1:31" ht="12.7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37"/>
      <c r="AD293" s="23"/>
      <c r="AE293" s="23"/>
    </row>
    <row r="294" spans="1:31" ht="12.7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37"/>
      <c r="AD294" s="23"/>
      <c r="AE294" s="23"/>
    </row>
    <row r="295" spans="1:31" ht="12.7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37"/>
      <c r="AD295" s="23"/>
      <c r="AE295" s="23"/>
    </row>
    <row r="296" spans="1:31" ht="12.7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37"/>
      <c r="AD296" s="23"/>
      <c r="AE296" s="23"/>
    </row>
    <row r="297" spans="1:31" ht="12.7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37"/>
      <c r="AD297" s="23"/>
      <c r="AE297" s="23"/>
    </row>
    <row r="298" spans="1:31" ht="12.7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37"/>
      <c r="AD298" s="23"/>
      <c r="AE298" s="23"/>
    </row>
    <row r="299" spans="1:31" ht="12.7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37"/>
      <c r="AD299" s="23"/>
      <c r="AE299" s="23"/>
    </row>
    <row r="300" spans="1:31" ht="12.7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37"/>
      <c r="AD300" s="23"/>
      <c r="AE300" s="23"/>
    </row>
    <row r="301" spans="1:31" ht="12.7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37"/>
      <c r="AD301" s="23"/>
      <c r="AE301" s="23"/>
    </row>
    <row r="302" spans="1:31" ht="12.7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37"/>
      <c r="AD302" s="23"/>
      <c r="AE302" s="23"/>
    </row>
    <row r="303" spans="1:31" ht="12.7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37"/>
      <c r="AD303" s="23"/>
      <c r="AE303" s="23"/>
    </row>
    <row r="304" spans="1:31" ht="12.7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37"/>
      <c r="AD304" s="23"/>
      <c r="AE304" s="23"/>
    </row>
    <row r="305" spans="1:31" ht="12.7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37"/>
      <c r="AD305" s="23"/>
      <c r="AE305" s="23"/>
    </row>
    <row r="306" spans="1:31" ht="12.7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37"/>
      <c r="AD306" s="23"/>
      <c r="AE306" s="23"/>
    </row>
    <row r="307" spans="1:31" ht="12.7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37"/>
      <c r="AD307" s="23"/>
      <c r="AE307" s="23"/>
    </row>
    <row r="308" spans="1:31" ht="12.7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37"/>
      <c r="AD308" s="23"/>
      <c r="AE308" s="23"/>
    </row>
    <row r="309" spans="1:31" ht="12.7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37"/>
      <c r="AD309" s="23"/>
      <c r="AE309" s="23"/>
    </row>
    <row r="310" spans="1:31" ht="12.7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37"/>
      <c r="AD310" s="23"/>
      <c r="AE310" s="23"/>
    </row>
    <row r="311" spans="1:31" ht="12.7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37"/>
      <c r="AD311" s="23"/>
      <c r="AE311" s="23"/>
    </row>
    <row r="312" spans="1:31" ht="12.7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37"/>
      <c r="AD312" s="23"/>
      <c r="AE312" s="23"/>
    </row>
    <row r="313" spans="1:31" ht="12.7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37"/>
      <c r="AD313" s="23"/>
      <c r="AE313" s="23"/>
    </row>
    <row r="314" spans="1:31" ht="12.7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37"/>
      <c r="AD314" s="23"/>
      <c r="AE314" s="23"/>
    </row>
    <row r="315" spans="1:31" ht="12.7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37"/>
      <c r="AD315" s="23"/>
      <c r="AE315" s="23"/>
    </row>
    <row r="316" spans="1:31" ht="12.7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37"/>
      <c r="AD316" s="23"/>
      <c r="AE316" s="23"/>
    </row>
    <row r="317" spans="1:31" ht="12.7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37"/>
      <c r="AD317" s="23"/>
      <c r="AE317" s="23"/>
    </row>
    <row r="318" spans="1:31" ht="12.7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37"/>
      <c r="AD318" s="23"/>
      <c r="AE318" s="23"/>
    </row>
    <row r="319" spans="1:31" ht="12.7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37"/>
      <c r="AD319" s="23"/>
      <c r="AE319" s="23"/>
    </row>
    <row r="320" spans="1:31" ht="12.7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37"/>
      <c r="AD320" s="23"/>
      <c r="AE320" s="23"/>
    </row>
    <row r="321" spans="1:31" ht="12.7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37"/>
      <c r="AD321" s="23"/>
      <c r="AE321" s="23"/>
    </row>
    <row r="322" spans="1:31" ht="12.7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37"/>
      <c r="AD322" s="23"/>
      <c r="AE322" s="23"/>
    </row>
    <row r="323" spans="1:31" ht="12.7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37"/>
      <c r="AD323" s="23"/>
      <c r="AE323" s="23"/>
    </row>
    <row r="324" spans="1:31" ht="12.7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37"/>
      <c r="AD324" s="23"/>
      <c r="AE324" s="23"/>
    </row>
    <row r="325" spans="1:31" ht="12.7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37"/>
      <c r="AD325" s="23"/>
      <c r="AE325" s="23"/>
    </row>
    <row r="326" spans="1:31" ht="12.7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37"/>
      <c r="AD326" s="23"/>
      <c r="AE326" s="23"/>
    </row>
    <row r="327" spans="1:31" ht="12.7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37"/>
      <c r="AD327" s="23"/>
      <c r="AE327" s="23"/>
    </row>
    <row r="328" spans="1:31" ht="12.7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37"/>
      <c r="AD328" s="23"/>
      <c r="AE328" s="23"/>
    </row>
    <row r="329" spans="1:31" ht="12.7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37"/>
      <c r="AD329" s="23"/>
      <c r="AE329" s="23"/>
    </row>
    <row r="330" spans="1:31" ht="12.7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37"/>
      <c r="AD330" s="23"/>
      <c r="AE330" s="23"/>
    </row>
    <row r="331" spans="1:31" ht="12.7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37"/>
      <c r="AD331" s="23"/>
      <c r="AE331" s="23"/>
    </row>
    <row r="332" spans="1:31" ht="12.7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37"/>
      <c r="AD332" s="23"/>
      <c r="AE332" s="23"/>
    </row>
    <row r="333" spans="1:31" ht="12.7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37"/>
      <c r="AD333" s="23"/>
      <c r="AE333" s="23"/>
    </row>
    <row r="334" spans="1:31" ht="12.7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37"/>
      <c r="AD334" s="23"/>
      <c r="AE334" s="23"/>
    </row>
    <row r="335" spans="1:31" ht="12.7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37"/>
      <c r="AD335" s="23"/>
      <c r="AE335" s="23"/>
    </row>
    <row r="336" spans="1:31" ht="12.7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37"/>
      <c r="AD336" s="23"/>
      <c r="AE336" s="23"/>
    </row>
    <row r="337" spans="1:31" ht="12.7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37"/>
      <c r="AD337" s="23"/>
      <c r="AE337" s="23"/>
    </row>
    <row r="338" spans="1:31" ht="12.7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37"/>
      <c r="AD338" s="23"/>
      <c r="AE338" s="23"/>
    </row>
    <row r="339" spans="1:31" ht="12.7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37"/>
      <c r="AD339" s="23"/>
      <c r="AE339" s="23"/>
    </row>
    <row r="340" spans="1:31" ht="12.7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37"/>
      <c r="AD340" s="23"/>
      <c r="AE340" s="23"/>
    </row>
    <row r="341" spans="1:31" ht="12.7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37"/>
      <c r="AD341" s="23"/>
      <c r="AE341" s="23"/>
    </row>
    <row r="342" spans="1:31" ht="12.7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37"/>
      <c r="AD342" s="23"/>
      <c r="AE342" s="23"/>
    </row>
    <row r="343" spans="1:31" ht="12.7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37"/>
      <c r="AD343" s="23"/>
      <c r="AE343" s="23"/>
    </row>
    <row r="344" spans="1:31" ht="12.7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37"/>
      <c r="AD344" s="23"/>
      <c r="AE344" s="23"/>
    </row>
    <row r="345" spans="1:31" ht="12.7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37"/>
      <c r="AD345" s="23"/>
      <c r="AE345" s="23"/>
    </row>
    <row r="346" spans="1:31" ht="12.7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37"/>
      <c r="AD346" s="23"/>
      <c r="AE346" s="23"/>
    </row>
    <row r="347" spans="1:31" ht="12.7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37"/>
      <c r="AD347" s="23"/>
      <c r="AE347" s="23"/>
    </row>
    <row r="348" spans="1:31" ht="12.7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37"/>
      <c r="AD348" s="23"/>
      <c r="AE348" s="23"/>
    </row>
    <row r="349" spans="1:31" ht="12.7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37"/>
      <c r="AD349" s="23"/>
      <c r="AE349" s="23"/>
    </row>
    <row r="350" spans="1:31" ht="12.7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37"/>
      <c r="AD350" s="23"/>
      <c r="AE350" s="23"/>
    </row>
    <row r="351" spans="1:31" ht="12.7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37"/>
      <c r="AD351" s="23"/>
      <c r="AE351" s="23"/>
    </row>
    <row r="352" spans="1:31" ht="12.7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37"/>
      <c r="AD352" s="23"/>
      <c r="AE352" s="23"/>
    </row>
    <row r="353" spans="1:31" ht="12.7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37"/>
      <c r="AD353" s="23"/>
      <c r="AE353" s="23"/>
    </row>
    <row r="354" spans="1:31" ht="12.7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37"/>
      <c r="AD354" s="23"/>
      <c r="AE354" s="23"/>
    </row>
    <row r="355" spans="1:31" ht="12.7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37"/>
      <c r="AD355" s="23"/>
      <c r="AE355" s="23"/>
    </row>
    <row r="356" spans="1:31" ht="12.7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37"/>
      <c r="AD356" s="23"/>
      <c r="AE356" s="23"/>
    </row>
    <row r="357" spans="1:31" ht="12.7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37"/>
      <c r="AD357" s="23"/>
      <c r="AE357" s="23"/>
    </row>
    <row r="358" spans="1:31" ht="12.7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37"/>
      <c r="AD358" s="23"/>
      <c r="AE358" s="23"/>
    </row>
    <row r="359" spans="1:31" ht="12.7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37"/>
      <c r="AD359" s="23"/>
      <c r="AE359" s="23"/>
    </row>
    <row r="360" spans="1:31" ht="12.7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37"/>
      <c r="AD360" s="23"/>
      <c r="AE360" s="23"/>
    </row>
    <row r="361" spans="1:31" ht="12.7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37"/>
      <c r="AD361" s="23"/>
      <c r="AE361" s="23"/>
    </row>
    <row r="362" spans="1:31" ht="12.7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37"/>
      <c r="AD362" s="23"/>
      <c r="AE362" s="23"/>
    </row>
    <row r="363" spans="1:31" ht="12.7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37"/>
      <c r="AD363" s="23"/>
      <c r="AE363" s="23"/>
    </row>
    <row r="364" spans="1:31" ht="12.7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37"/>
      <c r="AD364" s="23"/>
      <c r="AE364" s="23"/>
    </row>
    <row r="365" spans="1:31" ht="12.7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37"/>
      <c r="AD365" s="23"/>
      <c r="AE365" s="23"/>
    </row>
    <row r="366" spans="1:31" ht="12.7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37"/>
      <c r="AD366" s="23"/>
      <c r="AE366" s="23"/>
    </row>
    <row r="367" spans="1:31" ht="12.7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37"/>
      <c r="AD367" s="23"/>
      <c r="AE367" s="23"/>
    </row>
    <row r="368" spans="1:31" ht="12.7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37"/>
      <c r="AD368" s="23"/>
      <c r="AE368" s="23"/>
    </row>
    <row r="369" spans="1:31" ht="12.7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37"/>
      <c r="AD369" s="23"/>
      <c r="AE369" s="23"/>
    </row>
    <row r="370" spans="1:31" ht="12.7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37"/>
      <c r="AD370" s="23"/>
      <c r="AE370" s="23"/>
    </row>
    <row r="371" spans="1:31" ht="12.7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37"/>
      <c r="AD371" s="23"/>
      <c r="AE371" s="23"/>
    </row>
    <row r="372" spans="1:31" ht="12.7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37"/>
      <c r="AD372" s="23"/>
      <c r="AE372" s="23"/>
    </row>
    <row r="373" spans="1:31" ht="12.7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37"/>
      <c r="AD373" s="23"/>
      <c r="AE373" s="23"/>
    </row>
    <row r="374" spans="1:31" ht="12.7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37"/>
      <c r="AD374" s="23"/>
      <c r="AE374" s="23"/>
    </row>
    <row r="375" spans="1:31" ht="12.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37"/>
      <c r="AD375" s="23"/>
      <c r="AE375" s="23"/>
    </row>
    <row r="376" spans="1:31" ht="12.7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37"/>
      <c r="AD376" s="23"/>
      <c r="AE376" s="23"/>
    </row>
    <row r="377" spans="1:31" ht="12.7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37"/>
      <c r="AD377" s="23"/>
      <c r="AE377" s="23"/>
    </row>
    <row r="378" spans="1:31" ht="12.7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37"/>
      <c r="AD378" s="23"/>
      <c r="AE378" s="23"/>
    </row>
    <row r="379" spans="1:31" ht="12.7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37"/>
      <c r="AD379" s="23"/>
      <c r="AE379" s="23"/>
    </row>
    <row r="380" spans="1:31" ht="12.7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37"/>
      <c r="AD380" s="23"/>
      <c r="AE380" s="23"/>
    </row>
    <row r="381" spans="1:31" ht="12.7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37"/>
      <c r="AD381" s="23"/>
      <c r="AE381" s="23"/>
    </row>
    <row r="382" spans="1:31" ht="12.7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37"/>
      <c r="AD382" s="23"/>
      <c r="AE382" s="23"/>
    </row>
    <row r="383" spans="1:31" ht="12.7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37"/>
      <c r="AD383" s="23"/>
      <c r="AE383" s="23"/>
    </row>
    <row r="384" spans="1:31" ht="12.7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37"/>
      <c r="AD384" s="23"/>
      <c r="AE384" s="23"/>
    </row>
    <row r="385" spans="1:31" ht="12.7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37"/>
      <c r="AD385" s="23"/>
      <c r="AE385" s="23"/>
    </row>
    <row r="386" spans="1:31" ht="12.7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37"/>
      <c r="AD386" s="23"/>
      <c r="AE386" s="23"/>
    </row>
    <row r="387" spans="1:31" ht="12.7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37"/>
      <c r="AD387" s="23"/>
      <c r="AE387" s="23"/>
    </row>
    <row r="388" spans="1:31" ht="12.7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37"/>
      <c r="AD388" s="23"/>
      <c r="AE388" s="23"/>
    </row>
    <row r="389" spans="1:31" ht="12.7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37"/>
      <c r="AD389" s="23"/>
      <c r="AE389" s="23"/>
    </row>
    <row r="390" spans="1:31" ht="12.7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37"/>
      <c r="AD390" s="23"/>
      <c r="AE390" s="23"/>
    </row>
    <row r="391" spans="1:31" ht="12.7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37"/>
      <c r="AD391" s="23"/>
      <c r="AE391" s="23"/>
    </row>
    <row r="392" spans="1:31" ht="12.7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37"/>
      <c r="AD392" s="23"/>
      <c r="AE392" s="23"/>
    </row>
    <row r="393" spans="1:31" ht="12.7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37"/>
      <c r="AD393" s="23"/>
      <c r="AE393" s="23"/>
    </row>
    <row r="394" spans="1:31" ht="12.7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37"/>
      <c r="AD394" s="23"/>
      <c r="AE394" s="23"/>
    </row>
    <row r="395" spans="1:31" ht="12.7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37"/>
      <c r="AD395" s="23"/>
      <c r="AE395" s="23"/>
    </row>
    <row r="396" spans="1:31" ht="12.7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37"/>
      <c r="AD396" s="23"/>
      <c r="AE396" s="23"/>
    </row>
    <row r="397" spans="1:31" ht="12.7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37"/>
      <c r="AD397" s="23"/>
      <c r="AE397" s="23"/>
    </row>
    <row r="398" spans="1:31" ht="12.7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37"/>
      <c r="AD398" s="23"/>
      <c r="AE398" s="23"/>
    </row>
    <row r="399" spans="1:31" ht="12.7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37"/>
      <c r="AD399" s="23"/>
      <c r="AE399" s="23"/>
    </row>
    <row r="400" spans="1:31" ht="12.7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37"/>
      <c r="AD400" s="23"/>
      <c r="AE400" s="23"/>
    </row>
    <row r="401" spans="1:31" ht="12.7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37"/>
      <c r="AD401" s="23"/>
      <c r="AE401" s="23"/>
    </row>
    <row r="402" spans="1:31" ht="12.7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37"/>
      <c r="AD402" s="23"/>
      <c r="AE402" s="23"/>
    </row>
    <row r="403" spans="1:31" ht="12.7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37"/>
      <c r="AD403" s="23"/>
      <c r="AE403" s="23"/>
    </row>
    <row r="404" spans="1:31" ht="12.7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37"/>
      <c r="AD404" s="23"/>
      <c r="AE404" s="23"/>
    </row>
    <row r="405" spans="1:31" ht="12.7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37"/>
      <c r="AD405" s="23"/>
      <c r="AE405" s="23"/>
    </row>
    <row r="406" spans="1:31" ht="12.7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37"/>
      <c r="AD406" s="23"/>
      <c r="AE406" s="23"/>
    </row>
    <row r="407" spans="1:31" ht="12.7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37"/>
      <c r="AD407" s="23"/>
      <c r="AE407" s="23"/>
    </row>
    <row r="408" spans="1:31" ht="12.7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37"/>
      <c r="AD408" s="23"/>
      <c r="AE408" s="23"/>
    </row>
    <row r="409" spans="1:31" ht="12.7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37"/>
      <c r="AD409" s="23"/>
      <c r="AE409" s="23"/>
    </row>
    <row r="410" spans="1:31" ht="12.7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37"/>
      <c r="AD410" s="23"/>
      <c r="AE410" s="23"/>
    </row>
    <row r="411" spans="1:31" ht="12.7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37"/>
      <c r="AD411" s="23"/>
      <c r="AE411" s="23"/>
    </row>
    <row r="412" spans="1:31" ht="12.7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37"/>
      <c r="AD412" s="23"/>
      <c r="AE412" s="23"/>
    </row>
    <row r="413" spans="1:31" ht="12.7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37"/>
      <c r="AD413" s="23"/>
      <c r="AE413" s="23"/>
    </row>
    <row r="414" spans="1:31" ht="12.7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37"/>
      <c r="AD414" s="23"/>
      <c r="AE414" s="23"/>
    </row>
    <row r="415" spans="1:31" ht="12.7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37"/>
      <c r="AD415" s="23"/>
      <c r="AE415" s="23"/>
    </row>
    <row r="416" spans="1:31" ht="12.7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37"/>
      <c r="AD416" s="23"/>
      <c r="AE416" s="23"/>
    </row>
    <row r="417" spans="1:31" ht="12.7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37"/>
      <c r="AD417" s="23"/>
      <c r="AE417" s="23"/>
    </row>
    <row r="418" spans="1:31" ht="12.7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37"/>
      <c r="AD418" s="23"/>
      <c r="AE418" s="23"/>
    </row>
    <row r="419" spans="1:31" ht="12.7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37"/>
      <c r="AD419" s="23"/>
      <c r="AE419" s="23"/>
    </row>
    <row r="420" spans="1:31" ht="12.7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37"/>
      <c r="AD420" s="23"/>
      <c r="AE420" s="23"/>
    </row>
    <row r="421" spans="1:31" ht="12.7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37"/>
      <c r="AD421" s="23"/>
      <c r="AE421" s="23"/>
    </row>
    <row r="422" spans="1:31" ht="12.7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37"/>
      <c r="AD422" s="23"/>
      <c r="AE422" s="23"/>
    </row>
    <row r="423" spans="1:31" ht="12.7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37"/>
      <c r="AD423" s="23"/>
      <c r="AE423" s="23"/>
    </row>
    <row r="424" spans="1:31" ht="12.7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37"/>
      <c r="AD424" s="23"/>
      <c r="AE424" s="23"/>
    </row>
    <row r="425" spans="1:31" ht="12.7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37"/>
      <c r="AD425" s="23"/>
      <c r="AE425" s="23"/>
    </row>
    <row r="426" spans="1:31" ht="12.7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37"/>
      <c r="AD426" s="23"/>
      <c r="AE426" s="23"/>
    </row>
    <row r="427" spans="1:31" ht="12.7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37"/>
      <c r="AD427" s="23"/>
      <c r="AE427" s="23"/>
    </row>
    <row r="428" spans="1:31" ht="12.7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37"/>
      <c r="AD428" s="23"/>
      <c r="AE428" s="23"/>
    </row>
    <row r="429" spans="1:31" ht="12.7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37"/>
      <c r="AD429" s="23"/>
      <c r="AE429" s="23"/>
    </row>
    <row r="430" spans="1:31" ht="12.7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37"/>
      <c r="AD430" s="23"/>
      <c r="AE430" s="23"/>
    </row>
    <row r="431" spans="1:31" ht="12.7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37"/>
      <c r="AD431" s="23"/>
      <c r="AE431" s="23"/>
    </row>
    <row r="432" spans="1:31" ht="12.7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37"/>
      <c r="AD432" s="23"/>
      <c r="AE432" s="23"/>
    </row>
    <row r="433" spans="1:31" ht="12.7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37"/>
      <c r="AD433" s="23"/>
      <c r="AE433" s="23"/>
    </row>
    <row r="434" spans="1:31" ht="12.7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37"/>
      <c r="AD434" s="23"/>
      <c r="AE434" s="23"/>
    </row>
    <row r="435" spans="1:31" ht="12.7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37"/>
      <c r="AD435" s="23"/>
      <c r="AE435" s="23"/>
    </row>
    <row r="436" spans="1:31" ht="12.7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37"/>
      <c r="AD436" s="23"/>
      <c r="AE436" s="23"/>
    </row>
    <row r="437" spans="1:31" ht="12.7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37"/>
      <c r="AD437" s="23"/>
      <c r="AE437" s="23"/>
    </row>
    <row r="438" spans="1:31" ht="12.7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37"/>
      <c r="AD438" s="23"/>
      <c r="AE438" s="23"/>
    </row>
    <row r="439" spans="1:31" ht="12.7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37"/>
      <c r="AD439" s="23"/>
      <c r="AE439" s="23"/>
    </row>
    <row r="440" spans="1:31" ht="12.7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37"/>
      <c r="AD440" s="23"/>
      <c r="AE440" s="23"/>
    </row>
    <row r="441" spans="1:31" ht="12.7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37"/>
      <c r="AD441" s="23"/>
      <c r="AE441" s="23"/>
    </row>
    <row r="442" spans="1:31" ht="12.7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37"/>
      <c r="AD442" s="23"/>
      <c r="AE442" s="23"/>
    </row>
    <row r="443" spans="1:31" ht="12.7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37"/>
      <c r="AD443" s="23"/>
      <c r="AE443" s="23"/>
    </row>
    <row r="444" spans="1:31" ht="12.7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37"/>
      <c r="AD444" s="23"/>
      <c r="AE444" s="23"/>
    </row>
    <row r="445" spans="1:31" ht="12.7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37"/>
      <c r="AD445" s="23"/>
      <c r="AE445" s="23"/>
    </row>
    <row r="446" spans="1:31" ht="12.7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37"/>
      <c r="AD446" s="23"/>
      <c r="AE446" s="23"/>
    </row>
    <row r="447" spans="1:31" ht="12.7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37"/>
      <c r="AD447" s="23"/>
      <c r="AE447" s="23"/>
    </row>
    <row r="448" spans="1:31" ht="12.7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37"/>
      <c r="AD448" s="23"/>
      <c r="AE448" s="23"/>
    </row>
    <row r="449" spans="1:31" ht="12.7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37"/>
      <c r="AD449" s="23"/>
      <c r="AE449" s="23"/>
    </row>
    <row r="450" spans="1:31" ht="12.7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37"/>
      <c r="AD450" s="23"/>
      <c r="AE450" s="23"/>
    </row>
    <row r="451" spans="1:31" ht="12.7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37"/>
      <c r="AD451" s="23"/>
      <c r="AE451" s="23"/>
    </row>
    <row r="452" spans="1:31" ht="12.7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37"/>
      <c r="AD452" s="23"/>
      <c r="AE452" s="23"/>
    </row>
    <row r="453" spans="1:31" ht="12.7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37"/>
      <c r="AD453" s="23"/>
      <c r="AE453" s="23"/>
    </row>
    <row r="454" spans="1:31" ht="12.7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37"/>
      <c r="AD454" s="23"/>
      <c r="AE454" s="23"/>
    </row>
    <row r="455" spans="1:31" ht="12.7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37"/>
      <c r="AD455" s="23"/>
      <c r="AE455" s="23"/>
    </row>
    <row r="456" spans="1:31" ht="12.7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37"/>
      <c r="AD456" s="23"/>
      <c r="AE456" s="23"/>
    </row>
    <row r="457" spans="1:31" ht="12.7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37"/>
      <c r="AD457" s="23"/>
      <c r="AE457" s="23"/>
    </row>
    <row r="458" spans="1:31" ht="12.7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37"/>
      <c r="AD458" s="23"/>
      <c r="AE458" s="23"/>
    </row>
    <row r="459" spans="1:31" ht="12.7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37"/>
      <c r="AD459" s="23"/>
      <c r="AE459" s="23"/>
    </row>
    <row r="460" spans="1:31" ht="12.7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37"/>
      <c r="AD460" s="23"/>
      <c r="AE460" s="23"/>
    </row>
    <row r="461" spans="1:31" ht="12.7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37"/>
      <c r="AD461" s="23"/>
      <c r="AE461" s="23"/>
    </row>
    <row r="462" spans="1:31" ht="12.7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37"/>
      <c r="AD462" s="23"/>
      <c r="AE462" s="23"/>
    </row>
    <row r="463" spans="1:31" ht="12.7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37"/>
      <c r="AD463" s="23"/>
      <c r="AE463" s="23"/>
    </row>
    <row r="464" spans="1:31" ht="12.7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37"/>
      <c r="AD464" s="23"/>
      <c r="AE464" s="23"/>
    </row>
    <row r="465" spans="1:31" ht="12.7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37"/>
      <c r="AD465" s="23"/>
      <c r="AE465" s="23"/>
    </row>
    <row r="466" spans="1:31" ht="12.7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37"/>
      <c r="AD466" s="23"/>
      <c r="AE466" s="23"/>
    </row>
    <row r="467" spans="1:31" ht="12.7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37"/>
      <c r="AD467" s="23"/>
      <c r="AE467" s="23"/>
    </row>
    <row r="468" spans="1:31" ht="12.7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37"/>
      <c r="AD468" s="23"/>
      <c r="AE468" s="23"/>
    </row>
    <row r="469" spans="1:31" ht="12.7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37"/>
      <c r="AD469" s="23"/>
      <c r="AE469" s="23"/>
    </row>
    <row r="470" spans="1:31" ht="12.7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37"/>
      <c r="AD470" s="23"/>
      <c r="AE470" s="23"/>
    </row>
    <row r="471" spans="1:31" ht="12.7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37"/>
      <c r="AD471" s="23"/>
      <c r="AE471" s="23"/>
    </row>
    <row r="472" spans="1:31" ht="12.7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37"/>
      <c r="AD472" s="23"/>
      <c r="AE472" s="23"/>
    </row>
    <row r="473" spans="1:31" ht="12.7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37"/>
      <c r="AD473" s="23"/>
      <c r="AE473" s="23"/>
    </row>
    <row r="474" spans="1:31" ht="12.7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37"/>
      <c r="AD474" s="23"/>
      <c r="AE474" s="23"/>
    </row>
    <row r="475" spans="1:31" ht="12.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37"/>
      <c r="AD475" s="23"/>
      <c r="AE475" s="23"/>
    </row>
    <row r="476" spans="1:31" ht="12.7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37"/>
      <c r="AD476" s="23"/>
      <c r="AE476" s="23"/>
    </row>
    <row r="477" spans="1:31" ht="12.7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37"/>
      <c r="AD477" s="23"/>
      <c r="AE477" s="23"/>
    </row>
    <row r="478" spans="1:31" ht="12.7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37"/>
      <c r="AD478" s="23"/>
      <c r="AE478" s="23"/>
    </row>
    <row r="479" spans="1:31" ht="12.7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37"/>
      <c r="AD479" s="23"/>
      <c r="AE479" s="23"/>
    </row>
    <row r="480" spans="1:31" ht="12.7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37"/>
      <c r="AD480" s="23"/>
      <c r="AE480" s="23"/>
    </row>
    <row r="481" spans="1:31" ht="12.7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37"/>
      <c r="AD481" s="23"/>
      <c r="AE481" s="23"/>
    </row>
    <row r="482" spans="1:31" ht="12.7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37"/>
      <c r="AD482" s="23"/>
      <c r="AE482" s="23"/>
    </row>
    <row r="483" spans="1:31" ht="12.7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37"/>
      <c r="AD483" s="23"/>
      <c r="AE483" s="23"/>
    </row>
    <row r="484" spans="1:31" ht="12.7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37"/>
      <c r="AD484" s="23"/>
      <c r="AE484" s="23"/>
    </row>
    <row r="485" spans="1:31" ht="12.7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37"/>
      <c r="AD485" s="23"/>
      <c r="AE485" s="23"/>
    </row>
    <row r="486" spans="1:31" ht="12.7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37"/>
      <c r="AD486" s="23"/>
      <c r="AE486" s="23"/>
    </row>
    <row r="487" spans="1:31" ht="12.7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37"/>
      <c r="AD487" s="23"/>
      <c r="AE487" s="23"/>
    </row>
    <row r="488" spans="1:31" ht="12.7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37"/>
      <c r="AD488" s="23"/>
      <c r="AE488" s="23"/>
    </row>
    <row r="489" spans="1:31" ht="12.7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37"/>
      <c r="AD489" s="23"/>
      <c r="AE489" s="23"/>
    </row>
    <row r="490" spans="1:31" ht="12.7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37"/>
      <c r="AD490" s="23"/>
      <c r="AE490" s="23"/>
    </row>
    <row r="491" spans="1:31" ht="12.7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37"/>
      <c r="AD491" s="23"/>
      <c r="AE491" s="23"/>
    </row>
    <row r="492" spans="1:31" ht="12.7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37"/>
      <c r="AD492" s="23"/>
      <c r="AE492" s="23"/>
    </row>
    <row r="493" spans="1:31" ht="12.7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37"/>
      <c r="AD493" s="23"/>
      <c r="AE493" s="23"/>
    </row>
    <row r="494" spans="1:31" ht="12.7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37"/>
      <c r="AD494" s="23"/>
      <c r="AE494" s="23"/>
    </row>
    <row r="495" spans="1:31" ht="12.7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37"/>
      <c r="AD495" s="23"/>
      <c r="AE495" s="23"/>
    </row>
    <row r="496" spans="1:31" ht="12.7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37"/>
      <c r="AD496" s="23"/>
      <c r="AE496" s="23"/>
    </row>
    <row r="497" spans="1:31" ht="12.7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37"/>
      <c r="AD497" s="23"/>
      <c r="AE497" s="23"/>
    </row>
    <row r="498" spans="1:31" ht="12.7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37"/>
      <c r="AD498" s="23"/>
      <c r="AE498" s="23"/>
    </row>
    <row r="499" spans="1:31" ht="12.7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37"/>
      <c r="AD499" s="23"/>
      <c r="AE499" s="23"/>
    </row>
    <row r="500" spans="1:31" ht="12.7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37"/>
      <c r="AD500" s="23"/>
      <c r="AE500" s="23"/>
    </row>
    <row r="501" spans="1:31" ht="12.7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37"/>
      <c r="AD501" s="23"/>
      <c r="AE501" s="23"/>
    </row>
    <row r="502" spans="1:31" ht="12.7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37"/>
      <c r="AD502" s="23"/>
      <c r="AE502" s="23"/>
    </row>
    <row r="503" spans="1:31" ht="12.7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37"/>
      <c r="AD503" s="23"/>
      <c r="AE503" s="23"/>
    </row>
    <row r="504" spans="1:31" ht="12.7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37"/>
      <c r="AD504" s="23"/>
      <c r="AE504" s="23"/>
    </row>
    <row r="505" spans="1:31" ht="12.7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37"/>
      <c r="AD505" s="23"/>
      <c r="AE505" s="23"/>
    </row>
    <row r="506" spans="1:31" ht="12.7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37"/>
      <c r="AD506" s="23"/>
      <c r="AE506" s="23"/>
    </row>
    <row r="507" spans="1:31" ht="12.7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37"/>
      <c r="AD507" s="23"/>
      <c r="AE507" s="23"/>
    </row>
    <row r="508" spans="1:31" ht="12.7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37"/>
      <c r="AD508" s="23"/>
      <c r="AE508" s="23"/>
    </row>
    <row r="509" spans="1:31" ht="12.7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37"/>
      <c r="AD509" s="23"/>
      <c r="AE509" s="23"/>
    </row>
    <row r="510" spans="1:31" ht="12.7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37"/>
      <c r="AD510" s="23"/>
      <c r="AE510" s="23"/>
    </row>
    <row r="511" spans="1:31" ht="12.7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37"/>
      <c r="AD511" s="23"/>
      <c r="AE511" s="23"/>
    </row>
    <row r="512" spans="1:31" ht="12.7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37"/>
      <c r="AD512" s="23"/>
      <c r="AE512" s="23"/>
    </row>
    <row r="513" spans="1:31" ht="12.7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37"/>
      <c r="AD513" s="23"/>
      <c r="AE513" s="23"/>
    </row>
    <row r="514" spans="1:31" ht="12.7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37"/>
      <c r="AD514" s="23"/>
      <c r="AE514" s="23"/>
    </row>
    <row r="515" spans="1:31" ht="12.7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37"/>
      <c r="AD515" s="23"/>
      <c r="AE515" s="23"/>
    </row>
    <row r="516" spans="1:31" ht="12.7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37"/>
      <c r="AD516" s="23"/>
      <c r="AE516" s="23"/>
    </row>
    <row r="517" spans="1:31" ht="12.7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37"/>
      <c r="AD517" s="23"/>
      <c r="AE517" s="23"/>
    </row>
    <row r="518" spans="1:31" ht="12.7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37"/>
      <c r="AD518" s="23"/>
      <c r="AE518" s="23"/>
    </row>
    <row r="519" spans="1:31" ht="12.7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37"/>
      <c r="AD519" s="23"/>
      <c r="AE519" s="23"/>
    </row>
    <row r="520" spans="1:31" ht="12.7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37"/>
      <c r="AD520" s="23"/>
      <c r="AE520" s="23"/>
    </row>
    <row r="521" spans="1:31" ht="12.7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37"/>
      <c r="AD521" s="23"/>
      <c r="AE521" s="23"/>
    </row>
    <row r="522" spans="1:31" ht="12.7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37"/>
      <c r="AD522" s="23"/>
      <c r="AE522" s="23"/>
    </row>
    <row r="523" spans="1:31" ht="12.7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37"/>
      <c r="AD523" s="23"/>
      <c r="AE523" s="23"/>
    </row>
    <row r="524" spans="1:31" ht="12.7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37"/>
      <c r="AD524" s="23"/>
      <c r="AE524" s="23"/>
    </row>
    <row r="525" spans="1:31" ht="12.7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37"/>
      <c r="AD525" s="23"/>
      <c r="AE525" s="23"/>
    </row>
    <row r="526" spans="1:31" ht="12.7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37"/>
      <c r="AD526" s="23"/>
      <c r="AE526" s="23"/>
    </row>
    <row r="527" spans="1:31" ht="12.7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37"/>
      <c r="AD527" s="23"/>
      <c r="AE527" s="23"/>
    </row>
    <row r="528" spans="1:31" ht="12.7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37"/>
      <c r="AD528" s="23"/>
      <c r="AE528" s="23"/>
    </row>
    <row r="529" spans="1:31" ht="12.7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37"/>
      <c r="AD529" s="23"/>
      <c r="AE529" s="23"/>
    </row>
    <row r="530" spans="1:31" ht="12.7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37"/>
      <c r="AD530" s="23"/>
      <c r="AE530" s="23"/>
    </row>
    <row r="531" spans="1:31" ht="12.7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37"/>
      <c r="AD531" s="23"/>
      <c r="AE531" s="23"/>
    </row>
    <row r="532" spans="1:31" ht="12.7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37"/>
      <c r="AD532" s="23"/>
      <c r="AE532" s="23"/>
    </row>
    <row r="533" spans="1:31" ht="12.7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37"/>
      <c r="AD533" s="23"/>
      <c r="AE533" s="23"/>
    </row>
    <row r="534" spans="1:31" ht="12.7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37"/>
      <c r="AD534" s="23"/>
      <c r="AE534" s="23"/>
    </row>
    <row r="535" spans="1:31" ht="12.7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37"/>
      <c r="AD535" s="23"/>
      <c r="AE535" s="23"/>
    </row>
    <row r="536" spans="1:31" ht="12.7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37"/>
      <c r="AD536" s="23"/>
      <c r="AE536" s="23"/>
    </row>
    <row r="537" spans="1:31" ht="12.7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37"/>
      <c r="AD537" s="23"/>
      <c r="AE537" s="23"/>
    </row>
    <row r="538" spans="1:31" ht="12.7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37"/>
      <c r="AD538" s="23"/>
      <c r="AE538" s="23"/>
    </row>
    <row r="539" spans="1:31" ht="12.7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37"/>
      <c r="AD539" s="23"/>
      <c r="AE539" s="23"/>
    </row>
    <row r="540" spans="1:31" ht="12.7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37"/>
      <c r="AD540" s="23"/>
      <c r="AE540" s="23"/>
    </row>
    <row r="541" spans="1:31" ht="12.7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37"/>
      <c r="AD541" s="23"/>
      <c r="AE541" s="23"/>
    </row>
    <row r="542" spans="1:31" ht="12.7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37"/>
      <c r="AD542" s="23"/>
      <c r="AE542" s="23"/>
    </row>
    <row r="543" spans="1:31" ht="12.7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37"/>
      <c r="AD543" s="23"/>
      <c r="AE543" s="23"/>
    </row>
    <row r="544" spans="1:31" ht="12.7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37"/>
      <c r="AD544" s="23"/>
      <c r="AE544" s="23"/>
    </row>
    <row r="545" spans="1:31" ht="12.7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37"/>
      <c r="AD545" s="23"/>
      <c r="AE545" s="23"/>
    </row>
    <row r="546" spans="1:31" ht="12.7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37"/>
      <c r="AD546" s="23"/>
      <c r="AE546" s="23"/>
    </row>
    <row r="547" spans="1:31" ht="12.7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37"/>
      <c r="AD547" s="23"/>
      <c r="AE547" s="23"/>
    </row>
    <row r="548" spans="1:31" ht="12.7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37"/>
      <c r="AD548" s="23"/>
      <c r="AE548" s="23"/>
    </row>
    <row r="549" spans="1:31" ht="12.7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37"/>
      <c r="AD549" s="23"/>
      <c r="AE549" s="23"/>
    </row>
    <row r="550" spans="1:31" ht="12.7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37"/>
      <c r="AD550" s="23"/>
      <c r="AE550" s="23"/>
    </row>
    <row r="551" spans="1:31" ht="12.7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37"/>
      <c r="AD551" s="23"/>
      <c r="AE551" s="23"/>
    </row>
    <row r="552" spans="1:31" ht="12.7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37"/>
      <c r="AD552" s="23"/>
      <c r="AE552" s="23"/>
    </row>
    <row r="553" spans="1:31" ht="12.7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37"/>
      <c r="AD553" s="23"/>
      <c r="AE553" s="23"/>
    </row>
    <row r="554" spans="1:31" ht="12.7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37"/>
      <c r="AD554" s="23"/>
      <c r="AE554" s="23"/>
    </row>
    <row r="555" spans="1:31" ht="12.7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37"/>
      <c r="AD555" s="23"/>
      <c r="AE555" s="23"/>
    </row>
    <row r="556" spans="1:31" ht="12.7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37"/>
      <c r="AD556" s="23"/>
      <c r="AE556" s="23"/>
    </row>
    <row r="557" spans="1:31" ht="12.7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37"/>
      <c r="AD557" s="23"/>
      <c r="AE557" s="23"/>
    </row>
    <row r="558" spans="1:31" ht="12.7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37"/>
      <c r="AD558" s="23"/>
      <c r="AE558" s="23"/>
    </row>
    <row r="559" spans="1:31" ht="12.7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37"/>
      <c r="AD559" s="23"/>
      <c r="AE559" s="23"/>
    </row>
    <row r="560" spans="1:31" ht="12.7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37"/>
      <c r="AD560" s="23"/>
      <c r="AE560" s="23"/>
    </row>
    <row r="561" spans="1:31" ht="12.7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37"/>
      <c r="AD561" s="23"/>
      <c r="AE561" s="23"/>
    </row>
    <row r="562" spans="1:31" ht="12.7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37"/>
      <c r="AD562" s="23"/>
      <c r="AE562" s="23"/>
    </row>
    <row r="563" spans="1:31" ht="12.7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37"/>
      <c r="AD563" s="23"/>
      <c r="AE563" s="23"/>
    </row>
    <row r="564" spans="1:31" ht="12.7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37"/>
      <c r="AD564" s="23"/>
      <c r="AE564" s="23"/>
    </row>
    <row r="565" spans="1:31" ht="12.7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37"/>
      <c r="AD565" s="23"/>
      <c r="AE565" s="23"/>
    </row>
    <row r="566" spans="1:31" ht="12.7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37"/>
      <c r="AD566" s="23"/>
      <c r="AE566" s="23"/>
    </row>
    <row r="567" spans="1:31" ht="12.7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37"/>
      <c r="AD567" s="23"/>
      <c r="AE567" s="23"/>
    </row>
    <row r="568" spans="1:31" ht="12.7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37"/>
      <c r="AD568" s="23"/>
      <c r="AE568" s="23"/>
    </row>
    <row r="569" spans="1:31" ht="12.7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37"/>
      <c r="AD569" s="23"/>
      <c r="AE569" s="23"/>
    </row>
    <row r="570" spans="1:31" ht="12.7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37"/>
      <c r="AD570" s="23"/>
      <c r="AE570" s="23"/>
    </row>
    <row r="571" spans="1:31" ht="12.7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37"/>
      <c r="AD571" s="23"/>
      <c r="AE571" s="23"/>
    </row>
    <row r="572" spans="1:31" ht="12.7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37"/>
      <c r="AD572" s="23"/>
      <c r="AE572" s="23"/>
    </row>
    <row r="573" spans="1:31" ht="12.7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37"/>
      <c r="AD573" s="23"/>
      <c r="AE573" s="23"/>
    </row>
    <row r="574" spans="1:31" ht="12.7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37"/>
      <c r="AD574" s="23"/>
      <c r="AE574" s="23"/>
    </row>
    <row r="575" spans="1:31" ht="12.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37"/>
      <c r="AD575" s="23"/>
      <c r="AE575" s="23"/>
    </row>
    <row r="576" spans="1:31" ht="12.7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37"/>
      <c r="AD576" s="23"/>
      <c r="AE576" s="23"/>
    </row>
    <row r="577" spans="1:31" ht="12.7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37"/>
      <c r="AD577" s="23"/>
      <c r="AE577" s="23"/>
    </row>
    <row r="578" spans="1:31" ht="12.7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37"/>
      <c r="AD578" s="23"/>
      <c r="AE578" s="23"/>
    </row>
    <row r="579" spans="1:31" ht="12.7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37"/>
      <c r="AD579" s="23"/>
      <c r="AE579" s="23"/>
    </row>
    <row r="580" spans="1:31" ht="12.7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37"/>
      <c r="AD580" s="23"/>
      <c r="AE580" s="23"/>
    </row>
    <row r="581" spans="1:31" ht="12.7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37"/>
      <c r="AD581" s="23"/>
      <c r="AE581" s="23"/>
    </row>
    <row r="582" spans="1:31" ht="12.7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37"/>
      <c r="AD582" s="23"/>
      <c r="AE582" s="23"/>
    </row>
    <row r="583" spans="1:31" ht="12.7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37"/>
      <c r="AD583" s="23"/>
      <c r="AE583" s="23"/>
    </row>
    <row r="584" spans="1:31" ht="12.7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37"/>
      <c r="AD584" s="23"/>
      <c r="AE584" s="23"/>
    </row>
    <row r="585" spans="1:31" ht="12.7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37"/>
      <c r="AD585" s="23"/>
      <c r="AE585" s="23"/>
    </row>
    <row r="586" spans="1:31" ht="12.7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37"/>
      <c r="AD586" s="23"/>
      <c r="AE586" s="23"/>
    </row>
    <row r="587" spans="1:31" ht="12.7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37"/>
      <c r="AD587" s="23"/>
      <c r="AE587" s="23"/>
    </row>
    <row r="588" spans="1:31" ht="12.7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37"/>
      <c r="AD588" s="23"/>
      <c r="AE588" s="23"/>
    </row>
    <row r="589" spans="1:31" ht="12.7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37"/>
      <c r="AD589" s="23"/>
      <c r="AE589" s="23"/>
    </row>
    <row r="590" spans="1:31" ht="12.7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37"/>
      <c r="AD590" s="23"/>
      <c r="AE590" s="23"/>
    </row>
    <row r="591" spans="1:31" ht="12.7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37"/>
      <c r="AD591" s="23"/>
      <c r="AE591" s="23"/>
    </row>
    <row r="592" spans="1:31" ht="12.7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37"/>
      <c r="AD592" s="23"/>
      <c r="AE592" s="23"/>
    </row>
    <row r="593" spans="1:31" ht="12.7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37"/>
      <c r="AD593" s="23"/>
      <c r="AE593" s="23"/>
    </row>
    <row r="594" spans="1:31" ht="12.7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37"/>
      <c r="AD594" s="23"/>
      <c r="AE594" s="23"/>
    </row>
    <row r="595" spans="1:31" ht="12.7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37"/>
      <c r="AD595" s="23"/>
      <c r="AE595" s="23"/>
    </row>
    <row r="596" spans="1:31" ht="12.7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37"/>
      <c r="AD596" s="23"/>
      <c r="AE596" s="23"/>
    </row>
    <row r="597" spans="1:31" ht="12.7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37"/>
      <c r="AD597" s="23"/>
      <c r="AE597" s="23"/>
    </row>
    <row r="598" spans="1:31" ht="12.7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37"/>
      <c r="AD598" s="23"/>
      <c r="AE598" s="23"/>
    </row>
    <row r="599" spans="1:31" ht="12.7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37"/>
      <c r="AD599" s="23"/>
      <c r="AE599" s="23"/>
    </row>
    <row r="600" spans="1:31" ht="12.7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37"/>
      <c r="AD600" s="23"/>
      <c r="AE600" s="23"/>
    </row>
    <row r="601" spans="1:31" ht="12.7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37"/>
      <c r="AD601" s="23"/>
      <c r="AE601" s="23"/>
    </row>
    <row r="602" spans="1:31" ht="12.7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37"/>
      <c r="AD602" s="23"/>
      <c r="AE602" s="23"/>
    </row>
    <row r="603" spans="1:31" ht="12.7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37"/>
      <c r="AD603" s="23"/>
      <c r="AE603" s="23"/>
    </row>
    <row r="604" spans="1:31" ht="12.7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37"/>
      <c r="AD604" s="23"/>
      <c r="AE604" s="23"/>
    </row>
    <row r="605" spans="1:31" ht="12.7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37"/>
      <c r="AD605" s="23"/>
      <c r="AE605" s="23"/>
    </row>
    <row r="606" spans="1:31" ht="12.7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37"/>
      <c r="AD606" s="23"/>
      <c r="AE606" s="23"/>
    </row>
    <row r="607" spans="1:31" ht="12.7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37"/>
      <c r="AD607" s="23"/>
      <c r="AE607" s="23"/>
    </row>
    <row r="608" spans="1:31" ht="12.7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37"/>
      <c r="AD608" s="23"/>
      <c r="AE608" s="23"/>
    </row>
    <row r="609" spans="1:31" ht="12.7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37"/>
      <c r="AD609" s="23"/>
      <c r="AE609" s="23"/>
    </row>
    <row r="610" spans="1:31" ht="12.7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37"/>
      <c r="AD610" s="23"/>
      <c r="AE610" s="23"/>
    </row>
    <row r="611" spans="1:31" ht="12.7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37"/>
      <c r="AD611" s="23"/>
      <c r="AE611" s="23"/>
    </row>
    <row r="612" spans="1:31" ht="12.7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37"/>
      <c r="AD612" s="23"/>
      <c r="AE612" s="23"/>
    </row>
    <row r="613" spans="1:31" ht="12.7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37"/>
      <c r="AD613" s="23"/>
      <c r="AE613" s="23"/>
    </row>
    <row r="614" spans="1:31" ht="12.7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37"/>
      <c r="AD614" s="23"/>
      <c r="AE614" s="23"/>
    </row>
    <row r="615" spans="1:31" ht="12.7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37"/>
      <c r="AD615" s="23"/>
      <c r="AE615" s="23"/>
    </row>
    <row r="616" spans="1:31" ht="12.7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37"/>
      <c r="AD616" s="23"/>
      <c r="AE616" s="23"/>
    </row>
    <row r="617" spans="1:31" ht="12.7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37"/>
      <c r="AD617" s="23"/>
      <c r="AE617" s="23"/>
    </row>
    <row r="618" spans="1:31" ht="12.7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37"/>
      <c r="AD618" s="23"/>
      <c r="AE618" s="23"/>
    </row>
    <row r="619" spans="1:31" ht="12.7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37"/>
      <c r="AD619" s="23"/>
      <c r="AE619" s="23"/>
    </row>
    <row r="620" spans="1:31" ht="12.7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37"/>
      <c r="AD620" s="23"/>
      <c r="AE620" s="23"/>
    </row>
    <row r="621" spans="1:31" ht="12.7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37"/>
      <c r="AD621" s="23"/>
      <c r="AE621" s="23"/>
    </row>
    <row r="622" spans="1:31" ht="12.7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37"/>
      <c r="AD622" s="23"/>
      <c r="AE622" s="23"/>
    </row>
    <row r="623" spans="1:31" ht="12.7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37"/>
      <c r="AD623" s="23"/>
      <c r="AE623" s="23"/>
    </row>
    <row r="624" spans="1:31" ht="12.7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37"/>
      <c r="AD624" s="23"/>
      <c r="AE624" s="23"/>
    </row>
    <row r="625" spans="1:31" ht="12.7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37"/>
      <c r="AD625" s="23"/>
      <c r="AE625" s="23"/>
    </row>
    <row r="626" spans="1:31" ht="12.7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37"/>
      <c r="AD626" s="23"/>
      <c r="AE626" s="23"/>
    </row>
    <row r="627" spans="1:31" ht="12.7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37"/>
      <c r="AD627" s="23"/>
      <c r="AE627" s="23"/>
    </row>
    <row r="628" spans="1:31" ht="12.7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37"/>
      <c r="AD628" s="23"/>
      <c r="AE628" s="23"/>
    </row>
    <row r="629" spans="1:31" ht="12.7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37"/>
      <c r="AD629" s="23"/>
      <c r="AE629" s="23"/>
    </row>
    <row r="630" spans="1:31" ht="12.7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37"/>
      <c r="AD630" s="23"/>
      <c r="AE630" s="23"/>
    </row>
    <row r="631" spans="1:31" ht="12.7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37"/>
      <c r="AD631" s="23"/>
      <c r="AE631" s="23"/>
    </row>
    <row r="632" spans="1:31" ht="12.7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37"/>
      <c r="AD632" s="23"/>
      <c r="AE632" s="23"/>
    </row>
    <row r="633" spans="1:31" ht="12.7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37"/>
      <c r="AD633" s="23"/>
      <c r="AE633" s="23"/>
    </row>
    <row r="634" spans="1:31" ht="12.7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37"/>
      <c r="AD634" s="23"/>
      <c r="AE634" s="23"/>
    </row>
    <row r="635" spans="1:31" ht="12.7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37"/>
      <c r="AD635" s="23"/>
      <c r="AE635" s="23"/>
    </row>
    <row r="636" spans="1:31" ht="12.7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37"/>
      <c r="AD636" s="23"/>
      <c r="AE636" s="23"/>
    </row>
    <row r="637" spans="1:31" ht="12.7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37"/>
      <c r="AD637" s="23"/>
      <c r="AE637" s="23"/>
    </row>
    <row r="638" spans="1:31" ht="12.7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37"/>
      <c r="AD638" s="23"/>
      <c r="AE638" s="23"/>
    </row>
    <row r="639" spans="1:31" ht="12.7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37"/>
      <c r="AD639" s="23"/>
      <c r="AE639" s="23"/>
    </row>
    <row r="640" spans="1:31" ht="12.7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37"/>
      <c r="AD640" s="23"/>
      <c r="AE640" s="23"/>
    </row>
    <row r="641" spans="1:31" ht="12.7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37"/>
      <c r="AD641" s="23"/>
      <c r="AE641" s="23"/>
    </row>
    <row r="642" spans="1:31" ht="12.7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37"/>
      <c r="AD642" s="23"/>
      <c r="AE642" s="23"/>
    </row>
    <row r="643" spans="1:31" ht="12.7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37"/>
      <c r="AD643" s="23"/>
      <c r="AE643" s="23"/>
    </row>
    <row r="644" spans="1:31" ht="12.7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37"/>
      <c r="AD644" s="23"/>
      <c r="AE644" s="23"/>
    </row>
    <row r="645" spans="1:31" ht="12.7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37"/>
      <c r="AD645" s="23"/>
      <c r="AE645" s="23"/>
    </row>
    <row r="646" spans="1:31" ht="12.7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37"/>
      <c r="AD646" s="23"/>
      <c r="AE646" s="23"/>
    </row>
  </sheetData>
  <mergeCells count="68">
    <mergeCell ref="C107:E107"/>
    <mergeCell ref="F107:H107"/>
    <mergeCell ref="C104:E104"/>
    <mergeCell ref="C105:E105"/>
    <mergeCell ref="F105:H105"/>
    <mergeCell ref="C106:E106"/>
    <mergeCell ref="F106:H106"/>
    <mergeCell ref="C108:E108"/>
    <mergeCell ref="F108:H108"/>
    <mergeCell ref="I108:L108"/>
    <mergeCell ref="M108:O108"/>
    <mergeCell ref="P108:R108"/>
    <mergeCell ref="F104:H104"/>
    <mergeCell ref="P104:R104"/>
    <mergeCell ref="I106:L106"/>
    <mergeCell ref="I107:L107"/>
    <mergeCell ref="M107:O107"/>
    <mergeCell ref="P107:R107"/>
    <mergeCell ref="I104:L104"/>
    <mergeCell ref="M104:O104"/>
    <mergeCell ref="I105:L105"/>
    <mergeCell ref="M105:O105"/>
    <mergeCell ref="P105:R105"/>
    <mergeCell ref="M106:O106"/>
    <mergeCell ref="P106:R106"/>
    <mergeCell ref="C103:E103"/>
    <mergeCell ref="F103:H103"/>
    <mergeCell ref="I103:L103"/>
    <mergeCell ref="M103:O103"/>
    <mergeCell ref="P103:R103"/>
    <mergeCell ref="I100:L100"/>
    <mergeCell ref="M100:O100"/>
    <mergeCell ref="C102:E102"/>
    <mergeCell ref="F102:H102"/>
    <mergeCell ref="I102:L102"/>
    <mergeCell ref="M102:O102"/>
    <mergeCell ref="P102:R102"/>
    <mergeCell ref="V102:X102"/>
    <mergeCell ref="M1:N1"/>
    <mergeCell ref="O1:U1"/>
    <mergeCell ref="AA117:AC117"/>
    <mergeCell ref="I110:L110"/>
    <mergeCell ref="M110:O110"/>
    <mergeCell ref="I111:L111"/>
    <mergeCell ref="M111:O111"/>
    <mergeCell ref="P111:R111"/>
    <mergeCell ref="I112:L112"/>
    <mergeCell ref="M112:O112"/>
    <mergeCell ref="P113:R113"/>
    <mergeCell ref="L117:O117"/>
    <mergeCell ref="P117:S117"/>
    <mergeCell ref="T117:W117"/>
    <mergeCell ref="X117:Z117"/>
    <mergeCell ref="M109:O109"/>
    <mergeCell ref="P109:R109"/>
    <mergeCell ref="F110:H110"/>
    <mergeCell ref="P110:R110"/>
    <mergeCell ref="P112:R112"/>
    <mergeCell ref="C117:F117"/>
    <mergeCell ref="G117:J117"/>
    <mergeCell ref="C109:E109"/>
    <mergeCell ref="F109:H109"/>
    <mergeCell ref="I109:L109"/>
    <mergeCell ref="C110:E110"/>
    <mergeCell ref="C111:E111"/>
    <mergeCell ref="F111:H111"/>
    <mergeCell ref="C112:E112"/>
    <mergeCell ref="F112:H112"/>
  </mergeCells>
  <conditionalFormatting sqref="C119:AD142">
    <cfRule type="notContainsBlanks" dxfId="24" priority="1">
      <formula>LEN(TRIM(C119))&gt;0</formula>
    </cfRule>
  </conditionalFormatting>
  <conditionalFormatting sqref="Y2:Y97">
    <cfRule type="expression" dxfId="23" priority="2">
      <formula>$L2&lt;&gt;""</formula>
    </cfRule>
  </conditionalFormatting>
  <conditionalFormatting sqref="Z1:Z97">
    <cfRule type="notContainsBlanks" dxfId="22" priority="3">
      <formula>LEN(TRIM(Z1))&gt;0</formula>
    </cfRule>
  </conditionalFormatting>
  <conditionalFormatting sqref="AA1:AA97">
    <cfRule type="notContainsBlanks" dxfId="21" priority="4">
      <formula>LEN(TRIM(AA1))&gt;0</formula>
    </cfRule>
  </conditionalFormatting>
  <conditionalFormatting sqref="AB2:AB97">
    <cfRule type="cellIs" dxfId="20" priority="5" operator="equal">
      <formula>FALSE()</formula>
    </cfRule>
  </conditionalFormatting>
  <dataValidations count="1">
    <dataValidation type="decimal" operator="greaterThanOrEqual" allowBlank="1" showDropDown="1" showErrorMessage="1" sqref="B2:K98">
      <formula1>0</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706"/>
  <sheetViews>
    <sheetView workbookViewId="0"/>
  </sheetViews>
  <sheetFormatPr baseColWidth="10" defaultColWidth="12.5703125" defaultRowHeight="15.75" customHeight="1"/>
  <cols>
    <col min="1" max="1" width="23.85546875" customWidth="1"/>
    <col min="2" max="8" width="5" customWidth="1"/>
    <col min="9" max="16" width="4.5703125" customWidth="1"/>
    <col min="17" max="17" width="8.5703125" customWidth="1"/>
    <col min="18" max="18" width="4.5703125" customWidth="1"/>
    <col min="19" max="19" width="8.28515625" customWidth="1"/>
    <col min="20" max="20" width="5.5703125" customWidth="1"/>
    <col min="21" max="21" width="9.28515625" customWidth="1"/>
    <col min="22" max="22" width="4.5703125" customWidth="1"/>
    <col min="23" max="23" width="19"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ht="51" customHeight="1">
      <c r="A1" s="1" t="s">
        <v>0</v>
      </c>
      <c r="B1" s="2" t="s">
        <v>1</v>
      </c>
      <c r="C1" s="2" t="s">
        <v>2</v>
      </c>
      <c r="D1" s="2" t="s">
        <v>3</v>
      </c>
      <c r="E1" s="2" t="s">
        <v>4</v>
      </c>
      <c r="F1" s="2" t="s">
        <v>5</v>
      </c>
      <c r="G1" s="2" t="s">
        <v>6</v>
      </c>
      <c r="H1" s="2" t="s">
        <v>7</v>
      </c>
      <c r="I1" s="2" t="s">
        <v>8</v>
      </c>
      <c r="J1" s="2" t="s">
        <v>9</v>
      </c>
      <c r="K1" s="2" t="s">
        <v>10</v>
      </c>
      <c r="L1" s="3"/>
      <c r="M1" s="128" t="s">
        <v>11</v>
      </c>
      <c r="N1" s="117"/>
      <c r="O1" s="129" t="s">
        <v>641</v>
      </c>
      <c r="P1" s="117"/>
      <c r="Q1" s="117"/>
      <c r="R1" s="117"/>
      <c r="S1" s="117"/>
      <c r="T1" s="117"/>
      <c r="U1" s="117"/>
      <c r="V1" s="3"/>
      <c r="W1" s="4">
        <v>46055</v>
      </c>
      <c r="X1" s="3"/>
      <c r="Y1" s="5">
        <f>SUMIFS(Y2:Y156,L2:L156,"&lt;&gt;"&amp;"")</f>
        <v>8723992.5226288866</v>
      </c>
      <c r="Z1" s="6" t="s">
        <v>13</v>
      </c>
      <c r="AA1" s="7" t="s">
        <v>14</v>
      </c>
      <c r="AB1" s="8" t="s">
        <v>15</v>
      </c>
      <c r="AC1" s="9">
        <f>SUM(AC2:AC156)</f>
        <v>8723992.5226288866</v>
      </c>
      <c r="AD1" s="3"/>
      <c r="AE1" s="3"/>
    </row>
    <row r="2" spans="1:31" ht="18">
      <c r="A2" s="10">
        <f t="shared" ref="A2:A145" si="0">(B2*$P$161+C2*$P$162+D2*$P$163+E2*$P$164+F2*$P$165+G2*$P$166+H2*$P$167+I2*$P$168+J2*$P$169+K2*$P$170)*$T$159</f>
        <v>1642942.1487603309</v>
      </c>
      <c r="B2" s="83">
        <v>3</v>
      </c>
      <c r="C2" s="12"/>
      <c r="D2" s="12"/>
      <c r="E2" s="12"/>
      <c r="F2" s="12"/>
      <c r="G2" s="12"/>
      <c r="H2" s="12"/>
      <c r="I2" s="12"/>
      <c r="J2" s="13"/>
      <c r="K2" s="13"/>
      <c r="L2" s="14" t="s">
        <v>16</v>
      </c>
      <c r="M2" s="15"/>
      <c r="N2" s="16"/>
      <c r="O2" s="17"/>
      <c r="P2" s="17"/>
      <c r="Q2" s="17"/>
      <c r="R2" s="17"/>
      <c r="S2" s="17"/>
      <c r="T2" s="17"/>
      <c r="U2" s="17"/>
      <c r="V2" s="17"/>
      <c r="W2" s="17"/>
      <c r="X2" s="17">
        <f t="shared" ref="X2:X18" si="1">COUNTIF($L$2:L2,"&lt;&gt;"&amp;"")</f>
        <v>1</v>
      </c>
      <c r="Y2" s="18">
        <f t="shared" ref="Y2:Y52" si="2">SUMIF($X$2:$X$156,X2,$A$2:$A$156)</f>
        <v>1642942.1487603309</v>
      </c>
      <c r="Z2" s="19"/>
      <c r="AA2" s="20"/>
      <c r="AB2" s="21" t="b">
        <v>1</v>
      </c>
      <c r="AC2" s="22">
        <f t="shared" ref="AC2:AC53" si="3">IF(L2="",0,IF(AB2=FALSE(),0,Y2))</f>
        <v>1642942.1487603309</v>
      </c>
      <c r="AD2" s="23"/>
      <c r="AE2" s="23"/>
    </row>
    <row r="3" spans="1:31" ht="15">
      <c r="A3" s="10">
        <f t="shared" si="0"/>
        <v>1722753.246753247</v>
      </c>
      <c r="B3" s="12"/>
      <c r="C3" s="83">
        <v>3</v>
      </c>
      <c r="D3" s="83">
        <v>3</v>
      </c>
      <c r="E3" s="12"/>
      <c r="F3" s="12"/>
      <c r="G3" s="12"/>
      <c r="H3" s="12"/>
      <c r="I3" s="12"/>
      <c r="J3" s="13"/>
      <c r="K3" s="13"/>
      <c r="L3" s="14" t="s">
        <v>17</v>
      </c>
      <c r="M3" s="16"/>
      <c r="N3" s="16"/>
      <c r="O3" s="17"/>
      <c r="P3" s="17"/>
      <c r="Q3" s="17"/>
      <c r="R3" s="17"/>
      <c r="S3" s="17"/>
      <c r="T3" s="17"/>
      <c r="U3" s="17"/>
      <c r="V3" s="17"/>
      <c r="W3" s="17"/>
      <c r="X3" s="17">
        <f t="shared" si="1"/>
        <v>2</v>
      </c>
      <c r="Y3" s="18">
        <f t="shared" si="2"/>
        <v>1722753.246753247</v>
      </c>
      <c r="Z3" s="24"/>
      <c r="AA3" s="20"/>
      <c r="AB3" s="21" t="b">
        <v>1</v>
      </c>
      <c r="AC3" s="22">
        <f t="shared" si="3"/>
        <v>1722753.246753247</v>
      </c>
      <c r="AD3" s="23"/>
      <c r="AE3" s="23"/>
    </row>
    <row r="4" spans="1:31" ht="15">
      <c r="A4" s="10">
        <f t="shared" si="0"/>
        <v>1430844.1558441557</v>
      </c>
      <c r="B4" s="12"/>
      <c r="C4" s="12"/>
      <c r="D4" s="12"/>
      <c r="E4" s="12"/>
      <c r="F4" s="12"/>
      <c r="G4" s="12"/>
      <c r="H4" s="83">
        <v>5</v>
      </c>
      <c r="I4" s="12"/>
      <c r="J4" s="13"/>
      <c r="K4" s="13"/>
      <c r="L4" s="14" t="s">
        <v>18</v>
      </c>
      <c r="M4" s="16"/>
      <c r="N4" s="16"/>
      <c r="O4" s="17"/>
      <c r="P4" s="17"/>
      <c r="Q4" s="17"/>
      <c r="R4" s="17"/>
      <c r="S4" s="17"/>
      <c r="T4" s="17"/>
      <c r="U4" s="17"/>
      <c r="V4" s="17"/>
      <c r="W4" s="17"/>
      <c r="X4" s="17">
        <f t="shared" si="1"/>
        <v>3</v>
      </c>
      <c r="Y4" s="18">
        <f t="shared" si="2"/>
        <v>1430844.1558441557</v>
      </c>
      <c r="Z4" s="24"/>
      <c r="AA4" s="25"/>
      <c r="AB4" s="21" t="b">
        <v>1</v>
      </c>
      <c r="AC4" s="22">
        <f t="shared" si="3"/>
        <v>1430844.1558441557</v>
      </c>
      <c r="AD4" s="23"/>
      <c r="AE4" s="23"/>
    </row>
    <row r="5" spans="1:31" ht="15">
      <c r="A5" s="10">
        <f t="shared" si="0"/>
        <v>0</v>
      </c>
      <c r="B5" s="13"/>
      <c r="C5" s="13"/>
      <c r="D5" s="13"/>
      <c r="E5" s="13"/>
      <c r="F5" s="13"/>
      <c r="G5" s="13"/>
      <c r="H5" s="13"/>
      <c r="I5" s="13"/>
      <c r="J5" s="13"/>
      <c r="K5" s="13"/>
      <c r="L5" s="26" t="s">
        <v>19</v>
      </c>
      <c r="M5" s="16"/>
      <c r="N5" s="16"/>
      <c r="O5" s="17"/>
      <c r="P5" s="17"/>
      <c r="Q5" s="17"/>
      <c r="R5" s="17"/>
      <c r="S5" s="17"/>
      <c r="T5" s="17"/>
      <c r="U5" s="17"/>
      <c r="V5" s="17"/>
      <c r="W5" s="17"/>
      <c r="X5" s="17">
        <f t="shared" si="1"/>
        <v>4</v>
      </c>
      <c r="Y5" s="18">
        <f t="shared" si="2"/>
        <v>0</v>
      </c>
      <c r="Z5" s="24"/>
      <c r="AA5" s="25"/>
      <c r="AB5" s="21" t="b">
        <v>1</v>
      </c>
      <c r="AC5" s="22">
        <f t="shared" si="3"/>
        <v>0</v>
      </c>
      <c r="AD5" s="23"/>
      <c r="AE5" s="23"/>
    </row>
    <row r="6" spans="1:31" ht="12.75">
      <c r="A6" s="10">
        <f t="shared" si="0"/>
        <v>0</v>
      </c>
      <c r="B6" s="13"/>
      <c r="C6" s="13"/>
      <c r="D6" s="13"/>
      <c r="E6" s="13"/>
      <c r="F6" s="13"/>
      <c r="G6" s="13"/>
      <c r="H6" s="13"/>
      <c r="I6" s="13"/>
      <c r="J6" s="13"/>
      <c r="K6" s="13"/>
      <c r="L6" s="17" t="s">
        <v>642</v>
      </c>
      <c r="M6" s="17"/>
      <c r="N6" s="16"/>
      <c r="O6" s="17"/>
      <c r="P6" s="16"/>
      <c r="Q6" s="17"/>
      <c r="R6" s="17"/>
      <c r="S6" s="17"/>
      <c r="T6" s="17"/>
      <c r="U6" s="17"/>
      <c r="V6" s="17"/>
      <c r="W6" s="17"/>
      <c r="X6" s="17">
        <f t="shared" si="1"/>
        <v>5</v>
      </c>
      <c r="Y6" s="18">
        <f t="shared" si="2"/>
        <v>0</v>
      </c>
      <c r="Z6" s="19"/>
      <c r="AA6" s="20"/>
      <c r="AB6" s="21" t="b">
        <v>1</v>
      </c>
      <c r="AC6" s="22">
        <f t="shared" si="3"/>
        <v>0</v>
      </c>
      <c r="AD6" s="23"/>
      <c r="AE6" s="23"/>
    </row>
    <row r="7" spans="1:31" ht="12.75">
      <c r="A7" s="10">
        <f t="shared" si="0"/>
        <v>0</v>
      </c>
      <c r="B7" s="13"/>
      <c r="C7" s="13"/>
      <c r="D7" s="13"/>
      <c r="E7" s="13"/>
      <c r="F7" s="13"/>
      <c r="G7" s="13"/>
      <c r="H7" s="13"/>
      <c r="I7" s="13"/>
      <c r="J7" s="13"/>
      <c r="K7" s="13"/>
      <c r="L7" s="17" t="s">
        <v>643</v>
      </c>
      <c r="M7" s="16"/>
      <c r="N7" s="16"/>
      <c r="O7" s="17"/>
      <c r="P7" s="17"/>
      <c r="Q7" s="17"/>
      <c r="R7" s="17"/>
      <c r="S7" s="17"/>
      <c r="T7" s="17"/>
      <c r="U7" s="17"/>
      <c r="V7" s="17"/>
      <c r="W7" s="17"/>
      <c r="X7" s="17">
        <f t="shared" si="1"/>
        <v>6</v>
      </c>
      <c r="Y7" s="18">
        <f t="shared" si="2"/>
        <v>0</v>
      </c>
      <c r="Z7" s="19"/>
      <c r="AA7" s="20"/>
      <c r="AB7" s="21" t="b">
        <v>1</v>
      </c>
      <c r="AC7" s="22">
        <f t="shared" si="3"/>
        <v>0</v>
      </c>
      <c r="AD7" s="23"/>
      <c r="AE7" s="23"/>
    </row>
    <row r="8" spans="1:31" ht="12.75">
      <c r="A8" s="10">
        <f t="shared" si="0"/>
        <v>3087430.9327036599</v>
      </c>
      <c r="B8" s="13">
        <v>2</v>
      </c>
      <c r="C8" s="13">
        <v>1</v>
      </c>
      <c r="D8" s="13">
        <v>1</v>
      </c>
      <c r="E8" s="13">
        <v>2</v>
      </c>
      <c r="F8" s="13"/>
      <c r="G8" s="13">
        <v>2</v>
      </c>
      <c r="H8" s="13"/>
      <c r="I8" s="13"/>
      <c r="J8" s="13"/>
      <c r="K8" s="13"/>
      <c r="L8" s="17" t="s">
        <v>644</v>
      </c>
      <c r="M8" s="17"/>
      <c r="N8" s="17"/>
      <c r="O8" s="17"/>
      <c r="P8" s="16"/>
      <c r="Q8" s="17"/>
      <c r="R8" s="17"/>
      <c r="S8" s="17"/>
      <c r="T8" s="17"/>
      <c r="U8" s="17"/>
      <c r="V8" s="17"/>
      <c r="W8" s="17"/>
      <c r="X8" s="17">
        <f t="shared" si="1"/>
        <v>7</v>
      </c>
      <c r="Y8" s="18">
        <f t="shared" si="2"/>
        <v>3087430.9327036599</v>
      </c>
      <c r="Z8" s="19"/>
      <c r="AA8" s="20"/>
      <c r="AB8" s="21" t="b">
        <v>1</v>
      </c>
      <c r="AC8" s="22">
        <f t="shared" si="3"/>
        <v>3087430.9327036599</v>
      </c>
      <c r="AD8" s="23"/>
      <c r="AE8" s="23"/>
    </row>
    <row r="9" spans="1:31" ht="12.75">
      <c r="A9" s="10">
        <f t="shared" si="0"/>
        <v>0</v>
      </c>
      <c r="B9" s="13"/>
      <c r="C9" s="13"/>
      <c r="D9" s="13"/>
      <c r="E9" s="13"/>
      <c r="F9" s="13"/>
      <c r="G9" s="13"/>
      <c r="H9" s="13"/>
      <c r="I9" s="13"/>
      <c r="J9" s="13"/>
      <c r="K9" s="13"/>
      <c r="L9" s="17" t="s">
        <v>645</v>
      </c>
      <c r="M9" s="17"/>
      <c r="N9" s="17"/>
      <c r="O9" s="17"/>
      <c r="P9" s="16"/>
      <c r="Q9" s="17"/>
      <c r="R9" s="17"/>
      <c r="S9" s="17"/>
      <c r="T9" s="17"/>
      <c r="U9" s="17"/>
      <c r="V9" s="17"/>
      <c r="W9" s="17"/>
      <c r="X9" s="17">
        <f t="shared" si="1"/>
        <v>8</v>
      </c>
      <c r="Y9" s="18">
        <f t="shared" si="2"/>
        <v>0</v>
      </c>
      <c r="Z9" s="19"/>
      <c r="AA9" s="20"/>
      <c r="AB9" s="21" t="b">
        <v>1</v>
      </c>
      <c r="AC9" s="22">
        <f t="shared" si="3"/>
        <v>0</v>
      </c>
      <c r="AD9" s="23"/>
      <c r="AE9" s="23"/>
    </row>
    <row r="10" spans="1:31" ht="12.75">
      <c r="A10" s="10">
        <f t="shared" si="0"/>
        <v>840022.03856749309</v>
      </c>
      <c r="B10" s="13"/>
      <c r="C10" s="13"/>
      <c r="D10" s="13"/>
      <c r="E10" s="13">
        <v>2</v>
      </c>
      <c r="F10" s="13"/>
      <c r="G10" s="13"/>
      <c r="H10" s="13"/>
      <c r="I10" s="13"/>
      <c r="J10" s="13"/>
      <c r="K10" s="13"/>
      <c r="L10" s="17" t="s">
        <v>646</v>
      </c>
      <c r="M10" s="17"/>
      <c r="N10" s="17"/>
      <c r="O10" s="17"/>
      <c r="P10" s="16"/>
      <c r="Q10" s="17"/>
      <c r="R10" s="17"/>
      <c r="S10" s="17"/>
      <c r="T10" s="17"/>
      <c r="U10" s="17"/>
      <c r="V10" s="17"/>
      <c r="W10" s="17"/>
      <c r="X10" s="17">
        <f t="shared" si="1"/>
        <v>9</v>
      </c>
      <c r="Y10" s="18">
        <f t="shared" si="2"/>
        <v>840022.03856749309</v>
      </c>
      <c r="Z10" s="19"/>
      <c r="AA10" s="20"/>
      <c r="AB10" s="21" t="b">
        <v>1</v>
      </c>
      <c r="AC10" s="22">
        <f t="shared" si="3"/>
        <v>840022.03856749309</v>
      </c>
      <c r="AD10" s="23"/>
      <c r="AE10" s="23"/>
    </row>
    <row r="11" spans="1:31" ht="12.75">
      <c r="A11" s="10">
        <f t="shared" si="0"/>
        <v>0</v>
      </c>
      <c r="B11" s="13"/>
      <c r="C11" s="13"/>
      <c r="D11" s="13"/>
      <c r="E11" s="13"/>
      <c r="F11" s="13"/>
      <c r="G11" s="13"/>
      <c r="H11" s="13"/>
      <c r="I11" s="13"/>
      <c r="J11" s="13"/>
      <c r="K11" s="13"/>
      <c r="L11" s="17" t="s">
        <v>647</v>
      </c>
      <c r="M11" s="17"/>
      <c r="N11" s="16"/>
      <c r="O11" s="17"/>
      <c r="P11" s="16"/>
      <c r="Q11" s="17"/>
      <c r="R11" s="17"/>
      <c r="S11" s="17"/>
      <c r="T11" s="17"/>
      <c r="U11" s="17"/>
      <c r="V11" s="17"/>
      <c r="W11" s="17"/>
      <c r="X11" s="17">
        <f t="shared" si="1"/>
        <v>10</v>
      </c>
      <c r="Y11" s="18">
        <f t="shared" si="2"/>
        <v>0</v>
      </c>
      <c r="Z11" s="19"/>
      <c r="AA11" s="20"/>
      <c r="AB11" s="21" t="b">
        <v>1</v>
      </c>
      <c r="AC11" s="22">
        <f t="shared" si="3"/>
        <v>0</v>
      </c>
      <c r="AD11" s="23"/>
      <c r="AE11" s="23"/>
    </row>
    <row r="12" spans="1:31" ht="12.75">
      <c r="A12" s="10">
        <f t="shared" si="0"/>
        <v>0</v>
      </c>
      <c r="B12" s="13"/>
      <c r="C12" s="13"/>
      <c r="D12" s="13"/>
      <c r="E12" s="13"/>
      <c r="F12" s="13"/>
      <c r="G12" s="13"/>
      <c r="H12" s="13"/>
      <c r="I12" s="13"/>
      <c r="J12" s="13"/>
      <c r="K12" s="13"/>
      <c r="L12" s="17" t="s">
        <v>648</v>
      </c>
      <c r="M12" s="16"/>
      <c r="N12" s="16"/>
      <c r="O12" s="17"/>
      <c r="P12" s="16"/>
      <c r="Q12" s="17"/>
      <c r="R12" s="17"/>
      <c r="S12" s="17"/>
      <c r="T12" s="17"/>
      <c r="U12" s="17"/>
      <c r="V12" s="17"/>
      <c r="W12" s="17"/>
      <c r="X12" s="17">
        <f t="shared" si="1"/>
        <v>11</v>
      </c>
      <c r="Y12" s="18">
        <f t="shared" si="2"/>
        <v>0</v>
      </c>
      <c r="Z12" s="19"/>
      <c r="AA12" s="20"/>
      <c r="AB12" s="21" t="b">
        <v>1</v>
      </c>
      <c r="AC12" s="22">
        <f t="shared" si="3"/>
        <v>0</v>
      </c>
      <c r="AD12" s="23"/>
      <c r="AE12" s="23"/>
    </row>
    <row r="13" spans="1:31" ht="12.75">
      <c r="A13" s="10">
        <f t="shared" si="0"/>
        <v>0</v>
      </c>
      <c r="B13" s="13"/>
      <c r="C13" s="13"/>
      <c r="D13" s="13"/>
      <c r="E13" s="13"/>
      <c r="F13" s="13"/>
      <c r="G13" s="13"/>
      <c r="H13" s="13"/>
      <c r="I13" s="13"/>
      <c r="J13" s="13"/>
      <c r="K13" s="13"/>
      <c r="L13" s="82" t="s">
        <v>649</v>
      </c>
      <c r="M13" s="16"/>
      <c r="N13" s="16"/>
      <c r="O13" s="17"/>
      <c r="P13" s="16"/>
      <c r="Q13" s="17"/>
      <c r="R13" s="17"/>
      <c r="S13" s="17"/>
      <c r="T13" s="17"/>
      <c r="U13" s="17"/>
      <c r="V13" s="17"/>
      <c r="W13" s="17"/>
      <c r="X13" s="17">
        <f t="shared" si="1"/>
        <v>12</v>
      </c>
      <c r="Y13" s="18">
        <f t="shared" si="2"/>
        <v>0</v>
      </c>
      <c r="Z13" s="19"/>
      <c r="AA13" s="20"/>
      <c r="AB13" s="21" t="b">
        <v>1</v>
      </c>
      <c r="AC13" s="22">
        <f t="shared" si="3"/>
        <v>0</v>
      </c>
      <c r="AD13" s="23"/>
      <c r="AE13" s="23"/>
    </row>
    <row r="14" spans="1:31" ht="12.75">
      <c r="A14" s="10">
        <f t="shared" si="0"/>
        <v>0</v>
      </c>
      <c r="B14" s="13"/>
      <c r="C14" s="13"/>
      <c r="D14" s="13"/>
      <c r="E14" s="13"/>
      <c r="F14" s="13"/>
      <c r="G14" s="13"/>
      <c r="H14" s="13"/>
      <c r="I14" s="13"/>
      <c r="J14" s="13"/>
      <c r="K14" s="13"/>
      <c r="L14" s="16"/>
      <c r="M14" s="17"/>
      <c r="N14" s="17"/>
      <c r="O14" s="17"/>
      <c r="P14" s="16"/>
      <c r="Q14" s="17"/>
      <c r="R14" s="17"/>
      <c r="S14" s="17"/>
      <c r="T14" s="17"/>
      <c r="U14" s="17"/>
      <c r="V14" s="17"/>
      <c r="W14" s="17"/>
      <c r="X14" s="17">
        <f t="shared" si="1"/>
        <v>12</v>
      </c>
      <c r="Y14" s="18">
        <f t="shared" si="2"/>
        <v>0</v>
      </c>
      <c r="Z14" s="19"/>
      <c r="AA14" s="20"/>
      <c r="AB14" s="21" t="b">
        <v>1</v>
      </c>
      <c r="AC14" s="22">
        <f t="shared" si="3"/>
        <v>0</v>
      </c>
      <c r="AD14" s="23"/>
      <c r="AE14" s="23"/>
    </row>
    <row r="15" spans="1:31" ht="12.75">
      <c r="A15" s="10">
        <f t="shared" si="0"/>
        <v>0</v>
      </c>
      <c r="B15" s="13"/>
      <c r="C15" s="13"/>
      <c r="D15" s="13"/>
      <c r="E15" s="13"/>
      <c r="F15" s="13"/>
      <c r="G15" s="13"/>
      <c r="H15" s="13"/>
      <c r="I15" s="13"/>
      <c r="J15" s="13"/>
      <c r="K15" s="13"/>
      <c r="L15" s="17" t="s">
        <v>650</v>
      </c>
      <c r="M15" s="17"/>
      <c r="N15" s="16"/>
      <c r="O15" s="17"/>
      <c r="P15" s="16"/>
      <c r="Q15" s="17"/>
      <c r="R15" s="17"/>
      <c r="S15" s="17"/>
      <c r="T15" s="17"/>
      <c r="U15" s="17"/>
      <c r="V15" s="17"/>
      <c r="W15" s="17"/>
      <c r="X15" s="17">
        <f t="shared" si="1"/>
        <v>13</v>
      </c>
      <c r="Y15" s="18">
        <f t="shared" si="2"/>
        <v>0</v>
      </c>
      <c r="Z15" s="24"/>
      <c r="AA15" s="25"/>
      <c r="AB15" s="21" t="b">
        <v>1</v>
      </c>
      <c r="AC15" s="22">
        <f t="shared" si="3"/>
        <v>0</v>
      </c>
      <c r="AD15" s="23"/>
      <c r="AE15" s="23"/>
    </row>
    <row r="16" spans="1:31" ht="12.75">
      <c r="A16" s="10">
        <f t="shared" si="0"/>
        <v>0</v>
      </c>
      <c r="B16" s="13"/>
      <c r="C16" s="13"/>
      <c r="D16" s="13"/>
      <c r="E16" s="13"/>
      <c r="F16" s="13"/>
      <c r="G16" s="13"/>
      <c r="H16" s="13"/>
      <c r="I16" s="13"/>
      <c r="J16" s="13"/>
      <c r="K16" s="13"/>
      <c r="L16" s="17" t="s">
        <v>651</v>
      </c>
      <c r="M16" s="17"/>
      <c r="N16" s="16"/>
      <c r="O16" s="16"/>
      <c r="P16" s="16"/>
      <c r="Q16" s="17"/>
      <c r="R16" s="17"/>
      <c r="S16" s="17"/>
      <c r="T16" s="17"/>
      <c r="U16" s="17"/>
      <c r="V16" s="17"/>
      <c r="W16" s="16"/>
      <c r="X16" s="17">
        <f t="shared" si="1"/>
        <v>14</v>
      </c>
      <c r="Y16" s="18">
        <f t="shared" si="2"/>
        <v>0</v>
      </c>
      <c r="Z16" s="24"/>
      <c r="AA16" s="20"/>
      <c r="AB16" s="21" t="b">
        <v>1</v>
      </c>
      <c r="AC16" s="22">
        <f t="shared" si="3"/>
        <v>0</v>
      </c>
      <c r="AD16" s="28"/>
      <c r="AE16" s="28"/>
    </row>
    <row r="17" spans="1:31" ht="12.75">
      <c r="A17" s="10">
        <f t="shared" si="0"/>
        <v>0</v>
      </c>
      <c r="B17" s="13"/>
      <c r="C17" s="13"/>
      <c r="D17" s="13"/>
      <c r="E17" s="13"/>
      <c r="F17" s="13"/>
      <c r="G17" s="13"/>
      <c r="H17" s="13"/>
      <c r="I17" s="13"/>
      <c r="J17" s="13"/>
      <c r="K17" s="13"/>
      <c r="L17" s="17" t="s">
        <v>652</v>
      </c>
      <c r="M17" s="17"/>
      <c r="N17" s="16"/>
      <c r="O17" s="16"/>
      <c r="P17" s="16"/>
      <c r="Q17" s="17"/>
      <c r="R17" s="17"/>
      <c r="S17" s="17"/>
      <c r="T17" s="17"/>
      <c r="U17" s="17"/>
      <c r="V17" s="17"/>
      <c r="W17" s="16"/>
      <c r="X17" s="17">
        <f t="shared" si="1"/>
        <v>15</v>
      </c>
      <c r="Y17" s="18">
        <f t="shared" si="2"/>
        <v>0</v>
      </c>
      <c r="Z17" s="24"/>
      <c r="AA17" s="20"/>
      <c r="AB17" s="21" t="b">
        <v>1</v>
      </c>
      <c r="AC17" s="22">
        <f t="shared" si="3"/>
        <v>0</v>
      </c>
      <c r="AD17" s="28"/>
      <c r="AE17" s="28"/>
    </row>
    <row r="18" spans="1:31" ht="12.75">
      <c r="A18" s="10">
        <f t="shared" si="0"/>
        <v>0</v>
      </c>
      <c r="B18" s="13"/>
      <c r="C18" s="13"/>
      <c r="D18" s="13"/>
      <c r="E18" s="13"/>
      <c r="F18" s="13"/>
      <c r="G18" s="13"/>
      <c r="H18" s="13"/>
      <c r="I18" s="13"/>
      <c r="J18" s="13"/>
      <c r="K18" s="13"/>
      <c r="L18" s="16"/>
      <c r="M18" s="17" t="s">
        <v>653</v>
      </c>
      <c r="N18" s="16"/>
      <c r="O18" s="17"/>
      <c r="P18" s="16"/>
      <c r="Q18" s="17"/>
      <c r="R18" s="17"/>
      <c r="S18" s="17"/>
      <c r="T18" s="17"/>
      <c r="U18" s="17"/>
      <c r="V18" s="16"/>
      <c r="W18" s="17"/>
      <c r="X18" s="17">
        <f t="shared" si="1"/>
        <v>15</v>
      </c>
      <c r="Y18" s="18">
        <f t="shared" si="2"/>
        <v>0</v>
      </c>
      <c r="Z18" s="24"/>
      <c r="AA18" s="20"/>
      <c r="AB18" s="21" t="b">
        <v>1</v>
      </c>
      <c r="AC18" s="22">
        <f t="shared" si="3"/>
        <v>0</v>
      </c>
      <c r="AD18" s="28"/>
      <c r="AE18" s="28"/>
    </row>
    <row r="19" spans="1:31" ht="12.75">
      <c r="A19" s="10">
        <f t="shared" si="0"/>
        <v>0</v>
      </c>
      <c r="B19" s="13"/>
      <c r="C19" s="13"/>
      <c r="D19" s="13"/>
      <c r="E19" s="13"/>
      <c r="F19" s="13"/>
      <c r="G19" s="13"/>
      <c r="H19" s="13"/>
      <c r="I19" s="13"/>
      <c r="J19" s="13"/>
      <c r="K19" s="13"/>
      <c r="L19" s="16"/>
      <c r="M19" s="17" t="s">
        <v>654</v>
      </c>
      <c r="N19" s="16"/>
      <c r="O19" s="17"/>
      <c r="P19" s="16"/>
      <c r="Q19" s="17"/>
      <c r="R19" s="17"/>
      <c r="S19" s="17"/>
      <c r="T19" s="17"/>
      <c r="U19" s="17"/>
      <c r="V19" s="16"/>
      <c r="W19" s="17"/>
      <c r="X19" s="16"/>
      <c r="Y19" s="18">
        <f t="shared" si="2"/>
        <v>0</v>
      </c>
      <c r="Z19" s="24"/>
      <c r="AA19" s="20"/>
      <c r="AB19" s="21" t="b">
        <v>1</v>
      </c>
      <c r="AC19" s="22">
        <f t="shared" si="3"/>
        <v>0</v>
      </c>
      <c r="AD19" s="28"/>
      <c r="AE19" s="28"/>
    </row>
    <row r="20" spans="1:31" ht="12.75">
      <c r="A20" s="10">
        <f t="shared" si="0"/>
        <v>0</v>
      </c>
      <c r="B20" s="13"/>
      <c r="C20" s="13"/>
      <c r="D20" s="13"/>
      <c r="E20" s="13"/>
      <c r="F20" s="13"/>
      <c r="G20" s="13"/>
      <c r="H20" s="13"/>
      <c r="I20" s="13"/>
      <c r="J20" s="13"/>
      <c r="K20" s="13"/>
      <c r="L20" s="16"/>
      <c r="M20" s="17" t="s">
        <v>655</v>
      </c>
      <c r="N20" s="16"/>
      <c r="O20" s="17"/>
      <c r="P20" s="16"/>
      <c r="Q20" s="17"/>
      <c r="R20" s="17"/>
      <c r="S20" s="17"/>
      <c r="T20" s="17"/>
      <c r="U20" s="17"/>
      <c r="V20" s="16"/>
      <c r="W20" s="17"/>
      <c r="X20" s="16"/>
      <c r="Y20" s="18">
        <f t="shared" si="2"/>
        <v>0</v>
      </c>
      <c r="Z20" s="24"/>
      <c r="AA20" s="20"/>
      <c r="AB20" s="21" t="b">
        <v>1</v>
      </c>
      <c r="AC20" s="22">
        <f t="shared" si="3"/>
        <v>0</v>
      </c>
      <c r="AD20" s="28"/>
      <c r="AE20" s="28"/>
    </row>
    <row r="21" spans="1:31" ht="12.75">
      <c r="A21" s="10">
        <f t="shared" si="0"/>
        <v>0</v>
      </c>
      <c r="B21" s="13"/>
      <c r="C21" s="13"/>
      <c r="D21" s="13"/>
      <c r="E21" s="13"/>
      <c r="F21" s="13"/>
      <c r="G21" s="13"/>
      <c r="H21" s="13"/>
      <c r="I21" s="13"/>
      <c r="J21" s="13"/>
      <c r="K21" s="13"/>
      <c r="L21" s="16"/>
      <c r="M21" s="17"/>
      <c r="N21" s="16" t="s">
        <v>656</v>
      </c>
      <c r="O21" s="17"/>
      <c r="P21" s="16"/>
      <c r="Q21" s="17"/>
      <c r="R21" s="17"/>
      <c r="S21" s="17"/>
      <c r="T21" s="17"/>
      <c r="U21" s="17"/>
      <c r="V21" s="16"/>
      <c r="W21" s="17"/>
      <c r="X21" s="16"/>
      <c r="Y21" s="18">
        <f t="shared" si="2"/>
        <v>0</v>
      </c>
      <c r="Z21" s="24"/>
      <c r="AA21" s="20"/>
      <c r="AB21" s="21" t="b">
        <v>1</v>
      </c>
      <c r="AC21" s="22">
        <f t="shared" si="3"/>
        <v>0</v>
      </c>
      <c r="AD21" s="28"/>
      <c r="AE21" s="28"/>
    </row>
    <row r="22" spans="1:31" ht="12.75">
      <c r="A22" s="10">
        <f t="shared" si="0"/>
        <v>0</v>
      </c>
      <c r="B22" s="13"/>
      <c r="C22" s="13"/>
      <c r="D22" s="13"/>
      <c r="E22" s="13"/>
      <c r="F22" s="13"/>
      <c r="G22" s="13"/>
      <c r="H22" s="13"/>
      <c r="I22" s="13"/>
      <c r="J22" s="13"/>
      <c r="K22" s="13"/>
      <c r="L22" s="16"/>
      <c r="M22" s="17"/>
      <c r="N22" s="16" t="s">
        <v>657</v>
      </c>
      <c r="O22" s="17"/>
      <c r="P22" s="16"/>
      <c r="Q22" s="17"/>
      <c r="R22" s="17"/>
      <c r="S22" s="17"/>
      <c r="T22" s="17"/>
      <c r="U22" s="16"/>
      <c r="V22" s="16"/>
      <c r="W22" s="16"/>
      <c r="X22" s="16"/>
      <c r="Y22" s="18">
        <f t="shared" si="2"/>
        <v>0</v>
      </c>
      <c r="Z22" s="24"/>
      <c r="AA22" s="20"/>
      <c r="AB22" s="21" t="b">
        <v>1</v>
      </c>
      <c r="AC22" s="22">
        <f t="shared" si="3"/>
        <v>0</v>
      </c>
      <c r="AD22" s="28"/>
      <c r="AE22" s="28"/>
    </row>
    <row r="23" spans="1:31" ht="12.75">
      <c r="A23" s="10">
        <f t="shared" si="0"/>
        <v>0</v>
      </c>
      <c r="B23" s="13"/>
      <c r="C23" s="13"/>
      <c r="D23" s="13"/>
      <c r="E23" s="13"/>
      <c r="F23" s="13"/>
      <c r="G23" s="13"/>
      <c r="H23" s="13"/>
      <c r="I23" s="13"/>
      <c r="J23" s="13"/>
      <c r="K23" s="13"/>
      <c r="L23" s="16"/>
      <c r="M23" s="17"/>
      <c r="N23" s="16" t="s">
        <v>658</v>
      </c>
      <c r="O23" s="17"/>
      <c r="P23" s="16"/>
      <c r="Q23" s="17"/>
      <c r="R23" s="17"/>
      <c r="S23" s="17"/>
      <c r="T23" s="17"/>
      <c r="U23" s="17"/>
      <c r="V23" s="17"/>
      <c r="W23" s="17"/>
      <c r="X23" s="16">
        <v>5</v>
      </c>
      <c r="Y23" s="18">
        <f t="shared" si="2"/>
        <v>0</v>
      </c>
      <c r="Z23" s="24"/>
      <c r="AA23" s="20"/>
      <c r="AB23" s="21" t="b">
        <v>1</v>
      </c>
      <c r="AC23" s="22">
        <f t="shared" si="3"/>
        <v>0</v>
      </c>
      <c r="AD23" s="28"/>
      <c r="AE23" s="28"/>
    </row>
    <row r="24" spans="1:31" ht="12.75">
      <c r="A24" s="10">
        <f t="shared" si="0"/>
        <v>0</v>
      </c>
      <c r="B24" s="13"/>
      <c r="C24" s="13"/>
      <c r="D24" s="13"/>
      <c r="E24" s="13"/>
      <c r="F24" s="13"/>
      <c r="G24" s="13"/>
      <c r="H24" s="13"/>
      <c r="I24" s="13"/>
      <c r="J24" s="13"/>
      <c r="K24" s="13"/>
      <c r="L24" s="16"/>
      <c r="M24" s="17"/>
      <c r="N24" s="16" t="s">
        <v>659</v>
      </c>
      <c r="O24" s="17"/>
      <c r="P24" s="16"/>
      <c r="Q24" s="17"/>
      <c r="R24" s="17"/>
      <c r="S24" s="17"/>
      <c r="T24" s="17"/>
      <c r="U24" s="17"/>
      <c r="V24" s="17"/>
      <c r="W24" s="17"/>
      <c r="X24" s="16">
        <v>5</v>
      </c>
      <c r="Y24" s="18">
        <f t="shared" si="2"/>
        <v>0</v>
      </c>
      <c r="Z24" s="24"/>
      <c r="AA24" s="20"/>
      <c r="AB24" s="21" t="b">
        <v>1</v>
      </c>
      <c r="AC24" s="22">
        <f t="shared" si="3"/>
        <v>0</v>
      </c>
      <c r="AD24" s="28"/>
      <c r="AE24" s="28"/>
    </row>
    <row r="25" spans="1:31" ht="12.75">
      <c r="A25" s="10">
        <f t="shared" si="0"/>
        <v>0</v>
      </c>
      <c r="B25" s="108"/>
      <c r="C25" s="108"/>
      <c r="D25" s="108"/>
      <c r="E25" s="108"/>
      <c r="F25" s="108"/>
      <c r="G25" s="108"/>
      <c r="H25" s="108"/>
      <c r="I25" s="108"/>
      <c r="J25" s="108"/>
      <c r="K25" s="108"/>
      <c r="L25" s="16"/>
      <c r="M25" s="17"/>
      <c r="N25" s="16" t="s">
        <v>660</v>
      </c>
      <c r="O25" s="17"/>
      <c r="P25" s="16"/>
      <c r="Q25" s="17"/>
      <c r="R25" s="17"/>
      <c r="S25" s="109"/>
      <c r="T25" s="109"/>
      <c r="U25" s="109"/>
      <c r="V25" s="109"/>
      <c r="W25" s="109"/>
      <c r="X25" s="16">
        <v>5</v>
      </c>
      <c r="Y25" s="18">
        <f t="shared" si="2"/>
        <v>0</v>
      </c>
      <c r="Z25" s="110"/>
      <c r="AA25" s="111"/>
      <c r="AB25" s="112" t="b">
        <v>1</v>
      </c>
      <c r="AC25" s="22">
        <f t="shared" si="3"/>
        <v>0</v>
      </c>
      <c r="AD25" s="113"/>
      <c r="AE25" s="113"/>
    </row>
    <row r="26" spans="1:31" ht="12.75">
      <c r="A26" s="10">
        <f t="shared" si="0"/>
        <v>0</v>
      </c>
      <c r="B26" s="13"/>
      <c r="C26" s="13"/>
      <c r="D26" s="13"/>
      <c r="E26" s="13"/>
      <c r="F26" s="13"/>
      <c r="G26" s="13"/>
      <c r="H26" s="13"/>
      <c r="I26" s="13"/>
      <c r="J26" s="13"/>
      <c r="K26" s="13"/>
      <c r="L26" s="16"/>
      <c r="M26" s="17"/>
      <c r="N26" s="16" t="s">
        <v>661</v>
      </c>
      <c r="O26" s="17"/>
      <c r="P26" s="16"/>
      <c r="Q26" s="17"/>
      <c r="R26" s="17"/>
      <c r="S26" s="17"/>
      <c r="T26" s="17"/>
      <c r="U26" s="17"/>
      <c r="V26" s="17"/>
      <c r="W26" s="17"/>
      <c r="X26" s="16">
        <v>5</v>
      </c>
      <c r="Y26" s="18">
        <f t="shared" si="2"/>
        <v>0</v>
      </c>
      <c r="Z26" s="24"/>
      <c r="AA26" s="20"/>
      <c r="AB26" s="21" t="b">
        <v>1</v>
      </c>
      <c r="AC26" s="22">
        <f t="shared" si="3"/>
        <v>0</v>
      </c>
      <c r="AD26" s="28"/>
      <c r="AE26" s="28"/>
    </row>
    <row r="27" spans="1:31" ht="12.75">
      <c r="A27" s="10">
        <f t="shared" si="0"/>
        <v>0</v>
      </c>
      <c r="B27" s="13"/>
      <c r="C27" s="13"/>
      <c r="D27" s="13"/>
      <c r="E27" s="13"/>
      <c r="F27" s="13"/>
      <c r="G27" s="13"/>
      <c r="H27" s="13"/>
      <c r="I27" s="13"/>
      <c r="J27" s="13"/>
      <c r="K27" s="13"/>
      <c r="L27" s="16"/>
      <c r="M27" s="17"/>
      <c r="N27" s="16" t="s">
        <v>662</v>
      </c>
      <c r="O27" s="17"/>
      <c r="P27" s="16"/>
      <c r="Q27" s="17"/>
      <c r="R27" s="17"/>
      <c r="S27" s="17"/>
      <c r="T27" s="17"/>
      <c r="U27" s="17"/>
      <c r="V27" s="17"/>
      <c r="W27" s="17"/>
      <c r="X27" s="16">
        <v>5</v>
      </c>
      <c r="Y27" s="18">
        <f t="shared" si="2"/>
        <v>0</v>
      </c>
      <c r="Z27" s="24"/>
      <c r="AA27" s="20"/>
      <c r="AB27" s="21" t="b">
        <v>1</v>
      </c>
      <c r="AC27" s="22">
        <f t="shared" si="3"/>
        <v>0</v>
      </c>
      <c r="AD27" s="28"/>
      <c r="AE27" s="28"/>
    </row>
    <row r="28" spans="1:31" ht="12.75">
      <c r="A28" s="10">
        <f t="shared" si="0"/>
        <v>0</v>
      </c>
      <c r="B28" s="13"/>
      <c r="C28" s="13"/>
      <c r="D28" s="13"/>
      <c r="E28" s="13"/>
      <c r="F28" s="13"/>
      <c r="G28" s="13"/>
      <c r="H28" s="13"/>
      <c r="I28" s="13"/>
      <c r="J28" s="13"/>
      <c r="K28" s="13"/>
      <c r="L28" s="16"/>
      <c r="M28" s="16"/>
      <c r="N28" s="16" t="s">
        <v>663</v>
      </c>
      <c r="O28" s="16"/>
      <c r="P28" s="16"/>
      <c r="Q28" s="16"/>
      <c r="R28" s="17"/>
      <c r="S28" s="17"/>
      <c r="T28" s="17"/>
      <c r="U28" s="17"/>
      <c r="V28" s="17"/>
      <c r="W28" s="17"/>
      <c r="X28" s="16">
        <v>5</v>
      </c>
      <c r="Y28" s="18">
        <f t="shared" si="2"/>
        <v>0</v>
      </c>
      <c r="Z28" s="24"/>
      <c r="AA28" s="20"/>
      <c r="AB28" s="21" t="b">
        <v>1</v>
      </c>
      <c r="AC28" s="22">
        <f t="shared" si="3"/>
        <v>0</v>
      </c>
      <c r="AD28" s="28"/>
      <c r="AE28" s="28"/>
    </row>
    <row r="29" spans="1:31" ht="12.75">
      <c r="A29" s="10">
        <f t="shared" si="0"/>
        <v>0</v>
      </c>
      <c r="B29" s="13"/>
      <c r="C29" s="13"/>
      <c r="D29" s="13"/>
      <c r="E29" s="13"/>
      <c r="F29" s="13"/>
      <c r="G29" s="13"/>
      <c r="H29" s="13"/>
      <c r="I29" s="13"/>
      <c r="J29" s="13"/>
      <c r="K29" s="13"/>
      <c r="L29" s="16"/>
      <c r="M29" s="16"/>
      <c r="N29" s="16" t="s">
        <v>664</v>
      </c>
      <c r="O29" s="16"/>
      <c r="P29" s="16"/>
      <c r="Q29" s="16"/>
      <c r="R29" s="17"/>
      <c r="S29" s="17"/>
      <c r="T29" s="17"/>
      <c r="U29" s="17"/>
      <c r="V29" s="17"/>
      <c r="W29" s="17"/>
      <c r="X29" s="16">
        <v>5</v>
      </c>
      <c r="Y29" s="18">
        <f t="shared" si="2"/>
        <v>0</v>
      </c>
      <c r="Z29" s="24"/>
      <c r="AA29" s="20"/>
      <c r="AB29" s="21" t="b">
        <v>1</v>
      </c>
      <c r="AC29" s="22">
        <f t="shared" si="3"/>
        <v>0</v>
      </c>
      <c r="AD29" s="28"/>
      <c r="AE29" s="28"/>
    </row>
    <row r="30" spans="1:31" ht="12.75">
      <c r="A30" s="10">
        <f t="shared" si="0"/>
        <v>0</v>
      </c>
      <c r="B30" s="13"/>
      <c r="C30" s="13"/>
      <c r="D30" s="13"/>
      <c r="E30" s="13"/>
      <c r="F30" s="13"/>
      <c r="G30" s="13"/>
      <c r="H30" s="13"/>
      <c r="I30" s="13"/>
      <c r="J30" s="13"/>
      <c r="K30" s="13"/>
      <c r="L30" s="16"/>
      <c r="M30" s="17"/>
      <c r="N30" s="16" t="s">
        <v>665</v>
      </c>
      <c r="O30" s="17"/>
      <c r="P30" s="16"/>
      <c r="Q30" s="17"/>
      <c r="R30" s="17"/>
      <c r="S30" s="17"/>
      <c r="T30" s="17"/>
      <c r="U30" s="17"/>
      <c r="V30" s="17"/>
      <c r="W30" s="17"/>
      <c r="X30" s="16">
        <v>5</v>
      </c>
      <c r="Y30" s="18">
        <f t="shared" si="2"/>
        <v>0</v>
      </c>
      <c r="Z30" s="24"/>
      <c r="AA30" s="20"/>
      <c r="AB30" s="21" t="b">
        <v>1</v>
      </c>
      <c r="AC30" s="22">
        <f t="shared" si="3"/>
        <v>0</v>
      </c>
      <c r="AD30" s="28"/>
      <c r="AE30" s="28"/>
    </row>
    <row r="31" spans="1:31" ht="12.75">
      <c r="A31" s="10">
        <f t="shared" si="0"/>
        <v>0</v>
      </c>
      <c r="B31" s="13"/>
      <c r="C31" s="13"/>
      <c r="D31" s="13"/>
      <c r="E31" s="13"/>
      <c r="F31" s="13"/>
      <c r="G31" s="13"/>
      <c r="H31" s="13"/>
      <c r="I31" s="13"/>
      <c r="J31" s="13"/>
      <c r="K31" s="13"/>
      <c r="L31" s="16"/>
      <c r="M31" s="17" t="s">
        <v>666</v>
      </c>
      <c r="N31" s="16"/>
      <c r="O31" s="17"/>
      <c r="P31" s="16"/>
      <c r="Q31" s="17"/>
      <c r="R31" s="109"/>
      <c r="S31" s="17"/>
      <c r="T31" s="17"/>
      <c r="U31" s="17"/>
      <c r="V31" s="17"/>
      <c r="W31" s="17"/>
      <c r="X31" s="16">
        <v>5</v>
      </c>
      <c r="Y31" s="18">
        <f t="shared" si="2"/>
        <v>0</v>
      </c>
      <c r="Z31" s="24"/>
      <c r="AA31" s="20"/>
      <c r="AB31" s="21" t="b">
        <v>1</v>
      </c>
      <c r="AC31" s="22">
        <f t="shared" si="3"/>
        <v>0</v>
      </c>
      <c r="AD31" s="28"/>
      <c r="AE31" s="28"/>
    </row>
    <row r="32" spans="1:31" ht="12.75">
      <c r="A32" s="10">
        <f t="shared" si="0"/>
        <v>0</v>
      </c>
      <c r="B32" s="13"/>
      <c r="C32" s="13"/>
      <c r="D32" s="13"/>
      <c r="E32" s="13"/>
      <c r="F32" s="13"/>
      <c r="G32" s="13"/>
      <c r="H32" s="13"/>
      <c r="I32" s="13"/>
      <c r="J32" s="13"/>
      <c r="K32" s="13"/>
      <c r="L32" s="16"/>
      <c r="M32" s="17" t="s">
        <v>667</v>
      </c>
      <c r="N32" s="16"/>
      <c r="O32" s="17"/>
      <c r="P32" s="16"/>
      <c r="Q32" s="17"/>
      <c r="R32" s="17"/>
      <c r="S32" s="17"/>
      <c r="T32" s="17"/>
      <c r="U32" s="17"/>
      <c r="V32" s="17"/>
      <c r="W32" s="17"/>
      <c r="X32" s="16">
        <v>5</v>
      </c>
      <c r="Y32" s="18">
        <f t="shared" si="2"/>
        <v>0</v>
      </c>
      <c r="Z32" s="24"/>
      <c r="AA32" s="20"/>
      <c r="AB32" s="21" t="b">
        <v>1</v>
      </c>
      <c r="AC32" s="22">
        <f t="shared" si="3"/>
        <v>0</v>
      </c>
      <c r="AD32" s="28"/>
      <c r="AE32" s="28"/>
    </row>
    <row r="33" spans="1:31" ht="12.75">
      <c r="A33" s="10">
        <f t="shared" si="0"/>
        <v>0</v>
      </c>
      <c r="B33" s="13"/>
      <c r="C33" s="13"/>
      <c r="D33" s="13"/>
      <c r="E33" s="13"/>
      <c r="F33" s="13"/>
      <c r="G33" s="13"/>
      <c r="H33" s="13"/>
      <c r="I33" s="13"/>
      <c r="J33" s="13"/>
      <c r="K33" s="13"/>
      <c r="L33" s="16"/>
      <c r="M33" s="17" t="s">
        <v>655</v>
      </c>
      <c r="N33" s="16"/>
      <c r="O33" s="17"/>
      <c r="P33" s="16"/>
      <c r="Q33" s="17"/>
      <c r="R33" s="17"/>
      <c r="S33" s="17"/>
      <c r="T33" s="17"/>
      <c r="U33" s="17"/>
      <c r="V33" s="17"/>
      <c r="W33" s="17"/>
      <c r="X33" s="16">
        <v>5</v>
      </c>
      <c r="Y33" s="18">
        <f t="shared" si="2"/>
        <v>0</v>
      </c>
      <c r="Z33" s="24"/>
      <c r="AA33" s="20"/>
      <c r="AB33" s="21" t="b">
        <v>1</v>
      </c>
      <c r="AC33" s="22">
        <f t="shared" si="3"/>
        <v>0</v>
      </c>
      <c r="AD33" s="28"/>
      <c r="AE33" s="28"/>
    </row>
    <row r="34" spans="1:31" ht="12.75">
      <c r="A34" s="10">
        <f t="shared" si="0"/>
        <v>0</v>
      </c>
      <c r="B34" s="13"/>
      <c r="C34" s="13"/>
      <c r="D34" s="13"/>
      <c r="E34" s="13"/>
      <c r="F34" s="13"/>
      <c r="G34" s="13"/>
      <c r="H34" s="13"/>
      <c r="I34" s="13"/>
      <c r="J34" s="13"/>
      <c r="K34" s="13"/>
      <c r="L34" s="16"/>
      <c r="M34" s="17"/>
      <c r="N34" s="16" t="s">
        <v>668</v>
      </c>
      <c r="O34" s="17"/>
      <c r="P34" s="16"/>
      <c r="Q34" s="17"/>
      <c r="R34" s="17"/>
      <c r="S34" s="17"/>
      <c r="T34" s="17"/>
      <c r="U34" s="17"/>
      <c r="V34" s="17"/>
      <c r="W34" s="17"/>
      <c r="X34" s="16">
        <v>5</v>
      </c>
      <c r="Y34" s="18">
        <f t="shared" si="2"/>
        <v>0</v>
      </c>
      <c r="Z34" s="24"/>
      <c r="AA34" s="20"/>
      <c r="AB34" s="21" t="b">
        <v>1</v>
      </c>
      <c r="AC34" s="22">
        <f t="shared" si="3"/>
        <v>0</v>
      </c>
      <c r="AD34" s="28"/>
      <c r="AE34" s="28"/>
    </row>
    <row r="35" spans="1:31" ht="12.75">
      <c r="A35" s="10">
        <f t="shared" si="0"/>
        <v>0</v>
      </c>
      <c r="B35" s="13"/>
      <c r="C35" s="13"/>
      <c r="D35" s="13"/>
      <c r="E35" s="13"/>
      <c r="F35" s="13"/>
      <c r="G35" s="13"/>
      <c r="H35" s="13"/>
      <c r="I35" s="13"/>
      <c r="J35" s="13"/>
      <c r="K35" s="13"/>
      <c r="L35" s="16"/>
      <c r="M35" s="17"/>
      <c r="N35" s="16" t="s">
        <v>669</v>
      </c>
      <c r="O35" s="17"/>
      <c r="P35" s="16"/>
      <c r="Q35" s="17"/>
      <c r="R35" s="17"/>
      <c r="S35" s="17"/>
      <c r="T35" s="17"/>
      <c r="U35" s="17"/>
      <c r="V35" s="17"/>
      <c r="W35" s="17"/>
      <c r="X35" s="16">
        <v>5</v>
      </c>
      <c r="Y35" s="18">
        <f t="shared" si="2"/>
        <v>0</v>
      </c>
      <c r="Z35" s="24"/>
      <c r="AA35" s="20"/>
      <c r="AB35" s="21" t="b">
        <v>1</v>
      </c>
      <c r="AC35" s="22">
        <f t="shared" si="3"/>
        <v>0</v>
      </c>
      <c r="AD35" s="28"/>
      <c r="AE35" s="28"/>
    </row>
    <row r="36" spans="1:31" ht="12.75">
      <c r="A36" s="10">
        <f t="shared" si="0"/>
        <v>0</v>
      </c>
      <c r="B36" s="13"/>
      <c r="C36" s="13"/>
      <c r="D36" s="13"/>
      <c r="E36" s="13"/>
      <c r="F36" s="13"/>
      <c r="G36" s="13"/>
      <c r="H36" s="13"/>
      <c r="I36" s="13"/>
      <c r="J36" s="13"/>
      <c r="K36" s="13"/>
      <c r="L36" s="16"/>
      <c r="M36" s="17"/>
      <c r="N36" s="16" t="s">
        <v>670</v>
      </c>
      <c r="O36" s="17"/>
      <c r="P36" s="16"/>
      <c r="Q36" s="17"/>
      <c r="R36" s="17"/>
      <c r="S36" s="17"/>
      <c r="T36" s="17"/>
      <c r="U36" s="17"/>
      <c r="V36" s="17"/>
      <c r="W36" s="17"/>
      <c r="X36" s="16">
        <v>5</v>
      </c>
      <c r="Y36" s="18">
        <f t="shared" si="2"/>
        <v>0</v>
      </c>
      <c r="Z36" s="24"/>
      <c r="AA36" s="20"/>
      <c r="AB36" s="21" t="b">
        <v>1</v>
      </c>
      <c r="AC36" s="22">
        <f t="shared" si="3"/>
        <v>0</v>
      </c>
      <c r="AD36" s="28"/>
      <c r="AE36" s="28"/>
    </row>
    <row r="37" spans="1:31" ht="12.75">
      <c r="A37" s="10">
        <f t="shared" si="0"/>
        <v>0</v>
      </c>
      <c r="B37" s="13"/>
      <c r="C37" s="13"/>
      <c r="D37" s="13"/>
      <c r="E37" s="13"/>
      <c r="F37" s="13"/>
      <c r="G37" s="13"/>
      <c r="H37" s="13"/>
      <c r="I37" s="13"/>
      <c r="J37" s="13"/>
      <c r="K37" s="13"/>
      <c r="L37" s="16"/>
      <c r="M37" s="17"/>
      <c r="N37" s="16" t="s">
        <v>671</v>
      </c>
      <c r="O37" s="17"/>
      <c r="P37" s="16"/>
      <c r="Q37" s="17"/>
      <c r="R37" s="17"/>
      <c r="S37" s="17"/>
      <c r="T37" s="17"/>
      <c r="U37" s="17"/>
      <c r="V37" s="17"/>
      <c r="W37" s="17"/>
      <c r="X37" s="16">
        <v>5</v>
      </c>
      <c r="Y37" s="18">
        <f t="shared" si="2"/>
        <v>0</v>
      </c>
      <c r="Z37" s="24"/>
      <c r="AA37" s="20"/>
      <c r="AB37" s="21" t="b">
        <v>1</v>
      </c>
      <c r="AC37" s="22">
        <f t="shared" si="3"/>
        <v>0</v>
      </c>
      <c r="AD37" s="28"/>
      <c r="AE37" s="28"/>
    </row>
    <row r="38" spans="1:31" ht="12.75">
      <c r="A38" s="10">
        <f t="shared" si="0"/>
        <v>0</v>
      </c>
      <c r="B38" s="13"/>
      <c r="C38" s="13"/>
      <c r="D38" s="13"/>
      <c r="E38" s="13"/>
      <c r="F38" s="13"/>
      <c r="G38" s="13"/>
      <c r="H38" s="13"/>
      <c r="I38" s="13"/>
      <c r="J38" s="13"/>
      <c r="K38" s="13"/>
      <c r="L38" s="16"/>
      <c r="M38" s="17"/>
      <c r="N38" s="16" t="s">
        <v>672</v>
      </c>
      <c r="O38" s="17"/>
      <c r="P38" s="16"/>
      <c r="Q38" s="17"/>
      <c r="R38" s="17"/>
      <c r="S38" s="17"/>
      <c r="T38" s="17"/>
      <c r="U38" s="17"/>
      <c r="V38" s="17"/>
      <c r="W38" s="17"/>
      <c r="X38" s="16">
        <v>5</v>
      </c>
      <c r="Y38" s="18">
        <f t="shared" si="2"/>
        <v>0</v>
      </c>
      <c r="Z38" s="24"/>
      <c r="AA38" s="20"/>
      <c r="AB38" s="21" t="b">
        <v>1</v>
      </c>
      <c r="AC38" s="22">
        <f t="shared" si="3"/>
        <v>0</v>
      </c>
      <c r="AD38" s="28"/>
      <c r="AE38" s="28"/>
    </row>
    <row r="39" spans="1:31" ht="12.75">
      <c r="A39" s="10">
        <f t="shared" si="0"/>
        <v>0</v>
      </c>
      <c r="B39" s="13"/>
      <c r="C39" s="13"/>
      <c r="D39" s="13"/>
      <c r="E39" s="13"/>
      <c r="F39" s="13"/>
      <c r="G39" s="13"/>
      <c r="H39" s="13"/>
      <c r="I39" s="13"/>
      <c r="J39" s="13"/>
      <c r="K39" s="13"/>
      <c r="L39" s="16"/>
      <c r="M39" s="17"/>
      <c r="N39" s="16" t="s">
        <v>673</v>
      </c>
      <c r="O39" s="17"/>
      <c r="P39" s="16"/>
      <c r="Q39" s="17"/>
      <c r="R39" s="17"/>
      <c r="S39" s="17"/>
      <c r="T39" s="17"/>
      <c r="U39" s="17"/>
      <c r="V39" s="17"/>
      <c r="W39" s="17"/>
      <c r="X39" s="16">
        <v>5</v>
      </c>
      <c r="Y39" s="18">
        <f t="shared" si="2"/>
        <v>0</v>
      </c>
      <c r="Z39" s="24"/>
      <c r="AA39" s="20"/>
      <c r="AB39" s="21" t="b">
        <v>1</v>
      </c>
      <c r="AC39" s="22">
        <f t="shared" si="3"/>
        <v>0</v>
      </c>
      <c r="AD39" s="28"/>
      <c r="AE39" s="28"/>
    </row>
    <row r="40" spans="1:31" ht="12.75">
      <c r="A40" s="10">
        <f t="shared" si="0"/>
        <v>0</v>
      </c>
      <c r="B40" s="13"/>
      <c r="C40" s="13"/>
      <c r="D40" s="13"/>
      <c r="E40" s="13"/>
      <c r="F40" s="13"/>
      <c r="G40" s="13"/>
      <c r="H40" s="13"/>
      <c r="I40" s="13"/>
      <c r="J40" s="13"/>
      <c r="K40" s="13"/>
      <c r="L40" s="16"/>
      <c r="M40" s="16"/>
      <c r="N40" s="16" t="s">
        <v>674</v>
      </c>
      <c r="O40" s="16"/>
      <c r="P40" s="16"/>
      <c r="Q40" s="16"/>
      <c r="R40" s="17"/>
      <c r="S40" s="17"/>
      <c r="T40" s="17"/>
      <c r="U40" s="17"/>
      <c r="V40" s="17"/>
      <c r="W40" s="17"/>
      <c r="X40" s="16">
        <v>5</v>
      </c>
      <c r="Y40" s="18">
        <f t="shared" si="2"/>
        <v>0</v>
      </c>
      <c r="Z40" s="24"/>
      <c r="AA40" s="20"/>
      <c r="AB40" s="21" t="b">
        <v>1</v>
      </c>
      <c r="AC40" s="22">
        <f t="shared" si="3"/>
        <v>0</v>
      </c>
      <c r="AD40" s="28"/>
      <c r="AE40" s="28"/>
    </row>
    <row r="41" spans="1:31" ht="12.75">
      <c r="A41" s="10">
        <f t="shared" si="0"/>
        <v>0</v>
      </c>
      <c r="B41" s="13"/>
      <c r="C41" s="13"/>
      <c r="D41" s="13"/>
      <c r="E41" s="13"/>
      <c r="F41" s="13"/>
      <c r="G41" s="13"/>
      <c r="H41" s="13"/>
      <c r="I41" s="13"/>
      <c r="J41" s="13"/>
      <c r="K41" s="13"/>
      <c r="L41" s="16"/>
      <c r="M41" s="16"/>
      <c r="N41" s="16" t="s">
        <v>675</v>
      </c>
      <c r="O41" s="16"/>
      <c r="P41" s="16"/>
      <c r="Q41" s="16"/>
      <c r="R41" s="17"/>
      <c r="S41" s="17"/>
      <c r="T41" s="17"/>
      <c r="U41" s="17"/>
      <c r="V41" s="17"/>
      <c r="W41" s="17"/>
      <c r="X41" s="16">
        <v>5</v>
      </c>
      <c r="Y41" s="18">
        <f t="shared" si="2"/>
        <v>0</v>
      </c>
      <c r="Z41" s="24"/>
      <c r="AA41" s="20"/>
      <c r="AB41" s="21" t="b">
        <v>1</v>
      </c>
      <c r="AC41" s="22">
        <f t="shared" si="3"/>
        <v>0</v>
      </c>
      <c r="AD41" s="28"/>
      <c r="AE41" s="28"/>
    </row>
    <row r="42" spans="1:31" ht="12.75">
      <c r="A42" s="10">
        <f t="shared" si="0"/>
        <v>0</v>
      </c>
      <c r="B42" s="13"/>
      <c r="C42" s="13"/>
      <c r="D42" s="13"/>
      <c r="E42" s="13"/>
      <c r="F42" s="13"/>
      <c r="G42" s="13"/>
      <c r="H42" s="13"/>
      <c r="I42" s="13"/>
      <c r="J42" s="13"/>
      <c r="K42" s="13"/>
      <c r="L42" s="16"/>
      <c r="M42" s="17" t="s">
        <v>676</v>
      </c>
      <c r="N42" s="16"/>
      <c r="O42" s="17"/>
      <c r="P42" s="16"/>
      <c r="Q42" s="17"/>
      <c r="R42" s="17"/>
      <c r="S42" s="17"/>
      <c r="T42" s="17"/>
      <c r="U42" s="17"/>
      <c r="V42" s="17"/>
      <c r="W42" s="17"/>
      <c r="X42" s="16">
        <v>5</v>
      </c>
      <c r="Y42" s="18">
        <f t="shared" si="2"/>
        <v>0</v>
      </c>
      <c r="Z42" s="24"/>
      <c r="AA42" s="20"/>
      <c r="AB42" s="21" t="b">
        <v>1</v>
      </c>
      <c r="AC42" s="22">
        <f t="shared" si="3"/>
        <v>0</v>
      </c>
      <c r="AD42" s="28"/>
      <c r="AE42" s="28"/>
    </row>
    <row r="43" spans="1:31" ht="12.75">
      <c r="A43" s="10">
        <f t="shared" si="0"/>
        <v>0</v>
      </c>
      <c r="B43" s="13"/>
      <c r="C43" s="13"/>
      <c r="D43" s="13"/>
      <c r="E43" s="13"/>
      <c r="F43" s="13"/>
      <c r="G43" s="13"/>
      <c r="H43" s="13"/>
      <c r="I43" s="13"/>
      <c r="J43" s="13"/>
      <c r="K43" s="13"/>
      <c r="L43" s="16"/>
      <c r="M43" s="17" t="s">
        <v>677</v>
      </c>
      <c r="N43" s="16"/>
      <c r="O43" s="17"/>
      <c r="P43" s="16"/>
      <c r="Q43" s="17"/>
      <c r="R43" s="17"/>
      <c r="S43" s="17"/>
      <c r="T43" s="17"/>
      <c r="U43" s="17"/>
      <c r="V43" s="17"/>
      <c r="W43" s="17"/>
      <c r="X43" s="16">
        <v>5</v>
      </c>
      <c r="Y43" s="18">
        <f t="shared" si="2"/>
        <v>0</v>
      </c>
      <c r="Z43" s="24"/>
      <c r="AA43" s="20"/>
      <c r="AB43" s="21" t="b">
        <v>1</v>
      </c>
      <c r="AC43" s="22">
        <f t="shared" si="3"/>
        <v>0</v>
      </c>
      <c r="AD43" s="28"/>
      <c r="AE43" s="28"/>
    </row>
    <row r="44" spans="1:31" ht="12.75">
      <c r="A44" s="10">
        <f t="shared" si="0"/>
        <v>0</v>
      </c>
      <c r="B44" s="13"/>
      <c r="C44" s="13"/>
      <c r="D44" s="13"/>
      <c r="E44" s="13"/>
      <c r="F44" s="13"/>
      <c r="G44" s="13"/>
      <c r="H44" s="13"/>
      <c r="I44" s="13"/>
      <c r="J44" s="13"/>
      <c r="K44" s="13"/>
      <c r="L44" s="16"/>
      <c r="M44" s="17" t="s">
        <v>678</v>
      </c>
      <c r="N44" s="16"/>
      <c r="O44" s="17"/>
      <c r="P44" s="16"/>
      <c r="Q44" s="17"/>
      <c r="R44" s="17"/>
      <c r="S44" s="17"/>
      <c r="T44" s="17"/>
      <c r="U44" s="17"/>
      <c r="V44" s="17"/>
      <c r="W44" s="17"/>
      <c r="X44" s="16">
        <v>5</v>
      </c>
      <c r="Y44" s="18">
        <f t="shared" si="2"/>
        <v>0</v>
      </c>
      <c r="Z44" s="24"/>
      <c r="AA44" s="20"/>
      <c r="AB44" s="21" t="b">
        <v>1</v>
      </c>
      <c r="AC44" s="22">
        <f t="shared" si="3"/>
        <v>0</v>
      </c>
      <c r="AD44" s="28"/>
      <c r="AE44" s="28"/>
    </row>
    <row r="45" spans="1:31" ht="12.75">
      <c r="A45" s="10">
        <f t="shared" si="0"/>
        <v>0</v>
      </c>
      <c r="B45" s="13"/>
      <c r="C45" s="13"/>
      <c r="D45" s="13"/>
      <c r="E45" s="13"/>
      <c r="F45" s="13"/>
      <c r="G45" s="13"/>
      <c r="H45" s="13"/>
      <c r="I45" s="13"/>
      <c r="J45" s="13"/>
      <c r="K45" s="13"/>
      <c r="L45" s="16"/>
      <c r="M45" s="17"/>
      <c r="N45" s="16" t="s">
        <v>679</v>
      </c>
      <c r="O45" s="17"/>
      <c r="P45" s="16"/>
      <c r="Q45" s="17"/>
      <c r="R45" s="17"/>
      <c r="S45" s="17"/>
      <c r="T45" s="17"/>
      <c r="U45" s="17"/>
      <c r="V45" s="17"/>
      <c r="W45" s="17"/>
      <c r="X45" s="16">
        <v>5</v>
      </c>
      <c r="Y45" s="18">
        <f t="shared" si="2"/>
        <v>0</v>
      </c>
      <c r="Z45" s="24"/>
      <c r="AA45" s="20"/>
      <c r="AB45" s="21" t="b">
        <v>1</v>
      </c>
      <c r="AC45" s="22">
        <f t="shared" si="3"/>
        <v>0</v>
      </c>
      <c r="AD45" s="28"/>
      <c r="AE45" s="28"/>
    </row>
    <row r="46" spans="1:31" ht="12.75">
      <c r="A46" s="10">
        <f t="shared" si="0"/>
        <v>0</v>
      </c>
      <c r="B46" s="13"/>
      <c r="C46" s="13"/>
      <c r="D46" s="13"/>
      <c r="E46" s="13"/>
      <c r="F46" s="13"/>
      <c r="G46" s="13"/>
      <c r="H46" s="13"/>
      <c r="I46" s="13"/>
      <c r="J46" s="13"/>
      <c r="K46" s="13"/>
      <c r="L46" s="16"/>
      <c r="M46" s="17"/>
      <c r="N46" s="16" t="s">
        <v>680</v>
      </c>
      <c r="O46" s="17"/>
      <c r="P46" s="16"/>
      <c r="Q46" s="17"/>
      <c r="R46" s="17"/>
      <c r="S46" s="17"/>
      <c r="T46" s="17"/>
      <c r="U46" s="17"/>
      <c r="V46" s="17"/>
      <c r="W46" s="17"/>
      <c r="X46" s="16">
        <v>5</v>
      </c>
      <c r="Y46" s="18">
        <f t="shared" si="2"/>
        <v>0</v>
      </c>
      <c r="Z46" s="24"/>
      <c r="AA46" s="20"/>
      <c r="AB46" s="21" t="b">
        <v>1</v>
      </c>
      <c r="AC46" s="22">
        <f t="shared" si="3"/>
        <v>0</v>
      </c>
      <c r="AD46" s="28"/>
      <c r="AE46" s="28"/>
    </row>
    <row r="47" spans="1:31" ht="12.75">
      <c r="A47" s="10">
        <f t="shared" si="0"/>
        <v>0</v>
      </c>
      <c r="B47" s="13"/>
      <c r="C47" s="13"/>
      <c r="D47" s="13"/>
      <c r="E47" s="13"/>
      <c r="F47" s="13"/>
      <c r="G47" s="13"/>
      <c r="H47" s="13"/>
      <c r="I47" s="13"/>
      <c r="J47" s="13"/>
      <c r="K47" s="13"/>
      <c r="L47" s="16"/>
      <c r="M47" s="17"/>
      <c r="N47" s="16" t="s">
        <v>681</v>
      </c>
      <c r="O47" s="17"/>
      <c r="P47" s="16"/>
      <c r="Q47" s="17"/>
      <c r="R47" s="17"/>
      <c r="S47" s="17"/>
      <c r="T47" s="17"/>
      <c r="U47" s="17"/>
      <c r="V47" s="17"/>
      <c r="W47" s="17"/>
      <c r="X47" s="16">
        <v>6</v>
      </c>
      <c r="Y47" s="18">
        <f t="shared" si="2"/>
        <v>0</v>
      </c>
      <c r="Z47" s="24"/>
      <c r="AA47" s="20"/>
      <c r="AB47" s="21" t="b">
        <v>1</v>
      </c>
      <c r="AC47" s="22">
        <f t="shared" si="3"/>
        <v>0</v>
      </c>
      <c r="AD47" s="28"/>
      <c r="AE47" s="28"/>
    </row>
    <row r="48" spans="1:31" ht="12.75">
      <c r="A48" s="10">
        <f t="shared" si="0"/>
        <v>0</v>
      </c>
      <c r="B48" s="13"/>
      <c r="C48" s="13"/>
      <c r="D48" s="13"/>
      <c r="E48" s="13"/>
      <c r="F48" s="13"/>
      <c r="G48" s="13"/>
      <c r="H48" s="13"/>
      <c r="I48" s="13"/>
      <c r="J48" s="13"/>
      <c r="K48" s="13"/>
      <c r="L48" s="16"/>
      <c r="M48" s="17" t="s">
        <v>655</v>
      </c>
      <c r="N48" s="16"/>
      <c r="O48" s="17"/>
      <c r="P48" s="16"/>
      <c r="Q48" s="17"/>
      <c r="R48" s="17"/>
      <c r="S48" s="17"/>
      <c r="T48" s="17"/>
      <c r="U48" s="17"/>
      <c r="V48" s="17"/>
      <c r="W48" s="17"/>
      <c r="X48" s="16">
        <v>6</v>
      </c>
      <c r="Y48" s="18">
        <f t="shared" si="2"/>
        <v>0</v>
      </c>
      <c r="Z48" s="24"/>
      <c r="AA48" s="20"/>
      <c r="AB48" s="21" t="b">
        <v>1</v>
      </c>
      <c r="AC48" s="22">
        <f t="shared" si="3"/>
        <v>0</v>
      </c>
      <c r="AD48" s="28"/>
      <c r="AE48" s="28"/>
    </row>
    <row r="49" spans="1:31" ht="18" customHeight="1">
      <c r="A49" s="10">
        <f t="shared" si="0"/>
        <v>0</v>
      </c>
      <c r="B49" s="13"/>
      <c r="C49" s="13"/>
      <c r="D49" s="13"/>
      <c r="E49" s="13"/>
      <c r="F49" s="13"/>
      <c r="G49" s="13"/>
      <c r="H49" s="13"/>
      <c r="I49" s="13"/>
      <c r="J49" s="13"/>
      <c r="K49" s="13"/>
      <c r="L49" s="16"/>
      <c r="M49" s="17"/>
      <c r="N49" s="16" t="s">
        <v>682</v>
      </c>
      <c r="O49" s="17"/>
      <c r="P49" s="16"/>
      <c r="Q49" s="17"/>
      <c r="R49" s="17"/>
      <c r="S49" s="17"/>
      <c r="T49" s="17"/>
      <c r="U49" s="17"/>
      <c r="V49" s="17"/>
      <c r="W49" s="17"/>
      <c r="X49" s="16">
        <v>6</v>
      </c>
      <c r="Y49" s="18">
        <f t="shared" si="2"/>
        <v>0</v>
      </c>
      <c r="Z49" s="24"/>
      <c r="AA49" s="20"/>
      <c r="AB49" s="21" t="b">
        <v>1</v>
      </c>
      <c r="AC49" s="22">
        <f t="shared" si="3"/>
        <v>0</v>
      </c>
      <c r="AD49" s="28"/>
      <c r="AE49" s="28"/>
    </row>
    <row r="50" spans="1:31" ht="18" customHeight="1">
      <c r="A50" s="10">
        <f t="shared" si="0"/>
        <v>0</v>
      </c>
      <c r="B50" s="13"/>
      <c r="C50" s="13"/>
      <c r="D50" s="13"/>
      <c r="E50" s="13"/>
      <c r="F50" s="13"/>
      <c r="G50" s="13"/>
      <c r="H50" s="13"/>
      <c r="I50" s="13"/>
      <c r="J50" s="13"/>
      <c r="K50" s="13"/>
      <c r="L50" s="16"/>
      <c r="M50" s="17"/>
      <c r="N50" s="16" t="s">
        <v>683</v>
      </c>
      <c r="O50" s="17"/>
      <c r="P50" s="16"/>
      <c r="Q50" s="17"/>
      <c r="R50" s="17"/>
      <c r="S50" s="17"/>
      <c r="T50" s="17"/>
      <c r="U50" s="17"/>
      <c r="V50" s="17"/>
      <c r="W50" s="17"/>
      <c r="X50" s="16">
        <v>6</v>
      </c>
      <c r="Y50" s="18">
        <f t="shared" si="2"/>
        <v>0</v>
      </c>
      <c r="Z50" s="24"/>
      <c r="AA50" s="20"/>
      <c r="AB50" s="21" t="b">
        <v>1</v>
      </c>
      <c r="AC50" s="22">
        <f t="shared" si="3"/>
        <v>0</v>
      </c>
      <c r="AD50" s="28"/>
      <c r="AE50" s="28"/>
    </row>
    <row r="51" spans="1:31" ht="18" customHeight="1">
      <c r="A51" s="10">
        <f t="shared" si="0"/>
        <v>0</v>
      </c>
      <c r="B51" s="13"/>
      <c r="C51" s="13"/>
      <c r="D51" s="13"/>
      <c r="E51" s="13"/>
      <c r="F51" s="13"/>
      <c r="G51" s="13"/>
      <c r="H51" s="13"/>
      <c r="I51" s="13"/>
      <c r="J51" s="13"/>
      <c r="K51" s="13"/>
      <c r="L51" s="16"/>
      <c r="M51" s="17"/>
      <c r="N51" s="16" t="s">
        <v>684</v>
      </c>
      <c r="O51" s="17"/>
      <c r="P51" s="16"/>
      <c r="Q51" s="17"/>
      <c r="R51" s="17"/>
      <c r="S51" s="17"/>
      <c r="T51" s="17"/>
      <c r="U51" s="17"/>
      <c r="V51" s="17"/>
      <c r="W51" s="17"/>
      <c r="X51" s="16">
        <v>6</v>
      </c>
      <c r="Y51" s="18">
        <f t="shared" si="2"/>
        <v>0</v>
      </c>
      <c r="Z51" s="24"/>
      <c r="AA51" s="20"/>
      <c r="AB51" s="21" t="b">
        <v>1</v>
      </c>
      <c r="AC51" s="22">
        <f t="shared" si="3"/>
        <v>0</v>
      </c>
      <c r="AD51" s="28"/>
      <c r="AE51" s="28"/>
    </row>
    <row r="52" spans="1:31" ht="18" customHeight="1">
      <c r="A52" s="10">
        <f t="shared" si="0"/>
        <v>0</v>
      </c>
      <c r="B52" s="13"/>
      <c r="C52" s="13"/>
      <c r="D52" s="13"/>
      <c r="E52" s="13"/>
      <c r="F52" s="13"/>
      <c r="G52" s="13"/>
      <c r="H52" s="13"/>
      <c r="I52" s="13"/>
      <c r="J52" s="13"/>
      <c r="K52" s="13"/>
      <c r="L52" s="16"/>
      <c r="M52" s="16"/>
      <c r="N52" s="16" t="s">
        <v>685</v>
      </c>
      <c r="O52" s="16"/>
      <c r="P52" s="16"/>
      <c r="Q52" s="16"/>
      <c r="R52" s="17"/>
      <c r="S52" s="17"/>
      <c r="T52" s="17"/>
      <c r="U52" s="17"/>
      <c r="V52" s="17"/>
      <c r="W52" s="17"/>
      <c r="X52" s="16">
        <v>6</v>
      </c>
      <c r="Y52" s="18">
        <f t="shared" si="2"/>
        <v>0</v>
      </c>
      <c r="Z52" s="24"/>
      <c r="AA52" s="20"/>
      <c r="AB52" s="21" t="b">
        <v>1</v>
      </c>
      <c r="AC52" s="22">
        <f t="shared" si="3"/>
        <v>0</v>
      </c>
      <c r="AD52" s="28"/>
      <c r="AE52" s="28"/>
    </row>
    <row r="53" spans="1:31" ht="12.75">
      <c r="A53" s="10">
        <f t="shared" si="0"/>
        <v>0</v>
      </c>
      <c r="B53" s="13"/>
      <c r="C53" s="13"/>
      <c r="D53" s="13"/>
      <c r="E53" s="13"/>
      <c r="F53" s="13"/>
      <c r="G53" s="13"/>
      <c r="H53" s="13"/>
      <c r="I53" s="13"/>
      <c r="J53" s="13"/>
      <c r="K53" s="13"/>
      <c r="L53" s="16"/>
      <c r="M53" s="16"/>
      <c r="N53" s="16"/>
      <c r="O53" s="16"/>
      <c r="P53" s="16"/>
      <c r="Q53" s="16"/>
      <c r="R53" s="17"/>
      <c r="S53" s="17"/>
      <c r="T53" s="17"/>
      <c r="U53" s="17"/>
      <c r="V53" s="17"/>
      <c r="W53" s="17"/>
      <c r="X53" s="16">
        <v>6</v>
      </c>
      <c r="Y53" s="18">
        <f t="shared" ref="Y53:Y65" si="4">SUMIF($X$2:$X$156,X52,$A$2:$A$156)</f>
        <v>0</v>
      </c>
      <c r="Z53" s="24"/>
      <c r="AA53" s="20"/>
      <c r="AB53" s="21" t="b">
        <v>1</v>
      </c>
      <c r="AC53" s="22">
        <f t="shared" si="3"/>
        <v>0</v>
      </c>
      <c r="AD53" s="28"/>
      <c r="AE53" s="28"/>
    </row>
    <row r="54" spans="1:31" ht="12.75">
      <c r="A54" s="10">
        <f t="shared" si="0"/>
        <v>0</v>
      </c>
      <c r="B54" s="13"/>
      <c r="C54" s="13"/>
      <c r="D54" s="13"/>
      <c r="E54" s="13"/>
      <c r="F54" s="13"/>
      <c r="G54" s="13"/>
      <c r="H54" s="13"/>
      <c r="I54" s="13"/>
      <c r="J54" s="13"/>
      <c r="K54" s="13"/>
      <c r="L54" s="16"/>
      <c r="M54" s="17" t="s">
        <v>686</v>
      </c>
      <c r="N54" s="16"/>
      <c r="O54" s="17"/>
      <c r="P54" s="16"/>
      <c r="Q54" s="17"/>
      <c r="R54" s="17"/>
      <c r="S54" s="17"/>
      <c r="T54" s="17"/>
      <c r="U54" s="17"/>
      <c r="V54" s="17"/>
      <c r="W54" s="17"/>
      <c r="X54" s="16">
        <v>6</v>
      </c>
      <c r="Y54" s="18">
        <f t="shared" si="4"/>
        <v>0</v>
      </c>
      <c r="Z54" s="24"/>
      <c r="AA54" s="20"/>
      <c r="AB54" s="21" t="b">
        <v>1</v>
      </c>
      <c r="AC54" s="22">
        <f t="shared" ref="AC54:AC60" si="5">IF(L54="",0,IF(AB54=FALSE(),0,#REF!))</f>
        <v>0</v>
      </c>
      <c r="AD54" s="28"/>
      <c r="AE54" s="28"/>
    </row>
    <row r="55" spans="1:31" ht="12.75">
      <c r="A55" s="10">
        <f t="shared" si="0"/>
        <v>0</v>
      </c>
      <c r="B55" s="13"/>
      <c r="C55" s="13"/>
      <c r="D55" s="13"/>
      <c r="E55" s="13"/>
      <c r="F55" s="13"/>
      <c r="G55" s="13"/>
      <c r="H55" s="13"/>
      <c r="I55" s="13"/>
      <c r="J55" s="13"/>
      <c r="K55" s="13"/>
      <c r="L55" s="16"/>
      <c r="M55" s="17"/>
      <c r="N55" s="16" t="s">
        <v>687</v>
      </c>
      <c r="O55" s="17"/>
      <c r="P55" s="16"/>
      <c r="Q55" s="17"/>
      <c r="R55" s="17"/>
      <c r="S55" s="17"/>
      <c r="T55" s="17"/>
      <c r="U55" s="17"/>
      <c r="V55" s="17"/>
      <c r="W55" s="17"/>
      <c r="X55" s="16">
        <v>6</v>
      </c>
      <c r="Y55" s="18">
        <f t="shared" si="4"/>
        <v>0</v>
      </c>
      <c r="Z55" s="24"/>
      <c r="AA55" s="20"/>
      <c r="AB55" s="21" t="b">
        <v>1</v>
      </c>
      <c r="AC55" s="22">
        <f t="shared" si="5"/>
        <v>0</v>
      </c>
      <c r="AD55" s="28"/>
      <c r="AE55" s="28"/>
    </row>
    <row r="56" spans="1:31" ht="12.75">
      <c r="A56" s="10">
        <f t="shared" si="0"/>
        <v>0</v>
      </c>
      <c r="B56" s="13"/>
      <c r="C56" s="13"/>
      <c r="D56" s="13"/>
      <c r="E56" s="13"/>
      <c r="F56" s="13"/>
      <c r="G56" s="13"/>
      <c r="H56" s="13"/>
      <c r="I56" s="13"/>
      <c r="J56" s="13"/>
      <c r="K56" s="13"/>
      <c r="L56" s="16"/>
      <c r="M56" s="17"/>
      <c r="N56" s="16" t="s">
        <v>688</v>
      </c>
      <c r="O56" s="17"/>
      <c r="P56" s="16"/>
      <c r="Q56" s="17"/>
      <c r="R56" s="17"/>
      <c r="S56" s="17"/>
      <c r="T56" s="17"/>
      <c r="U56" s="17"/>
      <c r="V56" s="17"/>
      <c r="W56" s="17"/>
      <c r="X56" s="16">
        <v>6</v>
      </c>
      <c r="Y56" s="18">
        <f t="shared" si="4"/>
        <v>0</v>
      </c>
      <c r="Z56" s="24"/>
      <c r="AA56" s="20"/>
      <c r="AB56" s="21" t="b">
        <v>1</v>
      </c>
      <c r="AC56" s="22">
        <f t="shared" si="5"/>
        <v>0</v>
      </c>
      <c r="AD56" s="28"/>
      <c r="AE56" s="28"/>
    </row>
    <row r="57" spans="1:31" ht="12.75">
      <c r="A57" s="10">
        <f t="shared" si="0"/>
        <v>0</v>
      </c>
      <c r="B57" s="13"/>
      <c r="C57" s="13"/>
      <c r="D57" s="13"/>
      <c r="E57" s="13"/>
      <c r="F57" s="13"/>
      <c r="G57" s="13"/>
      <c r="H57" s="13"/>
      <c r="I57" s="13"/>
      <c r="J57" s="13"/>
      <c r="K57" s="13"/>
      <c r="L57" s="16"/>
      <c r="M57" s="17"/>
      <c r="N57" s="16" t="s">
        <v>689</v>
      </c>
      <c r="O57" s="17"/>
      <c r="P57" s="16"/>
      <c r="Q57" s="17"/>
      <c r="R57" s="17"/>
      <c r="S57" s="17"/>
      <c r="T57" s="17"/>
      <c r="U57" s="17"/>
      <c r="V57" s="17"/>
      <c r="W57" s="17"/>
      <c r="X57" s="16">
        <v>6</v>
      </c>
      <c r="Y57" s="18">
        <f t="shared" si="4"/>
        <v>0</v>
      </c>
      <c r="Z57" s="24"/>
      <c r="AA57" s="20"/>
      <c r="AB57" s="21" t="b">
        <v>1</v>
      </c>
      <c r="AC57" s="22">
        <f t="shared" si="5"/>
        <v>0</v>
      </c>
      <c r="AD57" s="28"/>
      <c r="AE57" s="28"/>
    </row>
    <row r="58" spans="1:31" ht="12.75">
      <c r="A58" s="10">
        <f t="shared" si="0"/>
        <v>0</v>
      </c>
      <c r="B58" s="13"/>
      <c r="C58" s="13"/>
      <c r="D58" s="13"/>
      <c r="E58" s="13"/>
      <c r="F58" s="13"/>
      <c r="G58" s="13"/>
      <c r="H58" s="13"/>
      <c r="I58" s="13"/>
      <c r="J58" s="13"/>
      <c r="K58" s="13"/>
      <c r="L58" s="16"/>
      <c r="M58" s="17"/>
      <c r="N58" s="16" t="s">
        <v>690</v>
      </c>
      <c r="O58" s="17"/>
      <c r="P58" s="16"/>
      <c r="Q58" s="17"/>
      <c r="R58" s="17"/>
      <c r="S58" s="17"/>
      <c r="T58" s="17"/>
      <c r="U58" s="17"/>
      <c r="V58" s="17"/>
      <c r="W58" s="17"/>
      <c r="X58" s="16">
        <v>6</v>
      </c>
      <c r="Y58" s="18">
        <f t="shared" si="4"/>
        <v>0</v>
      </c>
      <c r="Z58" s="24"/>
      <c r="AA58" s="20"/>
      <c r="AB58" s="21" t="b">
        <v>1</v>
      </c>
      <c r="AC58" s="22">
        <f t="shared" si="5"/>
        <v>0</v>
      </c>
      <c r="AD58" s="28"/>
      <c r="AE58" s="28"/>
    </row>
    <row r="59" spans="1:31" ht="12.75">
      <c r="A59" s="10">
        <f t="shared" si="0"/>
        <v>0</v>
      </c>
      <c r="B59" s="13"/>
      <c r="C59" s="13"/>
      <c r="D59" s="13"/>
      <c r="E59" s="13"/>
      <c r="F59" s="13"/>
      <c r="G59" s="13"/>
      <c r="H59" s="13"/>
      <c r="I59" s="13"/>
      <c r="J59" s="13"/>
      <c r="K59" s="13"/>
      <c r="L59" s="16"/>
      <c r="M59" s="17"/>
      <c r="N59" s="16" t="s">
        <v>691</v>
      </c>
      <c r="O59" s="17"/>
      <c r="P59" s="16"/>
      <c r="Q59" s="17"/>
      <c r="R59" s="17"/>
      <c r="S59" s="17"/>
      <c r="T59" s="17"/>
      <c r="U59" s="17"/>
      <c r="V59" s="17"/>
      <c r="W59" s="17"/>
      <c r="X59" s="16">
        <v>6</v>
      </c>
      <c r="Y59" s="18">
        <f t="shared" si="4"/>
        <v>0</v>
      </c>
      <c r="Z59" s="24"/>
      <c r="AA59" s="20"/>
      <c r="AB59" s="21" t="b">
        <v>1</v>
      </c>
      <c r="AC59" s="22">
        <f t="shared" si="5"/>
        <v>0</v>
      </c>
      <c r="AD59" s="28"/>
      <c r="AE59" s="28"/>
    </row>
    <row r="60" spans="1:31" ht="12.75">
      <c r="A60" s="10">
        <f t="shared" si="0"/>
        <v>0</v>
      </c>
      <c r="B60" s="13"/>
      <c r="C60" s="13"/>
      <c r="D60" s="13"/>
      <c r="E60" s="13"/>
      <c r="F60" s="13"/>
      <c r="G60" s="13"/>
      <c r="H60" s="13"/>
      <c r="I60" s="13"/>
      <c r="J60" s="13"/>
      <c r="K60" s="13"/>
      <c r="L60" s="16"/>
      <c r="M60" s="17" t="s">
        <v>692</v>
      </c>
      <c r="N60" s="16"/>
      <c r="O60" s="17"/>
      <c r="P60" s="16"/>
      <c r="Q60" s="17"/>
      <c r="R60" s="17"/>
      <c r="S60" s="17"/>
      <c r="T60" s="17"/>
      <c r="U60" s="17"/>
      <c r="V60" s="17"/>
      <c r="W60" s="17"/>
      <c r="X60" s="16">
        <v>6</v>
      </c>
      <c r="Y60" s="18">
        <f t="shared" si="4"/>
        <v>0</v>
      </c>
      <c r="Z60" s="24"/>
      <c r="AA60" s="20"/>
      <c r="AB60" s="21" t="b">
        <v>1</v>
      </c>
      <c r="AC60" s="22">
        <f t="shared" si="5"/>
        <v>0</v>
      </c>
      <c r="AD60" s="28"/>
      <c r="AE60" s="28"/>
    </row>
    <row r="61" spans="1:31" ht="12.75">
      <c r="A61" s="10">
        <f t="shared" si="0"/>
        <v>0</v>
      </c>
      <c r="B61" s="13"/>
      <c r="C61" s="13"/>
      <c r="D61" s="13"/>
      <c r="E61" s="13"/>
      <c r="F61" s="13"/>
      <c r="G61" s="13"/>
      <c r="H61" s="13"/>
      <c r="I61" s="13"/>
      <c r="J61" s="13"/>
      <c r="K61" s="13"/>
      <c r="L61" s="16"/>
      <c r="M61" s="17"/>
      <c r="N61" s="16" t="s">
        <v>693</v>
      </c>
      <c r="O61" s="17"/>
      <c r="P61" s="16"/>
      <c r="Q61" s="17"/>
      <c r="R61" s="17"/>
      <c r="S61" s="17"/>
      <c r="T61" s="17"/>
      <c r="U61" s="17"/>
      <c r="V61" s="17"/>
      <c r="W61" s="17"/>
      <c r="X61" s="16">
        <v>6</v>
      </c>
      <c r="Y61" s="18">
        <f t="shared" si="4"/>
        <v>0</v>
      </c>
      <c r="Z61" s="24"/>
      <c r="AA61" s="20"/>
      <c r="AB61" s="21" t="b">
        <v>1</v>
      </c>
      <c r="AC61" s="22">
        <f t="shared" ref="AC61:AC62" si="6">IF(L61="",0,IF(AB61=FALSE(),0,Y61))</f>
        <v>0</v>
      </c>
      <c r="AD61" s="28"/>
      <c r="AE61" s="28"/>
    </row>
    <row r="62" spans="1:31" ht="12.75">
      <c r="A62" s="10">
        <f t="shared" si="0"/>
        <v>0</v>
      </c>
      <c r="B62" s="13"/>
      <c r="C62" s="13"/>
      <c r="D62" s="13"/>
      <c r="E62" s="13"/>
      <c r="F62" s="13"/>
      <c r="G62" s="13"/>
      <c r="H62" s="13"/>
      <c r="I62" s="13"/>
      <c r="J62" s="13"/>
      <c r="K62" s="13"/>
      <c r="L62" s="16"/>
      <c r="M62" s="17"/>
      <c r="N62" s="16" t="s">
        <v>694</v>
      </c>
      <c r="O62" s="17"/>
      <c r="P62" s="16"/>
      <c r="Q62" s="17"/>
      <c r="R62" s="17"/>
      <c r="S62" s="17"/>
      <c r="T62" s="17"/>
      <c r="U62" s="17"/>
      <c r="V62" s="17"/>
      <c r="W62" s="17"/>
      <c r="X62" s="16">
        <v>6</v>
      </c>
      <c r="Y62" s="18">
        <f t="shared" si="4"/>
        <v>0</v>
      </c>
      <c r="Z62" s="24"/>
      <c r="AA62" s="20"/>
      <c r="AB62" s="21" t="b">
        <v>1</v>
      </c>
      <c r="AC62" s="22">
        <f t="shared" si="6"/>
        <v>0</v>
      </c>
      <c r="AD62" s="28"/>
      <c r="AE62" s="28"/>
    </row>
    <row r="63" spans="1:31" ht="12.75">
      <c r="A63" s="10">
        <f t="shared" si="0"/>
        <v>0</v>
      </c>
      <c r="B63" s="13"/>
      <c r="C63" s="13"/>
      <c r="D63" s="13"/>
      <c r="E63" s="13"/>
      <c r="F63" s="13"/>
      <c r="G63" s="13"/>
      <c r="H63" s="13"/>
      <c r="I63" s="13"/>
      <c r="J63" s="13"/>
      <c r="K63" s="13"/>
      <c r="L63" s="16"/>
      <c r="M63" s="17"/>
      <c r="N63" s="16" t="s">
        <v>695</v>
      </c>
      <c r="O63" s="17"/>
      <c r="P63" s="16"/>
      <c r="Q63" s="17"/>
      <c r="R63" s="17"/>
      <c r="S63" s="16"/>
      <c r="T63" s="17"/>
      <c r="U63" s="17"/>
      <c r="V63" s="17"/>
      <c r="W63" s="17"/>
      <c r="X63" s="16">
        <v>6</v>
      </c>
      <c r="Y63" s="18">
        <f t="shared" si="4"/>
        <v>0</v>
      </c>
      <c r="Z63" s="24"/>
      <c r="AA63" s="20"/>
      <c r="AB63" s="21" t="b">
        <v>1</v>
      </c>
      <c r="AC63" s="22"/>
      <c r="AD63" s="28"/>
      <c r="AE63" s="28"/>
    </row>
    <row r="64" spans="1:31" ht="12.75">
      <c r="A64" s="10">
        <f t="shared" si="0"/>
        <v>0</v>
      </c>
      <c r="B64" s="13"/>
      <c r="C64" s="13"/>
      <c r="D64" s="13"/>
      <c r="E64" s="13"/>
      <c r="F64" s="13"/>
      <c r="G64" s="13"/>
      <c r="H64" s="13"/>
      <c r="I64" s="13"/>
      <c r="J64" s="13"/>
      <c r="K64" s="13"/>
      <c r="L64" s="16"/>
      <c r="M64" s="16"/>
      <c r="N64" s="16" t="s">
        <v>696</v>
      </c>
      <c r="O64" s="16"/>
      <c r="P64" s="16"/>
      <c r="Q64" s="16"/>
      <c r="R64" s="17"/>
      <c r="S64" s="16"/>
      <c r="T64" s="17"/>
      <c r="U64" s="17"/>
      <c r="V64" s="17"/>
      <c r="W64" s="17"/>
      <c r="X64" s="16">
        <v>6</v>
      </c>
      <c r="Y64" s="18">
        <f t="shared" si="4"/>
        <v>0</v>
      </c>
      <c r="Z64" s="24"/>
      <c r="AA64" s="20"/>
      <c r="AB64" s="21" t="b">
        <v>1</v>
      </c>
      <c r="AC64" s="22"/>
      <c r="AD64" s="28"/>
      <c r="AE64" s="28"/>
    </row>
    <row r="65" spans="1:31" ht="12.75">
      <c r="A65" s="10">
        <f t="shared" si="0"/>
        <v>0</v>
      </c>
      <c r="B65" s="13"/>
      <c r="C65" s="13"/>
      <c r="D65" s="13"/>
      <c r="E65" s="13"/>
      <c r="F65" s="13"/>
      <c r="G65" s="13"/>
      <c r="H65" s="13"/>
      <c r="I65" s="13"/>
      <c r="J65" s="13"/>
      <c r="K65" s="13"/>
      <c r="L65" s="16"/>
      <c r="M65" s="16"/>
      <c r="N65" s="16" t="s">
        <v>691</v>
      </c>
      <c r="O65" s="16"/>
      <c r="P65" s="16"/>
      <c r="Q65" s="16"/>
      <c r="R65" s="17"/>
      <c r="S65" s="16"/>
      <c r="T65" s="17"/>
      <c r="U65" s="17"/>
      <c r="V65" s="17"/>
      <c r="W65" s="17"/>
      <c r="X65" s="16">
        <v>6</v>
      </c>
      <c r="Y65" s="18">
        <f t="shared" si="4"/>
        <v>0</v>
      </c>
      <c r="Z65" s="24"/>
      <c r="AA65" s="20"/>
      <c r="AB65" s="21" t="b">
        <v>1</v>
      </c>
      <c r="AC65" s="22"/>
      <c r="AD65" s="28"/>
      <c r="AE65" s="28"/>
    </row>
    <row r="66" spans="1:31" ht="12.75">
      <c r="A66" s="10">
        <f t="shared" si="0"/>
        <v>0</v>
      </c>
      <c r="B66" s="13"/>
      <c r="C66" s="13"/>
      <c r="D66" s="13"/>
      <c r="E66" s="13"/>
      <c r="F66" s="13"/>
      <c r="G66" s="13"/>
      <c r="H66" s="13"/>
      <c r="I66" s="13"/>
      <c r="J66" s="13"/>
      <c r="K66" s="13"/>
      <c r="L66" s="16"/>
      <c r="M66" s="17"/>
      <c r="N66" s="16" t="s">
        <v>697</v>
      </c>
      <c r="O66" s="17"/>
      <c r="P66" s="16"/>
      <c r="Q66" s="17"/>
      <c r="R66" s="17"/>
      <c r="S66" s="16"/>
      <c r="T66" s="17"/>
      <c r="U66" s="17"/>
      <c r="V66" s="17"/>
      <c r="W66" s="17"/>
      <c r="X66" s="16">
        <v>6</v>
      </c>
      <c r="Y66" s="18">
        <f t="shared" ref="Y66:Y84" si="7">SUMIF($X$2:$X$156,X66,$A$2:$A$156)</f>
        <v>0</v>
      </c>
      <c r="Z66" s="24"/>
      <c r="AA66" s="20"/>
      <c r="AB66" s="21" t="b">
        <v>1</v>
      </c>
      <c r="AC66" s="22">
        <f>IF(L66="",0,IF(AB66=FALSE(),0,Y66))</f>
        <v>0</v>
      </c>
      <c r="AD66" s="28"/>
      <c r="AE66" s="28"/>
    </row>
    <row r="67" spans="1:31" ht="12.75">
      <c r="A67" s="10">
        <f t="shared" si="0"/>
        <v>0</v>
      </c>
      <c r="B67" s="13"/>
      <c r="C67" s="13"/>
      <c r="D67" s="13"/>
      <c r="E67" s="13"/>
      <c r="F67" s="13"/>
      <c r="G67" s="13"/>
      <c r="H67" s="13"/>
      <c r="I67" s="13"/>
      <c r="J67" s="13"/>
      <c r="K67" s="13"/>
      <c r="L67" s="16"/>
      <c r="M67" s="17"/>
      <c r="N67" s="16"/>
      <c r="O67" s="17"/>
      <c r="P67" s="16"/>
      <c r="Q67" s="17"/>
      <c r="R67" s="17"/>
      <c r="S67" s="16"/>
      <c r="T67" s="17"/>
      <c r="U67" s="17"/>
      <c r="V67" s="17"/>
      <c r="W67" s="17"/>
      <c r="X67" s="16">
        <v>6</v>
      </c>
      <c r="Y67" s="18">
        <f t="shared" si="7"/>
        <v>0</v>
      </c>
      <c r="Z67" s="24"/>
      <c r="AA67" s="20"/>
      <c r="AB67" s="21" t="b">
        <v>1</v>
      </c>
      <c r="AC67" s="22"/>
      <c r="AD67" s="28"/>
      <c r="AE67" s="28"/>
    </row>
    <row r="68" spans="1:31" ht="12.75">
      <c r="A68" s="10">
        <f t="shared" si="0"/>
        <v>0</v>
      </c>
      <c r="B68" s="13"/>
      <c r="C68" s="13"/>
      <c r="D68" s="13"/>
      <c r="E68" s="13"/>
      <c r="F68" s="13"/>
      <c r="G68" s="13"/>
      <c r="H68" s="13"/>
      <c r="I68" s="13"/>
      <c r="J68" s="13"/>
      <c r="K68" s="13"/>
      <c r="L68" s="16"/>
      <c r="M68" s="17" t="s">
        <v>698</v>
      </c>
      <c r="N68" s="16"/>
      <c r="O68" s="17"/>
      <c r="P68" s="16"/>
      <c r="Q68" s="17"/>
      <c r="R68" s="16"/>
      <c r="S68" s="16"/>
      <c r="T68" s="17"/>
      <c r="U68" s="17"/>
      <c r="V68" s="17"/>
      <c r="W68" s="17"/>
      <c r="X68" s="16">
        <v>6</v>
      </c>
      <c r="Y68" s="18">
        <f t="shared" si="7"/>
        <v>0</v>
      </c>
      <c r="Z68" s="24"/>
      <c r="AA68" s="20"/>
      <c r="AB68" s="21" t="b">
        <v>1</v>
      </c>
      <c r="AC68" s="22"/>
      <c r="AD68" s="28"/>
      <c r="AE68" s="28"/>
    </row>
    <row r="69" spans="1:31" ht="12.75">
      <c r="A69" s="10">
        <f t="shared" si="0"/>
        <v>0</v>
      </c>
      <c r="B69" s="13"/>
      <c r="C69" s="13"/>
      <c r="D69" s="13"/>
      <c r="E69" s="13"/>
      <c r="F69" s="13"/>
      <c r="G69" s="13"/>
      <c r="H69" s="13"/>
      <c r="I69" s="13"/>
      <c r="J69" s="13"/>
      <c r="K69" s="13"/>
      <c r="L69" s="16"/>
      <c r="M69" s="17"/>
      <c r="N69" s="16" t="s">
        <v>694</v>
      </c>
      <c r="O69" s="17"/>
      <c r="P69" s="16"/>
      <c r="Q69" s="17"/>
      <c r="R69" s="16"/>
      <c r="S69" s="16"/>
      <c r="T69" s="17"/>
      <c r="U69" s="17"/>
      <c r="V69" s="17"/>
      <c r="W69" s="17"/>
      <c r="X69" s="16">
        <v>6</v>
      </c>
      <c r="Y69" s="18">
        <f t="shared" si="7"/>
        <v>0</v>
      </c>
      <c r="Z69" s="24"/>
      <c r="AA69" s="20"/>
      <c r="AB69" s="21" t="b">
        <v>1</v>
      </c>
      <c r="AC69" s="22"/>
      <c r="AD69" s="28"/>
      <c r="AE69" s="28"/>
    </row>
    <row r="70" spans="1:31" ht="12.75">
      <c r="A70" s="10">
        <f t="shared" si="0"/>
        <v>0</v>
      </c>
      <c r="B70" s="13"/>
      <c r="C70" s="13"/>
      <c r="D70" s="13"/>
      <c r="E70" s="13"/>
      <c r="F70" s="13"/>
      <c r="G70" s="13"/>
      <c r="H70" s="13"/>
      <c r="I70" s="13"/>
      <c r="J70" s="13"/>
      <c r="K70" s="13"/>
      <c r="L70" s="16"/>
      <c r="M70" s="17"/>
      <c r="N70" s="16" t="s">
        <v>699</v>
      </c>
      <c r="O70" s="17"/>
      <c r="P70" s="16"/>
      <c r="Q70" s="17"/>
      <c r="R70" s="16"/>
      <c r="S70" s="16"/>
      <c r="T70" s="17"/>
      <c r="U70" s="17"/>
      <c r="V70" s="17"/>
      <c r="W70" s="17"/>
      <c r="X70" s="16">
        <v>6</v>
      </c>
      <c r="Y70" s="18">
        <f t="shared" si="7"/>
        <v>0</v>
      </c>
      <c r="Z70" s="24"/>
      <c r="AA70" s="20"/>
      <c r="AB70" s="21" t="b">
        <v>1</v>
      </c>
      <c r="AC70" s="22"/>
      <c r="AD70" s="28"/>
      <c r="AE70" s="28"/>
    </row>
    <row r="71" spans="1:31" ht="12.75">
      <c r="A71" s="10">
        <f t="shared" si="0"/>
        <v>0</v>
      </c>
      <c r="B71" s="13"/>
      <c r="C71" s="13"/>
      <c r="D71" s="13"/>
      <c r="E71" s="13"/>
      <c r="F71" s="13"/>
      <c r="G71" s="13"/>
      <c r="H71" s="13"/>
      <c r="I71" s="13"/>
      <c r="J71" s="13"/>
      <c r="K71" s="13"/>
      <c r="L71" s="16"/>
      <c r="M71" s="17"/>
      <c r="N71" s="16" t="s">
        <v>700</v>
      </c>
      <c r="O71" s="17"/>
      <c r="P71" s="16"/>
      <c r="Q71" s="17"/>
      <c r="R71" s="16"/>
      <c r="S71" s="16"/>
      <c r="T71" s="17"/>
      <c r="U71" s="17"/>
      <c r="V71" s="17"/>
      <c r="W71" s="17"/>
      <c r="X71" s="16">
        <v>6</v>
      </c>
      <c r="Y71" s="18">
        <f t="shared" si="7"/>
        <v>0</v>
      </c>
      <c r="Z71" s="24"/>
      <c r="AA71" s="20"/>
      <c r="AB71" s="21" t="b">
        <v>1</v>
      </c>
      <c r="AC71" s="22">
        <f>IF(L71="",0,IF(AB71=FALSE(),0,Y71))</f>
        <v>0</v>
      </c>
      <c r="AD71" s="28"/>
      <c r="AE71" s="28"/>
    </row>
    <row r="72" spans="1:31" ht="12.75">
      <c r="A72" s="10">
        <f t="shared" si="0"/>
        <v>0</v>
      </c>
      <c r="B72" s="13"/>
      <c r="C72" s="13"/>
      <c r="D72" s="13"/>
      <c r="E72" s="13"/>
      <c r="F72" s="13"/>
      <c r="G72" s="13"/>
      <c r="H72" s="13"/>
      <c r="I72" s="13"/>
      <c r="J72" s="13"/>
      <c r="K72" s="13"/>
      <c r="L72" s="16"/>
      <c r="M72" s="17" t="s">
        <v>701</v>
      </c>
      <c r="N72" s="16"/>
      <c r="O72" s="17"/>
      <c r="P72" s="16"/>
      <c r="Q72" s="17"/>
      <c r="R72" s="16"/>
      <c r="S72" s="16"/>
      <c r="T72" s="17"/>
      <c r="U72" s="17"/>
      <c r="V72" s="17"/>
      <c r="W72" s="17"/>
      <c r="X72" s="16">
        <v>6</v>
      </c>
      <c r="Y72" s="18">
        <f t="shared" si="7"/>
        <v>0</v>
      </c>
      <c r="Z72" s="24"/>
      <c r="AA72" s="20"/>
      <c r="AB72" s="21" t="b">
        <v>1</v>
      </c>
      <c r="AC72" s="22"/>
      <c r="AD72" s="28"/>
      <c r="AE72" s="28"/>
    </row>
    <row r="73" spans="1:31" ht="12.75">
      <c r="A73" s="10">
        <f t="shared" si="0"/>
        <v>0</v>
      </c>
      <c r="B73" s="13"/>
      <c r="C73" s="13"/>
      <c r="D73" s="13"/>
      <c r="E73" s="13"/>
      <c r="F73" s="13"/>
      <c r="G73" s="13"/>
      <c r="H73" s="13"/>
      <c r="I73" s="13"/>
      <c r="J73" s="13"/>
      <c r="K73" s="13"/>
      <c r="L73" s="16"/>
      <c r="M73" s="17"/>
      <c r="N73" s="16" t="s">
        <v>702</v>
      </c>
      <c r="O73" s="17"/>
      <c r="P73" s="16"/>
      <c r="Q73" s="17"/>
      <c r="R73" s="16"/>
      <c r="S73" s="16"/>
      <c r="T73" s="17"/>
      <c r="U73" s="17"/>
      <c r="V73" s="17"/>
      <c r="W73" s="17"/>
      <c r="X73" s="16">
        <v>6</v>
      </c>
      <c r="Y73" s="18">
        <f t="shared" si="7"/>
        <v>0</v>
      </c>
      <c r="Z73" s="24"/>
      <c r="AA73" s="20"/>
      <c r="AB73" s="21" t="b">
        <v>1</v>
      </c>
      <c r="AC73" s="22"/>
      <c r="AD73" s="28"/>
      <c r="AE73" s="28"/>
    </row>
    <row r="74" spans="1:31" ht="12.75">
      <c r="A74" s="10">
        <f t="shared" si="0"/>
        <v>0</v>
      </c>
      <c r="B74" s="13"/>
      <c r="C74" s="13"/>
      <c r="D74" s="13"/>
      <c r="E74" s="13"/>
      <c r="F74" s="13"/>
      <c r="G74" s="13"/>
      <c r="H74" s="13"/>
      <c r="I74" s="13"/>
      <c r="J74" s="13"/>
      <c r="K74" s="13"/>
      <c r="L74" s="16"/>
      <c r="M74" s="17"/>
      <c r="N74" s="16" t="s">
        <v>703</v>
      </c>
      <c r="O74" s="17"/>
      <c r="P74" s="16"/>
      <c r="Q74" s="17"/>
      <c r="R74" s="16"/>
      <c r="S74" s="16"/>
      <c r="T74" s="17"/>
      <c r="U74" s="17"/>
      <c r="V74" s="17"/>
      <c r="W74" s="17"/>
      <c r="X74" s="16">
        <v>6</v>
      </c>
      <c r="Y74" s="18">
        <f t="shared" si="7"/>
        <v>0</v>
      </c>
      <c r="Z74" s="24"/>
      <c r="AA74" s="20"/>
      <c r="AB74" s="21" t="b">
        <v>1</v>
      </c>
      <c r="AC74" s="22"/>
      <c r="AD74" s="28"/>
      <c r="AE74" s="28"/>
    </row>
    <row r="75" spans="1:31" ht="12.75">
      <c r="A75" s="10">
        <f t="shared" si="0"/>
        <v>0</v>
      </c>
      <c r="B75" s="13"/>
      <c r="C75" s="13"/>
      <c r="D75" s="13"/>
      <c r="E75" s="13"/>
      <c r="F75" s="13"/>
      <c r="G75" s="13"/>
      <c r="H75" s="13"/>
      <c r="I75" s="13"/>
      <c r="J75" s="13"/>
      <c r="K75" s="13"/>
      <c r="L75" s="16"/>
      <c r="M75" s="17"/>
      <c r="N75" s="16" t="s">
        <v>704</v>
      </c>
      <c r="O75" s="17"/>
      <c r="P75" s="16"/>
      <c r="Q75" s="17"/>
      <c r="R75" s="16"/>
      <c r="S75" s="16"/>
      <c r="T75" s="17"/>
      <c r="U75" s="17"/>
      <c r="V75" s="17"/>
      <c r="W75" s="17"/>
      <c r="X75" s="16">
        <v>6</v>
      </c>
      <c r="Y75" s="18">
        <f t="shared" si="7"/>
        <v>0</v>
      </c>
      <c r="Z75" s="24"/>
      <c r="AA75" s="20"/>
      <c r="AB75" s="21" t="b">
        <v>1</v>
      </c>
      <c r="AC75" s="22"/>
      <c r="AD75" s="28"/>
      <c r="AE75" s="28"/>
    </row>
    <row r="76" spans="1:31" ht="12.75">
      <c r="A76" s="10">
        <f t="shared" si="0"/>
        <v>0</v>
      </c>
      <c r="B76" s="13"/>
      <c r="C76" s="13"/>
      <c r="D76" s="13"/>
      <c r="E76" s="13"/>
      <c r="F76" s="13"/>
      <c r="G76" s="13"/>
      <c r="H76" s="13"/>
      <c r="I76" s="13"/>
      <c r="J76" s="13"/>
      <c r="K76" s="13"/>
      <c r="L76" s="16"/>
      <c r="M76" s="16"/>
      <c r="N76" s="16" t="s">
        <v>691</v>
      </c>
      <c r="O76" s="16"/>
      <c r="P76" s="16"/>
      <c r="Q76" s="16"/>
      <c r="R76" s="16"/>
      <c r="S76" s="16"/>
      <c r="T76" s="17"/>
      <c r="U76" s="17"/>
      <c r="V76" s="17"/>
      <c r="W76" s="17"/>
      <c r="X76" s="16">
        <v>6</v>
      </c>
      <c r="Y76" s="18">
        <f t="shared" si="7"/>
        <v>0</v>
      </c>
      <c r="Z76" s="24"/>
      <c r="AA76" s="20"/>
      <c r="AB76" s="21" t="b">
        <v>1</v>
      </c>
      <c r="AC76" s="22"/>
      <c r="AD76" s="28"/>
      <c r="AE76" s="28"/>
    </row>
    <row r="77" spans="1:31" ht="12.75">
      <c r="A77" s="10">
        <f t="shared" si="0"/>
        <v>0</v>
      </c>
      <c r="B77" s="13"/>
      <c r="C77" s="13"/>
      <c r="D77" s="13"/>
      <c r="E77" s="13"/>
      <c r="F77" s="13"/>
      <c r="G77" s="13"/>
      <c r="H77" s="13"/>
      <c r="I77" s="13"/>
      <c r="J77" s="13"/>
      <c r="K77" s="13"/>
      <c r="L77" s="16"/>
      <c r="M77" s="16" t="s">
        <v>705</v>
      </c>
      <c r="N77" s="16"/>
      <c r="O77" s="16"/>
      <c r="P77" s="16"/>
      <c r="Q77" s="16"/>
      <c r="R77" s="16"/>
      <c r="S77" s="16"/>
      <c r="T77" s="17"/>
      <c r="U77" s="17"/>
      <c r="V77" s="17"/>
      <c r="W77" s="17"/>
      <c r="X77" s="17">
        <f t="shared" ref="X77:X84" si="8">COUNTIF($L$2:L77,"&lt;&gt;"&amp;"")</f>
        <v>15</v>
      </c>
      <c r="Y77" s="18">
        <f t="shared" si="7"/>
        <v>0</v>
      </c>
      <c r="Z77" s="24"/>
      <c r="AA77" s="20"/>
      <c r="AB77" s="21" t="b">
        <v>1</v>
      </c>
      <c r="AC77" s="22">
        <f t="shared" ref="AC77:AC84" si="9">IF(L77="",0,IF(AB77=FALSE(),0,Y77))</f>
        <v>0</v>
      </c>
      <c r="AD77" s="28"/>
      <c r="AE77" s="28"/>
    </row>
    <row r="78" spans="1:31" ht="12.75">
      <c r="A78" s="10">
        <f t="shared" si="0"/>
        <v>0</v>
      </c>
      <c r="B78" s="13"/>
      <c r="C78" s="13"/>
      <c r="D78" s="13"/>
      <c r="E78" s="13"/>
      <c r="F78" s="13"/>
      <c r="G78" s="13"/>
      <c r="H78" s="13"/>
      <c r="I78" s="13"/>
      <c r="J78" s="13"/>
      <c r="K78" s="13"/>
      <c r="L78" s="16"/>
      <c r="M78" s="17"/>
      <c r="N78" s="16" t="s">
        <v>706</v>
      </c>
      <c r="O78" s="17"/>
      <c r="P78" s="16"/>
      <c r="Q78" s="17"/>
      <c r="R78" s="16"/>
      <c r="S78" s="17"/>
      <c r="T78" s="17"/>
      <c r="U78" s="17"/>
      <c r="V78" s="17"/>
      <c r="W78" s="17"/>
      <c r="X78" s="17">
        <f t="shared" si="8"/>
        <v>15</v>
      </c>
      <c r="Y78" s="18">
        <f t="shared" si="7"/>
        <v>0</v>
      </c>
      <c r="Z78" s="19"/>
      <c r="AA78" s="20"/>
      <c r="AB78" s="21" t="b">
        <v>1</v>
      </c>
      <c r="AC78" s="22">
        <f t="shared" si="9"/>
        <v>0</v>
      </c>
      <c r="AD78" s="28"/>
      <c r="AE78" s="28"/>
    </row>
    <row r="79" spans="1:31" ht="12.75">
      <c r="A79" s="10">
        <f t="shared" si="0"/>
        <v>0</v>
      </c>
      <c r="B79" s="13"/>
      <c r="C79" s="13"/>
      <c r="D79" s="13"/>
      <c r="E79" s="13"/>
      <c r="F79" s="13"/>
      <c r="G79" s="13"/>
      <c r="H79" s="13"/>
      <c r="I79" s="13"/>
      <c r="J79" s="13"/>
      <c r="K79" s="13"/>
      <c r="L79" s="16"/>
      <c r="M79" s="17"/>
      <c r="N79" s="16" t="s">
        <v>707</v>
      </c>
      <c r="O79" s="17"/>
      <c r="P79" s="16"/>
      <c r="Q79" s="17"/>
      <c r="R79" s="16"/>
      <c r="S79" s="17"/>
      <c r="T79" s="17"/>
      <c r="U79" s="17"/>
      <c r="V79" s="17"/>
      <c r="W79" s="17"/>
      <c r="X79" s="17">
        <f t="shared" si="8"/>
        <v>15</v>
      </c>
      <c r="Y79" s="18">
        <f t="shared" si="7"/>
        <v>0</v>
      </c>
      <c r="Z79" s="24"/>
      <c r="AA79" s="20"/>
      <c r="AB79" s="21" t="b">
        <v>1</v>
      </c>
      <c r="AC79" s="22">
        <f t="shared" si="9"/>
        <v>0</v>
      </c>
      <c r="AD79" s="28"/>
      <c r="AE79" s="28"/>
    </row>
    <row r="80" spans="1:31" ht="12.75">
      <c r="A80" s="10">
        <f t="shared" si="0"/>
        <v>0</v>
      </c>
      <c r="B80" s="13"/>
      <c r="C80" s="13"/>
      <c r="D80" s="13"/>
      <c r="E80" s="13"/>
      <c r="F80" s="13"/>
      <c r="G80" s="13"/>
      <c r="H80" s="13"/>
      <c r="I80" s="13"/>
      <c r="J80" s="13"/>
      <c r="K80" s="13"/>
      <c r="L80" s="16"/>
      <c r="M80" s="17"/>
      <c r="N80" s="16" t="s">
        <v>708</v>
      </c>
      <c r="O80" s="17"/>
      <c r="P80" s="16"/>
      <c r="Q80" s="17"/>
      <c r="R80" s="16"/>
      <c r="S80" s="17"/>
      <c r="T80" s="17"/>
      <c r="U80" s="17"/>
      <c r="V80" s="17"/>
      <c r="W80" s="17"/>
      <c r="X80" s="17">
        <f t="shared" si="8"/>
        <v>15</v>
      </c>
      <c r="Y80" s="18">
        <f t="shared" si="7"/>
        <v>0</v>
      </c>
      <c r="Z80" s="24"/>
      <c r="AA80" s="20"/>
      <c r="AB80" s="21" t="b">
        <v>1</v>
      </c>
      <c r="AC80" s="22">
        <f t="shared" si="9"/>
        <v>0</v>
      </c>
      <c r="AD80" s="28"/>
      <c r="AE80" s="28"/>
    </row>
    <row r="81" spans="1:31" ht="12.75">
      <c r="A81" s="10">
        <f t="shared" si="0"/>
        <v>0</v>
      </c>
      <c r="B81" s="13"/>
      <c r="C81" s="13"/>
      <c r="D81" s="13"/>
      <c r="E81" s="13"/>
      <c r="F81" s="13"/>
      <c r="G81" s="13"/>
      <c r="H81" s="13"/>
      <c r="I81" s="13"/>
      <c r="J81" s="13"/>
      <c r="K81" s="13"/>
      <c r="L81" s="16"/>
      <c r="M81" s="17"/>
      <c r="N81" s="16" t="s">
        <v>709</v>
      </c>
      <c r="O81" s="17"/>
      <c r="P81" s="16"/>
      <c r="Q81" s="17"/>
      <c r="R81" s="16"/>
      <c r="S81" s="17"/>
      <c r="T81" s="17"/>
      <c r="U81" s="17"/>
      <c r="V81" s="17"/>
      <c r="W81" s="17"/>
      <c r="X81" s="17">
        <f t="shared" si="8"/>
        <v>15</v>
      </c>
      <c r="Y81" s="18">
        <f t="shared" si="7"/>
        <v>0</v>
      </c>
      <c r="Z81" s="24"/>
      <c r="AA81" s="20"/>
      <c r="AB81" s="21" t="b">
        <v>1</v>
      </c>
      <c r="AC81" s="22">
        <f t="shared" si="9"/>
        <v>0</v>
      </c>
      <c r="AD81" s="28"/>
      <c r="AE81" s="28"/>
    </row>
    <row r="82" spans="1:31" ht="12.75">
      <c r="A82" s="10">
        <f t="shared" si="0"/>
        <v>0</v>
      </c>
      <c r="B82" s="13"/>
      <c r="C82" s="13"/>
      <c r="D82" s="13"/>
      <c r="E82" s="13"/>
      <c r="F82" s="13"/>
      <c r="G82" s="13"/>
      <c r="H82" s="13"/>
      <c r="I82" s="13"/>
      <c r="J82" s="13"/>
      <c r="K82" s="13"/>
      <c r="L82" s="16"/>
      <c r="M82" s="17"/>
      <c r="N82" s="16" t="s">
        <v>691</v>
      </c>
      <c r="O82" s="17"/>
      <c r="P82" s="16"/>
      <c r="Q82" s="17"/>
      <c r="R82" s="16"/>
      <c r="S82" s="17"/>
      <c r="T82" s="17"/>
      <c r="U82" s="17"/>
      <c r="V82" s="17"/>
      <c r="W82" s="17"/>
      <c r="X82" s="17">
        <f t="shared" si="8"/>
        <v>15</v>
      </c>
      <c r="Y82" s="18">
        <f t="shared" si="7"/>
        <v>0</v>
      </c>
      <c r="Z82" s="19"/>
      <c r="AA82" s="30"/>
      <c r="AB82" s="21" t="b">
        <v>1</v>
      </c>
      <c r="AC82" s="22">
        <f t="shared" si="9"/>
        <v>0</v>
      </c>
      <c r="AD82" s="28"/>
      <c r="AE82" s="28"/>
    </row>
    <row r="83" spans="1:31" ht="12.75">
      <c r="A83" s="10">
        <f t="shared" si="0"/>
        <v>0</v>
      </c>
      <c r="B83" s="13"/>
      <c r="C83" s="13"/>
      <c r="D83" s="13"/>
      <c r="E83" s="13"/>
      <c r="F83" s="13"/>
      <c r="G83" s="13"/>
      <c r="H83" s="13"/>
      <c r="I83" s="13"/>
      <c r="J83" s="13"/>
      <c r="K83" s="13"/>
      <c r="L83" s="16"/>
      <c r="M83" s="17"/>
      <c r="N83" s="16"/>
      <c r="O83" s="17"/>
      <c r="P83" s="16"/>
      <c r="Q83" s="17"/>
      <c r="R83" s="16"/>
      <c r="S83" s="17"/>
      <c r="T83" s="17"/>
      <c r="U83" s="17"/>
      <c r="V83" s="17"/>
      <c r="W83" s="17"/>
      <c r="X83" s="17">
        <f t="shared" si="8"/>
        <v>15</v>
      </c>
      <c r="Y83" s="18">
        <f t="shared" si="7"/>
        <v>0</v>
      </c>
      <c r="Z83" s="24"/>
      <c r="AA83" s="20"/>
      <c r="AB83" s="21" t="b">
        <v>1</v>
      </c>
      <c r="AC83" s="22">
        <f t="shared" si="9"/>
        <v>0</v>
      </c>
      <c r="AD83" s="28"/>
      <c r="AE83" s="28"/>
    </row>
    <row r="84" spans="1:31" ht="12.75">
      <c r="A84" s="10">
        <f t="shared" si="0"/>
        <v>0</v>
      </c>
      <c r="B84" s="13"/>
      <c r="C84" s="13"/>
      <c r="D84" s="13"/>
      <c r="E84" s="13"/>
      <c r="F84" s="13"/>
      <c r="G84" s="13"/>
      <c r="H84" s="13"/>
      <c r="I84" s="13"/>
      <c r="J84" s="13"/>
      <c r="K84" s="13"/>
      <c r="L84" s="16"/>
      <c r="M84" s="90" t="s">
        <v>710</v>
      </c>
      <c r="N84" s="91"/>
      <c r="O84" s="17"/>
      <c r="P84" s="16"/>
      <c r="Q84" s="17"/>
      <c r="R84" s="17"/>
      <c r="S84" s="17"/>
      <c r="T84" s="17"/>
      <c r="U84" s="17"/>
      <c r="V84" s="17"/>
      <c r="W84" s="17"/>
      <c r="X84" s="17">
        <f t="shared" si="8"/>
        <v>15</v>
      </c>
      <c r="Y84" s="18">
        <f t="shared" si="7"/>
        <v>0</v>
      </c>
      <c r="Z84" s="24"/>
      <c r="AA84" s="20"/>
      <c r="AB84" s="21" t="b">
        <v>1</v>
      </c>
      <c r="AC84" s="22">
        <f t="shared" si="9"/>
        <v>0</v>
      </c>
      <c r="AD84" s="28"/>
      <c r="AE84" s="28"/>
    </row>
    <row r="85" spans="1:31" ht="12.75">
      <c r="A85" s="10">
        <f t="shared" si="0"/>
        <v>0</v>
      </c>
      <c r="B85" s="13"/>
      <c r="C85" s="13"/>
      <c r="D85" s="13"/>
      <c r="E85" s="13"/>
      <c r="F85" s="13"/>
      <c r="G85" s="13"/>
      <c r="H85" s="13"/>
      <c r="I85" s="13"/>
      <c r="J85" s="13"/>
      <c r="K85" s="13"/>
      <c r="L85" s="16"/>
      <c r="M85" s="90" t="s">
        <v>711</v>
      </c>
      <c r="N85" s="91"/>
      <c r="O85" s="17"/>
      <c r="P85" s="16"/>
      <c r="Q85" s="17"/>
      <c r="R85" s="16"/>
      <c r="S85" s="17"/>
      <c r="T85" s="17"/>
      <c r="U85" s="17"/>
      <c r="V85" s="17"/>
      <c r="W85" s="17"/>
      <c r="X85" s="17"/>
      <c r="Y85" s="18"/>
      <c r="Z85" s="24"/>
      <c r="AA85" s="20"/>
      <c r="AB85" s="21" t="b">
        <v>1</v>
      </c>
      <c r="AC85" s="22"/>
      <c r="AD85" s="28"/>
      <c r="AE85" s="28"/>
    </row>
    <row r="86" spans="1:31" ht="12.75">
      <c r="A86" s="10">
        <f t="shared" si="0"/>
        <v>0</v>
      </c>
      <c r="B86" s="13"/>
      <c r="C86" s="13"/>
      <c r="D86" s="13"/>
      <c r="E86" s="13"/>
      <c r="F86" s="13"/>
      <c r="G86" s="13"/>
      <c r="H86" s="13"/>
      <c r="I86" s="13"/>
      <c r="J86" s="13"/>
      <c r="K86" s="13"/>
      <c r="L86" s="16"/>
      <c r="M86" s="90" t="s">
        <v>712</v>
      </c>
      <c r="N86" s="91"/>
      <c r="O86" s="17"/>
      <c r="P86" s="16"/>
      <c r="Q86" s="17"/>
      <c r="R86" s="16"/>
      <c r="S86" s="17"/>
      <c r="T86" s="17"/>
      <c r="U86" s="17"/>
      <c r="V86" s="17"/>
      <c r="W86" s="17"/>
      <c r="X86" s="17"/>
      <c r="Y86" s="18"/>
      <c r="Z86" s="24"/>
      <c r="AA86" s="20"/>
      <c r="AB86" s="21" t="b">
        <v>1</v>
      </c>
      <c r="AC86" s="22"/>
      <c r="AD86" s="28"/>
      <c r="AE86" s="28"/>
    </row>
    <row r="87" spans="1:31" ht="12.75">
      <c r="A87" s="10">
        <f t="shared" si="0"/>
        <v>0</v>
      </c>
      <c r="B87" s="13"/>
      <c r="C87" s="13"/>
      <c r="D87" s="13"/>
      <c r="E87" s="13"/>
      <c r="F87" s="13"/>
      <c r="G87" s="13"/>
      <c r="H87" s="13"/>
      <c r="I87" s="13"/>
      <c r="J87" s="13"/>
      <c r="K87" s="13"/>
      <c r="L87" s="16"/>
      <c r="M87" s="17"/>
      <c r="N87" s="16"/>
      <c r="O87" s="17"/>
      <c r="P87" s="16"/>
      <c r="Q87" s="17"/>
      <c r="R87" s="16"/>
      <c r="S87" s="17"/>
      <c r="T87" s="17"/>
      <c r="U87" s="17"/>
      <c r="V87" s="17"/>
      <c r="W87" s="17"/>
      <c r="X87" s="17">
        <f t="shared" ref="X87:X90" si="10">COUNTIF($L$2:L87,"&lt;&gt;"&amp;"")</f>
        <v>15</v>
      </c>
      <c r="Y87" s="18">
        <f t="shared" ref="Y87:Y90" si="11">SUMIF($X$2:$X$156,X87,$A$2:$A$156)</f>
        <v>0</v>
      </c>
      <c r="Z87" s="24"/>
      <c r="AA87" s="20"/>
      <c r="AB87" s="21" t="b">
        <v>1</v>
      </c>
      <c r="AC87" s="22">
        <f t="shared" ref="AC87:AC90" si="12">IF(L87="",0,IF(AB87=FALSE(),0,Y87))</f>
        <v>0</v>
      </c>
      <c r="AD87" s="28"/>
      <c r="AE87" s="28"/>
    </row>
    <row r="88" spans="1:31" ht="12.75">
      <c r="A88" s="10">
        <f t="shared" si="0"/>
        <v>0</v>
      </c>
      <c r="B88" s="13"/>
      <c r="C88" s="13"/>
      <c r="D88" s="13"/>
      <c r="E88" s="13"/>
      <c r="F88" s="13"/>
      <c r="G88" s="13"/>
      <c r="H88" s="13"/>
      <c r="I88" s="13"/>
      <c r="J88" s="13"/>
      <c r="K88" s="13"/>
      <c r="L88" s="16"/>
      <c r="M88" s="16" t="s">
        <v>713</v>
      </c>
      <c r="N88" s="16"/>
      <c r="O88" s="16"/>
      <c r="P88" s="16"/>
      <c r="Q88" s="16"/>
      <c r="R88" s="16"/>
      <c r="S88" s="17"/>
      <c r="T88" s="17"/>
      <c r="U88" s="17"/>
      <c r="V88" s="17"/>
      <c r="W88" s="17"/>
      <c r="X88" s="17">
        <f t="shared" si="10"/>
        <v>15</v>
      </c>
      <c r="Y88" s="18">
        <f t="shared" si="11"/>
        <v>0</v>
      </c>
      <c r="Z88" s="24"/>
      <c r="AA88" s="20"/>
      <c r="AB88" s="21" t="b">
        <v>1</v>
      </c>
      <c r="AC88" s="22">
        <f t="shared" si="12"/>
        <v>0</v>
      </c>
      <c r="AD88" s="28"/>
      <c r="AE88" s="28"/>
    </row>
    <row r="89" spans="1:31" ht="12.75">
      <c r="A89" s="10">
        <f t="shared" si="0"/>
        <v>0</v>
      </c>
      <c r="B89" s="13"/>
      <c r="C89" s="13"/>
      <c r="D89" s="13"/>
      <c r="E89" s="13"/>
      <c r="F89" s="13"/>
      <c r="G89" s="13"/>
      <c r="H89" s="13"/>
      <c r="I89" s="13"/>
      <c r="J89" s="13"/>
      <c r="K89" s="13"/>
      <c r="L89" s="16"/>
      <c r="M89" s="16" t="s">
        <v>714</v>
      </c>
      <c r="N89" s="16"/>
      <c r="O89" s="16"/>
      <c r="P89" s="16"/>
      <c r="Q89" s="16"/>
      <c r="R89" s="16"/>
      <c r="S89" s="17"/>
      <c r="T89" s="17"/>
      <c r="U89" s="17"/>
      <c r="V89" s="17"/>
      <c r="W89" s="17"/>
      <c r="X89" s="17">
        <f t="shared" si="10"/>
        <v>15</v>
      </c>
      <c r="Y89" s="18">
        <f t="shared" si="11"/>
        <v>0</v>
      </c>
      <c r="Z89" s="24"/>
      <c r="AA89" s="20"/>
      <c r="AB89" s="21" t="b">
        <v>1</v>
      </c>
      <c r="AC89" s="22">
        <f t="shared" si="12"/>
        <v>0</v>
      </c>
      <c r="AD89" s="28"/>
      <c r="AE89" s="28"/>
    </row>
    <row r="90" spans="1:31" ht="12.75">
      <c r="A90" s="10">
        <f t="shared" si="0"/>
        <v>0</v>
      </c>
      <c r="B90" s="13"/>
      <c r="C90" s="13"/>
      <c r="D90" s="13"/>
      <c r="E90" s="13"/>
      <c r="F90" s="13"/>
      <c r="G90" s="13"/>
      <c r="H90" s="13"/>
      <c r="I90" s="13"/>
      <c r="J90" s="13"/>
      <c r="K90" s="13"/>
      <c r="L90" s="16"/>
      <c r="M90" s="17" t="s">
        <v>715</v>
      </c>
      <c r="N90" s="16"/>
      <c r="O90" s="17"/>
      <c r="P90" s="16"/>
      <c r="Q90" s="17"/>
      <c r="R90" s="16"/>
      <c r="S90" s="17"/>
      <c r="T90" s="17"/>
      <c r="U90" s="17"/>
      <c r="V90" s="17"/>
      <c r="W90" s="17"/>
      <c r="X90" s="17">
        <f t="shared" si="10"/>
        <v>15</v>
      </c>
      <c r="Y90" s="18">
        <f t="shared" si="11"/>
        <v>0</v>
      </c>
      <c r="Z90" s="24"/>
      <c r="AA90" s="20"/>
      <c r="AB90" s="21" t="b">
        <v>1</v>
      </c>
      <c r="AC90" s="22">
        <f t="shared" si="12"/>
        <v>0</v>
      </c>
      <c r="AD90" s="28"/>
      <c r="AE90" s="28"/>
    </row>
    <row r="91" spans="1:31" ht="12.75">
      <c r="A91" s="10">
        <f t="shared" si="0"/>
        <v>0</v>
      </c>
      <c r="B91" s="13"/>
      <c r="C91" s="13"/>
      <c r="D91" s="13"/>
      <c r="E91" s="13"/>
      <c r="F91" s="13"/>
      <c r="G91" s="13"/>
      <c r="H91" s="13"/>
      <c r="I91" s="13"/>
      <c r="J91" s="13"/>
      <c r="K91" s="13"/>
      <c r="L91" s="16"/>
      <c r="M91" s="17" t="s">
        <v>716</v>
      </c>
      <c r="N91" s="16"/>
      <c r="O91" s="17"/>
      <c r="P91" s="16"/>
      <c r="Q91" s="17"/>
      <c r="R91" s="16"/>
      <c r="S91" s="17"/>
      <c r="T91" s="17"/>
      <c r="U91" s="17"/>
      <c r="V91" s="17"/>
      <c r="W91" s="17"/>
      <c r="X91" s="17"/>
      <c r="Y91" s="18"/>
      <c r="Z91" s="24"/>
      <c r="AA91" s="20"/>
      <c r="AB91" s="21" t="b">
        <v>1</v>
      </c>
      <c r="AC91" s="22"/>
      <c r="AD91" s="28"/>
      <c r="AE91" s="28"/>
    </row>
    <row r="92" spans="1:31" ht="12.75">
      <c r="A92" s="10">
        <f t="shared" si="0"/>
        <v>0</v>
      </c>
      <c r="B92" s="13"/>
      <c r="C92" s="13"/>
      <c r="D92" s="13"/>
      <c r="E92" s="13"/>
      <c r="F92" s="13"/>
      <c r="G92" s="13"/>
      <c r="H92" s="13"/>
      <c r="I92" s="13"/>
      <c r="J92" s="13"/>
      <c r="K92" s="13"/>
      <c r="L92" s="16"/>
      <c r="M92" s="17" t="s">
        <v>717</v>
      </c>
      <c r="N92" s="16"/>
      <c r="O92" s="17"/>
      <c r="P92" s="16"/>
      <c r="Q92" s="17"/>
      <c r="R92" s="16"/>
      <c r="S92" s="17"/>
      <c r="T92" s="17"/>
      <c r="U92" s="17"/>
      <c r="V92" s="17"/>
      <c r="W92" s="17"/>
      <c r="X92" s="17">
        <f>COUNTIF($L$2:L92,"&lt;&gt;"&amp;"")</f>
        <v>15</v>
      </c>
      <c r="Y92" s="18">
        <f>SUMIF($X$2:$X$156,X92,$A$2:$A$156)</f>
        <v>0</v>
      </c>
      <c r="Z92" s="24"/>
      <c r="AA92" s="20"/>
      <c r="AB92" s="21" t="b">
        <v>1</v>
      </c>
      <c r="AC92" s="22">
        <f>IF(L92="",0,IF(AB92=FALSE(),0,Y92))</f>
        <v>0</v>
      </c>
      <c r="AD92" s="28"/>
      <c r="AE92" s="28"/>
    </row>
    <row r="93" spans="1:31" ht="12.75">
      <c r="A93" s="10">
        <f t="shared" si="0"/>
        <v>0</v>
      </c>
      <c r="B93" s="13"/>
      <c r="C93" s="13"/>
      <c r="D93" s="13"/>
      <c r="E93" s="13"/>
      <c r="F93" s="13"/>
      <c r="G93" s="13"/>
      <c r="H93" s="13"/>
      <c r="I93" s="13"/>
      <c r="J93" s="13"/>
      <c r="K93" s="13"/>
      <c r="L93" s="16"/>
      <c r="M93" s="17"/>
      <c r="N93" s="16"/>
      <c r="O93" s="17"/>
      <c r="P93" s="16"/>
      <c r="Q93" s="17"/>
      <c r="R93" s="16"/>
      <c r="S93" s="17"/>
      <c r="T93" s="17"/>
      <c r="U93" s="17"/>
      <c r="V93" s="17"/>
      <c r="W93" s="17"/>
      <c r="X93" s="17"/>
      <c r="Y93" s="18"/>
      <c r="Z93" s="24"/>
      <c r="AA93" s="20"/>
      <c r="AB93" s="21" t="b">
        <v>1</v>
      </c>
      <c r="AC93" s="22"/>
      <c r="AD93" s="28"/>
      <c r="AE93" s="28"/>
    </row>
    <row r="94" spans="1:31" ht="12.75">
      <c r="A94" s="10">
        <f t="shared" si="0"/>
        <v>0</v>
      </c>
      <c r="B94" s="13"/>
      <c r="C94" s="13"/>
      <c r="D94" s="13"/>
      <c r="E94" s="13"/>
      <c r="F94" s="13"/>
      <c r="G94" s="13"/>
      <c r="H94" s="13"/>
      <c r="I94" s="13"/>
      <c r="J94" s="13"/>
      <c r="K94" s="13"/>
      <c r="L94" s="16"/>
      <c r="M94" s="17" t="s">
        <v>718</v>
      </c>
      <c r="N94" s="16"/>
      <c r="O94" s="17"/>
      <c r="P94" s="16"/>
      <c r="Q94" s="17"/>
      <c r="R94" s="16"/>
      <c r="S94" s="17"/>
      <c r="T94" s="17"/>
      <c r="U94" s="17"/>
      <c r="V94" s="17"/>
      <c r="W94" s="17"/>
      <c r="X94" s="17">
        <f t="shared" ref="X94:X107" si="13">COUNTIF($L$2:L94,"&lt;&gt;"&amp;"")</f>
        <v>15</v>
      </c>
      <c r="Y94" s="18">
        <f t="shared" ref="Y94:Y107" si="14">SUMIF($X$2:$X$156,X94,$A$2:$A$156)</f>
        <v>0</v>
      </c>
      <c r="Z94" s="24"/>
      <c r="AA94" s="20"/>
      <c r="AB94" s="21" t="b">
        <v>1</v>
      </c>
      <c r="AC94" s="22">
        <f t="shared" ref="AC94:AC107" si="15">IF(L94="",0,IF(AB94=FALSE(),0,Y94))</f>
        <v>0</v>
      </c>
      <c r="AD94" s="28"/>
      <c r="AE94" s="28"/>
    </row>
    <row r="95" spans="1:31" ht="12.75">
      <c r="A95" s="10">
        <f t="shared" si="0"/>
        <v>0</v>
      </c>
      <c r="B95" s="13"/>
      <c r="C95" s="13"/>
      <c r="D95" s="13"/>
      <c r="E95" s="13"/>
      <c r="F95" s="13"/>
      <c r="G95" s="13"/>
      <c r="H95" s="13"/>
      <c r="I95" s="13"/>
      <c r="J95" s="13"/>
      <c r="K95" s="13"/>
      <c r="L95" s="16"/>
      <c r="M95" s="17" t="s">
        <v>719</v>
      </c>
      <c r="N95" s="16"/>
      <c r="O95" s="17"/>
      <c r="P95" s="16"/>
      <c r="Q95" s="17"/>
      <c r="R95" s="16"/>
      <c r="S95" s="17"/>
      <c r="T95" s="17"/>
      <c r="U95" s="17"/>
      <c r="V95" s="17"/>
      <c r="W95" s="17"/>
      <c r="X95" s="17">
        <f t="shared" si="13"/>
        <v>15</v>
      </c>
      <c r="Y95" s="18">
        <f t="shared" si="14"/>
        <v>0</v>
      </c>
      <c r="Z95" s="24"/>
      <c r="AA95" s="20"/>
      <c r="AB95" s="21" t="b">
        <v>1</v>
      </c>
      <c r="AC95" s="22">
        <f t="shared" si="15"/>
        <v>0</v>
      </c>
      <c r="AD95" s="28"/>
      <c r="AE95" s="28"/>
    </row>
    <row r="96" spans="1:31" ht="12.75">
      <c r="A96" s="10">
        <f t="shared" si="0"/>
        <v>0</v>
      </c>
      <c r="B96" s="13"/>
      <c r="C96" s="13"/>
      <c r="D96" s="13"/>
      <c r="E96" s="13"/>
      <c r="F96" s="13"/>
      <c r="G96" s="13"/>
      <c r="H96" s="13"/>
      <c r="I96" s="13"/>
      <c r="J96" s="13"/>
      <c r="K96" s="13"/>
      <c r="L96" s="16"/>
      <c r="M96" s="17" t="s">
        <v>720</v>
      </c>
      <c r="N96" s="16"/>
      <c r="O96" s="17"/>
      <c r="P96" s="16"/>
      <c r="Q96" s="17"/>
      <c r="R96" s="16"/>
      <c r="S96" s="17"/>
      <c r="T96" s="17"/>
      <c r="U96" s="17"/>
      <c r="V96" s="17"/>
      <c r="W96" s="17"/>
      <c r="X96" s="17">
        <f t="shared" si="13"/>
        <v>15</v>
      </c>
      <c r="Y96" s="18">
        <f t="shared" si="14"/>
        <v>0</v>
      </c>
      <c r="Z96" s="24"/>
      <c r="AA96" s="20"/>
      <c r="AB96" s="21" t="b">
        <v>1</v>
      </c>
      <c r="AC96" s="22">
        <f t="shared" si="15"/>
        <v>0</v>
      </c>
      <c r="AD96" s="28"/>
      <c r="AE96" s="28"/>
    </row>
    <row r="97" spans="1:31" ht="12.75">
      <c r="A97" s="10">
        <f t="shared" si="0"/>
        <v>0</v>
      </c>
      <c r="B97" s="13"/>
      <c r="C97" s="13"/>
      <c r="D97" s="13"/>
      <c r="E97" s="13"/>
      <c r="F97" s="13"/>
      <c r="G97" s="13"/>
      <c r="H97" s="13"/>
      <c r="I97" s="13"/>
      <c r="J97" s="13"/>
      <c r="K97" s="13"/>
      <c r="L97" s="16"/>
      <c r="M97" s="17" t="s">
        <v>721</v>
      </c>
      <c r="N97" s="16"/>
      <c r="O97" s="17"/>
      <c r="P97" s="16"/>
      <c r="Q97" s="17"/>
      <c r="R97" s="16"/>
      <c r="S97" s="17"/>
      <c r="T97" s="17"/>
      <c r="U97" s="17"/>
      <c r="V97" s="17"/>
      <c r="W97" s="17"/>
      <c r="X97" s="17">
        <f t="shared" si="13"/>
        <v>15</v>
      </c>
      <c r="Y97" s="18">
        <f t="shared" si="14"/>
        <v>0</v>
      </c>
      <c r="Z97" s="24"/>
      <c r="AA97" s="20"/>
      <c r="AB97" s="21" t="b">
        <v>1</v>
      </c>
      <c r="AC97" s="22">
        <f t="shared" si="15"/>
        <v>0</v>
      </c>
      <c r="AD97" s="28"/>
      <c r="AE97" s="28"/>
    </row>
    <row r="98" spans="1:31" ht="12.75">
      <c r="A98" s="10">
        <f t="shared" si="0"/>
        <v>0</v>
      </c>
      <c r="B98" s="13"/>
      <c r="C98" s="13"/>
      <c r="D98" s="13"/>
      <c r="E98" s="13"/>
      <c r="F98" s="13"/>
      <c r="G98" s="13"/>
      <c r="H98" s="13"/>
      <c r="I98" s="13"/>
      <c r="J98" s="13"/>
      <c r="K98" s="13"/>
      <c r="L98" s="16"/>
      <c r="M98" s="17"/>
      <c r="N98" s="16"/>
      <c r="O98" s="17"/>
      <c r="P98" s="16"/>
      <c r="Q98" s="17"/>
      <c r="R98" s="16"/>
      <c r="S98" s="17"/>
      <c r="T98" s="17"/>
      <c r="U98" s="17"/>
      <c r="V98" s="17"/>
      <c r="W98" s="17"/>
      <c r="X98" s="17">
        <f t="shared" si="13"/>
        <v>15</v>
      </c>
      <c r="Y98" s="18">
        <f t="shared" si="14"/>
        <v>0</v>
      </c>
      <c r="Z98" s="19"/>
      <c r="AA98" s="30"/>
      <c r="AB98" s="21" t="b">
        <v>1</v>
      </c>
      <c r="AC98" s="22">
        <f t="shared" si="15"/>
        <v>0</v>
      </c>
      <c r="AD98" s="28"/>
      <c r="AE98" s="28"/>
    </row>
    <row r="99" spans="1:31" ht="12.75">
      <c r="A99" s="10">
        <f t="shared" si="0"/>
        <v>0</v>
      </c>
      <c r="B99" s="13"/>
      <c r="C99" s="13"/>
      <c r="D99" s="13"/>
      <c r="E99" s="13"/>
      <c r="F99" s="13"/>
      <c r="G99" s="13"/>
      <c r="H99" s="13"/>
      <c r="I99" s="13"/>
      <c r="J99" s="13"/>
      <c r="K99" s="13"/>
      <c r="L99" s="16"/>
      <c r="M99" s="17" t="s">
        <v>722</v>
      </c>
      <c r="N99" s="16"/>
      <c r="O99" s="17"/>
      <c r="P99" s="16"/>
      <c r="Q99" s="17"/>
      <c r="R99" s="16"/>
      <c r="S99" s="17"/>
      <c r="T99" s="17"/>
      <c r="U99" s="17"/>
      <c r="V99" s="17"/>
      <c r="W99" s="17"/>
      <c r="X99" s="17">
        <f t="shared" si="13"/>
        <v>15</v>
      </c>
      <c r="Y99" s="18">
        <f t="shared" si="14"/>
        <v>0</v>
      </c>
      <c r="Z99" s="19"/>
      <c r="AA99" s="30"/>
      <c r="AB99" s="21" t="b">
        <v>1</v>
      </c>
      <c r="AC99" s="22">
        <f t="shared" si="15"/>
        <v>0</v>
      </c>
      <c r="AD99" s="28"/>
      <c r="AE99" s="28"/>
    </row>
    <row r="100" spans="1:31" ht="12.75">
      <c r="A100" s="10">
        <f t="shared" si="0"/>
        <v>0</v>
      </c>
      <c r="B100" s="13"/>
      <c r="C100" s="13"/>
      <c r="D100" s="13"/>
      <c r="E100" s="13"/>
      <c r="F100" s="13"/>
      <c r="G100" s="13"/>
      <c r="H100" s="13"/>
      <c r="I100" s="13"/>
      <c r="J100" s="13"/>
      <c r="K100" s="13"/>
      <c r="L100" s="16"/>
      <c r="M100" s="16" t="s">
        <v>723</v>
      </c>
      <c r="N100" s="16"/>
      <c r="O100" s="16"/>
      <c r="P100" s="16"/>
      <c r="Q100" s="16"/>
      <c r="R100" s="16"/>
      <c r="S100" s="17"/>
      <c r="T100" s="17"/>
      <c r="U100" s="17"/>
      <c r="V100" s="17"/>
      <c r="W100" s="17"/>
      <c r="X100" s="17">
        <f t="shared" si="13"/>
        <v>15</v>
      </c>
      <c r="Y100" s="18">
        <f t="shared" si="14"/>
        <v>0</v>
      </c>
      <c r="Z100" s="24"/>
      <c r="AA100" s="20"/>
      <c r="AB100" s="21" t="b">
        <v>1</v>
      </c>
      <c r="AC100" s="22">
        <f t="shared" si="15"/>
        <v>0</v>
      </c>
      <c r="AD100" s="32"/>
      <c r="AE100" s="32"/>
    </row>
    <row r="101" spans="1:31" ht="12.75">
      <c r="A101" s="10">
        <f t="shared" si="0"/>
        <v>0</v>
      </c>
      <c r="B101" s="13"/>
      <c r="C101" s="13"/>
      <c r="D101" s="13"/>
      <c r="E101" s="13"/>
      <c r="F101" s="13"/>
      <c r="G101" s="13"/>
      <c r="H101" s="13"/>
      <c r="I101" s="13"/>
      <c r="J101" s="13"/>
      <c r="K101" s="13"/>
      <c r="L101" s="16"/>
      <c r="M101" s="16" t="s">
        <v>724</v>
      </c>
      <c r="N101" s="16"/>
      <c r="O101" s="16"/>
      <c r="P101" s="16"/>
      <c r="Q101" s="16"/>
      <c r="R101" s="16"/>
      <c r="S101" s="17"/>
      <c r="T101" s="17"/>
      <c r="U101" s="17"/>
      <c r="V101" s="17"/>
      <c r="W101" s="17"/>
      <c r="X101" s="17">
        <f t="shared" si="13"/>
        <v>15</v>
      </c>
      <c r="Y101" s="18">
        <f t="shared" si="14"/>
        <v>0</v>
      </c>
      <c r="Z101" s="19"/>
      <c r="AA101" s="20"/>
      <c r="AB101" s="21" t="b">
        <v>1</v>
      </c>
      <c r="AC101" s="22">
        <f t="shared" si="15"/>
        <v>0</v>
      </c>
      <c r="AD101" s="28"/>
      <c r="AE101" s="28"/>
    </row>
    <row r="102" spans="1:31" ht="12.75">
      <c r="A102" s="10">
        <f t="shared" si="0"/>
        <v>0</v>
      </c>
      <c r="B102" s="13"/>
      <c r="C102" s="13"/>
      <c r="D102" s="13"/>
      <c r="E102" s="13"/>
      <c r="F102" s="13"/>
      <c r="G102" s="13"/>
      <c r="H102" s="13"/>
      <c r="I102" s="13"/>
      <c r="J102" s="13"/>
      <c r="K102" s="13"/>
      <c r="L102" s="16"/>
      <c r="M102" s="17" t="s">
        <v>725</v>
      </c>
      <c r="N102" s="16"/>
      <c r="O102" s="17"/>
      <c r="P102" s="16"/>
      <c r="Q102" s="17"/>
      <c r="R102" s="16"/>
      <c r="S102" s="17"/>
      <c r="T102" s="17"/>
      <c r="U102" s="17"/>
      <c r="V102" s="17"/>
      <c r="W102" s="17"/>
      <c r="X102" s="17">
        <f t="shared" si="13"/>
        <v>15</v>
      </c>
      <c r="Y102" s="18">
        <f t="shared" si="14"/>
        <v>0</v>
      </c>
      <c r="Z102" s="24"/>
      <c r="AA102" s="20"/>
      <c r="AB102" s="21" t="b">
        <v>1</v>
      </c>
      <c r="AC102" s="22">
        <f t="shared" si="15"/>
        <v>0</v>
      </c>
      <c r="AD102" s="32"/>
      <c r="AE102" s="32"/>
    </row>
    <row r="103" spans="1:31" ht="12.75">
      <c r="A103" s="10">
        <f t="shared" si="0"/>
        <v>0</v>
      </c>
      <c r="B103" s="13"/>
      <c r="C103" s="13"/>
      <c r="D103" s="13"/>
      <c r="E103" s="13"/>
      <c r="F103" s="13"/>
      <c r="G103" s="13"/>
      <c r="H103" s="13"/>
      <c r="I103" s="13"/>
      <c r="J103" s="13"/>
      <c r="K103" s="13"/>
      <c r="L103" s="16"/>
      <c r="M103" s="17" t="s">
        <v>726</v>
      </c>
      <c r="N103" s="16"/>
      <c r="O103" s="17"/>
      <c r="P103" s="16"/>
      <c r="Q103" s="17"/>
      <c r="R103" s="16"/>
      <c r="S103" s="17"/>
      <c r="T103" s="17"/>
      <c r="U103" s="17"/>
      <c r="V103" s="17"/>
      <c r="W103" s="17"/>
      <c r="X103" s="17">
        <f t="shared" si="13"/>
        <v>15</v>
      </c>
      <c r="Y103" s="18">
        <f t="shared" si="14"/>
        <v>0</v>
      </c>
      <c r="Z103" s="24"/>
      <c r="AA103" s="20"/>
      <c r="AB103" s="21" t="b">
        <v>1</v>
      </c>
      <c r="AC103" s="22">
        <f t="shared" si="15"/>
        <v>0</v>
      </c>
      <c r="AD103" s="32"/>
      <c r="AE103" s="32"/>
    </row>
    <row r="104" spans="1:31" ht="12.75">
      <c r="A104" s="10">
        <f t="shared" si="0"/>
        <v>0</v>
      </c>
      <c r="B104" s="13"/>
      <c r="C104" s="13"/>
      <c r="D104" s="13"/>
      <c r="E104" s="13"/>
      <c r="F104" s="13"/>
      <c r="G104" s="13"/>
      <c r="H104" s="13"/>
      <c r="I104" s="13"/>
      <c r="J104" s="13"/>
      <c r="K104" s="13"/>
      <c r="L104" s="16"/>
      <c r="M104" s="17" t="s">
        <v>727</v>
      </c>
      <c r="N104" s="16"/>
      <c r="O104" s="17"/>
      <c r="P104" s="16"/>
      <c r="Q104" s="17"/>
      <c r="R104" s="16"/>
      <c r="S104" s="17"/>
      <c r="T104" s="17"/>
      <c r="U104" s="17"/>
      <c r="V104" s="17"/>
      <c r="W104" s="17"/>
      <c r="X104" s="17">
        <f t="shared" si="13"/>
        <v>15</v>
      </c>
      <c r="Y104" s="18">
        <f t="shared" si="14"/>
        <v>0</v>
      </c>
      <c r="Z104" s="24"/>
      <c r="AA104" s="20"/>
      <c r="AB104" s="21" t="b">
        <v>1</v>
      </c>
      <c r="AC104" s="22">
        <f t="shared" si="15"/>
        <v>0</v>
      </c>
      <c r="AD104" s="28"/>
      <c r="AE104" s="28"/>
    </row>
    <row r="105" spans="1:31" ht="12.75">
      <c r="A105" s="10">
        <f t="shared" si="0"/>
        <v>0</v>
      </c>
      <c r="B105" s="13"/>
      <c r="C105" s="13"/>
      <c r="D105" s="13"/>
      <c r="E105" s="13"/>
      <c r="F105" s="13"/>
      <c r="G105" s="13"/>
      <c r="H105" s="13"/>
      <c r="I105" s="13"/>
      <c r="J105" s="13"/>
      <c r="K105" s="13"/>
      <c r="L105" s="16"/>
      <c r="M105" s="17" t="s">
        <v>728</v>
      </c>
      <c r="N105" s="16"/>
      <c r="O105" s="17"/>
      <c r="P105" s="16"/>
      <c r="Q105" s="17"/>
      <c r="R105" s="16"/>
      <c r="S105" s="17"/>
      <c r="T105" s="17"/>
      <c r="U105" s="17"/>
      <c r="V105" s="17"/>
      <c r="W105" s="17"/>
      <c r="X105" s="17">
        <f t="shared" si="13"/>
        <v>15</v>
      </c>
      <c r="Y105" s="18">
        <f t="shared" si="14"/>
        <v>0</v>
      </c>
      <c r="Z105" s="24"/>
      <c r="AA105" s="20"/>
      <c r="AB105" s="21" t="b">
        <v>1</v>
      </c>
      <c r="AC105" s="22">
        <f t="shared" si="15"/>
        <v>0</v>
      </c>
      <c r="AD105" s="28"/>
      <c r="AE105" s="28"/>
    </row>
    <row r="106" spans="1:31" ht="12.75">
      <c r="A106" s="10">
        <f t="shared" si="0"/>
        <v>0</v>
      </c>
      <c r="B106" s="13"/>
      <c r="C106" s="13"/>
      <c r="D106" s="13"/>
      <c r="E106" s="13"/>
      <c r="F106" s="13"/>
      <c r="G106" s="13"/>
      <c r="H106" s="13"/>
      <c r="I106" s="13"/>
      <c r="J106" s="13"/>
      <c r="K106" s="13"/>
      <c r="L106" s="16"/>
      <c r="M106" s="17"/>
      <c r="N106" s="16"/>
      <c r="O106" s="17"/>
      <c r="P106" s="16"/>
      <c r="Q106" s="17"/>
      <c r="R106" s="17"/>
      <c r="S106" s="17"/>
      <c r="T106" s="17"/>
      <c r="U106" s="17"/>
      <c r="V106" s="17"/>
      <c r="W106" s="17"/>
      <c r="X106" s="17">
        <f t="shared" si="13"/>
        <v>15</v>
      </c>
      <c r="Y106" s="18">
        <f t="shared" si="14"/>
        <v>0</v>
      </c>
      <c r="Z106" s="24"/>
      <c r="AA106" s="20"/>
      <c r="AB106" s="21" t="b">
        <v>1</v>
      </c>
      <c r="AC106" s="22">
        <f t="shared" si="15"/>
        <v>0</v>
      </c>
      <c r="AD106" s="28"/>
      <c r="AE106" s="28"/>
    </row>
    <row r="107" spans="1:31" ht="12.75">
      <c r="A107" s="10">
        <f t="shared" si="0"/>
        <v>0</v>
      </c>
      <c r="B107" s="13"/>
      <c r="C107" s="13"/>
      <c r="D107" s="13"/>
      <c r="E107" s="13"/>
      <c r="F107" s="13"/>
      <c r="G107" s="13"/>
      <c r="H107" s="13"/>
      <c r="I107" s="13"/>
      <c r="J107" s="13"/>
      <c r="K107" s="13"/>
      <c r="L107" s="16"/>
      <c r="M107" s="17" t="s">
        <v>729</v>
      </c>
      <c r="N107" s="16"/>
      <c r="O107" s="17"/>
      <c r="P107" s="16"/>
      <c r="Q107" s="17"/>
      <c r="R107" s="16"/>
      <c r="S107" s="17"/>
      <c r="T107" s="17"/>
      <c r="U107" s="17"/>
      <c r="V107" s="17"/>
      <c r="W107" s="17"/>
      <c r="X107" s="17">
        <f t="shared" si="13"/>
        <v>15</v>
      </c>
      <c r="Y107" s="18">
        <f t="shared" si="14"/>
        <v>0</v>
      </c>
      <c r="Z107" s="24"/>
      <c r="AA107" s="20"/>
      <c r="AB107" s="21" t="b">
        <v>1</v>
      </c>
      <c r="AC107" s="22">
        <f t="shared" si="15"/>
        <v>0</v>
      </c>
      <c r="AD107" s="28"/>
      <c r="AE107" s="28"/>
    </row>
    <row r="108" spans="1:31" ht="12.75">
      <c r="A108" s="10">
        <f t="shared" si="0"/>
        <v>0</v>
      </c>
      <c r="B108" s="13"/>
      <c r="C108" s="13"/>
      <c r="D108" s="13"/>
      <c r="E108" s="13"/>
      <c r="F108" s="13"/>
      <c r="G108" s="13"/>
      <c r="H108" s="13"/>
      <c r="I108" s="13"/>
      <c r="J108" s="13"/>
      <c r="K108" s="13"/>
      <c r="L108" s="16"/>
      <c r="M108" s="17" t="s">
        <v>730</v>
      </c>
      <c r="N108" s="16"/>
      <c r="O108" s="17"/>
      <c r="P108" s="16"/>
      <c r="Q108" s="17"/>
      <c r="R108" s="16"/>
      <c r="S108" s="17"/>
      <c r="T108" s="17"/>
      <c r="U108" s="17"/>
      <c r="V108" s="17"/>
      <c r="W108" s="17"/>
      <c r="X108" s="17"/>
      <c r="Y108" s="18"/>
      <c r="Z108" s="24"/>
      <c r="AA108" s="20"/>
      <c r="AB108" s="21" t="b">
        <v>1</v>
      </c>
      <c r="AC108" s="22"/>
      <c r="AD108" s="28"/>
      <c r="AE108" s="28"/>
    </row>
    <row r="109" spans="1:31" ht="12.75">
      <c r="A109" s="10">
        <f t="shared" si="0"/>
        <v>0</v>
      </c>
      <c r="B109" s="13"/>
      <c r="C109" s="13"/>
      <c r="D109" s="13"/>
      <c r="E109" s="13"/>
      <c r="F109" s="13"/>
      <c r="G109" s="13"/>
      <c r="H109" s="13"/>
      <c r="I109" s="13"/>
      <c r="J109" s="13"/>
      <c r="K109" s="13"/>
      <c r="L109" s="16"/>
      <c r="M109" s="17" t="s">
        <v>731</v>
      </c>
      <c r="N109" s="16"/>
      <c r="O109" s="17"/>
      <c r="P109" s="16"/>
      <c r="Q109" s="17"/>
      <c r="R109" s="16"/>
      <c r="S109" s="17"/>
      <c r="T109" s="17"/>
      <c r="U109" s="17"/>
      <c r="V109" s="17"/>
      <c r="W109" s="17"/>
      <c r="X109" s="17">
        <f t="shared" ref="X109:X122" si="16">COUNTIF($L$2:L109,"&lt;&gt;"&amp;"")</f>
        <v>15</v>
      </c>
      <c r="Y109" s="18">
        <f t="shared" ref="Y109:Y122" si="17">SUMIF($X$2:$X$156,X109,$A$2:$A$156)</f>
        <v>0</v>
      </c>
      <c r="Z109" s="24"/>
      <c r="AA109" s="20"/>
      <c r="AB109" s="21" t="b">
        <v>1</v>
      </c>
      <c r="AC109" s="22">
        <f t="shared" ref="AC109:AC122" si="18">IF(L109="",0,IF(AB109=FALSE(),0,Y109))</f>
        <v>0</v>
      </c>
      <c r="AD109" s="28"/>
      <c r="AE109" s="28"/>
    </row>
    <row r="110" spans="1:31" ht="12.75">
      <c r="A110" s="10">
        <f t="shared" si="0"/>
        <v>0</v>
      </c>
      <c r="B110" s="13"/>
      <c r="C110" s="13"/>
      <c r="D110" s="13"/>
      <c r="E110" s="13"/>
      <c r="F110" s="13"/>
      <c r="G110" s="13"/>
      <c r="H110" s="13"/>
      <c r="I110" s="13"/>
      <c r="J110" s="13"/>
      <c r="K110" s="13"/>
      <c r="L110" s="16"/>
      <c r="M110" s="17" t="s">
        <v>732</v>
      </c>
      <c r="N110" s="16"/>
      <c r="O110" s="17"/>
      <c r="P110" s="16"/>
      <c r="Q110" s="17"/>
      <c r="R110" s="16"/>
      <c r="S110" s="17"/>
      <c r="T110" s="17"/>
      <c r="U110" s="17"/>
      <c r="V110" s="17"/>
      <c r="W110" s="17"/>
      <c r="X110" s="17">
        <f t="shared" si="16"/>
        <v>15</v>
      </c>
      <c r="Y110" s="18">
        <f t="shared" si="17"/>
        <v>0</v>
      </c>
      <c r="Z110" s="24"/>
      <c r="AA110" s="20"/>
      <c r="AB110" s="21" t="b">
        <v>1</v>
      </c>
      <c r="AC110" s="22">
        <f t="shared" si="18"/>
        <v>0</v>
      </c>
      <c r="AD110" s="28"/>
      <c r="AE110" s="28"/>
    </row>
    <row r="111" spans="1:31" ht="12.75">
      <c r="A111" s="10">
        <f t="shared" si="0"/>
        <v>0</v>
      </c>
      <c r="B111" s="13"/>
      <c r="C111" s="13"/>
      <c r="D111" s="13"/>
      <c r="E111" s="13"/>
      <c r="F111" s="13"/>
      <c r="G111" s="13"/>
      <c r="H111" s="13"/>
      <c r="I111" s="13"/>
      <c r="J111" s="13"/>
      <c r="K111" s="13"/>
      <c r="L111" s="16"/>
      <c r="M111" s="17" t="s">
        <v>733</v>
      </c>
      <c r="N111" s="16"/>
      <c r="O111" s="17"/>
      <c r="P111" s="16"/>
      <c r="Q111" s="17"/>
      <c r="R111" s="16"/>
      <c r="S111" s="17"/>
      <c r="T111" s="17"/>
      <c r="U111" s="17"/>
      <c r="V111" s="17"/>
      <c r="W111" s="17"/>
      <c r="X111" s="17">
        <f t="shared" si="16"/>
        <v>15</v>
      </c>
      <c r="Y111" s="18">
        <f t="shared" si="17"/>
        <v>0</v>
      </c>
      <c r="Z111" s="24"/>
      <c r="AA111" s="20"/>
      <c r="AB111" s="21" t="b">
        <v>1</v>
      </c>
      <c r="AC111" s="22">
        <f t="shared" si="18"/>
        <v>0</v>
      </c>
      <c r="AD111" s="32"/>
      <c r="AE111" s="32"/>
    </row>
    <row r="112" spans="1:31" ht="12.75">
      <c r="A112" s="10">
        <f t="shared" si="0"/>
        <v>0</v>
      </c>
      <c r="B112" s="13"/>
      <c r="C112" s="13"/>
      <c r="D112" s="13"/>
      <c r="E112" s="13"/>
      <c r="F112" s="13"/>
      <c r="G112" s="13"/>
      <c r="H112" s="13"/>
      <c r="I112" s="13"/>
      <c r="J112" s="13"/>
      <c r="K112" s="13"/>
      <c r="L112" s="16"/>
      <c r="M112" s="16" t="s">
        <v>734</v>
      </c>
      <c r="N112" s="16"/>
      <c r="O112" s="16"/>
      <c r="P112" s="16"/>
      <c r="Q112" s="16"/>
      <c r="R112" s="16"/>
      <c r="S112" s="17"/>
      <c r="T112" s="17"/>
      <c r="U112" s="17"/>
      <c r="V112" s="17"/>
      <c r="W112" s="17"/>
      <c r="X112" s="17">
        <f t="shared" si="16"/>
        <v>15</v>
      </c>
      <c r="Y112" s="18">
        <f t="shared" si="17"/>
        <v>0</v>
      </c>
      <c r="Z112" s="24"/>
      <c r="AA112" s="20"/>
      <c r="AB112" s="21" t="b">
        <v>1</v>
      </c>
      <c r="AC112" s="22">
        <f t="shared" si="18"/>
        <v>0</v>
      </c>
      <c r="AD112" s="32"/>
      <c r="AE112" s="32"/>
    </row>
    <row r="113" spans="1:31" ht="12.75">
      <c r="A113" s="10">
        <f t="shared" si="0"/>
        <v>0</v>
      </c>
      <c r="B113" s="13"/>
      <c r="C113" s="13"/>
      <c r="D113" s="13"/>
      <c r="E113" s="13"/>
      <c r="F113" s="13"/>
      <c r="G113" s="13"/>
      <c r="H113" s="13"/>
      <c r="I113" s="13"/>
      <c r="J113" s="13"/>
      <c r="K113" s="13"/>
      <c r="L113" s="16"/>
      <c r="M113" s="16"/>
      <c r="N113" s="16"/>
      <c r="O113" s="16"/>
      <c r="P113" s="16"/>
      <c r="Q113" s="16"/>
      <c r="R113" s="16"/>
      <c r="S113" s="17"/>
      <c r="T113" s="17"/>
      <c r="U113" s="17"/>
      <c r="V113" s="17"/>
      <c r="W113" s="17"/>
      <c r="X113" s="17">
        <f t="shared" si="16"/>
        <v>15</v>
      </c>
      <c r="Y113" s="18">
        <f t="shared" si="17"/>
        <v>0</v>
      </c>
      <c r="Z113" s="24"/>
      <c r="AA113" s="20"/>
      <c r="AB113" s="21" t="b">
        <v>1</v>
      </c>
      <c r="AC113" s="22">
        <f t="shared" si="18"/>
        <v>0</v>
      </c>
      <c r="AD113" s="32"/>
      <c r="AE113" s="32"/>
    </row>
    <row r="114" spans="1:31" ht="12.75">
      <c r="A114" s="10">
        <f t="shared" si="0"/>
        <v>0</v>
      </c>
      <c r="B114" s="13"/>
      <c r="C114" s="13"/>
      <c r="D114" s="13"/>
      <c r="E114" s="13"/>
      <c r="F114" s="13"/>
      <c r="G114" s="13"/>
      <c r="H114" s="13"/>
      <c r="I114" s="13"/>
      <c r="J114" s="13"/>
      <c r="K114" s="13"/>
      <c r="L114" s="16"/>
      <c r="M114" s="17" t="s">
        <v>735</v>
      </c>
      <c r="N114" s="16"/>
      <c r="O114" s="17"/>
      <c r="P114" s="16"/>
      <c r="Q114" s="17"/>
      <c r="R114" s="16"/>
      <c r="S114" s="17"/>
      <c r="T114" s="17"/>
      <c r="U114" s="17"/>
      <c r="V114" s="17"/>
      <c r="W114" s="17"/>
      <c r="X114" s="17">
        <f t="shared" si="16"/>
        <v>15</v>
      </c>
      <c r="Y114" s="18">
        <f t="shared" si="17"/>
        <v>0</v>
      </c>
      <c r="Z114" s="24"/>
      <c r="AA114" s="20"/>
      <c r="AB114" s="21" t="b">
        <v>1</v>
      </c>
      <c r="AC114" s="22">
        <f t="shared" si="18"/>
        <v>0</v>
      </c>
      <c r="AD114" s="32"/>
      <c r="AE114" s="32"/>
    </row>
    <row r="115" spans="1:31" ht="12.75">
      <c r="A115" s="10">
        <f t="shared" si="0"/>
        <v>0</v>
      </c>
      <c r="B115" s="13"/>
      <c r="C115" s="13"/>
      <c r="D115" s="13"/>
      <c r="E115" s="13"/>
      <c r="F115" s="13"/>
      <c r="G115" s="13"/>
      <c r="H115" s="13"/>
      <c r="I115" s="13"/>
      <c r="J115" s="13"/>
      <c r="K115" s="13"/>
      <c r="L115" s="16"/>
      <c r="M115" s="17" t="s">
        <v>736</v>
      </c>
      <c r="N115" s="16"/>
      <c r="O115" s="17"/>
      <c r="P115" s="16"/>
      <c r="Q115" s="17"/>
      <c r="R115" s="16"/>
      <c r="S115" s="17"/>
      <c r="T115" s="17"/>
      <c r="U115" s="17"/>
      <c r="V115" s="17"/>
      <c r="W115" s="17"/>
      <c r="X115" s="17">
        <f t="shared" si="16"/>
        <v>15</v>
      </c>
      <c r="Y115" s="18">
        <f t="shared" si="17"/>
        <v>0</v>
      </c>
      <c r="Z115" s="24"/>
      <c r="AA115" s="20"/>
      <c r="AB115" s="21" t="b">
        <v>1</v>
      </c>
      <c r="AC115" s="22">
        <f t="shared" si="18"/>
        <v>0</v>
      </c>
      <c r="AD115" s="32"/>
      <c r="AE115" s="32"/>
    </row>
    <row r="116" spans="1:31" ht="12.75">
      <c r="A116" s="10">
        <f t="shared" si="0"/>
        <v>0</v>
      </c>
      <c r="B116" s="13"/>
      <c r="C116" s="13"/>
      <c r="D116" s="13"/>
      <c r="E116" s="13"/>
      <c r="F116" s="13"/>
      <c r="G116" s="13"/>
      <c r="H116" s="13"/>
      <c r="I116" s="13"/>
      <c r="J116" s="13"/>
      <c r="K116" s="13"/>
      <c r="L116" s="16"/>
      <c r="M116" s="17" t="s">
        <v>731</v>
      </c>
      <c r="N116" s="16"/>
      <c r="O116" s="17"/>
      <c r="P116" s="16"/>
      <c r="Q116" s="17"/>
      <c r="R116" s="16"/>
      <c r="S116" s="17"/>
      <c r="T116" s="17"/>
      <c r="U116" s="17"/>
      <c r="V116" s="17"/>
      <c r="W116" s="17"/>
      <c r="X116" s="17">
        <f t="shared" si="16"/>
        <v>15</v>
      </c>
      <c r="Y116" s="18">
        <f t="shared" si="17"/>
        <v>0</v>
      </c>
      <c r="Z116" s="24"/>
      <c r="AA116" s="20"/>
      <c r="AB116" s="21" t="b">
        <v>1</v>
      </c>
      <c r="AC116" s="22">
        <f t="shared" si="18"/>
        <v>0</v>
      </c>
      <c r="AD116" s="32"/>
      <c r="AE116" s="32"/>
    </row>
    <row r="117" spans="1:31" ht="12.75">
      <c r="A117" s="10">
        <f t="shared" si="0"/>
        <v>0</v>
      </c>
      <c r="B117" s="13"/>
      <c r="C117" s="13"/>
      <c r="D117" s="13"/>
      <c r="E117" s="13"/>
      <c r="F117" s="13"/>
      <c r="G117" s="13"/>
      <c r="H117" s="13"/>
      <c r="I117" s="13"/>
      <c r="J117" s="13"/>
      <c r="K117" s="13"/>
      <c r="L117" s="16"/>
      <c r="M117" s="17" t="s">
        <v>737</v>
      </c>
      <c r="N117" s="16"/>
      <c r="O117" s="17"/>
      <c r="P117" s="16"/>
      <c r="Q117" s="17"/>
      <c r="R117" s="16"/>
      <c r="S117" s="17"/>
      <c r="T117" s="17"/>
      <c r="U117" s="17"/>
      <c r="V117" s="17"/>
      <c r="W117" s="17"/>
      <c r="X117" s="17">
        <f t="shared" si="16"/>
        <v>15</v>
      </c>
      <c r="Y117" s="18">
        <f t="shared" si="17"/>
        <v>0</v>
      </c>
      <c r="Z117" s="24"/>
      <c r="AA117" s="20"/>
      <c r="AB117" s="21" t="b">
        <v>1</v>
      </c>
      <c r="AC117" s="22">
        <f t="shared" si="18"/>
        <v>0</v>
      </c>
      <c r="AD117" s="32"/>
      <c r="AE117" s="32"/>
    </row>
    <row r="118" spans="1:31" ht="12.75">
      <c r="A118" s="10">
        <f t="shared" si="0"/>
        <v>0</v>
      </c>
      <c r="B118" s="13"/>
      <c r="C118" s="13"/>
      <c r="D118" s="13"/>
      <c r="E118" s="13"/>
      <c r="F118" s="13"/>
      <c r="G118" s="13"/>
      <c r="H118" s="13"/>
      <c r="I118" s="13"/>
      <c r="J118" s="13"/>
      <c r="K118" s="13"/>
      <c r="L118" s="16"/>
      <c r="M118" s="17" t="s">
        <v>738</v>
      </c>
      <c r="N118" s="16"/>
      <c r="O118" s="17"/>
      <c r="P118" s="16"/>
      <c r="Q118" s="17"/>
      <c r="R118" s="16"/>
      <c r="S118" s="17"/>
      <c r="T118" s="17"/>
      <c r="U118" s="17"/>
      <c r="V118" s="17"/>
      <c r="W118" s="17"/>
      <c r="X118" s="17">
        <f t="shared" si="16"/>
        <v>15</v>
      </c>
      <c r="Y118" s="18">
        <f t="shared" si="17"/>
        <v>0</v>
      </c>
      <c r="Z118" s="24"/>
      <c r="AA118" s="20"/>
      <c r="AB118" s="21" t="b">
        <v>1</v>
      </c>
      <c r="AC118" s="22">
        <f t="shared" si="18"/>
        <v>0</v>
      </c>
      <c r="AD118" s="32"/>
      <c r="AE118" s="32"/>
    </row>
    <row r="119" spans="1:31" ht="12.75">
      <c r="A119" s="10">
        <f t="shared" si="0"/>
        <v>0</v>
      </c>
      <c r="B119" s="13"/>
      <c r="C119" s="13"/>
      <c r="D119" s="13"/>
      <c r="E119" s="13"/>
      <c r="F119" s="13"/>
      <c r="G119" s="13"/>
      <c r="H119" s="13"/>
      <c r="I119" s="13"/>
      <c r="J119" s="13"/>
      <c r="K119" s="13"/>
      <c r="L119" s="16"/>
      <c r="M119" s="17" t="s">
        <v>739</v>
      </c>
      <c r="N119" s="16"/>
      <c r="O119" s="17"/>
      <c r="P119" s="16"/>
      <c r="Q119" s="17"/>
      <c r="R119" s="16"/>
      <c r="S119" s="17"/>
      <c r="T119" s="17"/>
      <c r="U119" s="17"/>
      <c r="V119" s="17"/>
      <c r="W119" s="17"/>
      <c r="X119" s="17">
        <f t="shared" si="16"/>
        <v>15</v>
      </c>
      <c r="Y119" s="18">
        <f t="shared" si="17"/>
        <v>0</v>
      </c>
      <c r="Z119" s="24"/>
      <c r="AA119" s="20"/>
      <c r="AB119" s="21" t="b">
        <v>1</v>
      </c>
      <c r="AC119" s="22">
        <f t="shared" si="18"/>
        <v>0</v>
      </c>
      <c r="AD119" s="32"/>
      <c r="AE119" s="32"/>
    </row>
    <row r="120" spans="1:31" ht="12.75">
      <c r="A120" s="10">
        <f t="shared" si="0"/>
        <v>0</v>
      </c>
      <c r="B120" s="13"/>
      <c r="C120" s="13"/>
      <c r="D120" s="13"/>
      <c r="E120" s="13"/>
      <c r="F120" s="13"/>
      <c r="G120" s="13"/>
      <c r="H120" s="13"/>
      <c r="I120" s="13"/>
      <c r="J120" s="13"/>
      <c r="K120" s="13"/>
      <c r="L120" s="16"/>
      <c r="M120" s="17" t="s">
        <v>740</v>
      </c>
      <c r="N120" s="16"/>
      <c r="O120" s="17"/>
      <c r="P120" s="16"/>
      <c r="Q120" s="17"/>
      <c r="R120" s="16"/>
      <c r="S120" s="17"/>
      <c r="T120" s="17"/>
      <c r="U120" s="17"/>
      <c r="V120" s="17"/>
      <c r="W120" s="17"/>
      <c r="X120" s="17">
        <f t="shared" si="16"/>
        <v>15</v>
      </c>
      <c r="Y120" s="18">
        <f t="shared" si="17"/>
        <v>0</v>
      </c>
      <c r="Z120" s="24"/>
      <c r="AA120" s="20"/>
      <c r="AB120" s="21" t="b">
        <v>1</v>
      </c>
      <c r="AC120" s="22">
        <f t="shared" si="18"/>
        <v>0</v>
      </c>
      <c r="AD120" s="32"/>
      <c r="AE120" s="32"/>
    </row>
    <row r="121" spans="1:31" ht="12.75">
      <c r="A121" s="10">
        <f t="shared" si="0"/>
        <v>0</v>
      </c>
      <c r="B121" s="13"/>
      <c r="C121" s="13"/>
      <c r="D121" s="13"/>
      <c r="E121" s="13"/>
      <c r="F121" s="13"/>
      <c r="G121" s="13"/>
      <c r="H121" s="13"/>
      <c r="I121" s="13"/>
      <c r="J121" s="13"/>
      <c r="K121" s="13"/>
      <c r="L121" s="16"/>
      <c r="M121" s="17" t="s">
        <v>741</v>
      </c>
      <c r="N121" s="16"/>
      <c r="O121" s="17"/>
      <c r="P121" s="16"/>
      <c r="Q121" s="17"/>
      <c r="R121" s="16"/>
      <c r="S121" s="17"/>
      <c r="T121" s="17"/>
      <c r="U121" s="17"/>
      <c r="V121" s="17"/>
      <c r="W121" s="17"/>
      <c r="X121" s="17">
        <f t="shared" si="16"/>
        <v>15</v>
      </c>
      <c r="Y121" s="18">
        <f t="shared" si="17"/>
        <v>0</v>
      </c>
      <c r="Z121" s="24"/>
      <c r="AA121" s="20"/>
      <c r="AB121" s="21" t="b">
        <v>1</v>
      </c>
      <c r="AC121" s="22">
        <f t="shared" si="18"/>
        <v>0</v>
      </c>
      <c r="AD121" s="32"/>
      <c r="AE121" s="32"/>
    </row>
    <row r="122" spans="1:31" ht="12.75">
      <c r="A122" s="10">
        <f t="shared" si="0"/>
        <v>0</v>
      </c>
      <c r="B122" s="13"/>
      <c r="C122" s="13"/>
      <c r="D122" s="13"/>
      <c r="E122" s="13"/>
      <c r="F122" s="13"/>
      <c r="G122" s="13"/>
      <c r="H122" s="13"/>
      <c r="I122" s="13"/>
      <c r="J122" s="13"/>
      <c r="K122" s="13"/>
      <c r="L122" s="16"/>
      <c r="M122" s="17"/>
      <c r="N122" s="16"/>
      <c r="O122" s="17"/>
      <c r="P122" s="16"/>
      <c r="Q122" s="17"/>
      <c r="R122" s="16"/>
      <c r="S122" s="17"/>
      <c r="T122" s="17"/>
      <c r="U122" s="17"/>
      <c r="V122" s="17"/>
      <c r="W122" s="17"/>
      <c r="X122" s="17">
        <f t="shared" si="16"/>
        <v>15</v>
      </c>
      <c r="Y122" s="18">
        <f t="shared" si="17"/>
        <v>0</v>
      </c>
      <c r="Z122" s="24"/>
      <c r="AA122" s="20"/>
      <c r="AB122" s="21" t="b">
        <v>1</v>
      </c>
      <c r="AC122" s="22">
        <f t="shared" si="18"/>
        <v>0</v>
      </c>
      <c r="AD122" s="32"/>
      <c r="AE122" s="32"/>
    </row>
    <row r="123" spans="1:31" ht="12.75">
      <c r="A123" s="10">
        <f t="shared" si="0"/>
        <v>0</v>
      </c>
      <c r="B123" s="13"/>
      <c r="C123" s="13"/>
      <c r="D123" s="13"/>
      <c r="E123" s="13"/>
      <c r="F123" s="13"/>
      <c r="G123" s="13"/>
      <c r="H123" s="13"/>
      <c r="I123" s="13"/>
      <c r="J123" s="13"/>
      <c r="K123" s="13"/>
      <c r="L123" s="16"/>
      <c r="M123" s="17" t="s">
        <v>742</v>
      </c>
      <c r="N123" s="16"/>
      <c r="O123" s="17"/>
      <c r="P123" s="16"/>
      <c r="Q123" s="17"/>
      <c r="R123" s="16"/>
      <c r="S123" s="17"/>
      <c r="T123" s="17"/>
      <c r="U123" s="17"/>
      <c r="V123" s="17"/>
      <c r="W123" s="17"/>
      <c r="X123" s="17"/>
      <c r="Y123" s="18"/>
      <c r="Z123" s="24"/>
      <c r="AA123" s="20"/>
      <c r="AB123" s="21" t="b">
        <v>1</v>
      </c>
      <c r="AC123" s="22"/>
      <c r="AD123" s="32"/>
      <c r="AE123" s="32"/>
    </row>
    <row r="124" spans="1:31" ht="12.75">
      <c r="A124" s="10">
        <f t="shared" si="0"/>
        <v>0</v>
      </c>
      <c r="B124" s="13"/>
      <c r="C124" s="13"/>
      <c r="D124" s="13"/>
      <c r="E124" s="13"/>
      <c r="F124" s="13"/>
      <c r="G124" s="13"/>
      <c r="H124" s="13"/>
      <c r="I124" s="13"/>
      <c r="J124" s="13"/>
      <c r="K124" s="13"/>
      <c r="L124" s="16"/>
      <c r="M124" s="16" t="s">
        <v>743</v>
      </c>
      <c r="N124" s="16"/>
      <c r="O124" s="16"/>
      <c r="P124" s="16"/>
      <c r="Q124" s="16"/>
      <c r="R124" s="16"/>
      <c r="S124" s="17"/>
      <c r="T124" s="17"/>
      <c r="U124" s="17"/>
      <c r="V124" s="17"/>
      <c r="W124" s="17"/>
      <c r="X124" s="17">
        <f t="shared" ref="X124:X126" si="19">COUNTIF($L$2:L124,"&lt;&gt;"&amp;"")</f>
        <v>15</v>
      </c>
      <c r="Y124" s="18">
        <f t="shared" ref="Y124:Y127" si="20">SUMIF($X$2:$X$156,X124,$A$2:$A$156)</f>
        <v>0</v>
      </c>
      <c r="Z124" s="24"/>
      <c r="AA124" s="20"/>
      <c r="AB124" s="21" t="b">
        <v>1</v>
      </c>
      <c r="AC124" s="22">
        <f t="shared" ref="AC124:AC127" si="21">IF(L124="",0,IF(AB124=FALSE(),0,Y124))</f>
        <v>0</v>
      </c>
      <c r="AD124" s="32"/>
      <c r="AE124" s="32"/>
    </row>
    <row r="125" spans="1:31" ht="12.75">
      <c r="A125" s="10">
        <f t="shared" si="0"/>
        <v>0</v>
      </c>
      <c r="B125" s="13"/>
      <c r="C125" s="13"/>
      <c r="D125" s="13"/>
      <c r="E125" s="13"/>
      <c r="F125" s="13"/>
      <c r="G125" s="13"/>
      <c r="H125" s="13"/>
      <c r="I125" s="13"/>
      <c r="J125" s="13"/>
      <c r="K125" s="13"/>
      <c r="L125" s="16"/>
      <c r="M125" s="16" t="s">
        <v>744</v>
      </c>
      <c r="N125" s="16"/>
      <c r="O125" s="16"/>
      <c r="P125" s="16"/>
      <c r="Q125" s="16"/>
      <c r="R125" s="16"/>
      <c r="S125" s="17"/>
      <c r="T125" s="17"/>
      <c r="U125" s="17"/>
      <c r="V125" s="17"/>
      <c r="W125" s="17"/>
      <c r="X125" s="17">
        <f t="shared" si="19"/>
        <v>15</v>
      </c>
      <c r="Y125" s="18">
        <f t="shared" si="20"/>
        <v>0</v>
      </c>
      <c r="Z125" s="24"/>
      <c r="AA125" s="20"/>
      <c r="AB125" s="21" t="b">
        <v>1</v>
      </c>
      <c r="AC125" s="22">
        <f t="shared" si="21"/>
        <v>0</v>
      </c>
      <c r="AD125" s="32"/>
      <c r="AE125" s="32"/>
    </row>
    <row r="126" spans="1:31" ht="12.75">
      <c r="A126" s="10">
        <f t="shared" si="0"/>
        <v>0</v>
      </c>
      <c r="B126" s="13"/>
      <c r="C126" s="13"/>
      <c r="D126" s="13"/>
      <c r="E126" s="13"/>
      <c r="F126" s="13"/>
      <c r="G126" s="13"/>
      <c r="H126" s="13"/>
      <c r="I126" s="13"/>
      <c r="J126" s="13"/>
      <c r="K126" s="13"/>
      <c r="L126" s="16"/>
      <c r="M126" s="17" t="s">
        <v>745</v>
      </c>
      <c r="N126" s="16"/>
      <c r="O126" s="17"/>
      <c r="P126" s="16"/>
      <c r="Q126" s="17"/>
      <c r="R126" s="16"/>
      <c r="S126" s="17"/>
      <c r="T126" s="17"/>
      <c r="U126" s="17"/>
      <c r="V126" s="17"/>
      <c r="W126" s="17"/>
      <c r="X126" s="17">
        <f t="shared" si="19"/>
        <v>15</v>
      </c>
      <c r="Y126" s="18">
        <f t="shared" si="20"/>
        <v>0</v>
      </c>
      <c r="Z126" s="24"/>
      <c r="AA126" s="20"/>
      <c r="AB126" s="21" t="b">
        <v>1</v>
      </c>
      <c r="AC126" s="22">
        <f t="shared" si="21"/>
        <v>0</v>
      </c>
      <c r="AD126" s="32"/>
      <c r="AE126" s="32"/>
    </row>
    <row r="127" spans="1:31" ht="12.75">
      <c r="A127" s="10">
        <f t="shared" si="0"/>
        <v>0</v>
      </c>
      <c r="B127" s="13"/>
      <c r="C127" s="13"/>
      <c r="D127" s="13"/>
      <c r="E127" s="13"/>
      <c r="F127" s="13"/>
      <c r="G127" s="13"/>
      <c r="H127" s="13"/>
      <c r="I127" s="13"/>
      <c r="J127" s="13"/>
      <c r="K127" s="13"/>
      <c r="L127" s="16"/>
      <c r="M127" s="17"/>
      <c r="N127" s="16"/>
      <c r="O127" s="17"/>
      <c r="P127" s="16"/>
      <c r="Q127" s="17"/>
      <c r="R127" s="16"/>
      <c r="S127" s="17"/>
      <c r="T127" s="17"/>
      <c r="U127" s="17"/>
      <c r="V127" s="17"/>
      <c r="W127" s="17"/>
      <c r="X127" s="17">
        <f>COUNTIF($L$2:L131,"&lt;&gt;"&amp;"")</f>
        <v>15</v>
      </c>
      <c r="Y127" s="18">
        <f t="shared" si="20"/>
        <v>0</v>
      </c>
      <c r="Z127" s="24"/>
      <c r="AA127" s="20"/>
      <c r="AB127" s="21" t="b">
        <v>1</v>
      </c>
      <c r="AC127" s="22">
        <f t="shared" si="21"/>
        <v>0</v>
      </c>
      <c r="AD127" s="28"/>
      <c r="AE127" s="28"/>
    </row>
    <row r="128" spans="1:31" ht="12.75">
      <c r="A128" s="10">
        <f t="shared" si="0"/>
        <v>0</v>
      </c>
      <c r="B128" s="13"/>
      <c r="C128" s="13"/>
      <c r="D128" s="13"/>
      <c r="E128" s="13"/>
      <c r="F128" s="13"/>
      <c r="G128" s="13"/>
      <c r="H128" s="13"/>
      <c r="I128" s="13"/>
      <c r="J128" s="13"/>
      <c r="K128" s="13"/>
      <c r="L128" s="16"/>
      <c r="M128" s="17" t="s">
        <v>746</v>
      </c>
      <c r="N128" s="16"/>
      <c r="O128" s="17"/>
      <c r="P128" s="16"/>
      <c r="Q128" s="17"/>
      <c r="R128" s="16"/>
      <c r="S128" s="17"/>
      <c r="T128" s="17"/>
      <c r="U128" s="17"/>
      <c r="V128" s="17"/>
      <c r="W128" s="17"/>
      <c r="X128" s="17"/>
      <c r="Y128" s="18"/>
      <c r="Z128" s="24"/>
      <c r="AA128" s="20"/>
      <c r="AB128" s="21" t="b">
        <v>1</v>
      </c>
      <c r="AC128" s="22"/>
      <c r="AD128" s="28"/>
      <c r="AE128" s="28"/>
    </row>
    <row r="129" spans="1:31" ht="12.75">
      <c r="A129" s="10">
        <f t="shared" si="0"/>
        <v>0</v>
      </c>
      <c r="B129" s="13"/>
      <c r="C129" s="13"/>
      <c r="D129" s="13"/>
      <c r="E129" s="13"/>
      <c r="F129" s="13"/>
      <c r="G129" s="13"/>
      <c r="H129" s="13"/>
      <c r="I129" s="13"/>
      <c r="J129" s="13"/>
      <c r="K129" s="13"/>
      <c r="L129" s="16"/>
      <c r="M129" s="17" t="s">
        <v>747</v>
      </c>
      <c r="N129" s="16"/>
      <c r="O129" s="17"/>
      <c r="P129" s="16"/>
      <c r="Q129" s="17"/>
      <c r="R129" s="16"/>
      <c r="S129" s="17"/>
      <c r="T129" s="17"/>
      <c r="U129" s="17"/>
      <c r="V129" s="17"/>
      <c r="W129" s="17"/>
      <c r="X129" s="17">
        <f t="shared" ref="X129:X145" si="22">COUNTIF($L$2:L129,"&lt;&gt;"&amp;"")</f>
        <v>15</v>
      </c>
      <c r="Y129" s="18">
        <f t="shared" ref="Y129:Y145" si="23">SUMIF($X$2:$X$156,X129,$A$2:$A$156)</f>
        <v>0</v>
      </c>
      <c r="Z129" s="24"/>
      <c r="AA129" s="20"/>
      <c r="AB129" s="21" t="b">
        <v>1</v>
      </c>
      <c r="AC129" s="22">
        <f t="shared" ref="AC129:AC145" si="24">IF(L129="",0,IF(AB129=FALSE(),0,Y129))</f>
        <v>0</v>
      </c>
      <c r="AD129" s="32"/>
      <c r="AE129" s="32"/>
    </row>
    <row r="130" spans="1:31" ht="12.75">
      <c r="A130" s="10">
        <f t="shared" si="0"/>
        <v>0</v>
      </c>
      <c r="B130" s="13"/>
      <c r="C130" s="13"/>
      <c r="D130" s="13"/>
      <c r="E130" s="13"/>
      <c r="F130" s="13"/>
      <c r="G130" s="13"/>
      <c r="H130" s="13"/>
      <c r="I130" s="13"/>
      <c r="J130" s="13"/>
      <c r="K130" s="13"/>
      <c r="L130" s="16"/>
      <c r="M130" s="17" t="s">
        <v>748</v>
      </c>
      <c r="N130" s="16"/>
      <c r="O130" s="17"/>
      <c r="P130" s="16"/>
      <c r="Q130" s="17"/>
      <c r="R130" s="16"/>
      <c r="S130" s="17"/>
      <c r="T130" s="17"/>
      <c r="U130" s="17"/>
      <c r="V130" s="17"/>
      <c r="W130" s="17"/>
      <c r="X130" s="17">
        <f t="shared" si="22"/>
        <v>15</v>
      </c>
      <c r="Y130" s="18">
        <f t="shared" si="23"/>
        <v>0</v>
      </c>
      <c r="Z130" s="24"/>
      <c r="AA130" s="20"/>
      <c r="AB130" s="21" t="b">
        <v>1</v>
      </c>
      <c r="AC130" s="22">
        <f t="shared" si="24"/>
        <v>0</v>
      </c>
      <c r="AD130" s="32"/>
      <c r="AE130" s="32"/>
    </row>
    <row r="131" spans="1:31" ht="12.75">
      <c r="A131" s="10">
        <f t="shared" si="0"/>
        <v>0</v>
      </c>
      <c r="B131" s="13"/>
      <c r="C131" s="13"/>
      <c r="D131" s="13"/>
      <c r="E131" s="13"/>
      <c r="F131" s="13"/>
      <c r="G131" s="13"/>
      <c r="H131" s="13"/>
      <c r="I131" s="13"/>
      <c r="J131" s="13"/>
      <c r="K131" s="13"/>
      <c r="L131" s="16"/>
      <c r="M131" s="17"/>
      <c r="N131" s="16"/>
      <c r="O131" s="17"/>
      <c r="P131" s="16"/>
      <c r="Q131" s="17"/>
      <c r="R131" s="16"/>
      <c r="S131" s="17"/>
      <c r="T131" s="17"/>
      <c r="U131" s="17"/>
      <c r="V131" s="17"/>
      <c r="W131" s="17"/>
      <c r="X131" s="17">
        <f t="shared" si="22"/>
        <v>15</v>
      </c>
      <c r="Y131" s="18">
        <f t="shared" si="23"/>
        <v>0</v>
      </c>
      <c r="Z131" s="24"/>
      <c r="AA131" s="20"/>
      <c r="AB131" s="21" t="b">
        <v>1</v>
      </c>
      <c r="AC131" s="22">
        <f t="shared" si="24"/>
        <v>0</v>
      </c>
      <c r="AD131" s="32"/>
      <c r="AE131" s="32"/>
    </row>
    <row r="132" spans="1:31" ht="12.75">
      <c r="A132" s="10">
        <f t="shared" si="0"/>
        <v>0</v>
      </c>
      <c r="B132" s="13"/>
      <c r="C132" s="13"/>
      <c r="D132" s="13"/>
      <c r="E132" s="13"/>
      <c r="F132" s="13"/>
      <c r="G132" s="13"/>
      <c r="H132" s="13"/>
      <c r="I132" s="13"/>
      <c r="J132" s="13"/>
      <c r="K132" s="13"/>
      <c r="L132" s="16"/>
      <c r="M132" s="17" t="s">
        <v>749</v>
      </c>
      <c r="N132" s="16"/>
      <c r="O132" s="17"/>
      <c r="P132" s="16"/>
      <c r="Q132" s="17"/>
      <c r="R132" s="16"/>
      <c r="S132" s="17"/>
      <c r="T132" s="17"/>
      <c r="U132" s="17"/>
      <c r="V132" s="17"/>
      <c r="W132" s="17"/>
      <c r="X132" s="17">
        <f t="shared" si="22"/>
        <v>15</v>
      </c>
      <c r="Y132" s="18">
        <f t="shared" si="23"/>
        <v>0</v>
      </c>
      <c r="Z132" s="24"/>
      <c r="AA132" s="20"/>
      <c r="AB132" s="21" t="b">
        <v>1</v>
      </c>
      <c r="AC132" s="22">
        <f t="shared" si="24"/>
        <v>0</v>
      </c>
      <c r="AD132" s="28"/>
      <c r="AE132" s="28"/>
    </row>
    <row r="133" spans="1:31" ht="12.75">
      <c r="A133" s="10">
        <f t="shared" si="0"/>
        <v>0</v>
      </c>
      <c r="B133" s="13"/>
      <c r="C133" s="13"/>
      <c r="D133" s="13"/>
      <c r="E133" s="13"/>
      <c r="F133" s="13"/>
      <c r="G133" s="13"/>
      <c r="H133" s="13"/>
      <c r="I133" s="13"/>
      <c r="J133" s="13"/>
      <c r="K133" s="13"/>
      <c r="L133" s="16"/>
      <c r="M133" s="17" t="s">
        <v>750</v>
      </c>
      <c r="N133" s="16"/>
      <c r="O133" s="17"/>
      <c r="P133" s="16"/>
      <c r="Q133" s="17"/>
      <c r="R133" s="16"/>
      <c r="S133" s="17"/>
      <c r="T133" s="17"/>
      <c r="U133" s="17"/>
      <c r="V133" s="17"/>
      <c r="W133" s="17"/>
      <c r="X133" s="17">
        <f t="shared" si="22"/>
        <v>15</v>
      </c>
      <c r="Y133" s="18">
        <f t="shared" si="23"/>
        <v>0</v>
      </c>
      <c r="Z133" s="24"/>
      <c r="AA133" s="20"/>
      <c r="AB133" s="21" t="b">
        <v>1</v>
      </c>
      <c r="AC133" s="22">
        <f t="shared" si="24"/>
        <v>0</v>
      </c>
      <c r="AD133" s="28"/>
      <c r="AE133" s="28"/>
    </row>
    <row r="134" spans="1:31" ht="12.75">
      <c r="A134" s="10">
        <f t="shared" si="0"/>
        <v>0</v>
      </c>
      <c r="B134" s="13"/>
      <c r="C134" s="13"/>
      <c r="D134" s="13"/>
      <c r="E134" s="13"/>
      <c r="F134" s="13"/>
      <c r="G134" s="13"/>
      <c r="H134" s="13"/>
      <c r="I134" s="13"/>
      <c r="J134" s="13"/>
      <c r="K134" s="13"/>
      <c r="L134" s="16"/>
      <c r="M134" s="17"/>
      <c r="N134" s="16" t="s">
        <v>751</v>
      </c>
      <c r="O134" s="17"/>
      <c r="P134" s="16"/>
      <c r="Q134" s="17"/>
      <c r="R134" s="16"/>
      <c r="S134" s="17"/>
      <c r="T134" s="17"/>
      <c r="U134" s="17"/>
      <c r="V134" s="17"/>
      <c r="W134" s="17"/>
      <c r="X134" s="17">
        <f t="shared" si="22"/>
        <v>15</v>
      </c>
      <c r="Y134" s="18">
        <f t="shared" si="23"/>
        <v>0</v>
      </c>
      <c r="Z134" s="24"/>
      <c r="AA134" s="20"/>
      <c r="AB134" s="21" t="b">
        <v>1</v>
      </c>
      <c r="AC134" s="22">
        <f t="shared" si="24"/>
        <v>0</v>
      </c>
      <c r="AD134" s="28"/>
      <c r="AE134" s="28"/>
    </row>
    <row r="135" spans="1:31" ht="12.75">
      <c r="A135" s="10">
        <f t="shared" si="0"/>
        <v>0</v>
      </c>
      <c r="B135" s="13"/>
      <c r="C135" s="13"/>
      <c r="D135" s="13"/>
      <c r="E135" s="13"/>
      <c r="F135" s="13"/>
      <c r="G135" s="13"/>
      <c r="H135" s="13"/>
      <c r="I135" s="13"/>
      <c r="J135" s="13"/>
      <c r="K135" s="13"/>
      <c r="L135" s="16"/>
      <c r="M135" s="17"/>
      <c r="N135" s="16" t="s">
        <v>752</v>
      </c>
      <c r="O135" s="17"/>
      <c r="P135" s="16"/>
      <c r="Q135" s="17"/>
      <c r="R135" s="16"/>
      <c r="S135" s="17"/>
      <c r="T135" s="17"/>
      <c r="U135" s="17"/>
      <c r="V135" s="17"/>
      <c r="W135" s="17"/>
      <c r="X135" s="17">
        <f t="shared" si="22"/>
        <v>15</v>
      </c>
      <c r="Y135" s="18">
        <f t="shared" si="23"/>
        <v>0</v>
      </c>
      <c r="Z135" s="24"/>
      <c r="AA135" s="20"/>
      <c r="AB135" s="21" t="b">
        <v>1</v>
      </c>
      <c r="AC135" s="22">
        <f t="shared" si="24"/>
        <v>0</v>
      </c>
      <c r="AD135" s="28"/>
      <c r="AE135" s="28"/>
    </row>
    <row r="136" spans="1:31" ht="12.75">
      <c r="A136" s="10">
        <f t="shared" si="0"/>
        <v>0</v>
      </c>
      <c r="B136" s="13"/>
      <c r="C136" s="23"/>
      <c r="D136" s="13"/>
      <c r="E136" s="23"/>
      <c r="F136" s="13"/>
      <c r="G136" s="23"/>
      <c r="H136" s="23"/>
      <c r="I136" s="23"/>
      <c r="J136" s="23"/>
      <c r="K136" s="23"/>
      <c r="L136" s="16"/>
      <c r="M136" s="16"/>
      <c r="N136" s="16" t="s">
        <v>753</v>
      </c>
      <c r="O136" s="16"/>
      <c r="P136" s="16"/>
      <c r="Q136" s="16"/>
      <c r="R136" s="16"/>
      <c r="S136" s="17"/>
      <c r="T136" s="17"/>
      <c r="U136" s="17"/>
      <c r="V136" s="17"/>
      <c r="W136" s="17"/>
      <c r="X136" s="17">
        <f t="shared" si="22"/>
        <v>15</v>
      </c>
      <c r="Y136" s="18">
        <f t="shared" si="23"/>
        <v>0</v>
      </c>
      <c r="Z136" s="24"/>
      <c r="AA136" s="20"/>
      <c r="AB136" s="21" t="b">
        <v>1</v>
      </c>
      <c r="AC136" s="22">
        <f t="shared" si="24"/>
        <v>0</v>
      </c>
      <c r="AD136" s="23"/>
      <c r="AE136" s="23"/>
    </row>
    <row r="137" spans="1:31" ht="12.75">
      <c r="A137" s="10">
        <f t="shared" si="0"/>
        <v>0</v>
      </c>
      <c r="B137" s="23"/>
      <c r="C137" s="13"/>
      <c r="D137" s="13"/>
      <c r="E137" s="23"/>
      <c r="F137" s="13"/>
      <c r="G137" s="13"/>
      <c r="H137" s="23"/>
      <c r="I137" s="23"/>
      <c r="J137" s="23"/>
      <c r="K137" s="23"/>
      <c r="L137" s="16"/>
      <c r="M137" s="16"/>
      <c r="N137" s="16" t="s">
        <v>754</v>
      </c>
      <c r="O137" s="16"/>
      <c r="P137" s="16"/>
      <c r="Q137" s="16"/>
      <c r="R137" s="16"/>
      <c r="S137" s="17"/>
      <c r="T137" s="17"/>
      <c r="U137" s="17"/>
      <c r="V137" s="17"/>
      <c r="W137" s="17"/>
      <c r="X137" s="17">
        <f t="shared" si="22"/>
        <v>15</v>
      </c>
      <c r="Y137" s="18">
        <f t="shared" si="23"/>
        <v>0</v>
      </c>
      <c r="Z137" s="24"/>
      <c r="AA137" s="20"/>
      <c r="AB137" s="21" t="b">
        <v>1</v>
      </c>
      <c r="AC137" s="22">
        <f t="shared" si="24"/>
        <v>0</v>
      </c>
      <c r="AD137" s="23"/>
      <c r="AE137" s="23"/>
    </row>
    <row r="138" spans="1:31" ht="12.75">
      <c r="A138" s="10">
        <f t="shared" si="0"/>
        <v>0</v>
      </c>
      <c r="B138" s="23"/>
      <c r="C138" s="23"/>
      <c r="D138" s="23"/>
      <c r="E138" s="23"/>
      <c r="F138" s="13"/>
      <c r="G138" s="23"/>
      <c r="H138" s="23"/>
      <c r="I138" s="23"/>
      <c r="J138" s="23"/>
      <c r="K138" s="23"/>
      <c r="L138" s="16"/>
      <c r="M138" s="17"/>
      <c r="N138" s="16"/>
      <c r="O138" s="17"/>
      <c r="P138" s="16"/>
      <c r="Q138" s="17"/>
      <c r="R138" s="16"/>
      <c r="S138" s="17"/>
      <c r="T138" s="17"/>
      <c r="U138" s="17"/>
      <c r="V138" s="17"/>
      <c r="W138" s="17"/>
      <c r="X138" s="17">
        <f t="shared" si="22"/>
        <v>15</v>
      </c>
      <c r="Y138" s="18">
        <f t="shared" si="23"/>
        <v>0</v>
      </c>
      <c r="Z138" s="24"/>
      <c r="AA138" s="20"/>
      <c r="AB138" s="21" t="b">
        <v>1</v>
      </c>
      <c r="AC138" s="22">
        <f t="shared" si="24"/>
        <v>0</v>
      </c>
      <c r="AD138" s="23"/>
      <c r="AE138" s="23"/>
    </row>
    <row r="139" spans="1:31" ht="12.75">
      <c r="A139" s="10">
        <f t="shared" si="0"/>
        <v>0</v>
      </c>
      <c r="B139" s="23"/>
      <c r="C139" s="23"/>
      <c r="D139" s="13"/>
      <c r="E139" s="23"/>
      <c r="F139" s="13"/>
      <c r="G139" s="23"/>
      <c r="H139" s="23"/>
      <c r="I139" s="23"/>
      <c r="J139" s="23"/>
      <c r="K139" s="23"/>
      <c r="L139" s="16"/>
      <c r="M139" s="17" t="s">
        <v>755</v>
      </c>
      <c r="N139" s="16"/>
      <c r="O139" s="17"/>
      <c r="P139" s="16"/>
      <c r="Q139" s="17"/>
      <c r="R139" s="16"/>
      <c r="S139" s="17"/>
      <c r="T139" s="17"/>
      <c r="U139" s="17"/>
      <c r="V139" s="17"/>
      <c r="W139" s="17"/>
      <c r="X139" s="17">
        <f t="shared" si="22"/>
        <v>15</v>
      </c>
      <c r="Y139" s="18">
        <f t="shared" si="23"/>
        <v>0</v>
      </c>
      <c r="Z139" s="24"/>
      <c r="AA139" s="20"/>
      <c r="AB139" s="21" t="b">
        <v>1</v>
      </c>
      <c r="AC139" s="22">
        <f t="shared" si="24"/>
        <v>0</v>
      </c>
      <c r="AD139" s="23"/>
      <c r="AE139" s="23"/>
    </row>
    <row r="140" spans="1:31" ht="12.75">
      <c r="A140" s="10">
        <f t="shared" si="0"/>
        <v>0</v>
      </c>
      <c r="B140" s="13"/>
      <c r="C140" s="13"/>
      <c r="D140" s="13"/>
      <c r="E140" s="13"/>
      <c r="F140" s="23"/>
      <c r="G140" s="13"/>
      <c r="H140" s="23"/>
      <c r="I140" s="23"/>
      <c r="J140" s="23"/>
      <c r="K140" s="23"/>
      <c r="L140" s="16"/>
      <c r="M140" s="17" t="s">
        <v>756</v>
      </c>
      <c r="N140" s="16"/>
      <c r="O140" s="17"/>
      <c r="P140" s="16"/>
      <c r="Q140" s="17"/>
      <c r="R140" s="16"/>
      <c r="S140" s="17"/>
      <c r="T140" s="17"/>
      <c r="U140" s="17"/>
      <c r="V140" s="17"/>
      <c r="W140" s="17"/>
      <c r="X140" s="17">
        <f t="shared" si="22"/>
        <v>15</v>
      </c>
      <c r="Y140" s="18">
        <f t="shared" si="23"/>
        <v>0</v>
      </c>
      <c r="Z140" s="24"/>
      <c r="AA140" s="20"/>
      <c r="AB140" s="21" t="b">
        <v>1</v>
      </c>
      <c r="AC140" s="22">
        <f t="shared" si="24"/>
        <v>0</v>
      </c>
      <c r="AD140" s="23"/>
      <c r="AE140" s="23"/>
    </row>
    <row r="141" spans="1:31" ht="12.75">
      <c r="A141" s="10">
        <f t="shared" si="0"/>
        <v>0</v>
      </c>
      <c r="B141" s="13"/>
      <c r="C141" s="13"/>
      <c r="D141" s="13"/>
      <c r="E141" s="13"/>
      <c r="F141" s="13"/>
      <c r="G141" s="13"/>
      <c r="H141" s="13"/>
      <c r="I141" s="13"/>
      <c r="J141" s="13"/>
      <c r="K141" s="13"/>
      <c r="L141" s="16"/>
      <c r="M141" s="17" t="s">
        <v>757</v>
      </c>
      <c r="N141" s="16"/>
      <c r="O141" s="17"/>
      <c r="P141" s="16"/>
      <c r="Q141" s="17"/>
      <c r="R141" s="16"/>
      <c r="S141" s="17"/>
      <c r="T141" s="17"/>
      <c r="U141" s="17"/>
      <c r="V141" s="17"/>
      <c r="W141" s="17"/>
      <c r="X141" s="17">
        <f t="shared" si="22"/>
        <v>15</v>
      </c>
      <c r="Y141" s="18">
        <f t="shared" si="23"/>
        <v>0</v>
      </c>
      <c r="Z141" s="24"/>
      <c r="AA141" s="20"/>
      <c r="AB141" s="21" t="b">
        <v>1</v>
      </c>
      <c r="AC141" s="22">
        <f t="shared" si="24"/>
        <v>0</v>
      </c>
      <c r="AD141" s="32"/>
      <c r="AE141" s="32"/>
    </row>
    <row r="142" spans="1:31" ht="12.75">
      <c r="A142" s="10">
        <f t="shared" si="0"/>
        <v>0</v>
      </c>
      <c r="B142" s="13"/>
      <c r="C142" s="13"/>
      <c r="D142" s="13"/>
      <c r="E142" s="13"/>
      <c r="F142" s="13"/>
      <c r="G142" s="13"/>
      <c r="H142" s="13"/>
      <c r="I142" s="13"/>
      <c r="J142" s="13"/>
      <c r="K142" s="13"/>
      <c r="L142" s="16"/>
      <c r="M142" s="17" t="s">
        <v>758</v>
      </c>
      <c r="N142" s="16"/>
      <c r="O142" s="17"/>
      <c r="P142" s="16"/>
      <c r="Q142" s="17"/>
      <c r="R142" s="17"/>
      <c r="S142" s="17"/>
      <c r="T142" s="17"/>
      <c r="U142" s="17"/>
      <c r="V142" s="17"/>
      <c r="W142" s="17"/>
      <c r="X142" s="17">
        <f t="shared" si="22"/>
        <v>15</v>
      </c>
      <c r="Y142" s="18">
        <f t="shared" si="23"/>
        <v>0</v>
      </c>
      <c r="Z142" s="19"/>
      <c r="AA142" s="30"/>
      <c r="AB142" s="21" t="b">
        <v>1</v>
      </c>
      <c r="AC142" s="22">
        <f t="shared" si="24"/>
        <v>0</v>
      </c>
      <c r="AD142" s="32"/>
      <c r="AE142" s="32"/>
    </row>
    <row r="143" spans="1:31" ht="12.75">
      <c r="A143" s="10">
        <f t="shared" si="0"/>
        <v>0</v>
      </c>
      <c r="B143" s="13"/>
      <c r="C143" s="13"/>
      <c r="D143" s="13"/>
      <c r="E143" s="13"/>
      <c r="F143" s="13"/>
      <c r="G143" s="13"/>
      <c r="H143" s="13"/>
      <c r="I143" s="13"/>
      <c r="J143" s="13"/>
      <c r="K143" s="13"/>
      <c r="L143" s="16"/>
      <c r="M143" s="17" t="s">
        <v>759</v>
      </c>
      <c r="N143" s="16"/>
      <c r="O143" s="17"/>
      <c r="P143" s="16"/>
      <c r="Q143" s="17"/>
      <c r="R143" s="17"/>
      <c r="S143" s="17"/>
      <c r="T143" s="17"/>
      <c r="U143" s="17"/>
      <c r="V143" s="17"/>
      <c r="W143" s="17"/>
      <c r="X143" s="17">
        <f t="shared" si="22"/>
        <v>15</v>
      </c>
      <c r="Y143" s="18">
        <f t="shared" si="23"/>
        <v>0</v>
      </c>
      <c r="Z143" s="19"/>
      <c r="AA143" s="30"/>
      <c r="AB143" s="21" t="b">
        <v>1</v>
      </c>
      <c r="AC143" s="22">
        <f t="shared" si="24"/>
        <v>0</v>
      </c>
      <c r="AD143" s="32"/>
      <c r="AE143" s="32"/>
    </row>
    <row r="144" spans="1:31" ht="15">
      <c r="A144" s="10">
        <f t="shared" si="0"/>
        <v>0</v>
      </c>
      <c r="B144" s="13"/>
      <c r="C144" s="13"/>
      <c r="D144" s="13"/>
      <c r="E144" s="13"/>
      <c r="F144" s="13"/>
      <c r="G144" s="13"/>
      <c r="H144" s="13"/>
      <c r="I144" s="13"/>
      <c r="J144" s="13"/>
      <c r="K144" s="13"/>
      <c r="L144" s="27"/>
      <c r="M144" s="17" t="s">
        <v>760</v>
      </c>
      <c r="N144" s="16"/>
      <c r="O144" s="17"/>
      <c r="P144" s="16"/>
      <c r="Q144" s="17"/>
      <c r="R144" s="17"/>
      <c r="S144" s="17"/>
      <c r="T144" s="17"/>
      <c r="U144" s="17"/>
      <c r="V144" s="17"/>
      <c r="W144" s="17"/>
      <c r="X144" s="17">
        <f t="shared" si="22"/>
        <v>15</v>
      </c>
      <c r="Y144" s="18">
        <f t="shared" si="23"/>
        <v>0</v>
      </c>
      <c r="Z144" s="19"/>
      <c r="AA144" s="30"/>
      <c r="AB144" s="21" t="b">
        <v>1</v>
      </c>
      <c r="AC144" s="22">
        <f t="shared" si="24"/>
        <v>0</v>
      </c>
      <c r="AD144" s="32"/>
      <c r="AE144" s="32"/>
    </row>
    <row r="145" spans="1:31" ht="15">
      <c r="A145" s="10">
        <f t="shared" si="0"/>
        <v>0</v>
      </c>
      <c r="B145" s="13"/>
      <c r="C145" s="13"/>
      <c r="D145" s="13"/>
      <c r="E145" s="13"/>
      <c r="F145" s="13"/>
      <c r="G145" s="13"/>
      <c r="H145" s="13"/>
      <c r="I145" s="13"/>
      <c r="J145" s="13"/>
      <c r="K145" s="13"/>
      <c r="L145" s="27"/>
      <c r="M145" s="17"/>
      <c r="N145" s="16"/>
      <c r="O145" s="17"/>
      <c r="P145" s="16"/>
      <c r="Q145" s="17"/>
      <c r="R145" s="17"/>
      <c r="S145" s="17"/>
      <c r="T145" s="17"/>
      <c r="U145" s="17"/>
      <c r="V145" s="17"/>
      <c r="W145" s="17"/>
      <c r="X145" s="17">
        <f t="shared" si="22"/>
        <v>15</v>
      </c>
      <c r="Y145" s="18">
        <f t="shared" si="23"/>
        <v>0</v>
      </c>
      <c r="Z145" s="19"/>
      <c r="AA145" s="30"/>
      <c r="AB145" s="21" t="b">
        <v>1</v>
      </c>
      <c r="AC145" s="22">
        <f t="shared" si="24"/>
        <v>0</v>
      </c>
      <c r="AD145" s="32"/>
      <c r="AE145" s="32"/>
    </row>
    <row r="146" spans="1:31" ht="15">
      <c r="A146" s="10"/>
      <c r="B146" s="13"/>
      <c r="C146" s="13"/>
      <c r="D146" s="13"/>
      <c r="E146" s="13"/>
      <c r="F146" s="13"/>
      <c r="G146" s="13"/>
      <c r="H146" s="13"/>
      <c r="I146" s="13"/>
      <c r="J146" s="13"/>
      <c r="K146" s="13"/>
      <c r="L146" s="27"/>
      <c r="M146" s="17" t="s">
        <v>761</v>
      </c>
      <c r="N146" s="16"/>
      <c r="O146" s="17"/>
      <c r="P146" s="16"/>
      <c r="Q146" s="17"/>
      <c r="R146" s="17"/>
      <c r="S146" s="17"/>
      <c r="T146" s="17"/>
      <c r="U146" s="17"/>
      <c r="V146" s="17"/>
      <c r="W146" s="17"/>
      <c r="X146" s="17"/>
      <c r="Y146" s="18"/>
      <c r="Z146" s="19"/>
      <c r="AA146" s="30"/>
      <c r="AB146" s="21" t="b">
        <v>0</v>
      </c>
      <c r="AC146" s="22"/>
      <c r="AD146" s="32"/>
      <c r="AE146" s="32"/>
    </row>
    <row r="147" spans="1:31" ht="15">
      <c r="A147" s="10"/>
      <c r="B147" s="13"/>
      <c r="C147" s="13"/>
      <c r="D147" s="13"/>
      <c r="E147" s="13"/>
      <c r="F147" s="13"/>
      <c r="G147" s="13"/>
      <c r="H147" s="13"/>
      <c r="I147" s="13"/>
      <c r="J147" s="13"/>
      <c r="K147" s="13"/>
      <c r="L147" s="27"/>
      <c r="M147" s="17" t="s">
        <v>762</v>
      </c>
      <c r="N147" s="16"/>
      <c r="O147" s="17"/>
      <c r="P147" s="16"/>
      <c r="Q147" s="17"/>
      <c r="R147" s="16"/>
      <c r="S147" s="17"/>
      <c r="T147" s="17"/>
      <c r="U147" s="17"/>
      <c r="V147" s="17"/>
      <c r="W147" s="17"/>
      <c r="X147" s="17"/>
      <c r="Y147" s="18"/>
      <c r="Z147" s="19"/>
      <c r="AA147" s="30"/>
      <c r="AB147" s="21" t="b">
        <v>0</v>
      </c>
      <c r="AC147" s="22"/>
      <c r="AD147" s="32"/>
      <c r="AE147" s="32"/>
    </row>
    <row r="148" spans="1:31" ht="15">
      <c r="A148" s="10"/>
      <c r="B148" s="13"/>
      <c r="C148" s="13"/>
      <c r="D148" s="13"/>
      <c r="E148" s="13"/>
      <c r="F148" s="13"/>
      <c r="G148" s="13"/>
      <c r="H148" s="13"/>
      <c r="I148" s="13"/>
      <c r="J148" s="13"/>
      <c r="K148" s="13"/>
      <c r="L148" s="27"/>
      <c r="M148" s="16" t="s">
        <v>763</v>
      </c>
      <c r="N148" s="16"/>
      <c r="O148" s="16"/>
      <c r="P148" s="16"/>
      <c r="Q148" s="16"/>
      <c r="R148" s="16"/>
      <c r="S148" s="17"/>
      <c r="T148" s="17"/>
      <c r="U148" s="17"/>
      <c r="V148" s="17"/>
      <c r="W148" s="17"/>
      <c r="X148" s="17"/>
      <c r="Y148" s="18"/>
      <c r="Z148" s="19"/>
      <c r="AA148" s="30"/>
      <c r="AB148" s="21" t="b">
        <v>0</v>
      </c>
      <c r="AC148" s="22"/>
      <c r="AD148" s="32"/>
      <c r="AE148" s="32"/>
    </row>
    <row r="149" spans="1:31" ht="15">
      <c r="A149" s="10"/>
      <c r="B149" s="13"/>
      <c r="C149" s="13"/>
      <c r="D149" s="13"/>
      <c r="E149" s="13"/>
      <c r="F149" s="13"/>
      <c r="G149" s="13"/>
      <c r="H149" s="13"/>
      <c r="I149" s="13"/>
      <c r="J149" s="13"/>
      <c r="K149" s="13"/>
      <c r="L149" s="27"/>
      <c r="M149" s="16" t="s">
        <v>764</v>
      </c>
      <c r="N149" s="16"/>
      <c r="O149" s="16"/>
      <c r="P149" s="16"/>
      <c r="Q149" s="16"/>
      <c r="R149" s="16"/>
      <c r="S149" s="17"/>
      <c r="T149" s="17"/>
      <c r="U149" s="17"/>
      <c r="V149" s="17"/>
      <c r="W149" s="17"/>
      <c r="X149" s="17"/>
      <c r="Y149" s="18"/>
      <c r="Z149" s="19"/>
      <c r="AA149" s="30"/>
      <c r="AB149" s="21" t="b">
        <v>0</v>
      </c>
      <c r="AC149" s="22"/>
      <c r="AD149" s="32"/>
      <c r="AE149" s="32"/>
    </row>
    <row r="150" spans="1:31" ht="15">
      <c r="A150" s="10"/>
      <c r="B150" s="13"/>
      <c r="C150" s="13"/>
      <c r="D150" s="13"/>
      <c r="E150" s="13"/>
      <c r="F150" s="13"/>
      <c r="G150" s="13"/>
      <c r="H150" s="13"/>
      <c r="I150" s="13"/>
      <c r="J150" s="13"/>
      <c r="K150" s="13"/>
      <c r="L150" s="27"/>
      <c r="M150" s="82" t="s">
        <v>765</v>
      </c>
      <c r="N150" s="16"/>
      <c r="O150" s="16"/>
      <c r="P150" s="16"/>
      <c r="Q150" s="16"/>
      <c r="R150" s="16"/>
      <c r="S150" s="17"/>
      <c r="T150" s="17"/>
      <c r="U150" s="17"/>
      <c r="V150" s="17"/>
      <c r="W150" s="17"/>
      <c r="X150" s="17"/>
      <c r="Y150" s="18"/>
      <c r="Z150" s="19"/>
      <c r="AA150" s="30"/>
      <c r="AB150" s="21" t="b">
        <v>0</v>
      </c>
      <c r="AC150" s="22"/>
      <c r="AD150" s="32"/>
      <c r="AE150" s="32"/>
    </row>
    <row r="151" spans="1:31" ht="15">
      <c r="A151" s="10"/>
      <c r="B151" s="13"/>
      <c r="C151" s="13"/>
      <c r="D151" s="13"/>
      <c r="E151" s="13"/>
      <c r="F151" s="13"/>
      <c r="G151" s="13"/>
      <c r="H151" s="13"/>
      <c r="I151" s="13"/>
      <c r="J151" s="13"/>
      <c r="K151" s="13"/>
      <c r="L151" s="27"/>
      <c r="M151" s="82" t="s">
        <v>766</v>
      </c>
      <c r="N151" s="16"/>
      <c r="O151" s="16"/>
      <c r="P151" s="16"/>
      <c r="Q151" s="16"/>
      <c r="R151" s="16"/>
      <c r="S151" s="17"/>
      <c r="T151" s="17"/>
      <c r="U151" s="17"/>
      <c r="V151" s="17"/>
      <c r="W151" s="17"/>
      <c r="X151" s="17"/>
      <c r="Y151" s="18"/>
      <c r="Z151" s="19"/>
      <c r="AA151" s="30"/>
      <c r="AB151" s="21" t="b">
        <v>0</v>
      </c>
      <c r="AC151" s="22"/>
      <c r="AD151" s="32"/>
      <c r="AE151" s="32"/>
    </row>
    <row r="152" spans="1:31" ht="15">
      <c r="A152" s="10"/>
      <c r="B152" s="13"/>
      <c r="C152" s="13"/>
      <c r="D152" s="13"/>
      <c r="E152" s="13"/>
      <c r="F152" s="13"/>
      <c r="G152" s="13"/>
      <c r="H152" s="13"/>
      <c r="I152" s="13"/>
      <c r="J152" s="13"/>
      <c r="K152" s="13"/>
      <c r="L152" s="27"/>
      <c r="M152" s="89"/>
      <c r="N152" s="16"/>
      <c r="O152" s="16"/>
      <c r="P152" s="16"/>
      <c r="Q152" s="16"/>
      <c r="R152" s="16"/>
      <c r="S152" s="17"/>
      <c r="T152" s="17"/>
      <c r="U152" s="17"/>
      <c r="V152" s="17"/>
      <c r="W152" s="17"/>
      <c r="X152" s="17"/>
      <c r="Y152" s="18"/>
      <c r="Z152" s="19"/>
      <c r="AA152" s="30"/>
      <c r="AB152" s="21" t="b">
        <v>0</v>
      </c>
      <c r="AC152" s="22"/>
      <c r="AD152" s="32"/>
      <c r="AE152" s="32"/>
    </row>
    <row r="153" spans="1:31" ht="15">
      <c r="A153" s="10"/>
      <c r="B153" s="13"/>
      <c r="C153" s="13"/>
      <c r="D153" s="13"/>
      <c r="E153" s="13"/>
      <c r="F153" s="13"/>
      <c r="G153" s="13"/>
      <c r="H153" s="13"/>
      <c r="I153" s="13"/>
      <c r="J153" s="13"/>
      <c r="K153" s="13"/>
      <c r="L153" s="27"/>
      <c r="M153" s="89"/>
      <c r="N153" s="16"/>
      <c r="O153" s="16"/>
      <c r="P153" s="16"/>
      <c r="Q153" s="16"/>
      <c r="R153" s="16"/>
      <c r="S153" s="17"/>
      <c r="T153" s="17"/>
      <c r="U153" s="17"/>
      <c r="V153" s="17"/>
      <c r="W153" s="17"/>
      <c r="X153" s="17"/>
      <c r="Y153" s="18"/>
      <c r="Z153" s="19"/>
      <c r="AA153" s="30"/>
      <c r="AB153" s="21" t="b">
        <v>0</v>
      </c>
      <c r="AC153" s="22"/>
      <c r="AD153" s="32"/>
      <c r="AE153" s="32"/>
    </row>
    <row r="154" spans="1:31" ht="15">
      <c r="A154" s="10">
        <f t="shared" ref="A154:A155" si="25">(B154*$P$161+C154*$P$162+D154*$P$163+E154*$P$164+F154*$P$165+G154*$P$166+H154*$P$167+I154*$P$168+J154*$P$169+K154*$P$170)*$T$159</f>
        <v>0</v>
      </c>
      <c r="B154" s="13"/>
      <c r="C154" s="13"/>
      <c r="D154" s="13"/>
      <c r="E154" s="13"/>
      <c r="F154" s="13"/>
      <c r="G154" s="13"/>
      <c r="H154" s="13"/>
      <c r="I154" s="13"/>
      <c r="J154" s="13"/>
      <c r="K154" s="13"/>
      <c r="L154" s="27"/>
      <c r="M154" s="89"/>
      <c r="N154" s="16"/>
      <c r="O154" s="16"/>
      <c r="P154" s="16"/>
      <c r="Q154" s="16"/>
      <c r="R154" s="16"/>
      <c r="S154" s="17"/>
      <c r="T154" s="17"/>
      <c r="U154" s="17"/>
      <c r="V154" s="17"/>
      <c r="W154" s="17"/>
      <c r="X154" s="17">
        <f t="shared" ref="X154:X155" si="26">COUNTIF($L$2:L154,"&lt;&gt;"&amp;"")</f>
        <v>15</v>
      </c>
      <c r="Y154" s="18">
        <f t="shared" ref="Y154:Y155" si="27">SUMIF($X$2:$X$156,X154,$A$2:$A$156)</f>
        <v>0</v>
      </c>
      <c r="Z154" s="19"/>
      <c r="AA154" s="30"/>
      <c r="AB154" s="21" t="b">
        <v>1</v>
      </c>
      <c r="AC154" s="22">
        <f t="shared" ref="AC154:AC155" si="28">IF(L154="",0,IF(AB154=FALSE(),0,Y154))</f>
        <v>0</v>
      </c>
      <c r="AD154" s="32"/>
      <c r="AE154" s="32"/>
    </row>
    <row r="155" spans="1:31" ht="15">
      <c r="A155" s="10">
        <f t="shared" si="25"/>
        <v>0</v>
      </c>
      <c r="B155" s="23"/>
      <c r="C155" s="23"/>
      <c r="D155" s="23"/>
      <c r="E155" s="23"/>
      <c r="F155" s="23"/>
      <c r="G155" s="23"/>
      <c r="H155" s="23"/>
      <c r="I155" s="23"/>
      <c r="J155" s="23"/>
      <c r="K155" s="23"/>
      <c r="L155" s="27"/>
      <c r="M155" s="16"/>
      <c r="N155" s="16"/>
      <c r="O155" s="17"/>
      <c r="P155" s="17"/>
      <c r="Q155" s="17"/>
      <c r="R155" s="17"/>
      <c r="S155" s="17"/>
      <c r="T155" s="17"/>
      <c r="U155" s="17"/>
      <c r="V155" s="17"/>
      <c r="W155" s="17"/>
      <c r="X155" s="17">
        <f t="shared" si="26"/>
        <v>15</v>
      </c>
      <c r="Y155" s="18">
        <f t="shared" si="27"/>
        <v>0</v>
      </c>
      <c r="Z155" s="24"/>
      <c r="AA155" s="20"/>
      <c r="AB155" s="21" t="b">
        <v>1</v>
      </c>
      <c r="AC155" s="22">
        <f t="shared" si="28"/>
        <v>0</v>
      </c>
      <c r="AD155" s="23"/>
      <c r="AE155" s="23"/>
    </row>
    <row r="156" spans="1:31" ht="12.75">
      <c r="A156" s="33"/>
      <c r="B156" s="33"/>
      <c r="C156" s="33"/>
      <c r="D156" s="33"/>
      <c r="E156" s="33"/>
      <c r="F156" s="33"/>
      <c r="G156" s="33"/>
      <c r="H156" s="33"/>
      <c r="I156" s="33"/>
      <c r="J156" s="33"/>
      <c r="K156" s="33"/>
      <c r="L156" s="34"/>
      <c r="M156" s="34"/>
      <c r="N156" s="35"/>
      <c r="O156" s="35" t="s">
        <v>20</v>
      </c>
      <c r="P156" s="34"/>
      <c r="Q156" s="34"/>
      <c r="R156" s="34"/>
      <c r="S156" s="34"/>
      <c r="T156" s="34"/>
      <c r="U156" s="34"/>
      <c r="V156" s="34"/>
      <c r="W156" s="34"/>
      <c r="X156" s="34"/>
      <c r="Y156" s="96"/>
      <c r="Z156" s="97"/>
      <c r="AA156" s="20"/>
      <c r="AB156" s="21" t="b">
        <v>1</v>
      </c>
      <c r="AC156" s="98"/>
      <c r="AD156" s="23"/>
      <c r="AE156" s="23"/>
    </row>
    <row r="157" spans="1:31" ht="15">
      <c r="A157" s="36">
        <f>ROW()</f>
        <v>157</v>
      </c>
      <c r="B157" s="23">
        <f t="shared" ref="B157:K157" si="29">SUM(B2:B156)</f>
        <v>5</v>
      </c>
      <c r="C157" s="23">
        <f t="shared" si="29"/>
        <v>4</v>
      </c>
      <c r="D157" s="23">
        <f t="shared" si="29"/>
        <v>4</v>
      </c>
      <c r="E157" s="23">
        <f t="shared" si="29"/>
        <v>4</v>
      </c>
      <c r="F157" s="23">
        <f t="shared" si="29"/>
        <v>0</v>
      </c>
      <c r="G157" s="23">
        <f t="shared" si="29"/>
        <v>2</v>
      </c>
      <c r="H157" s="23">
        <f t="shared" si="29"/>
        <v>5</v>
      </c>
      <c r="I157" s="23">
        <f t="shared" si="29"/>
        <v>0</v>
      </c>
      <c r="J157" s="23">
        <f t="shared" si="29"/>
        <v>0</v>
      </c>
      <c r="K157" s="23">
        <f t="shared" si="29"/>
        <v>0</v>
      </c>
      <c r="L157" s="27"/>
      <c r="M157" s="16"/>
      <c r="N157" s="16"/>
      <c r="O157" s="17"/>
      <c r="P157" s="23"/>
      <c r="Q157" s="23"/>
      <c r="R157" s="23"/>
      <c r="S157" s="23"/>
      <c r="T157" s="23"/>
      <c r="U157" s="23"/>
      <c r="V157" s="23"/>
      <c r="W157" s="13"/>
      <c r="X157" s="23"/>
      <c r="Y157" s="23"/>
      <c r="Z157" s="23"/>
      <c r="AA157" s="23"/>
      <c r="AB157" s="23"/>
      <c r="AC157" s="37"/>
      <c r="AD157" s="23"/>
      <c r="AE157" s="23"/>
    </row>
    <row r="158" spans="1:31" ht="12.75">
      <c r="A158" s="23"/>
      <c r="B158" s="23"/>
      <c r="C158" s="38"/>
      <c r="D158" s="38"/>
      <c r="E158" s="38"/>
      <c r="F158" s="38"/>
      <c r="G158" s="38"/>
      <c r="H158" s="38"/>
      <c r="I158" s="130" t="s">
        <v>21</v>
      </c>
      <c r="J158" s="117"/>
      <c r="K158" s="117"/>
      <c r="L158" s="117"/>
      <c r="M158" s="131">
        <f>400000+120000</f>
        <v>520000</v>
      </c>
      <c r="N158" s="117"/>
      <c r="O158" s="117"/>
      <c r="P158" s="23"/>
      <c r="Q158" s="23"/>
      <c r="R158" s="23"/>
      <c r="S158" s="38"/>
      <c r="T158" s="38"/>
      <c r="U158" s="38"/>
      <c r="V158" s="23"/>
      <c r="W158" s="23"/>
      <c r="X158" s="23"/>
      <c r="Y158" s="23"/>
      <c r="Z158" s="23"/>
      <c r="AA158" s="23"/>
      <c r="AB158" s="23"/>
      <c r="AC158" s="37"/>
      <c r="AD158" s="23"/>
      <c r="AE158" s="23"/>
    </row>
    <row r="159" spans="1:31" ht="15">
      <c r="A159" s="23"/>
      <c r="B159" s="23"/>
      <c r="C159" s="38"/>
      <c r="D159" s="39" t="s">
        <v>22</v>
      </c>
      <c r="E159" s="40">
        <v>1423000</v>
      </c>
      <c r="F159" s="41" t="s">
        <v>23</v>
      </c>
      <c r="G159" s="42">
        <v>200000</v>
      </c>
      <c r="H159" s="38"/>
      <c r="I159" s="43" t="s">
        <v>24</v>
      </c>
      <c r="J159" s="44">
        <v>0.18</v>
      </c>
      <c r="K159" s="44"/>
      <c r="L159" s="45" t="s">
        <v>25</v>
      </c>
      <c r="M159" s="46">
        <f>2.7/12</f>
        <v>0.22500000000000001</v>
      </c>
      <c r="N159" s="47" t="s">
        <v>26</v>
      </c>
      <c r="O159" s="48">
        <f>40*4.2*((244-2)/260)</f>
        <v>156.36923076923077</v>
      </c>
      <c r="P159" s="38"/>
      <c r="Q159" s="43" t="s">
        <v>27</v>
      </c>
      <c r="R159" s="49"/>
      <c r="S159" s="38"/>
      <c r="T159" s="50">
        <v>8</v>
      </c>
      <c r="U159" s="51" t="s">
        <v>28</v>
      </c>
      <c r="V159" s="52"/>
      <c r="W159" s="23"/>
      <c r="X159" s="23"/>
      <c r="Y159" s="23"/>
      <c r="Z159" s="23"/>
      <c r="AA159" s="23"/>
      <c r="AB159" s="23"/>
      <c r="AC159" s="37"/>
      <c r="AD159" s="23"/>
      <c r="AE159" s="23"/>
    </row>
    <row r="160" spans="1:31" ht="12.75">
      <c r="A160" s="23"/>
      <c r="B160" s="23"/>
      <c r="C160" s="127" t="s">
        <v>29</v>
      </c>
      <c r="D160" s="117"/>
      <c r="E160" s="117"/>
      <c r="F160" s="127" t="s">
        <v>30</v>
      </c>
      <c r="G160" s="117"/>
      <c r="H160" s="117"/>
      <c r="I160" s="127" t="s">
        <v>31</v>
      </c>
      <c r="J160" s="117"/>
      <c r="K160" s="117"/>
      <c r="L160" s="117"/>
      <c r="M160" s="127" t="s">
        <v>32</v>
      </c>
      <c r="N160" s="117"/>
      <c r="O160" s="117"/>
      <c r="P160" s="127" t="s">
        <v>33</v>
      </c>
      <c r="Q160" s="117"/>
      <c r="R160" s="117"/>
      <c r="S160" s="38"/>
      <c r="T160" s="38"/>
      <c r="U160" s="53" t="s">
        <v>26</v>
      </c>
      <c r="V160" s="127" t="s">
        <v>34</v>
      </c>
      <c r="W160" s="117"/>
      <c r="X160" s="117"/>
      <c r="Y160" s="23"/>
      <c r="Z160" s="23"/>
      <c r="AA160" s="23"/>
      <c r="AB160" s="23"/>
      <c r="AC160" s="37"/>
      <c r="AD160" s="23"/>
      <c r="AE160" s="23"/>
    </row>
    <row r="161" spans="1:31" ht="12.75">
      <c r="A161" s="54" t="s">
        <v>35</v>
      </c>
      <c r="B161" s="53" t="str">
        <f>B1</f>
        <v>DB</v>
      </c>
      <c r="C161" s="116">
        <v>6480000</v>
      </c>
      <c r="D161" s="117"/>
      <c r="E161" s="117"/>
      <c r="F161" s="116">
        <v>1080000</v>
      </c>
      <c r="G161" s="117"/>
      <c r="H161" s="117"/>
      <c r="I161" s="116">
        <v>0</v>
      </c>
      <c r="J161" s="117"/>
      <c r="K161" s="117"/>
      <c r="L161" s="117"/>
      <c r="M161" s="116">
        <f t="shared" ref="M161:M170" si="30">C161*(1+$J$159+$M$159)+F161+I161+$M$158+IF(($E$159*2)&gt;=C161,$G$159,0)</f>
        <v>10704400</v>
      </c>
      <c r="N161" s="117"/>
      <c r="O161" s="117"/>
      <c r="P161" s="124">
        <f t="shared" ref="P161:P170" si="31">M161/$O$159*(1+$R$159)</f>
        <v>68455.922865013781</v>
      </c>
      <c r="Q161" s="117"/>
      <c r="R161" s="117"/>
      <c r="S161" s="38"/>
      <c r="T161" s="38"/>
      <c r="U161" s="23">
        <f t="shared" ref="U161:U170" si="32">HLOOKUP(B161,$B$1:$K$157,$A$157,0)*$T$159</f>
        <v>40</v>
      </c>
      <c r="W161" s="55">
        <f t="shared" ref="W161:W170" si="33">P161*U161</f>
        <v>2738236.9146005511</v>
      </c>
      <c r="Y161" s="23"/>
      <c r="Z161" s="23"/>
      <c r="AA161" s="23"/>
      <c r="AB161" s="23"/>
      <c r="AC161" s="37"/>
      <c r="AD161" s="23"/>
      <c r="AE161" s="23"/>
    </row>
    <row r="162" spans="1:31" ht="12.75">
      <c r="A162" s="54" t="s">
        <v>36</v>
      </c>
      <c r="B162" s="53" t="str">
        <f>C1</f>
        <v>UX</v>
      </c>
      <c r="C162" s="116">
        <v>3240000</v>
      </c>
      <c r="D162" s="117"/>
      <c r="E162" s="117"/>
      <c r="F162" s="116">
        <v>540000</v>
      </c>
      <c r="G162" s="117"/>
      <c r="H162" s="117"/>
      <c r="I162" s="116">
        <v>0</v>
      </c>
      <c r="J162" s="117"/>
      <c r="K162" s="117"/>
      <c r="L162" s="117"/>
      <c r="M162" s="116">
        <f t="shared" si="30"/>
        <v>5612200</v>
      </c>
      <c r="N162" s="117"/>
      <c r="O162" s="117"/>
      <c r="P162" s="124">
        <f t="shared" si="31"/>
        <v>35890.692640692643</v>
      </c>
      <c r="Q162" s="117"/>
      <c r="R162" s="117"/>
      <c r="S162" s="38"/>
      <c r="T162" s="38"/>
      <c r="U162" s="23">
        <f t="shared" si="32"/>
        <v>32</v>
      </c>
      <c r="W162" s="55">
        <f t="shared" si="33"/>
        <v>1148502.1645021646</v>
      </c>
      <c r="Y162" s="23"/>
      <c r="Z162" s="23"/>
      <c r="AA162" s="23"/>
      <c r="AB162" s="23"/>
      <c r="AC162" s="37"/>
      <c r="AD162" s="23"/>
      <c r="AE162" s="23"/>
    </row>
    <row r="163" spans="1:31" ht="12.75">
      <c r="A163" s="54" t="s">
        <v>37</v>
      </c>
      <c r="B163" s="53" t="str">
        <f>D1</f>
        <v>FM</v>
      </c>
      <c r="C163" s="116">
        <v>3240000</v>
      </c>
      <c r="D163" s="117"/>
      <c r="E163" s="117"/>
      <c r="F163" s="116">
        <v>540000</v>
      </c>
      <c r="G163" s="117"/>
      <c r="H163" s="117"/>
      <c r="I163" s="116">
        <v>0</v>
      </c>
      <c r="J163" s="117"/>
      <c r="K163" s="117"/>
      <c r="L163" s="117"/>
      <c r="M163" s="116">
        <f t="shared" si="30"/>
        <v>5612200</v>
      </c>
      <c r="N163" s="117"/>
      <c r="O163" s="117"/>
      <c r="P163" s="124">
        <f t="shared" si="31"/>
        <v>35890.692640692643</v>
      </c>
      <c r="Q163" s="117"/>
      <c r="R163" s="117"/>
      <c r="S163" s="38"/>
      <c r="T163" s="38"/>
      <c r="U163" s="23">
        <f t="shared" si="32"/>
        <v>32</v>
      </c>
      <c r="W163" s="55">
        <f t="shared" si="33"/>
        <v>1148502.1645021646</v>
      </c>
      <c r="Y163" s="23"/>
      <c r="Z163" s="23"/>
      <c r="AA163" s="23"/>
      <c r="AB163" s="23"/>
      <c r="AC163" s="37"/>
      <c r="AD163" s="23"/>
      <c r="AE163" s="23"/>
    </row>
    <row r="164" spans="1:31" ht="12.75">
      <c r="A164" s="54" t="s">
        <v>38</v>
      </c>
      <c r="B164" s="53" t="str">
        <f>E1</f>
        <v>BS</v>
      </c>
      <c r="C164" s="116">
        <v>4320000</v>
      </c>
      <c r="D164" s="117"/>
      <c r="E164" s="117"/>
      <c r="F164" s="116">
        <v>1620000</v>
      </c>
      <c r="G164" s="117"/>
      <c r="H164" s="117"/>
      <c r="I164" s="116">
        <v>0</v>
      </c>
      <c r="J164" s="117"/>
      <c r="K164" s="117"/>
      <c r="L164" s="117"/>
      <c r="M164" s="116">
        <f t="shared" si="30"/>
        <v>8209600</v>
      </c>
      <c r="N164" s="117"/>
      <c r="O164" s="117"/>
      <c r="P164" s="124">
        <f t="shared" si="31"/>
        <v>52501.377410468318</v>
      </c>
      <c r="Q164" s="117"/>
      <c r="R164" s="117"/>
      <c r="S164" s="38"/>
      <c r="T164" s="38"/>
      <c r="U164" s="23">
        <f t="shared" si="32"/>
        <v>32</v>
      </c>
      <c r="W164" s="55">
        <f t="shared" si="33"/>
        <v>1680044.0771349862</v>
      </c>
      <c r="Y164" s="23"/>
      <c r="Z164" s="23"/>
      <c r="AA164" s="23"/>
      <c r="AB164" s="23"/>
      <c r="AC164" s="37"/>
      <c r="AD164" s="23"/>
      <c r="AE164" s="23"/>
    </row>
    <row r="165" spans="1:31" ht="12.75">
      <c r="A165" s="54" t="s">
        <v>39</v>
      </c>
      <c r="B165" s="53" t="str">
        <f>F1</f>
        <v>BM</v>
      </c>
      <c r="C165" s="116">
        <v>3780000</v>
      </c>
      <c r="D165" s="117"/>
      <c r="E165" s="117"/>
      <c r="F165" s="116">
        <v>1080000</v>
      </c>
      <c r="G165" s="117"/>
      <c r="H165" s="117"/>
      <c r="I165" s="116">
        <v>0</v>
      </c>
      <c r="J165" s="117"/>
      <c r="K165" s="117"/>
      <c r="L165" s="117"/>
      <c r="M165" s="116">
        <f t="shared" si="30"/>
        <v>6910900</v>
      </c>
      <c r="N165" s="117"/>
      <c r="O165" s="117"/>
      <c r="P165" s="124">
        <f t="shared" si="31"/>
        <v>44196.035025580481</v>
      </c>
      <c r="Q165" s="117"/>
      <c r="R165" s="117"/>
      <c r="S165" s="38"/>
      <c r="T165" s="38"/>
      <c r="U165" s="23">
        <f t="shared" si="32"/>
        <v>0</v>
      </c>
      <c r="W165" s="55">
        <f t="shared" si="33"/>
        <v>0</v>
      </c>
      <c r="Y165" s="23"/>
      <c r="Z165" s="23"/>
      <c r="AA165" s="23"/>
      <c r="AB165" s="23"/>
      <c r="AC165" s="37"/>
      <c r="AD165" s="23"/>
      <c r="AE165" s="23"/>
    </row>
    <row r="166" spans="1:31" ht="12.75">
      <c r="A166" s="54" t="s">
        <v>40</v>
      </c>
      <c r="B166" s="53" t="str">
        <f>G1</f>
        <v>QA</v>
      </c>
      <c r="C166" s="116">
        <v>2700000</v>
      </c>
      <c r="D166" s="117"/>
      <c r="E166" s="117"/>
      <c r="F166" s="116">
        <v>1080000</v>
      </c>
      <c r="G166" s="117"/>
      <c r="H166" s="117"/>
      <c r="I166" s="116">
        <v>54000</v>
      </c>
      <c r="J166" s="117"/>
      <c r="K166" s="117"/>
      <c r="L166" s="117"/>
      <c r="M166" s="116">
        <f t="shared" si="30"/>
        <v>5647500</v>
      </c>
      <c r="N166" s="117"/>
      <c r="O166" s="117"/>
      <c r="P166" s="124">
        <f t="shared" si="31"/>
        <v>36116.440377804014</v>
      </c>
      <c r="Q166" s="117"/>
      <c r="R166" s="117"/>
      <c r="S166" s="38"/>
      <c r="T166" s="38"/>
      <c r="U166" s="23">
        <f t="shared" si="32"/>
        <v>16</v>
      </c>
      <c r="W166" s="55">
        <f t="shared" si="33"/>
        <v>577863.04604486423</v>
      </c>
      <c r="Y166" s="23"/>
      <c r="Z166" s="23"/>
      <c r="AA166" s="23"/>
      <c r="AB166" s="23"/>
      <c r="AC166" s="37"/>
      <c r="AD166" s="23"/>
      <c r="AE166" s="23"/>
    </row>
    <row r="167" spans="1:31" ht="12.75">
      <c r="A167" s="54" t="s">
        <v>41</v>
      </c>
      <c r="B167" s="53" t="str">
        <f>H1</f>
        <v>IM</v>
      </c>
      <c r="C167" s="116">
        <v>2700000</v>
      </c>
      <c r="D167" s="117"/>
      <c r="E167" s="117"/>
      <c r="F167" s="116">
        <v>1080000</v>
      </c>
      <c r="G167" s="117"/>
      <c r="H167" s="117"/>
      <c r="I167" s="116">
        <v>0</v>
      </c>
      <c r="J167" s="117"/>
      <c r="K167" s="117"/>
      <c r="L167" s="117"/>
      <c r="M167" s="116">
        <f t="shared" si="30"/>
        <v>5593500</v>
      </c>
      <c r="N167" s="117"/>
      <c r="O167" s="117"/>
      <c r="P167" s="124">
        <f t="shared" si="31"/>
        <v>35771.103896103894</v>
      </c>
      <c r="Q167" s="117"/>
      <c r="R167" s="117"/>
      <c r="S167" s="38"/>
      <c r="T167" s="38"/>
      <c r="U167" s="23">
        <f t="shared" si="32"/>
        <v>40</v>
      </c>
      <c r="W167" s="55">
        <f t="shared" si="33"/>
        <v>1430844.1558441557</v>
      </c>
      <c r="Y167" s="23"/>
      <c r="Z167" s="23"/>
      <c r="AA167" s="23"/>
      <c r="AB167" s="23"/>
      <c r="AC167" s="37"/>
      <c r="AD167" s="23"/>
      <c r="AE167" s="23"/>
    </row>
    <row r="168" spans="1:31" ht="12.75">
      <c r="A168" s="54" t="s">
        <v>42</v>
      </c>
      <c r="B168" s="53" t="str">
        <f>I1</f>
        <v>MS</v>
      </c>
      <c r="C168" s="116">
        <v>8100000</v>
      </c>
      <c r="D168" s="117"/>
      <c r="E168" s="117"/>
      <c r="F168" s="116">
        <v>2160000</v>
      </c>
      <c r="G168" s="117"/>
      <c r="H168" s="117"/>
      <c r="I168" s="116">
        <v>132000</v>
      </c>
      <c r="J168" s="117"/>
      <c r="K168" s="117"/>
      <c r="L168" s="117"/>
      <c r="M168" s="116">
        <f t="shared" si="30"/>
        <v>14192500</v>
      </c>
      <c r="N168" s="117"/>
      <c r="O168" s="117"/>
      <c r="P168" s="124">
        <f t="shared" si="31"/>
        <v>90762.741046831958</v>
      </c>
      <c r="Q168" s="117"/>
      <c r="R168" s="117"/>
      <c r="S168" s="38"/>
      <c r="T168" s="38"/>
      <c r="U168" s="23">
        <f t="shared" si="32"/>
        <v>0</v>
      </c>
      <c r="W168" s="55">
        <f t="shared" si="33"/>
        <v>0</v>
      </c>
      <c r="Y168" s="23"/>
      <c r="Z168" s="23"/>
      <c r="AA168" s="23"/>
      <c r="AB168" s="23"/>
      <c r="AC168" s="37"/>
      <c r="AD168" s="23"/>
      <c r="AE168" s="23"/>
    </row>
    <row r="169" spans="1:31" ht="12.75">
      <c r="A169" s="54" t="s">
        <v>43</v>
      </c>
      <c r="B169" s="53" t="str">
        <f>J1</f>
        <v>MM</v>
      </c>
      <c r="C169" s="116">
        <v>3240000</v>
      </c>
      <c r="D169" s="117"/>
      <c r="E169" s="117"/>
      <c r="F169" s="116">
        <v>1080000</v>
      </c>
      <c r="G169" s="117"/>
      <c r="H169" s="117"/>
      <c r="I169" s="116">
        <v>132000</v>
      </c>
      <c r="J169" s="117"/>
      <c r="K169" s="117"/>
      <c r="L169" s="117"/>
      <c r="M169" s="116">
        <f t="shared" si="30"/>
        <v>6284200</v>
      </c>
      <c r="N169" s="117"/>
      <c r="O169" s="117"/>
      <c r="P169" s="124">
        <f t="shared" si="31"/>
        <v>40188.213301849668</v>
      </c>
      <c r="Q169" s="117"/>
      <c r="R169" s="117"/>
      <c r="S169" s="38"/>
      <c r="T169" s="38"/>
      <c r="U169" s="23">
        <f t="shared" si="32"/>
        <v>0</v>
      </c>
      <c r="W169" s="55">
        <f t="shared" si="33"/>
        <v>0</v>
      </c>
      <c r="Y169" s="23"/>
      <c r="Z169" s="23"/>
      <c r="AA169" s="23"/>
      <c r="AB169" s="23"/>
      <c r="AC169" s="37"/>
      <c r="AD169" s="23"/>
      <c r="AE169" s="23"/>
    </row>
    <row r="170" spans="1:31" ht="12.75">
      <c r="A170" s="54" t="s">
        <v>44</v>
      </c>
      <c r="B170" s="53" t="s">
        <v>10</v>
      </c>
      <c r="C170" s="116">
        <v>3240000</v>
      </c>
      <c r="D170" s="117"/>
      <c r="E170" s="117"/>
      <c r="F170" s="116">
        <v>1080000</v>
      </c>
      <c r="G170" s="117"/>
      <c r="H170" s="117"/>
      <c r="I170" s="116"/>
      <c r="J170" s="117"/>
      <c r="K170" s="117"/>
      <c r="L170" s="117"/>
      <c r="M170" s="116">
        <f t="shared" si="30"/>
        <v>6152200</v>
      </c>
      <c r="N170" s="117"/>
      <c r="O170" s="117"/>
      <c r="P170" s="124">
        <f t="shared" si="31"/>
        <v>39344.057457693823</v>
      </c>
      <c r="Q170" s="117"/>
      <c r="R170" s="117"/>
      <c r="S170" s="38"/>
      <c r="T170" s="38"/>
      <c r="U170" s="23">
        <f t="shared" si="32"/>
        <v>0</v>
      </c>
      <c r="W170" s="55">
        <f t="shared" si="33"/>
        <v>0</v>
      </c>
      <c r="Y170" s="23"/>
      <c r="Z170" s="23"/>
      <c r="AA170" s="23"/>
      <c r="AB170" s="23"/>
      <c r="AC170" s="37"/>
      <c r="AD170" s="23"/>
      <c r="AE170" s="23"/>
    </row>
    <row r="171" spans="1:31" ht="12.75">
      <c r="A171" s="54"/>
      <c r="B171" s="53"/>
      <c r="C171" s="38"/>
      <c r="D171" s="38"/>
      <c r="E171" s="38"/>
      <c r="F171" s="38"/>
      <c r="G171" s="38"/>
      <c r="H171" s="38"/>
      <c r="I171" s="23"/>
      <c r="J171" s="23"/>
      <c r="K171" s="23"/>
      <c r="L171" s="23"/>
      <c r="M171" s="23"/>
      <c r="N171" s="23"/>
      <c r="O171" s="23"/>
      <c r="P171" s="125">
        <f>SUM(P161:P170)</f>
        <v>479117.27666273131</v>
      </c>
      <c r="Q171" s="117"/>
      <c r="R171" s="117"/>
      <c r="S171" s="38"/>
      <c r="T171" s="38"/>
      <c r="U171" s="38"/>
      <c r="W171" s="56">
        <f>SUM(W161:W170)</f>
        <v>8723992.5226288866</v>
      </c>
      <c r="Y171" s="23"/>
      <c r="Z171" s="23"/>
      <c r="AA171" s="23"/>
      <c r="AB171" s="23"/>
      <c r="AC171" s="37"/>
      <c r="AD171" s="23"/>
      <c r="AE171" s="23"/>
    </row>
    <row r="172" spans="1:31" ht="12.75">
      <c r="A172" s="23"/>
      <c r="B172" s="23"/>
      <c r="C172" s="57"/>
      <c r="D172" s="57"/>
      <c r="E172" s="23"/>
      <c r="F172" s="23"/>
      <c r="G172" s="23"/>
      <c r="H172" s="38"/>
      <c r="I172" s="23"/>
      <c r="J172" s="23"/>
      <c r="K172" s="23"/>
      <c r="L172" s="38"/>
      <c r="M172" s="23"/>
      <c r="N172" s="23"/>
      <c r="O172" s="23"/>
      <c r="P172" s="23"/>
      <c r="Q172" s="23"/>
      <c r="R172" s="23"/>
      <c r="S172" s="23"/>
      <c r="T172" s="23"/>
      <c r="U172" s="23"/>
      <c r="V172" s="23"/>
      <c r="W172" s="23"/>
      <c r="X172" s="23"/>
      <c r="Y172" s="23"/>
      <c r="Z172" s="23"/>
      <c r="AA172" s="23"/>
      <c r="AB172" s="23"/>
      <c r="AC172" s="37"/>
      <c r="AD172" s="23"/>
      <c r="AE172" s="23"/>
    </row>
    <row r="173" spans="1:31" ht="12.7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37"/>
      <c r="AD173" s="23"/>
      <c r="AE173" s="23"/>
    </row>
    <row r="174" spans="1:31" ht="12.75">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9"/>
      <c r="AD174" s="58"/>
      <c r="AE174" s="58"/>
    </row>
    <row r="175" spans="1:31" ht="15">
      <c r="A175" s="58"/>
      <c r="B175" s="58"/>
      <c r="C175" s="118"/>
      <c r="D175" s="119"/>
      <c r="E175" s="119"/>
      <c r="F175" s="120"/>
      <c r="G175" s="121"/>
      <c r="H175" s="122"/>
      <c r="I175" s="122"/>
      <c r="J175" s="123"/>
      <c r="K175" s="60"/>
      <c r="L175" s="126"/>
      <c r="M175" s="122"/>
      <c r="N175" s="122"/>
      <c r="O175" s="123"/>
      <c r="P175" s="121"/>
      <c r="Q175" s="122"/>
      <c r="R175" s="122"/>
      <c r="S175" s="123"/>
      <c r="T175" s="126"/>
      <c r="U175" s="122"/>
      <c r="V175" s="122"/>
      <c r="W175" s="123"/>
      <c r="X175" s="121"/>
      <c r="Y175" s="122"/>
      <c r="Z175" s="123"/>
      <c r="AA175" s="126"/>
      <c r="AB175" s="122"/>
      <c r="AC175" s="123"/>
      <c r="AD175" s="61"/>
      <c r="AE175" s="58"/>
    </row>
    <row r="176" spans="1:31" ht="12.75">
      <c r="A176" s="62" t="e">
        <f t="array" aca="1" ref="A176:A191" ca="1">unique(L1:L156)</f>
        <v>#NAME?</v>
      </c>
      <c r="B176" s="63"/>
      <c r="C176" s="64"/>
      <c r="D176" s="64"/>
      <c r="E176" s="64"/>
      <c r="F176" s="65"/>
      <c r="G176" s="66" t="s">
        <v>45</v>
      </c>
      <c r="H176" s="66" t="s">
        <v>46</v>
      </c>
      <c r="I176" s="66" t="s">
        <v>47</v>
      </c>
      <c r="J176" s="66" t="s">
        <v>48</v>
      </c>
      <c r="K176" s="66" t="s">
        <v>49</v>
      </c>
      <c r="L176" s="67" t="s">
        <v>50</v>
      </c>
      <c r="M176" s="67" t="s">
        <v>51</v>
      </c>
      <c r="N176" s="67" t="s">
        <v>52</v>
      </c>
      <c r="O176" s="67" t="s">
        <v>53</v>
      </c>
      <c r="P176" s="66" t="s">
        <v>54</v>
      </c>
      <c r="Q176" s="66"/>
      <c r="R176" s="66"/>
      <c r="S176" s="66"/>
      <c r="T176" s="67"/>
      <c r="U176" s="67"/>
      <c r="V176" s="67"/>
      <c r="W176" s="67"/>
      <c r="X176" s="66"/>
      <c r="Y176" s="66"/>
      <c r="Z176" s="66"/>
      <c r="AA176" s="67"/>
      <c r="AB176" s="67"/>
      <c r="AC176" s="68"/>
      <c r="AD176" s="67"/>
      <c r="AE176" s="58"/>
    </row>
    <row r="177" spans="1:31" ht="12.75">
      <c r="A177" s="69" t="e">
        <f ca="1"/>
        <v>#NAME?</v>
      </c>
      <c r="B177" s="70"/>
      <c r="C177" s="71"/>
      <c r="D177" s="71" t="s">
        <v>55</v>
      </c>
      <c r="E177" s="71"/>
      <c r="F177" s="72"/>
      <c r="G177" s="73" t="s">
        <v>213</v>
      </c>
      <c r="H177" s="73"/>
      <c r="I177" s="73"/>
      <c r="J177" s="73"/>
      <c r="K177" s="73"/>
      <c r="L177" s="74"/>
      <c r="M177" s="74"/>
      <c r="N177" s="74"/>
      <c r="O177" s="75"/>
      <c r="P177" s="76"/>
      <c r="Q177" s="76"/>
      <c r="R177" s="76"/>
      <c r="S177" s="76"/>
      <c r="T177" s="75"/>
      <c r="U177" s="75"/>
      <c r="V177" s="75"/>
      <c r="W177" s="75"/>
      <c r="X177" s="76"/>
      <c r="Y177" s="76"/>
      <c r="Z177" s="76"/>
      <c r="AA177" s="75"/>
      <c r="AB177" s="75"/>
      <c r="AC177" s="77"/>
      <c r="AD177" s="75"/>
      <c r="AE177" s="58"/>
    </row>
    <row r="178" spans="1:31" ht="12.75">
      <c r="A178" s="69" t="e">
        <f ca="1"/>
        <v>#NAME?</v>
      </c>
      <c r="B178" s="70"/>
      <c r="C178" s="71"/>
      <c r="D178" s="71"/>
      <c r="E178" s="71"/>
      <c r="F178" s="72"/>
      <c r="G178" s="73" t="s">
        <v>156</v>
      </c>
      <c r="H178" s="73"/>
      <c r="I178" s="73"/>
      <c r="J178" s="73"/>
      <c r="K178" s="73"/>
      <c r="L178" s="74"/>
      <c r="M178" s="75"/>
      <c r="N178" s="75"/>
      <c r="O178" s="75"/>
      <c r="P178" s="76"/>
      <c r="Q178" s="76"/>
      <c r="R178" s="76"/>
      <c r="S178" s="76"/>
      <c r="T178" s="75"/>
      <c r="U178" s="75"/>
      <c r="V178" s="75"/>
      <c r="W178" s="75"/>
      <c r="X178" s="76"/>
      <c r="Y178" s="76"/>
      <c r="Z178" s="76"/>
      <c r="AA178" s="75"/>
      <c r="AB178" s="75"/>
      <c r="AC178" s="77"/>
      <c r="AD178" s="75"/>
      <c r="AE178" s="58"/>
    </row>
    <row r="179" spans="1:31" ht="12.75">
      <c r="A179" s="69" t="e">
        <f ca="1"/>
        <v>#NAME?</v>
      </c>
      <c r="B179" s="70"/>
      <c r="C179" s="71"/>
      <c r="D179" s="71"/>
      <c r="E179" s="71"/>
      <c r="F179" s="72"/>
      <c r="G179" s="73" t="s">
        <v>156</v>
      </c>
      <c r="H179" s="73"/>
      <c r="I179" s="73"/>
      <c r="J179" s="73"/>
      <c r="K179" s="73"/>
      <c r="L179" s="74"/>
      <c r="M179" s="74"/>
      <c r="N179" s="74"/>
      <c r="O179" s="74"/>
      <c r="P179" s="76"/>
      <c r="Q179" s="76"/>
      <c r="R179" s="76"/>
      <c r="S179" s="76"/>
      <c r="T179" s="75"/>
      <c r="U179" s="75"/>
      <c r="V179" s="75"/>
      <c r="W179" s="75"/>
      <c r="X179" s="76"/>
      <c r="Y179" s="76"/>
      <c r="Z179" s="76"/>
      <c r="AA179" s="75"/>
      <c r="AB179" s="75"/>
      <c r="AC179" s="77"/>
      <c r="AD179" s="75"/>
      <c r="AE179" s="58"/>
    </row>
    <row r="180" spans="1:31" ht="12.75">
      <c r="A180" s="69" t="e">
        <f ca="1"/>
        <v>#NAME?</v>
      </c>
      <c r="B180" s="70"/>
      <c r="C180" s="71"/>
      <c r="D180" s="71"/>
      <c r="E180" s="71"/>
      <c r="F180" s="72"/>
      <c r="G180" s="73"/>
      <c r="H180" s="73"/>
      <c r="I180" s="73"/>
      <c r="J180" s="73"/>
      <c r="K180" s="73"/>
      <c r="L180" s="74"/>
      <c r="M180" s="74"/>
      <c r="N180" s="74"/>
      <c r="O180" s="75"/>
      <c r="P180" s="76"/>
      <c r="Q180" s="76"/>
      <c r="R180" s="76"/>
      <c r="S180" s="76"/>
      <c r="T180" s="75"/>
      <c r="U180" s="75"/>
      <c r="V180" s="75"/>
      <c r="W180" s="75"/>
      <c r="X180" s="76"/>
      <c r="Y180" s="76"/>
      <c r="Z180" s="76"/>
      <c r="AA180" s="75"/>
      <c r="AB180" s="75"/>
      <c r="AC180" s="77"/>
      <c r="AD180" s="75"/>
      <c r="AE180" s="58"/>
    </row>
    <row r="181" spans="1:31" ht="12.75">
      <c r="A181" s="69" t="e">
        <f ca="1"/>
        <v>#NAME?</v>
      </c>
      <c r="B181" s="70"/>
      <c r="C181" s="71"/>
      <c r="D181" s="71"/>
      <c r="E181" s="71"/>
      <c r="F181" s="72"/>
      <c r="G181" s="73" t="s">
        <v>213</v>
      </c>
      <c r="H181" s="73"/>
      <c r="I181" s="73"/>
      <c r="J181" s="73"/>
      <c r="K181" s="73"/>
      <c r="L181" s="74"/>
      <c r="M181" s="74"/>
      <c r="N181" s="74"/>
      <c r="O181" s="74"/>
      <c r="P181" s="76"/>
      <c r="Q181" s="76"/>
      <c r="R181" s="76"/>
      <c r="S181" s="76"/>
      <c r="T181" s="75"/>
      <c r="U181" s="75"/>
      <c r="V181" s="75"/>
      <c r="W181" s="75"/>
      <c r="X181" s="76"/>
      <c r="Y181" s="76"/>
      <c r="Z181" s="76"/>
      <c r="AA181" s="75"/>
      <c r="AB181" s="75"/>
      <c r="AC181" s="77"/>
      <c r="AD181" s="75"/>
      <c r="AE181" s="58"/>
    </row>
    <row r="182" spans="1:31" ht="12.75">
      <c r="A182" s="69" t="e">
        <f ca="1"/>
        <v>#NAME?</v>
      </c>
      <c r="B182" s="70"/>
      <c r="C182" s="71"/>
      <c r="D182" s="71"/>
      <c r="E182" s="71"/>
      <c r="F182" s="72"/>
      <c r="G182" s="73" t="s">
        <v>156</v>
      </c>
      <c r="H182" s="73" t="s">
        <v>156</v>
      </c>
      <c r="I182" s="73"/>
      <c r="J182" s="73"/>
      <c r="K182" s="73"/>
      <c r="L182" s="74"/>
      <c r="M182" s="74"/>
      <c r="N182" s="74"/>
      <c r="O182" s="75"/>
      <c r="P182" s="73"/>
      <c r="Q182" s="76"/>
      <c r="R182" s="76"/>
      <c r="S182" s="76"/>
      <c r="T182" s="75"/>
      <c r="U182" s="75"/>
      <c r="V182" s="75"/>
      <c r="W182" s="75"/>
      <c r="X182" s="76"/>
      <c r="Y182" s="76"/>
      <c r="Z182" s="76"/>
      <c r="AA182" s="75"/>
      <c r="AB182" s="75"/>
      <c r="AC182" s="77"/>
      <c r="AD182" s="75"/>
      <c r="AE182" s="58"/>
    </row>
    <row r="183" spans="1:31" ht="12.75">
      <c r="A183" s="69" t="e">
        <f ca="1"/>
        <v>#NAME?</v>
      </c>
      <c r="B183" s="70"/>
      <c r="C183" s="71"/>
      <c r="D183" s="71"/>
      <c r="E183" s="71"/>
      <c r="F183" s="72"/>
      <c r="G183" s="73"/>
      <c r="H183" s="73"/>
      <c r="I183" s="73"/>
      <c r="J183" s="73"/>
      <c r="K183" s="73"/>
      <c r="L183" s="74"/>
      <c r="M183" s="74"/>
      <c r="N183" s="74"/>
      <c r="O183" s="75"/>
      <c r="P183" s="73"/>
      <c r="Q183" s="76"/>
      <c r="R183" s="76"/>
      <c r="S183" s="76"/>
      <c r="T183" s="75"/>
      <c r="U183" s="75"/>
      <c r="V183" s="75"/>
      <c r="W183" s="75"/>
      <c r="X183" s="76"/>
      <c r="Y183" s="76"/>
      <c r="Z183" s="76"/>
      <c r="AA183" s="75"/>
      <c r="AB183" s="75"/>
      <c r="AC183" s="77"/>
      <c r="AD183" s="75"/>
      <c r="AE183" s="58"/>
    </row>
    <row r="184" spans="1:31" ht="12.75">
      <c r="A184" s="69" t="e">
        <f ca="1"/>
        <v>#NAME?</v>
      </c>
      <c r="B184" s="70"/>
      <c r="C184" s="71"/>
      <c r="D184" s="71"/>
      <c r="E184" s="71"/>
      <c r="F184" s="72"/>
      <c r="G184" s="73"/>
      <c r="H184" s="73"/>
      <c r="I184" s="73"/>
      <c r="J184" s="73"/>
      <c r="K184" s="73"/>
      <c r="L184" s="74"/>
      <c r="M184" s="74"/>
      <c r="N184" s="74"/>
      <c r="O184" s="74"/>
      <c r="P184" s="73"/>
      <c r="Q184" s="76"/>
      <c r="R184" s="76"/>
      <c r="S184" s="76"/>
      <c r="T184" s="75"/>
      <c r="U184" s="75"/>
      <c r="V184" s="75"/>
      <c r="W184" s="75"/>
      <c r="X184" s="76"/>
      <c r="Y184" s="76"/>
      <c r="Z184" s="76"/>
      <c r="AA184" s="75"/>
      <c r="AB184" s="75"/>
      <c r="AC184" s="77"/>
      <c r="AD184" s="75"/>
      <c r="AE184" s="58"/>
    </row>
    <row r="185" spans="1:31" ht="12.75">
      <c r="A185" s="69" t="e">
        <f ca="1"/>
        <v>#NAME?</v>
      </c>
      <c r="B185" s="70"/>
      <c r="C185" s="71"/>
      <c r="D185" s="71"/>
      <c r="E185" s="71"/>
      <c r="F185" s="72"/>
      <c r="G185" s="73"/>
      <c r="H185" s="73"/>
      <c r="I185" s="73"/>
      <c r="J185" s="73"/>
      <c r="K185" s="73"/>
      <c r="L185" s="74"/>
      <c r="M185" s="74"/>
      <c r="N185" s="74"/>
      <c r="O185" s="75"/>
      <c r="P185" s="76"/>
      <c r="Q185" s="76"/>
      <c r="R185" s="76"/>
      <c r="S185" s="76"/>
      <c r="T185" s="75"/>
      <c r="U185" s="75"/>
      <c r="V185" s="75"/>
      <c r="W185" s="75"/>
      <c r="X185" s="76"/>
      <c r="Y185" s="76"/>
      <c r="Z185" s="76"/>
      <c r="AA185" s="75"/>
      <c r="AB185" s="75"/>
      <c r="AC185" s="77"/>
      <c r="AD185" s="75"/>
      <c r="AE185" s="58"/>
    </row>
    <row r="186" spans="1:31" ht="12.75">
      <c r="A186" s="69" t="e">
        <f ca="1"/>
        <v>#NAME?</v>
      </c>
      <c r="B186" s="70"/>
      <c r="C186" s="71"/>
      <c r="D186" s="71"/>
      <c r="E186" s="71"/>
      <c r="F186" s="72"/>
      <c r="G186" s="73"/>
      <c r="H186" s="73"/>
      <c r="I186" s="73"/>
      <c r="J186" s="73"/>
      <c r="K186" s="73"/>
      <c r="L186" s="74"/>
      <c r="M186" s="74"/>
      <c r="N186" s="74"/>
      <c r="O186" s="75"/>
      <c r="P186" s="76"/>
      <c r="Q186" s="76"/>
      <c r="R186" s="76"/>
      <c r="S186" s="76"/>
      <c r="T186" s="75"/>
      <c r="U186" s="75"/>
      <c r="V186" s="75"/>
      <c r="W186" s="75"/>
      <c r="X186" s="76"/>
      <c r="Y186" s="76"/>
      <c r="Z186" s="76"/>
      <c r="AA186" s="75"/>
      <c r="AB186" s="75"/>
      <c r="AC186" s="77"/>
      <c r="AD186" s="75"/>
      <c r="AE186" s="58"/>
    </row>
    <row r="187" spans="1:31" ht="12.75">
      <c r="A187" s="69" t="e">
        <f ca="1"/>
        <v>#NAME?</v>
      </c>
      <c r="B187" s="70"/>
      <c r="C187" s="71"/>
      <c r="D187" s="71"/>
      <c r="E187" s="71"/>
      <c r="F187" s="72"/>
      <c r="G187" s="73"/>
      <c r="H187" s="73"/>
      <c r="I187" s="73"/>
      <c r="J187" s="73"/>
      <c r="K187" s="73"/>
      <c r="L187" s="74"/>
      <c r="M187" s="74"/>
      <c r="N187" s="74"/>
      <c r="O187" s="75"/>
      <c r="P187" s="76"/>
      <c r="Q187" s="76"/>
      <c r="R187" s="76"/>
      <c r="S187" s="76"/>
      <c r="T187" s="75"/>
      <c r="U187" s="75"/>
      <c r="V187" s="75"/>
      <c r="W187" s="75"/>
      <c r="X187" s="76"/>
      <c r="Y187" s="76"/>
      <c r="Z187" s="76"/>
      <c r="AA187" s="75"/>
      <c r="AB187" s="75"/>
      <c r="AC187" s="77"/>
      <c r="AD187" s="75"/>
      <c r="AE187" s="58"/>
    </row>
    <row r="188" spans="1:31" ht="12.75">
      <c r="A188" s="69" t="e">
        <f ca="1"/>
        <v>#NAME?</v>
      </c>
      <c r="B188" s="70"/>
      <c r="C188" s="71"/>
      <c r="D188" s="71"/>
      <c r="E188" s="71"/>
      <c r="F188" s="72"/>
      <c r="G188" s="73"/>
      <c r="H188" s="73"/>
      <c r="I188" s="73"/>
      <c r="J188" s="73"/>
      <c r="K188" s="73"/>
      <c r="L188" s="74"/>
      <c r="M188" s="74"/>
      <c r="N188" s="74"/>
      <c r="O188" s="75"/>
      <c r="P188" s="76"/>
      <c r="Q188" s="76"/>
      <c r="R188" s="76"/>
      <c r="S188" s="76"/>
      <c r="T188" s="75"/>
      <c r="U188" s="75"/>
      <c r="V188" s="75"/>
      <c r="W188" s="75"/>
      <c r="X188" s="76"/>
      <c r="Y188" s="76"/>
      <c r="Z188" s="76"/>
      <c r="AA188" s="75"/>
      <c r="AB188" s="75"/>
      <c r="AC188" s="77"/>
      <c r="AD188" s="75"/>
      <c r="AE188" s="58"/>
    </row>
    <row r="189" spans="1:31" ht="12.75">
      <c r="A189" s="69" t="e">
        <f ca="1"/>
        <v>#NAME?</v>
      </c>
      <c r="B189" s="70"/>
      <c r="C189" s="71"/>
      <c r="D189" s="71"/>
      <c r="E189" s="71"/>
      <c r="F189" s="72"/>
      <c r="G189" s="73"/>
      <c r="H189" s="73"/>
      <c r="I189" s="73"/>
      <c r="J189" s="73"/>
      <c r="K189" s="73"/>
      <c r="L189" s="74"/>
      <c r="M189" s="74"/>
      <c r="N189" s="74"/>
      <c r="O189" s="75"/>
      <c r="P189" s="76"/>
      <c r="Q189" s="76"/>
      <c r="R189" s="76"/>
      <c r="S189" s="76"/>
      <c r="T189" s="75"/>
      <c r="U189" s="75"/>
      <c r="V189" s="75"/>
      <c r="W189" s="75"/>
      <c r="X189" s="76"/>
      <c r="Y189" s="76"/>
      <c r="Z189" s="76"/>
      <c r="AA189" s="75"/>
      <c r="AB189" s="75"/>
      <c r="AC189" s="77"/>
      <c r="AD189" s="75"/>
      <c r="AE189" s="58"/>
    </row>
    <row r="190" spans="1:31" ht="12.75">
      <c r="A190" s="69" t="e">
        <f ca="1"/>
        <v>#NAME?</v>
      </c>
      <c r="B190" s="70"/>
      <c r="C190" s="71"/>
      <c r="D190" s="71"/>
      <c r="E190" s="71"/>
      <c r="F190" s="72"/>
      <c r="G190" s="73"/>
      <c r="H190" s="73"/>
      <c r="I190" s="73"/>
      <c r="J190" s="73"/>
      <c r="K190" s="73"/>
      <c r="L190" s="74"/>
      <c r="M190" s="74"/>
      <c r="N190" s="74"/>
      <c r="O190" s="75"/>
      <c r="P190" s="76"/>
      <c r="Q190" s="76"/>
      <c r="R190" s="76"/>
      <c r="S190" s="76"/>
      <c r="T190" s="75"/>
      <c r="U190" s="75"/>
      <c r="V190" s="75"/>
      <c r="W190" s="75"/>
      <c r="X190" s="76"/>
      <c r="Y190" s="76"/>
      <c r="Z190" s="76"/>
      <c r="AA190" s="75"/>
      <c r="AB190" s="75"/>
      <c r="AC190" s="77"/>
      <c r="AD190" s="75"/>
      <c r="AE190" s="58"/>
    </row>
    <row r="191" spans="1:31" ht="12.75">
      <c r="A191" s="69" t="e">
        <f ca="1"/>
        <v>#NAME?</v>
      </c>
      <c r="B191" s="70"/>
      <c r="C191" s="71"/>
      <c r="D191" s="71"/>
      <c r="E191" s="71"/>
      <c r="F191" s="72"/>
      <c r="G191" s="73"/>
      <c r="H191" s="73"/>
      <c r="I191" s="73"/>
      <c r="J191" s="73"/>
      <c r="K191" s="73"/>
      <c r="L191" s="74"/>
      <c r="M191" s="74"/>
      <c r="N191" s="74"/>
      <c r="O191" s="75"/>
      <c r="P191" s="76"/>
      <c r="Q191" s="76"/>
      <c r="R191" s="76"/>
      <c r="S191" s="76"/>
      <c r="T191" s="75"/>
      <c r="U191" s="75"/>
      <c r="V191" s="75"/>
      <c r="W191" s="75"/>
      <c r="X191" s="76"/>
      <c r="Y191" s="76"/>
      <c r="Z191" s="76"/>
      <c r="AA191" s="75"/>
      <c r="AB191" s="75"/>
      <c r="AC191" s="77"/>
      <c r="AD191" s="75"/>
      <c r="AE191" s="58"/>
    </row>
    <row r="192" spans="1:31" ht="12.75">
      <c r="A192" s="69"/>
      <c r="B192" s="70"/>
      <c r="C192" s="71"/>
      <c r="D192" s="71"/>
      <c r="E192" s="71"/>
      <c r="F192" s="72"/>
      <c r="G192" s="73"/>
      <c r="H192" s="73"/>
      <c r="I192" s="73"/>
      <c r="J192" s="73"/>
      <c r="K192" s="73"/>
      <c r="L192" s="74"/>
      <c r="M192" s="74"/>
      <c r="N192" s="74"/>
      <c r="O192" s="75"/>
      <c r="P192" s="76"/>
      <c r="Q192" s="76"/>
      <c r="R192" s="76"/>
      <c r="S192" s="76"/>
      <c r="T192" s="75"/>
      <c r="U192" s="75"/>
      <c r="V192" s="75"/>
      <c r="W192" s="75"/>
      <c r="X192" s="76"/>
      <c r="Y192" s="76"/>
      <c r="Z192" s="76"/>
      <c r="AA192" s="75"/>
      <c r="AB192" s="75"/>
      <c r="AC192" s="77"/>
      <c r="AD192" s="75"/>
      <c r="AE192" s="58"/>
    </row>
    <row r="193" spans="1:31" ht="12.75">
      <c r="A193" s="69"/>
      <c r="B193" s="70"/>
      <c r="C193" s="71"/>
      <c r="D193" s="71"/>
      <c r="E193" s="71"/>
      <c r="F193" s="72"/>
      <c r="G193" s="73"/>
      <c r="H193" s="73"/>
      <c r="I193" s="73"/>
      <c r="J193" s="73"/>
      <c r="K193" s="73"/>
      <c r="L193" s="74"/>
      <c r="M193" s="74"/>
      <c r="N193" s="74"/>
      <c r="O193" s="75"/>
      <c r="P193" s="76"/>
      <c r="Q193" s="76"/>
      <c r="R193" s="76"/>
      <c r="S193" s="76"/>
      <c r="T193" s="75"/>
      <c r="U193" s="75"/>
      <c r="V193" s="75"/>
      <c r="W193" s="75"/>
      <c r="X193" s="76"/>
      <c r="Y193" s="76"/>
      <c r="Z193" s="76"/>
      <c r="AA193" s="75"/>
      <c r="AB193" s="75"/>
      <c r="AC193" s="77"/>
      <c r="AD193" s="75"/>
      <c r="AE193" s="58"/>
    </row>
    <row r="194" spans="1:31" ht="12.75">
      <c r="A194" s="69"/>
      <c r="B194" s="70"/>
      <c r="C194" s="71"/>
      <c r="D194" s="71"/>
      <c r="E194" s="71"/>
      <c r="F194" s="72"/>
      <c r="G194" s="73"/>
      <c r="H194" s="73"/>
      <c r="I194" s="73"/>
      <c r="J194" s="73"/>
      <c r="K194" s="73"/>
      <c r="L194" s="74"/>
      <c r="M194" s="74"/>
      <c r="N194" s="74"/>
      <c r="O194" s="75"/>
      <c r="P194" s="76"/>
      <c r="Q194" s="76"/>
      <c r="R194" s="76"/>
      <c r="S194" s="76"/>
      <c r="T194" s="75"/>
      <c r="U194" s="75"/>
      <c r="V194" s="75"/>
      <c r="W194" s="75"/>
      <c r="X194" s="76"/>
      <c r="Y194" s="76"/>
      <c r="Z194" s="76"/>
      <c r="AA194" s="75"/>
      <c r="AB194" s="75"/>
      <c r="AC194" s="77"/>
      <c r="AD194" s="75"/>
      <c r="AE194" s="58"/>
    </row>
    <row r="195" spans="1:31" ht="12.75">
      <c r="A195" s="69"/>
      <c r="B195" s="70"/>
      <c r="C195" s="71"/>
      <c r="D195" s="71"/>
      <c r="E195" s="71"/>
      <c r="F195" s="72"/>
      <c r="G195" s="73"/>
      <c r="H195" s="73"/>
      <c r="I195" s="73"/>
      <c r="J195" s="73"/>
      <c r="K195" s="73"/>
      <c r="L195" s="74"/>
      <c r="M195" s="74"/>
      <c r="N195" s="74"/>
      <c r="O195" s="75"/>
      <c r="P195" s="76"/>
      <c r="Q195" s="76"/>
      <c r="R195" s="76"/>
      <c r="S195" s="76"/>
      <c r="T195" s="75"/>
      <c r="U195" s="75"/>
      <c r="V195" s="75"/>
      <c r="W195" s="75"/>
      <c r="X195" s="76"/>
      <c r="Y195" s="76"/>
      <c r="Z195" s="76"/>
      <c r="AA195" s="75"/>
      <c r="AB195" s="75"/>
      <c r="AC195" s="77"/>
      <c r="AD195" s="75"/>
      <c r="AE195" s="58"/>
    </row>
    <row r="196" spans="1:31" ht="12.75">
      <c r="A196" s="69"/>
      <c r="B196" s="70"/>
      <c r="C196" s="71"/>
      <c r="D196" s="71"/>
      <c r="E196" s="71"/>
      <c r="F196" s="72"/>
      <c r="G196" s="73"/>
      <c r="H196" s="73"/>
      <c r="I196" s="73"/>
      <c r="J196" s="73"/>
      <c r="K196" s="73"/>
      <c r="L196" s="74"/>
      <c r="M196" s="74"/>
      <c r="N196" s="74"/>
      <c r="O196" s="75"/>
      <c r="P196" s="76"/>
      <c r="Q196" s="76"/>
      <c r="R196" s="76"/>
      <c r="S196" s="76"/>
      <c r="T196" s="75"/>
      <c r="U196" s="75"/>
      <c r="V196" s="75"/>
      <c r="W196" s="75"/>
      <c r="X196" s="76"/>
      <c r="Y196" s="76"/>
      <c r="Z196" s="76"/>
      <c r="AA196" s="75"/>
      <c r="AB196" s="75"/>
      <c r="AC196" s="77"/>
      <c r="AD196" s="75"/>
      <c r="AE196" s="58"/>
    </row>
    <row r="197" spans="1:31" ht="12.75">
      <c r="A197" s="69"/>
      <c r="B197" s="70"/>
      <c r="C197" s="71"/>
      <c r="D197" s="71"/>
      <c r="E197" s="71"/>
      <c r="F197" s="72"/>
      <c r="G197" s="73"/>
      <c r="H197" s="73"/>
      <c r="I197" s="73"/>
      <c r="J197" s="73"/>
      <c r="K197" s="73"/>
      <c r="L197" s="74"/>
      <c r="M197" s="74"/>
      <c r="N197" s="74"/>
      <c r="O197" s="75"/>
      <c r="P197" s="76"/>
      <c r="Q197" s="76"/>
      <c r="R197" s="76"/>
      <c r="S197" s="76"/>
      <c r="T197" s="75"/>
      <c r="U197" s="75"/>
      <c r="V197" s="75"/>
      <c r="W197" s="75"/>
      <c r="X197" s="76"/>
      <c r="Y197" s="76"/>
      <c r="Z197" s="76"/>
      <c r="AA197" s="75"/>
      <c r="AB197" s="75"/>
      <c r="AC197" s="77"/>
      <c r="AD197" s="75"/>
      <c r="AE197" s="58"/>
    </row>
    <row r="198" spans="1:31" ht="12.75">
      <c r="A198" s="69"/>
      <c r="B198" s="70"/>
      <c r="C198" s="71"/>
      <c r="D198" s="71"/>
      <c r="E198" s="71"/>
      <c r="F198" s="72"/>
      <c r="G198" s="73"/>
      <c r="H198" s="73"/>
      <c r="I198" s="73"/>
      <c r="J198" s="73"/>
      <c r="K198" s="73"/>
      <c r="L198" s="74"/>
      <c r="M198" s="74"/>
      <c r="N198" s="74"/>
      <c r="O198" s="75"/>
      <c r="P198" s="76"/>
      <c r="Q198" s="76"/>
      <c r="R198" s="76"/>
      <c r="S198" s="76"/>
      <c r="T198" s="75"/>
      <c r="U198" s="75"/>
      <c r="V198" s="75"/>
      <c r="W198" s="75"/>
      <c r="X198" s="76"/>
      <c r="Y198" s="76"/>
      <c r="Z198" s="76"/>
      <c r="AA198" s="75"/>
      <c r="AB198" s="75"/>
      <c r="AC198" s="77"/>
      <c r="AD198" s="75"/>
      <c r="AE198" s="58"/>
    </row>
    <row r="199" spans="1:31" ht="12.75">
      <c r="A199" s="69"/>
      <c r="B199" s="70"/>
      <c r="C199" s="71"/>
      <c r="D199" s="71"/>
      <c r="E199" s="71"/>
      <c r="F199" s="72"/>
      <c r="G199" s="73"/>
      <c r="H199" s="73"/>
      <c r="I199" s="73"/>
      <c r="J199" s="73"/>
      <c r="K199" s="73"/>
      <c r="L199" s="74"/>
      <c r="M199" s="74"/>
      <c r="N199" s="75"/>
      <c r="O199" s="75"/>
      <c r="P199" s="76"/>
      <c r="Q199" s="76"/>
      <c r="R199" s="76"/>
      <c r="S199" s="76"/>
      <c r="T199" s="75"/>
      <c r="U199" s="75"/>
      <c r="V199" s="75"/>
      <c r="W199" s="75"/>
      <c r="X199" s="76"/>
      <c r="Y199" s="76"/>
      <c r="Z199" s="76"/>
      <c r="AA199" s="75"/>
      <c r="AB199" s="75"/>
      <c r="AC199" s="77"/>
      <c r="AD199" s="75"/>
      <c r="AE199" s="58"/>
    </row>
    <row r="200" spans="1:31" ht="12.75">
      <c r="A200" s="69"/>
      <c r="B200" s="70"/>
      <c r="C200" s="71"/>
      <c r="D200" s="71"/>
      <c r="E200" s="71"/>
      <c r="F200" s="72"/>
      <c r="G200" s="73"/>
      <c r="H200" s="73"/>
      <c r="I200" s="73"/>
      <c r="J200" s="73"/>
      <c r="K200" s="73"/>
      <c r="L200" s="74"/>
      <c r="M200" s="74"/>
      <c r="N200" s="75"/>
      <c r="O200" s="75"/>
      <c r="P200" s="76"/>
      <c r="Q200" s="76"/>
      <c r="R200" s="76"/>
      <c r="S200" s="76"/>
      <c r="T200" s="75"/>
      <c r="U200" s="75"/>
      <c r="V200" s="75"/>
      <c r="W200" s="75"/>
      <c r="X200" s="76"/>
      <c r="Y200" s="76"/>
      <c r="Z200" s="76"/>
      <c r="AA200" s="75"/>
      <c r="AB200" s="75"/>
      <c r="AC200" s="77"/>
      <c r="AD200" s="75"/>
      <c r="AE200" s="58"/>
    </row>
    <row r="201" spans="1:31" ht="12.75">
      <c r="A201" s="23"/>
      <c r="B201" s="23"/>
      <c r="C201" s="23"/>
      <c r="D201" s="23"/>
      <c r="E201" s="23"/>
      <c r="F201" s="23"/>
      <c r="G201" s="23"/>
      <c r="H201" s="13"/>
      <c r="I201" s="13"/>
      <c r="J201" s="13"/>
      <c r="K201" s="13"/>
      <c r="L201" s="13"/>
      <c r="M201" s="13"/>
      <c r="N201" s="23"/>
      <c r="O201" s="23"/>
      <c r="P201" s="23"/>
      <c r="Q201" s="23"/>
      <c r="R201" s="23"/>
      <c r="S201" s="23"/>
      <c r="T201" s="23"/>
      <c r="U201" s="23"/>
      <c r="V201" s="23"/>
      <c r="W201" s="23"/>
      <c r="X201" s="23"/>
      <c r="Y201" s="23"/>
      <c r="Z201" s="23"/>
      <c r="AA201" s="23"/>
      <c r="AB201" s="23"/>
      <c r="AC201" s="37"/>
      <c r="AD201" s="23"/>
      <c r="AE201" s="58"/>
    </row>
    <row r="202" spans="1:31" ht="12.7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37"/>
      <c r="AD202" s="23"/>
      <c r="AE202" s="23"/>
    </row>
    <row r="203" spans="1:31" ht="12.7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37"/>
      <c r="AD203" s="23"/>
      <c r="AE203" s="23"/>
    </row>
    <row r="204" spans="1:31" ht="12.7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37"/>
      <c r="AD204" s="23"/>
      <c r="AE204" s="23"/>
    </row>
    <row r="205" spans="1:31" ht="12.7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37"/>
      <c r="AD205" s="23"/>
      <c r="AE205" s="23"/>
    </row>
    <row r="206" spans="1:31" ht="12.7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37"/>
      <c r="AD206" s="23"/>
      <c r="AE206" s="23"/>
    </row>
    <row r="207" spans="1:31" ht="12.7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37"/>
      <c r="AD207" s="23"/>
      <c r="AE207" s="23"/>
    </row>
    <row r="208" spans="1:31" ht="12.7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37"/>
      <c r="AD208" s="23"/>
      <c r="AE208" s="23"/>
    </row>
    <row r="209" spans="1:31" ht="12.7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37"/>
      <c r="AD209" s="23"/>
      <c r="AE209" s="23"/>
    </row>
    <row r="210" spans="1:31" ht="12.7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37"/>
      <c r="AD210" s="23"/>
      <c r="AE210" s="23"/>
    </row>
    <row r="211" spans="1:31" ht="12.7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37"/>
      <c r="AD211" s="23"/>
      <c r="AE211" s="23"/>
    </row>
    <row r="212" spans="1:31" ht="12.7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37"/>
      <c r="AD212" s="23"/>
      <c r="AE212" s="23"/>
    </row>
    <row r="213" spans="1:31" ht="12.7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37"/>
      <c r="AD213" s="23"/>
      <c r="AE213" s="23"/>
    </row>
    <row r="214" spans="1:31" ht="12.7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37"/>
      <c r="AD214" s="23"/>
      <c r="AE214" s="23"/>
    </row>
    <row r="215" spans="1:31" ht="12.7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37"/>
      <c r="AD215" s="23"/>
      <c r="AE215" s="23"/>
    </row>
    <row r="216" spans="1:31" ht="12.7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37"/>
      <c r="AD216" s="23"/>
      <c r="AE216" s="23"/>
    </row>
    <row r="217" spans="1:31" ht="12.7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37"/>
      <c r="AD217" s="23"/>
      <c r="AE217" s="23"/>
    </row>
    <row r="218" spans="1:31" ht="12.7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37"/>
      <c r="AD218" s="23"/>
      <c r="AE218" s="23"/>
    </row>
    <row r="219" spans="1:31" ht="12.7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37"/>
      <c r="AD219" s="23"/>
      <c r="AE219" s="23"/>
    </row>
    <row r="220" spans="1:31" ht="12.7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37"/>
      <c r="AD220" s="23"/>
      <c r="AE220" s="23"/>
    </row>
    <row r="221" spans="1:31" ht="12.7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37"/>
      <c r="AD221" s="23"/>
      <c r="AE221" s="23"/>
    </row>
    <row r="222" spans="1:31" ht="12.7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37"/>
      <c r="AD222" s="23"/>
      <c r="AE222" s="23"/>
    </row>
    <row r="223" spans="1:31" ht="12.7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37"/>
      <c r="AD223" s="23"/>
      <c r="AE223" s="23"/>
    </row>
    <row r="224" spans="1:31" ht="12.7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37"/>
      <c r="AD224" s="23"/>
      <c r="AE224" s="23"/>
    </row>
    <row r="225" spans="1:31" ht="12.7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37"/>
      <c r="AD225" s="23"/>
      <c r="AE225" s="23"/>
    </row>
    <row r="226" spans="1:31" ht="12.7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37"/>
      <c r="AD226" s="23"/>
      <c r="AE226" s="23"/>
    </row>
    <row r="227" spans="1:31" ht="12.7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37"/>
      <c r="AD227" s="23"/>
      <c r="AE227" s="23"/>
    </row>
    <row r="228" spans="1:31" ht="12.7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37"/>
      <c r="AD228" s="23"/>
      <c r="AE228" s="23"/>
    </row>
    <row r="229" spans="1:31" ht="12.7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37"/>
      <c r="AD229" s="23"/>
      <c r="AE229" s="23"/>
    </row>
    <row r="230" spans="1:31" ht="12.7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37"/>
      <c r="AD230" s="23"/>
      <c r="AE230" s="23"/>
    </row>
    <row r="231" spans="1:31" ht="12.7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37"/>
      <c r="AD231" s="23"/>
      <c r="AE231" s="23"/>
    </row>
    <row r="232" spans="1:31" ht="12.7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37"/>
      <c r="AD232" s="23"/>
      <c r="AE232" s="23"/>
    </row>
    <row r="233" spans="1:31" ht="12.7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37"/>
      <c r="AD233" s="23"/>
      <c r="AE233" s="23"/>
    </row>
    <row r="234" spans="1:31" ht="12.7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37"/>
      <c r="AD234" s="23"/>
      <c r="AE234" s="23"/>
    </row>
    <row r="235" spans="1:31" ht="12.7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37"/>
      <c r="AD235" s="23"/>
      <c r="AE235" s="23"/>
    </row>
    <row r="236" spans="1:31" ht="12.7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37"/>
      <c r="AD236" s="23"/>
      <c r="AE236" s="23"/>
    </row>
    <row r="237" spans="1:31" ht="12.7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37"/>
      <c r="AD237" s="23"/>
      <c r="AE237" s="23"/>
    </row>
    <row r="238" spans="1:31" ht="12.7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37"/>
      <c r="AD238" s="23"/>
      <c r="AE238" s="23"/>
    </row>
    <row r="239" spans="1:31" ht="12.7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37"/>
      <c r="AD239" s="23"/>
      <c r="AE239" s="23"/>
    </row>
    <row r="240" spans="1:31" ht="12.7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37"/>
      <c r="AD240" s="23"/>
      <c r="AE240" s="23"/>
    </row>
    <row r="241" spans="1:31" ht="12.7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37"/>
      <c r="AD241" s="23"/>
      <c r="AE241" s="23"/>
    </row>
    <row r="242" spans="1:31" ht="12.7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37"/>
      <c r="AD242" s="23"/>
      <c r="AE242" s="23"/>
    </row>
    <row r="243" spans="1:31" ht="12.7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37"/>
      <c r="AD243" s="23"/>
      <c r="AE243" s="23"/>
    </row>
    <row r="244" spans="1:31" ht="12.7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37"/>
      <c r="AD244" s="23"/>
      <c r="AE244" s="23"/>
    </row>
    <row r="245" spans="1:31" ht="12.7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37"/>
      <c r="AD245" s="23"/>
      <c r="AE245" s="23"/>
    </row>
    <row r="246" spans="1:31" ht="12.7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37"/>
      <c r="AD246" s="23"/>
      <c r="AE246" s="23"/>
    </row>
    <row r="247" spans="1:31" ht="12.7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37"/>
      <c r="AD247" s="23"/>
      <c r="AE247" s="23"/>
    </row>
    <row r="248" spans="1:31" ht="12.7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37"/>
      <c r="AD248" s="23"/>
      <c r="AE248" s="23"/>
    </row>
    <row r="249" spans="1:31" ht="12.7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37"/>
      <c r="AD249" s="23"/>
      <c r="AE249" s="23"/>
    </row>
    <row r="250" spans="1:31" ht="12.7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37"/>
      <c r="AD250" s="23"/>
      <c r="AE250" s="23"/>
    </row>
    <row r="251" spans="1:31" ht="12.7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37"/>
      <c r="AD251" s="23"/>
      <c r="AE251" s="23"/>
    </row>
    <row r="252" spans="1:31" ht="12.7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37"/>
      <c r="AD252" s="23"/>
      <c r="AE252" s="23"/>
    </row>
    <row r="253" spans="1:31" ht="12.7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37"/>
      <c r="AD253" s="23"/>
      <c r="AE253" s="23"/>
    </row>
    <row r="254" spans="1:31" ht="12.7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37"/>
      <c r="AD254" s="23"/>
      <c r="AE254" s="23"/>
    </row>
    <row r="255" spans="1:31" ht="12.7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37"/>
      <c r="AD255" s="23"/>
      <c r="AE255" s="23"/>
    </row>
    <row r="256" spans="1:31" ht="12.7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37"/>
      <c r="AD256" s="23"/>
      <c r="AE256" s="23"/>
    </row>
    <row r="257" spans="1:31" ht="12.7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37"/>
      <c r="AD257" s="23"/>
      <c r="AE257" s="23"/>
    </row>
    <row r="258" spans="1:31" ht="12.7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37"/>
      <c r="AD258" s="23"/>
      <c r="AE258" s="23"/>
    </row>
    <row r="259" spans="1:31" ht="12.7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37"/>
      <c r="AD259" s="23"/>
      <c r="AE259" s="23"/>
    </row>
    <row r="260" spans="1:31" ht="12.7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37"/>
      <c r="AD260" s="23"/>
      <c r="AE260" s="23"/>
    </row>
    <row r="261" spans="1:31" ht="12.7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37"/>
      <c r="AD261" s="23"/>
      <c r="AE261" s="23"/>
    </row>
    <row r="262" spans="1:31" ht="12.7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37"/>
      <c r="AD262" s="23"/>
      <c r="AE262" s="23"/>
    </row>
    <row r="263" spans="1:31" ht="12.7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37"/>
      <c r="AD263" s="23"/>
      <c r="AE263" s="23"/>
    </row>
    <row r="264" spans="1:31" ht="12.7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37"/>
      <c r="AD264" s="23"/>
      <c r="AE264" s="23"/>
    </row>
    <row r="265" spans="1:31" ht="12.7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37"/>
      <c r="AD265" s="23"/>
      <c r="AE265" s="23"/>
    </row>
    <row r="266" spans="1:31" ht="12.7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37"/>
      <c r="AD266" s="23"/>
      <c r="AE266" s="23"/>
    </row>
    <row r="267" spans="1:31" ht="12.7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37"/>
      <c r="AD267" s="23"/>
      <c r="AE267" s="23"/>
    </row>
    <row r="268" spans="1:31" ht="12.7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37"/>
      <c r="AD268" s="23"/>
      <c r="AE268" s="23"/>
    </row>
    <row r="269" spans="1:31" ht="12.7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37"/>
      <c r="AD269" s="23"/>
      <c r="AE269" s="23"/>
    </row>
    <row r="270" spans="1:31" ht="12.7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37"/>
      <c r="AD270" s="23"/>
      <c r="AE270" s="23"/>
    </row>
    <row r="271" spans="1:31" ht="12.7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37"/>
      <c r="AD271" s="23"/>
      <c r="AE271" s="23"/>
    </row>
    <row r="272" spans="1:31" ht="12.7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37"/>
      <c r="AD272" s="23"/>
      <c r="AE272" s="23"/>
    </row>
    <row r="273" spans="1:31" ht="12.7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37"/>
      <c r="AD273" s="23"/>
      <c r="AE273" s="23"/>
    </row>
    <row r="274" spans="1:31" ht="12.7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37"/>
      <c r="AD274" s="23"/>
      <c r="AE274" s="23"/>
    </row>
    <row r="275" spans="1:31" ht="1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37"/>
      <c r="AD275" s="23"/>
      <c r="AE275" s="23"/>
    </row>
    <row r="276" spans="1:31" ht="12.7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37"/>
      <c r="AD276" s="23"/>
      <c r="AE276" s="23"/>
    </row>
    <row r="277" spans="1:31" ht="12.7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37"/>
      <c r="AD277" s="23"/>
      <c r="AE277" s="23"/>
    </row>
    <row r="278" spans="1:31" ht="12.7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37"/>
      <c r="AD278" s="23"/>
      <c r="AE278" s="23"/>
    </row>
    <row r="279" spans="1:31" ht="12.7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37"/>
      <c r="AD279" s="23"/>
      <c r="AE279" s="23"/>
    </row>
    <row r="280" spans="1:31" ht="12.7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37"/>
      <c r="AD280" s="23"/>
      <c r="AE280" s="23"/>
    </row>
    <row r="281" spans="1:31" ht="12.7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37"/>
      <c r="AD281" s="23"/>
      <c r="AE281" s="23"/>
    </row>
    <row r="282" spans="1:31" ht="12.7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37"/>
      <c r="AD282" s="23"/>
      <c r="AE282" s="23"/>
    </row>
    <row r="283" spans="1:31" ht="12.7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37"/>
      <c r="AD283" s="23"/>
      <c r="AE283" s="23"/>
    </row>
    <row r="284" spans="1:31" ht="12.7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37"/>
      <c r="AD284" s="23"/>
      <c r="AE284" s="23"/>
    </row>
    <row r="285" spans="1:31" ht="12.7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37"/>
      <c r="AD285" s="23"/>
      <c r="AE285" s="23"/>
    </row>
    <row r="286" spans="1:31" ht="12.7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37"/>
      <c r="AD286" s="23"/>
      <c r="AE286" s="23"/>
    </row>
    <row r="287" spans="1:31" ht="12.7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37"/>
      <c r="AD287" s="23"/>
      <c r="AE287" s="23"/>
    </row>
    <row r="288" spans="1:31" ht="12.7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37"/>
      <c r="AD288" s="23"/>
      <c r="AE288" s="23"/>
    </row>
    <row r="289" spans="1:31" ht="12.7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37"/>
      <c r="AD289" s="23"/>
      <c r="AE289" s="23"/>
    </row>
    <row r="290" spans="1:31" ht="12.7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37"/>
      <c r="AD290" s="23"/>
      <c r="AE290" s="23"/>
    </row>
    <row r="291" spans="1:31" ht="12.7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37"/>
      <c r="AD291" s="23"/>
      <c r="AE291" s="23"/>
    </row>
    <row r="292" spans="1:31" ht="12.7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37"/>
      <c r="AD292" s="23"/>
      <c r="AE292" s="23"/>
    </row>
    <row r="293" spans="1:31" ht="12.7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37"/>
      <c r="AD293" s="23"/>
      <c r="AE293" s="23"/>
    </row>
    <row r="294" spans="1:31" ht="12.7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37"/>
      <c r="AD294" s="23"/>
      <c r="AE294" s="23"/>
    </row>
    <row r="295" spans="1:31" ht="12.7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37"/>
      <c r="AD295" s="23"/>
      <c r="AE295" s="23"/>
    </row>
    <row r="296" spans="1:31" ht="12.7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37"/>
      <c r="AD296" s="23"/>
      <c r="AE296" s="23"/>
    </row>
    <row r="297" spans="1:31" ht="12.7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37"/>
      <c r="AD297" s="23"/>
      <c r="AE297" s="23"/>
    </row>
    <row r="298" spans="1:31" ht="12.7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37"/>
      <c r="AD298" s="23"/>
      <c r="AE298" s="23"/>
    </row>
    <row r="299" spans="1:31" ht="12.7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37"/>
      <c r="AD299" s="23"/>
      <c r="AE299" s="23"/>
    </row>
    <row r="300" spans="1:31" ht="12.7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37"/>
      <c r="AD300" s="23"/>
      <c r="AE300" s="23"/>
    </row>
    <row r="301" spans="1:31" ht="12.7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37"/>
      <c r="AD301" s="23"/>
      <c r="AE301" s="23"/>
    </row>
    <row r="302" spans="1:31" ht="12.7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37"/>
      <c r="AD302" s="23"/>
      <c r="AE302" s="23"/>
    </row>
    <row r="303" spans="1:31" ht="12.7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37"/>
      <c r="AD303" s="23"/>
      <c r="AE303" s="23"/>
    </row>
    <row r="304" spans="1:31" ht="12.7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37"/>
      <c r="AD304" s="23"/>
      <c r="AE304" s="23"/>
    </row>
    <row r="305" spans="1:31" ht="12.7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37"/>
      <c r="AD305" s="23"/>
      <c r="AE305" s="23"/>
    </row>
    <row r="306" spans="1:31" ht="12.7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37"/>
      <c r="AD306" s="23"/>
      <c r="AE306" s="23"/>
    </row>
    <row r="307" spans="1:31" ht="12.7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37"/>
      <c r="AD307" s="23"/>
      <c r="AE307" s="23"/>
    </row>
    <row r="308" spans="1:31" ht="12.7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37"/>
      <c r="AD308" s="23"/>
      <c r="AE308" s="23"/>
    </row>
    <row r="309" spans="1:31" ht="12.7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37"/>
      <c r="AD309" s="23"/>
      <c r="AE309" s="23"/>
    </row>
    <row r="310" spans="1:31" ht="12.7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37"/>
      <c r="AD310" s="23"/>
      <c r="AE310" s="23"/>
    </row>
    <row r="311" spans="1:31" ht="12.7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37"/>
      <c r="AD311" s="23"/>
      <c r="AE311" s="23"/>
    </row>
    <row r="312" spans="1:31" ht="12.7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37"/>
      <c r="AD312" s="23"/>
      <c r="AE312" s="23"/>
    </row>
    <row r="313" spans="1:31" ht="12.7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37"/>
      <c r="AD313" s="23"/>
      <c r="AE313" s="23"/>
    </row>
    <row r="314" spans="1:31" ht="12.7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37"/>
      <c r="AD314" s="23"/>
      <c r="AE314" s="23"/>
    </row>
    <row r="315" spans="1:31" ht="12.7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37"/>
      <c r="AD315" s="23"/>
      <c r="AE315" s="23"/>
    </row>
    <row r="316" spans="1:31" ht="12.7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37"/>
      <c r="AD316" s="23"/>
      <c r="AE316" s="23"/>
    </row>
    <row r="317" spans="1:31" ht="12.7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37"/>
      <c r="AD317" s="23"/>
      <c r="AE317" s="23"/>
    </row>
    <row r="318" spans="1:31" ht="12.7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37"/>
      <c r="AD318" s="23"/>
      <c r="AE318" s="23"/>
    </row>
    <row r="319" spans="1:31" ht="12.7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37"/>
      <c r="AD319" s="23"/>
      <c r="AE319" s="23"/>
    </row>
    <row r="320" spans="1:31" ht="12.7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37"/>
      <c r="AD320" s="23"/>
      <c r="AE320" s="23"/>
    </row>
    <row r="321" spans="1:31" ht="12.7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37"/>
      <c r="AD321" s="23"/>
      <c r="AE321" s="23"/>
    </row>
    <row r="322" spans="1:31" ht="12.7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37"/>
      <c r="AD322" s="23"/>
      <c r="AE322" s="23"/>
    </row>
    <row r="323" spans="1:31" ht="12.7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37"/>
      <c r="AD323" s="23"/>
      <c r="AE323" s="23"/>
    </row>
    <row r="324" spans="1:31" ht="12.7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37"/>
      <c r="AD324" s="23"/>
      <c r="AE324" s="23"/>
    </row>
    <row r="325" spans="1:31" ht="12.7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37"/>
      <c r="AD325" s="23"/>
      <c r="AE325" s="23"/>
    </row>
    <row r="326" spans="1:31" ht="12.7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37"/>
      <c r="AD326" s="23"/>
      <c r="AE326" s="23"/>
    </row>
    <row r="327" spans="1:31" ht="12.7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37"/>
      <c r="AD327" s="23"/>
      <c r="AE327" s="23"/>
    </row>
    <row r="328" spans="1:31" ht="12.7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37"/>
      <c r="AD328" s="23"/>
      <c r="AE328" s="23"/>
    </row>
    <row r="329" spans="1:31" ht="12.7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37"/>
      <c r="AD329" s="23"/>
      <c r="AE329" s="23"/>
    </row>
    <row r="330" spans="1:31" ht="12.7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37"/>
      <c r="AD330" s="23"/>
      <c r="AE330" s="23"/>
    </row>
    <row r="331" spans="1:31" ht="12.7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37"/>
      <c r="AD331" s="23"/>
      <c r="AE331" s="23"/>
    </row>
    <row r="332" spans="1:31" ht="12.7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37"/>
      <c r="AD332" s="23"/>
      <c r="AE332" s="23"/>
    </row>
    <row r="333" spans="1:31" ht="12.7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37"/>
      <c r="AD333" s="23"/>
      <c r="AE333" s="23"/>
    </row>
    <row r="334" spans="1:31" ht="12.7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37"/>
      <c r="AD334" s="23"/>
      <c r="AE334" s="23"/>
    </row>
    <row r="335" spans="1:31" ht="12.7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37"/>
      <c r="AD335" s="23"/>
      <c r="AE335" s="23"/>
    </row>
    <row r="336" spans="1:31" ht="12.7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37"/>
      <c r="AD336" s="23"/>
      <c r="AE336" s="23"/>
    </row>
    <row r="337" spans="1:31" ht="12.7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37"/>
      <c r="AD337" s="23"/>
      <c r="AE337" s="23"/>
    </row>
    <row r="338" spans="1:31" ht="12.7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37"/>
      <c r="AD338" s="23"/>
      <c r="AE338" s="23"/>
    </row>
    <row r="339" spans="1:31" ht="12.7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37"/>
      <c r="AD339" s="23"/>
      <c r="AE339" s="23"/>
    </row>
    <row r="340" spans="1:31" ht="12.7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37"/>
      <c r="AD340" s="23"/>
      <c r="AE340" s="23"/>
    </row>
    <row r="341" spans="1:31" ht="12.7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37"/>
      <c r="AD341" s="23"/>
      <c r="AE341" s="23"/>
    </row>
    <row r="342" spans="1:31" ht="12.7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37"/>
      <c r="AD342" s="23"/>
      <c r="AE342" s="23"/>
    </row>
    <row r="343" spans="1:31" ht="12.7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37"/>
      <c r="AD343" s="23"/>
      <c r="AE343" s="23"/>
    </row>
    <row r="344" spans="1:31" ht="12.7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37"/>
      <c r="AD344" s="23"/>
      <c r="AE344" s="23"/>
    </row>
    <row r="345" spans="1:31" ht="12.7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37"/>
      <c r="AD345" s="23"/>
      <c r="AE345" s="23"/>
    </row>
    <row r="346" spans="1:31" ht="12.7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37"/>
      <c r="AD346" s="23"/>
      <c r="AE346" s="23"/>
    </row>
    <row r="347" spans="1:31" ht="12.7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37"/>
      <c r="AD347" s="23"/>
      <c r="AE347" s="23"/>
    </row>
    <row r="348" spans="1:31" ht="12.7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37"/>
      <c r="AD348" s="23"/>
      <c r="AE348" s="23"/>
    </row>
    <row r="349" spans="1:31" ht="12.7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37"/>
      <c r="AD349" s="23"/>
      <c r="AE349" s="23"/>
    </row>
    <row r="350" spans="1:31" ht="12.7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37"/>
      <c r="AD350" s="23"/>
      <c r="AE350" s="23"/>
    </row>
    <row r="351" spans="1:31" ht="12.7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37"/>
      <c r="AD351" s="23"/>
      <c r="AE351" s="23"/>
    </row>
    <row r="352" spans="1:31" ht="12.7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37"/>
      <c r="AD352" s="23"/>
      <c r="AE352" s="23"/>
    </row>
    <row r="353" spans="1:31" ht="12.7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37"/>
      <c r="AD353" s="23"/>
      <c r="AE353" s="23"/>
    </row>
    <row r="354" spans="1:31" ht="12.7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37"/>
      <c r="AD354" s="23"/>
      <c r="AE354" s="23"/>
    </row>
    <row r="355" spans="1:31" ht="12.7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37"/>
      <c r="AD355" s="23"/>
      <c r="AE355" s="23"/>
    </row>
    <row r="356" spans="1:31" ht="12.7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37"/>
      <c r="AD356" s="23"/>
      <c r="AE356" s="23"/>
    </row>
    <row r="357" spans="1:31" ht="12.7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37"/>
      <c r="AD357" s="23"/>
      <c r="AE357" s="23"/>
    </row>
    <row r="358" spans="1:31" ht="12.7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37"/>
      <c r="AD358" s="23"/>
      <c r="AE358" s="23"/>
    </row>
    <row r="359" spans="1:31" ht="12.7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37"/>
      <c r="AD359" s="23"/>
      <c r="AE359" s="23"/>
    </row>
    <row r="360" spans="1:31" ht="12.7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37"/>
      <c r="AD360" s="23"/>
      <c r="AE360" s="23"/>
    </row>
    <row r="361" spans="1:31" ht="12.7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37"/>
      <c r="AD361" s="23"/>
      <c r="AE361" s="23"/>
    </row>
    <row r="362" spans="1:31" ht="12.7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37"/>
      <c r="AD362" s="23"/>
      <c r="AE362" s="23"/>
    </row>
    <row r="363" spans="1:31" ht="12.7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37"/>
      <c r="AD363" s="23"/>
      <c r="AE363" s="23"/>
    </row>
    <row r="364" spans="1:31" ht="12.7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37"/>
      <c r="AD364" s="23"/>
      <c r="AE364" s="23"/>
    </row>
    <row r="365" spans="1:31" ht="12.7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37"/>
      <c r="AD365" s="23"/>
      <c r="AE365" s="23"/>
    </row>
    <row r="366" spans="1:31" ht="12.7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37"/>
      <c r="AD366" s="23"/>
      <c r="AE366" s="23"/>
    </row>
    <row r="367" spans="1:31" ht="12.7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37"/>
      <c r="AD367" s="23"/>
      <c r="AE367" s="23"/>
    </row>
    <row r="368" spans="1:31" ht="12.7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37"/>
      <c r="AD368" s="23"/>
      <c r="AE368" s="23"/>
    </row>
    <row r="369" spans="1:31" ht="12.7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37"/>
      <c r="AD369" s="23"/>
      <c r="AE369" s="23"/>
    </row>
    <row r="370" spans="1:31" ht="12.7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37"/>
      <c r="AD370" s="23"/>
      <c r="AE370" s="23"/>
    </row>
    <row r="371" spans="1:31" ht="12.7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37"/>
      <c r="AD371" s="23"/>
      <c r="AE371" s="23"/>
    </row>
    <row r="372" spans="1:31" ht="12.7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37"/>
      <c r="AD372" s="23"/>
      <c r="AE372" s="23"/>
    </row>
    <row r="373" spans="1:31" ht="12.7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37"/>
      <c r="AD373" s="23"/>
      <c r="AE373" s="23"/>
    </row>
    <row r="374" spans="1:31" ht="12.7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37"/>
      <c r="AD374" s="23"/>
      <c r="AE374" s="23"/>
    </row>
    <row r="375" spans="1:31" ht="12.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37"/>
      <c r="AD375" s="23"/>
      <c r="AE375" s="23"/>
    </row>
    <row r="376" spans="1:31" ht="12.7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37"/>
      <c r="AD376" s="23"/>
      <c r="AE376" s="23"/>
    </row>
    <row r="377" spans="1:31" ht="12.7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37"/>
      <c r="AD377" s="23"/>
      <c r="AE377" s="23"/>
    </row>
    <row r="378" spans="1:31" ht="12.7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37"/>
      <c r="AD378" s="23"/>
      <c r="AE378" s="23"/>
    </row>
    <row r="379" spans="1:31" ht="12.7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37"/>
      <c r="AD379" s="23"/>
      <c r="AE379" s="23"/>
    </row>
    <row r="380" spans="1:31" ht="12.7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37"/>
      <c r="AD380" s="23"/>
      <c r="AE380" s="23"/>
    </row>
    <row r="381" spans="1:31" ht="12.7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37"/>
      <c r="AD381" s="23"/>
      <c r="AE381" s="23"/>
    </row>
    <row r="382" spans="1:31" ht="12.7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37"/>
      <c r="AD382" s="23"/>
      <c r="AE382" s="23"/>
    </row>
    <row r="383" spans="1:31" ht="12.7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37"/>
      <c r="AD383" s="23"/>
      <c r="AE383" s="23"/>
    </row>
    <row r="384" spans="1:31" ht="12.7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37"/>
      <c r="AD384" s="23"/>
      <c r="AE384" s="23"/>
    </row>
    <row r="385" spans="1:31" ht="12.7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37"/>
      <c r="AD385" s="23"/>
      <c r="AE385" s="23"/>
    </row>
    <row r="386" spans="1:31" ht="12.7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37"/>
      <c r="AD386" s="23"/>
      <c r="AE386" s="23"/>
    </row>
    <row r="387" spans="1:31" ht="12.7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37"/>
      <c r="AD387" s="23"/>
      <c r="AE387" s="23"/>
    </row>
    <row r="388" spans="1:31" ht="12.7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37"/>
      <c r="AD388" s="23"/>
      <c r="AE388" s="23"/>
    </row>
    <row r="389" spans="1:31" ht="12.7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37"/>
      <c r="AD389" s="23"/>
      <c r="AE389" s="23"/>
    </row>
    <row r="390" spans="1:31" ht="12.7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37"/>
      <c r="AD390" s="23"/>
      <c r="AE390" s="23"/>
    </row>
    <row r="391" spans="1:31" ht="12.7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37"/>
      <c r="AD391" s="23"/>
      <c r="AE391" s="23"/>
    </row>
    <row r="392" spans="1:31" ht="12.7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37"/>
      <c r="AD392" s="23"/>
      <c r="AE392" s="23"/>
    </row>
    <row r="393" spans="1:31" ht="12.7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37"/>
      <c r="AD393" s="23"/>
      <c r="AE393" s="23"/>
    </row>
    <row r="394" spans="1:31" ht="12.7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37"/>
      <c r="AD394" s="23"/>
      <c r="AE394" s="23"/>
    </row>
    <row r="395" spans="1:31" ht="12.7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37"/>
      <c r="AD395" s="23"/>
      <c r="AE395" s="23"/>
    </row>
    <row r="396" spans="1:31" ht="12.7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37"/>
      <c r="AD396" s="23"/>
      <c r="AE396" s="23"/>
    </row>
    <row r="397" spans="1:31" ht="12.7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37"/>
      <c r="AD397" s="23"/>
      <c r="AE397" s="23"/>
    </row>
    <row r="398" spans="1:31" ht="12.7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37"/>
      <c r="AD398" s="23"/>
      <c r="AE398" s="23"/>
    </row>
    <row r="399" spans="1:31" ht="12.7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37"/>
      <c r="AD399" s="23"/>
      <c r="AE399" s="23"/>
    </row>
    <row r="400" spans="1:31" ht="12.7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37"/>
      <c r="AD400" s="23"/>
      <c r="AE400" s="23"/>
    </row>
    <row r="401" spans="1:31" ht="12.7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37"/>
      <c r="AD401" s="23"/>
      <c r="AE401" s="23"/>
    </row>
    <row r="402" spans="1:31" ht="12.7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37"/>
      <c r="AD402" s="23"/>
      <c r="AE402" s="23"/>
    </row>
    <row r="403" spans="1:31" ht="12.7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37"/>
      <c r="AD403" s="23"/>
      <c r="AE403" s="23"/>
    </row>
    <row r="404" spans="1:31" ht="12.7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37"/>
      <c r="AD404" s="23"/>
      <c r="AE404" s="23"/>
    </row>
    <row r="405" spans="1:31" ht="12.7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37"/>
      <c r="AD405" s="23"/>
      <c r="AE405" s="23"/>
    </row>
    <row r="406" spans="1:31" ht="12.7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37"/>
      <c r="AD406" s="23"/>
      <c r="AE406" s="23"/>
    </row>
    <row r="407" spans="1:31" ht="12.7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37"/>
      <c r="AD407" s="23"/>
      <c r="AE407" s="23"/>
    </row>
    <row r="408" spans="1:31" ht="12.7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37"/>
      <c r="AD408" s="23"/>
      <c r="AE408" s="23"/>
    </row>
    <row r="409" spans="1:31" ht="12.7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37"/>
      <c r="AD409" s="23"/>
      <c r="AE409" s="23"/>
    </row>
    <row r="410" spans="1:31" ht="12.7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37"/>
      <c r="AD410" s="23"/>
      <c r="AE410" s="23"/>
    </row>
    <row r="411" spans="1:31" ht="12.7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37"/>
      <c r="AD411" s="23"/>
      <c r="AE411" s="23"/>
    </row>
    <row r="412" spans="1:31" ht="12.7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37"/>
      <c r="AD412" s="23"/>
      <c r="AE412" s="23"/>
    </row>
    <row r="413" spans="1:31" ht="12.7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37"/>
      <c r="AD413" s="23"/>
      <c r="AE413" s="23"/>
    </row>
    <row r="414" spans="1:31" ht="12.7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37"/>
      <c r="AD414" s="23"/>
      <c r="AE414" s="23"/>
    </row>
    <row r="415" spans="1:31" ht="12.7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37"/>
      <c r="AD415" s="23"/>
      <c r="AE415" s="23"/>
    </row>
    <row r="416" spans="1:31" ht="12.7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37"/>
      <c r="AD416" s="23"/>
      <c r="AE416" s="23"/>
    </row>
    <row r="417" spans="1:31" ht="12.7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37"/>
      <c r="AD417" s="23"/>
      <c r="AE417" s="23"/>
    </row>
    <row r="418" spans="1:31" ht="12.7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37"/>
      <c r="AD418" s="23"/>
      <c r="AE418" s="23"/>
    </row>
    <row r="419" spans="1:31" ht="12.7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37"/>
      <c r="AD419" s="23"/>
      <c r="AE419" s="23"/>
    </row>
    <row r="420" spans="1:31" ht="12.7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37"/>
      <c r="AD420" s="23"/>
      <c r="AE420" s="23"/>
    </row>
    <row r="421" spans="1:31" ht="12.7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37"/>
      <c r="AD421" s="23"/>
      <c r="AE421" s="23"/>
    </row>
    <row r="422" spans="1:31" ht="12.7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37"/>
      <c r="AD422" s="23"/>
      <c r="AE422" s="23"/>
    </row>
    <row r="423" spans="1:31" ht="12.7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37"/>
      <c r="AD423" s="23"/>
      <c r="AE423" s="23"/>
    </row>
    <row r="424" spans="1:31" ht="12.7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37"/>
      <c r="AD424" s="23"/>
      <c r="AE424" s="23"/>
    </row>
    <row r="425" spans="1:31" ht="12.7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37"/>
      <c r="AD425" s="23"/>
      <c r="AE425" s="23"/>
    </row>
    <row r="426" spans="1:31" ht="12.7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37"/>
      <c r="AD426" s="23"/>
      <c r="AE426" s="23"/>
    </row>
    <row r="427" spans="1:31" ht="12.7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37"/>
      <c r="AD427" s="23"/>
      <c r="AE427" s="23"/>
    </row>
    <row r="428" spans="1:31" ht="12.7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37"/>
      <c r="AD428" s="23"/>
      <c r="AE428" s="23"/>
    </row>
    <row r="429" spans="1:31" ht="12.7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37"/>
      <c r="AD429" s="23"/>
      <c r="AE429" s="23"/>
    </row>
    <row r="430" spans="1:31" ht="12.7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37"/>
      <c r="AD430" s="23"/>
      <c r="AE430" s="23"/>
    </row>
    <row r="431" spans="1:31" ht="12.7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37"/>
      <c r="AD431" s="23"/>
      <c r="AE431" s="23"/>
    </row>
    <row r="432" spans="1:31" ht="12.7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37"/>
      <c r="AD432" s="23"/>
      <c r="AE432" s="23"/>
    </row>
    <row r="433" spans="1:31" ht="12.7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37"/>
      <c r="AD433" s="23"/>
      <c r="AE433" s="23"/>
    </row>
    <row r="434" spans="1:31" ht="12.7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37"/>
      <c r="AD434" s="23"/>
      <c r="AE434" s="23"/>
    </row>
    <row r="435" spans="1:31" ht="12.7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37"/>
      <c r="AD435" s="23"/>
      <c r="AE435" s="23"/>
    </row>
    <row r="436" spans="1:31" ht="12.7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37"/>
      <c r="AD436" s="23"/>
      <c r="AE436" s="23"/>
    </row>
    <row r="437" spans="1:31" ht="12.7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37"/>
      <c r="AD437" s="23"/>
      <c r="AE437" s="23"/>
    </row>
    <row r="438" spans="1:31" ht="12.7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37"/>
      <c r="AD438" s="23"/>
      <c r="AE438" s="23"/>
    </row>
    <row r="439" spans="1:31" ht="12.7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37"/>
      <c r="AD439" s="23"/>
      <c r="AE439" s="23"/>
    </row>
    <row r="440" spans="1:31" ht="12.7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37"/>
      <c r="AD440" s="23"/>
      <c r="AE440" s="23"/>
    </row>
    <row r="441" spans="1:31" ht="12.7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37"/>
      <c r="AD441" s="23"/>
      <c r="AE441" s="23"/>
    </row>
    <row r="442" spans="1:31" ht="12.7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37"/>
      <c r="AD442" s="23"/>
      <c r="AE442" s="23"/>
    </row>
    <row r="443" spans="1:31" ht="12.7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37"/>
      <c r="AD443" s="23"/>
      <c r="AE443" s="23"/>
    </row>
    <row r="444" spans="1:31" ht="12.7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37"/>
      <c r="AD444" s="23"/>
      <c r="AE444" s="23"/>
    </row>
    <row r="445" spans="1:31" ht="12.7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37"/>
      <c r="AD445" s="23"/>
      <c r="AE445" s="23"/>
    </row>
    <row r="446" spans="1:31" ht="12.7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37"/>
      <c r="AD446" s="23"/>
      <c r="AE446" s="23"/>
    </row>
    <row r="447" spans="1:31" ht="12.7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37"/>
      <c r="AD447" s="23"/>
      <c r="AE447" s="23"/>
    </row>
    <row r="448" spans="1:31" ht="12.7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37"/>
      <c r="AD448" s="23"/>
      <c r="AE448" s="23"/>
    </row>
    <row r="449" spans="1:31" ht="12.7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37"/>
      <c r="AD449" s="23"/>
      <c r="AE449" s="23"/>
    </row>
    <row r="450" spans="1:31" ht="12.7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37"/>
      <c r="AD450" s="23"/>
      <c r="AE450" s="23"/>
    </row>
    <row r="451" spans="1:31" ht="12.7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37"/>
      <c r="AD451" s="23"/>
      <c r="AE451" s="23"/>
    </row>
    <row r="452" spans="1:31" ht="12.7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37"/>
      <c r="AD452" s="23"/>
      <c r="AE452" s="23"/>
    </row>
    <row r="453" spans="1:31" ht="12.7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37"/>
      <c r="AD453" s="23"/>
      <c r="AE453" s="23"/>
    </row>
    <row r="454" spans="1:31" ht="12.7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37"/>
      <c r="AD454" s="23"/>
      <c r="AE454" s="23"/>
    </row>
    <row r="455" spans="1:31" ht="12.7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37"/>
      <c r="AD455" s="23"/>
      <c r="AE455" s="23"/>
    </row>
    <row r="456" spans="1:31" ht="12.7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37"/>
      <c r="AD456" s="23"/>
      <c r="AE456" s="23"/>
    </row>
    <row r="457" spans="1:31" ht="12.7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37"/>
      <c r="AD457" s="23"/>
      <c r="AE457" s="23"/>
    </row>
    <row r="458" spans="1:31" ht="12.7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37"/>
      <c r="AD458" s="23"/>
      <c r="AE458" s="23"/>
    </row>
    <row r="459" spans="1:31" ht="12.7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37"/>
      <c r="AD459" s="23"/>
      <c r="AE459" s="23"/>
    </row>
    <row r="460" spans="1:31" ht="12.7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37"/>
      <c r="AD460" s="23"/>
      <c r="AE460" s="23"/>
    </row>
    <row r="461" spans="1:31" ht="12.7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37"/>
      <c r="AD461" s="23"/>
      <c r="AE461" s="23"/>
    </row>
    <row r="462" spans="1:31" ht="12.7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37"/>
      <c r="AD462" s="23"/>
      <c r="AE462" s="23"/>
    </row>
    <row r="463" spans="1:31" ht="12.7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37"/>
      <c r="AD463" s="23"/>
      <c r="AE463" s="23"/>
    </row>
    <row r="464" spans="1:31" ht="12.7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37"/>
      <c r="AD464" s="23"/>
      <c r="AE464" s="23"/>
    </row>
    <row r="465" spans="1:31" ht="12.7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37"/>
      <c r="AD465" s="23"/>
      <c r="AE465" s="23"/>
    </row>
    <row r="466" spans="1:31" ht="12.7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37"/>
      <c r="AD466" s="23"/>
      <c r="AE466" s="23"/>
    </row>
    <row r="467" spans="1:31" ht="12.7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37"/>
      <c r="AD467" s="23"/>
      <c r="AE467" s="23"/>
    </row>
    <row r="468" spans="1:31" ht="12.7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37"/>
      <c r="AD468" s="23"/>
      <c r="AE468" s="23"/>
    </row>
    <row r="469" spans="1:31" ht="12.7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37"/>
      <c r="AD469" s="23"/>
      <c r="AE469" s="23"/>
    </row>
    <row r="470" spans="1:31" ht="12.7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37"/>
      <c r="AD470" s="23"/>
      <c r="AE470" s="23"/>
    </row>
    <row r="471" spans="1:31" ht="12.7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37"/>
      <c r="AD471" s="23"/>
      <c r="AE471" s="23"/>
    </row>
    <row r="472" spans="1:31" ht="12.7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37"/>
      <c r="AD472" s="23"/>
      <c r="AE472" s="23"/>
    </row>
    <row r="473" spans="1:31" ht="12.7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37"/>
      <c r="AD473" s="23"/>
      <c r="AE473" s="23"/>
    </row>
    <row r="474" spans="1:31" ht="12.7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37"/>
      <c r="AD474" s="23"/>
      <c r="AE474" s="23"/>
    </row>
    <row r="475" spans="1:31" ht="12.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37"/>
      <c r="AD475" s="23"/>
      <c r="AE475" s="23"/>
    </row>
    <row r="476" spans="1:31" ht="12.7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37"/>
      <c r="AD476" s="23"/>
      <c r="AE476" s="23"/>
    </row>
    <row r="477" spans="1:31" ht="12.7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37"/>
      <c r="AD477" s="23"/>
      <c r="AE477" s="23"/>
    </row>
    <row r="478" spans="1:31" ht="12.7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37"/>
      <c r="AD478" s="23"/>
      <c r="AE478" s="23"/>
    </row>
    <row r="479" spans="1:31" ht="12.7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37"/>
      <c r="AD479" s="23"/>
      <c r="AE479" s="23"/>
    </row>
    <row r="480" spans="1:31" ht="12.7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37"/>
      <c r="AD480" s="23"/>
      <c r="AE480" s="23"/>
    </row>
    <row r="481" spans="1:31" ht="12.7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37"/>
      <c r="AD481" s="23"/>
      <c r="AE481" s="23"/>
    </row>
    <row r="482" spans="1:31" ht="12.7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37"/>
      <c r="AD482" s="23"/>
      <c r="AE482" s="23"/>
    </row>
    <row r="483" spans="1:31" ht="12.7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37"/>
      <c r="AD483" s="23"/>
      <c r="AE483" s="23"/>
    </row>
    <row r="484" spans="1:31" ht="12.7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37"/>
      <c r="AD484" s="23"/>
      <c r="AE484" s="23"/>
    </row>
    <row r="485" spans="1:31" ht="12.7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37"/>
      <c r="AD485" s="23"/>
      <c r="AE485" s="23"/>
    </row>
    <row r="486" spans="1:31" ht="12.7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37"/>
      <c r="AD486" s="23"/>
      <c r="AE486" s="23"/>
    </row>
    <row r="487" spans="1:31" ht="12.7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37"/>
      <c r="AD487" s="23"/>
      <c r="AE487" s="23"/>
    </row>
    <row r="488" spans="1:31" ht="12.7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37"/>
      <c r="AD488" s="23"/>
      <c r="AE488" s="23"/>
    </row>
    <row r="489" spans="1:31" ht="12.7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37"/>
      <c r="AD489" s="23"/>
      <c r="AE489" s="23"/>
    </row>
    <row r="490" spans="1:31" ht="12.7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37"/>
      <c r="AD490" s="23"/>
      <c r="AE490" s="23"/>
    </row>
    <row r="491" spans="1:31" ht="12.7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37"/>
      <c r="AD491" s="23"/>
      <c r="AE491" s="23"/>
    </row>
    <row r="492" spans="1:31" ht="12.7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37"/>
      <c r="AD492" s="23"/>
      <c r="AE492" s="23"/>
    </row>
    <row r="493" spans="1:31" ht="12.7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37"/>
      <c r="AD493" s="23"/>
      <c r="AE493" s="23"/>
    </row>
    <row r="494" spans="1:31" ht="12.7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37"/>
      <c r="AD494" s="23"/>
      <c r="AE494" s="23"/>
    </row>
    <row r="495" spans="1:31" ht="12.7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37"/>
      <c r="AD495" s="23"/>
      <c r="AE495" s="23"/>
    </row>
    <row r="496" spans="1:31" ht="12.7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37"/>
      <c r="AD496" s="23"/>
      <c r="AE496" s="23"/>
    </row>
    <row r="497" spans="1:31" ht="12.7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37"/>
      <c r="AD497" s="23"/>
      <c r="AE497" s="23"/>
    </row>
    <row r="498" spans="1:31" ht="12.7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37"/>
      <c r="AD498" s="23"/>
      <c r="AE498" s="23"/>
    </row>
    <row r="499" spans="1:31" ht="12.7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37"/>
      <c r="AD499" s="23"/>
      <c r="AE499" s="23"/>
    </row>
    <row r="500" spans="1:31" ht="12.7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37"/>
      <c r="AD500" s="23"/>
      <c r="AE500" s="23"/>
    </row>
    <row r="501" spans="1:31" ht="12.7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37"/>
      <c r="AD501" s="23"/>
      <c r="AE501" s="23"/>
    </row>
    <row r="502" spans="1:31" ht="12.7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37"/>
      <c r="AD502" s="23"/>
      <c r="AE502" s="23"/>
    </row>
    <row r="503" spans="1:31" ht="12.7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37"/>
      <c r="AD503" s="23"/>
      <c r="AE503" s="23"/>
    </row>
    <row r="504" spans="1:31" ht="12.7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37"/>
      <c r="AD504" s="23"/>
      <c r="AE504" s="23"/>
    </row>
    <row r="505" spans="1:31" ht="12.7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37"/>
      <c r="AD505" s="23"/>
      <c r="AE505" s="23"/>
    </row>
    <row r="506" spans="1:31" ht="12.7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37"/>
      <c r="AD506" s="23"/>
      <c r="AE506" s="23"/>
    </row>
    <row r="507" spans="1:31" ht="12.7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37"/>
      <c r="AD507" s="23"/>
      <c r="AE507" s="23"/>
    </row>
    <row r="508" spans="1:31" ht="12.7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37"/>
      <c r="AD508" s="23"/>
      <c r="AE508" s="23"/>
    </row>
    <row r="509" spans="1:31" ht="12.7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37"/>
      <c r="AD509" s="23"/>
      <c r="AE509" s="23"/>
    </row>
    <row r="510" spans="1:31" ht="12.7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37"/>
      <c r="AD510" s="23"/>
      <c r="AE510" s="23"/>
    </row>
    <row r="511" spans="1:31" ht="12.7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37"/>
      <c r="AD511" s="23"/>
      <c r="AE511" s="23"/>
    </row>
    <row r="512" spans="1:31" ht="12.7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37"/>
      <c r="AD512" s="23"/>
      <c r="AE512" s="23"/>
    </row>
    <row r="513" spans="1:31" ht="12.7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37"/>
      <c r="AD513" s="23"/>
      <c r="AE513" s="23"/>
    </row>
    <row r="514" spans="1:31" ht="12.7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37"/>
      <c r="AD514" s="23"/>
      <c r="AE514" s="23"/>
    </row>
    <row r="515" spans="1:31" ht="12.7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37"/>
      <c r="AD515" s="23"/>
      <c r="AE515" s="23"/>
    </row>
    <row r="516" spans="1:31" ht="12.7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37"/>
      <c r="AD516" s="23"/>
      <c r="AE516" s="23"/>
    </row>
    <row r="517" spans="1:31" ht="12.7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37"/>
      <c r="AD517" s="23"/>
      <c r="AE517" s="23"/>
    </row>
    <row r="518" spans="1:31" ht="12.7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37"/>
      <c r="AD518" s="23"/>
      <c r="AE518" s="23"/>
    </row>
    <row r="519" spans="1:31" ht="12.7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37"/>
      <c r="AD519" s="23"/>
      <c r="AE519" s="23"/>
    </row>
    <row r="520" spans="1:31" ht="12.7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37"/>
      <c r="AD520" s="23"/>
      <c r="AE520" s="23"/>
    </row>
    <row r="521" spans="1:31" ht="12.7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37"/>
      <c r="AD521" s="23"/>
      <c r="AE521" s="23"/>
    </row>
    <row r="522" spans="1:31" ht="12.7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37"/>
      <c r="AD522" s="23"/>
      <c r="AE522" s="23"/>
    </row>
    <row r="523" spans="1:31" ht="12.7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37"/>
      <c r="AD523" s="23"/>
      <c r="AE523" s="23"/>
    </row>
    <row r="524" spans="1:31" ht="12.7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37"/>
      <c r="AD524" s="23"/>
      <c r="AE524" s="23"/>
    </row>
    <row r="525" spans="1:31" ht="12.7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37"/>
      <c r="AD525" s="23"/>
      <c r="AE525" s="23"/>
    </row>
    <row r="526" spans="1:31" ht="12.7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37"/>
      <c r="AD526" s="23"/>
      <c r="AE526" s="23"/>
    </row>
    <row r="527" spans="1:31" ht="12.7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37"/>
      <c r="AD527" s="23"/>
      <c r="AE527" s="23"/>
    </row>
    <row r="528" spans="1:31" ht="12.7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37"/>
      <c r="AD528" s="23"/>
      <c r="AE528" s="23"/>
    </row>
    <row r="529" spans="1:31" ht="12.7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37"/>
      <c r="AD529" s="23"/>
      <c r="AE529" s="23"/>
    </row>
    <row r="530" spans="1:31" ht="12.7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37"/>
      <c r="AD530" s="23"/>
      <c r="AE530" s="23"/>
    </row>
    <row r="531" spans="1:31" ht="12.7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37"/>
      <c r="AD531" s="23"/>
      <c r="AE531" s="23"/>
    </row>
    <row r="532" spans="1:31" ht="12.7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37"/>
      <c r="AD532" s="23"/>
      <c r="AE532" s="23"/>
    </row>
    <row r="533" spans="1:31" ht="12.7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37"/>
      <c r="AD533" s="23"/>
      <c r="AE533" s="23"/>
    </row>
    <row r="534" spans="1:31" ht="12.7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37"/>
      <c r="AD534" s="23"/>
      <c r="AE534" s="23"/>
    </row>
    <row r="535" spans="1:31" ht="12.7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37"/>
      <c r="AD535" s="23"/>
      <c r="AE535" s="23"/>
    </row>
    <row r="536" spans="1:31" ht="12.7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37"/>
      <c r="AD536" s="23"/>
      <c r="AE536" s="23"/>
    </row>
    <row r="537" spans="1:31" ht="12.7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37"/>
      <c r="AD537" s="23"/>
      <c r="AE537" s="23"/>
    </row>
    <row r="538" spans="1:31" ht="12.7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37"/>
      <c r="AD538" s="23"/>
      <c r="AE538" s="23"/>
    </row>
    <row r="539" spans="1:31" ht="12.7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37"/>
      <c r="AD539" s="23"/>
      <c r="AE539" s="23"/>
    </row>
    <row r="540" spans="1:31" ht="12.7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37"/>
      <c r="AD540" s="23"/>
      <c r="AE540" s="23"/>
    </row>
    <row r="541" spans="1:31" ht="12.7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37"/>
      <c r="AD541" s="23"/>
      <c r="AE541" s="23"/>
    </row>
    <row r="542" spans="1:31" ht="12.7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37"/>
      <c r="AD542" s="23"/>
      <c r="AE542" s="23"/>
    </row>
    <row r="543" spans="1:31" ht="12.7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37"/>
      <c r="AD543" s="23"/>
      <c r="AE543" s="23"/>
    </row>
    <row r="544" spans="1:31" ht="12.7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37"/>
      <c r="AD544" s="23"/>
      <c r="AE544" s="23"/>
    </row>
    <row r="545" spans="1:31" ht="12.7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37"/>
      <c r="AD545" s="23"/>
      <c r="AE545" s="23"/>
    </row>
    <row r="546" spans="1:31" ht="12.7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37"/>
      <c r="AD546" s="23"/>
      <c r="AE546" s="23"/>
    </row>
    <row r="547" spans="1:31" ht="12.7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37"/>
      <c r="AD547" s="23"/>
      <c r="AE547" s="23"/>
    </row>
    <row r="548" spans="1:31" ht="12.7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37"/>
      <c r="AD548" s="23"/>
      <c r="AE548" s="23"/>
    </row>
    <row r="549" spans="1:31" ht="12.7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37"/>
      <c r="AD549" s="23"/>
      <c r="AE549" s="23"/>
    </row>
    <row r="550" spans="1:31" ht="12.7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37"/>
      <c r="AD550" s="23"/>
      <c r="AE550" s="23"/>
    </row>
    <row r="551" spans="1:31" ht="12.7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37"/>
      <c r="AD551" s="23"/>
      <c r="AE551" s="23"/>
    </row>
    <row r="552" spans="1:31" ht="12.7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37"/>
      <c r="AD552" s="23"/>
      <c r="AE552" s="23"/>
    </row>
    <row r="553" spans="1:31" ht="12.7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37"/>
      <c r="AD553" s="23"/>
      <c r="AE553" s="23"/>
    </row>
    <row r="554" spans="1:31" ht="12.7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37"/>
      <c r="AD554" s="23"/>
      <c r="AE554" s="23"/>
    </row>
    <row r="555" spans="1:31" ht="12.7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37"/>
      <c r="AD555" s="23"/>
      <c r="AE555" s="23"/>
    </row>
    <row r="556" spans="1:31" ht="12.7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37"/>
      <c r="AD556" s="23"/>
      <c r="AE556" s="23"/>
    </row>
    <row r="557" spans="1:31" ht="12.7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37"/>
      <c r="AD557" s="23"/>
      <c r="AE557" s="23"/>
    </row>
    <row r="558" spans="1:31" ht="12.7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37"/>
      <c r="AD558" s="23"/>
      <c r="AE558" s="23"/>
    </row>
    <row r="559" spans="1:31" ht="12.7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37"/>
      <c r="AD559" s="23"/>
      <c r="AE559" s="23"/>
    </row>
    <row r="560" spans="1:31" ht="12.7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37"/>
      <c r="AD560" s="23"/>
      <c r="AE560" s="23"/>
    </row>
    <row r="561" spans="1:31" ht="12.7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37"/>
      <c r="AD561" s="23"/>
      <c r="AE561" s="23"/>
    </row>
    <row r="562" spans="1:31" ht="12.7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37"/>
      <c r="AD562" s="23"/>
      <c r="AE562" s="23"/>
    </row>
    <row r="563" spans="1:31" ht="12.7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37"/>
      <c r="AD563" s="23"/>
      <c r="AE563" s="23"/>
    </row>
    <row r="564" spans="1:31" ht="12.7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37"/>
      <c r="AD564" s="23"/>
      <c r="AE564" s="23"/>
    </row>
    <row r="565" spans="1:31" ht="12.7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37"/>
      <c r="AD565" s="23"/>
      <c r="AE565" s="23"/>
    </row>
    <row r="566" spans="1:31" ht="12.7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37"/>
      <c r="AD566" s="23"/>
      <c r="AE566" s="23"/>
    </row>
    <row r="567" spans="1:31" ht="12.7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37"/>
      <c r="AD567" s="23"/>
      <c r="AE567" s="23"/>
    </row>
    <row r="568" spans="1:31" ht="12.7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37"/>
      <c r="AD568" s="23"/>
      <c r="AE568" s="23"/>
    </row>
    <row r="569" spans="1:31" ht="12.7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37"/>
      <c r="AD569" s="23"/>
      <c r="AE569" s="23"/>
    </row>
    <row r="570" spans="1:31" ht="12.7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37"/>
      <c r="AD570" s="23"/>
      <c r="AE570" s="23"/>
    </row>
    <row r="571" spans="1:31" ht="12.7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37"/>
      <c r="AD571" s="23"/>
      <c r="AE571" s="23"/>
    </row>
    <row r="572" spans="1:31" ht="12.7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37"/>
      <c r="AD572" s="23"/>
      <c r="AE572" s="23"/>
    </row>
    <row r="573" spans="1:31" ht="12.7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37"/>
      <c r="AD573" s="23"/>
      <c r="AE573" s="23"/>
    </row>
    <row r="574" spans="1:31" ht="12.7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37"/>
      <c r="AD574" s="23"/>
      <c r="AE574" s="23"/>
    </row>
    <row r="575" spans="1:31" ht="12.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37"/>
      <c r="AD575" s="23"/>
      <c r="AE575" s="23"/>
    </row>
    <row r="576" spans="1:31" ht="12.7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37"/>
      <c r="AD576" s="23"/>
      <c r="AE576" s="23"/>
    </row>
    <row r="577" spans="1:31" ht="12.7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37"/>
      <c r="AD577" s="23"/>
      <c r="AE577" s="23"/>
    </row>
    <row r="578" spans="1:31" ht="12.7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37"/>
      <c r="AD578" s="23"/>
      <c r="AE578" s="23"/>
    </row>
    <row r="579" spans="1:31" ht="12.7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37"/>
      <c r="AD579" s="23"/>
      <c r="AE579" s="23"/>
    </row>
    <row r="580" spans="1:31" ht="12.7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37"/>
      <c r="AD580" s="23"/>
      <c r="AE580" s="23"/>
    </row>
    <row r="581" spans="1:31" ht="12.7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37"/>
      <c r="AD581" s="23"/>
      <c r="AE581" s="23"/>
    </row>
    <row r="582" spans="1:31" ht="12.7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37"/>
      <c r="AD582" s="23"/>
      <c r="AE582" s="23"/>
    </row>
    <row r="583" spans="1:31" ht="12.7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37"/>
      <c r="AD583" s="23"/>
      <c r="AE583" s="23"/>
    </row>
    <row r="584" spans="1:31" ht="12.7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37"/>
      <c r="AD584" s="23"/>
      <c r="AE584" s="23"/>
    </row>
    <row r="585" spans="1:31" ht="12.7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37"/>
      <c r="AD585" s="23"/>
      <c r="AE585" s="23"/>
    </row>
    <row r="586" spans="1:31" ht="12.7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37"/>
      <c r="AD586" s="23"/>
      <c r="AE586" s="23"/>
    </row>
    <row r="587" spans="1:31" ht="12.7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37"/>
      <c r="AD587" s="23"/>
      <c r="AE587" s="23"/>
    </row>
    <row r="588" spans="1:31" ht="12.7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37"/>
      <c r="AD588" s="23"/>
      <c r="AE588" s="23"/>
    </row>
    <row r="589" spans="1:31" ht="12.7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37"/>
      <c r="AD589" s="23"/>
      <c r="AE589" s="23"/>
    </row>
    <row r="590" spans="1:31" ht="12.7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37"/>
      <c r="AD590" s="23"/>
      <c r="AE590" s="23"/>
    </row>
    <row r="591" spans="1:31" ht="12.7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37"/>
      <c r="AD591" s="23"/>
      <c r="AE591" s="23"/>
    </row>
    <row r="592" spans="1:31" ht="12.7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37"/>
      <c r="AD592" s="23"/>
      <c r="AE592" s="23"/>
    </row>
    <row r="593" spans="1:31" ht="12.7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37"/>
      <c r="AD593" s="23"/>
      <c r="AE593" s="23"/>
    </row>
    <row r="594" spans="1:31" ht="12.7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37"/>
      <c r="AD594" s="23"/>
      <c r="AE594" s="23"/>
    </row>
    <row r="595" spans="1:31" ht="12.7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37"/>
      <c r="AD595" s="23"/>
      <c r="AE595" s="23"/>
    </row>
    <row r="596" spans="1:31" ht="12.7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37"/>
      <c r="AD596" s="23"/>
      <c r="AE596" s="23"/>
    </row>
    <row r="597" spans="1:31" ht="12.7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37"/>
      <c r="AD597" s="23"/>
      <c r="AE597" s="23"/>
    </row>
    <row r="598" spans="1:31" ht="12.7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37"/>
      <c r="AD598" s="23"/>
      <c r="AE598" s="23"/>
    </row>
    <row r="599" spans="1:31" ht="12.7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37"/>
      <c r="AD599" s="23"/>
      <c r="AE599" s="23"/>
    </row>
    <row r="600" spans="1:31" ht="12.7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37"/>
      <c r="AD600" s="23"/>
      <c r="AE600" s="23"/>
    </row>
    <row r="601" spans="1:31" ht="12.7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37"/>
      <c r="AD601" s="23"/>
      <c r="AE601" s="23"/>
    </row>
    <row r="602" spans="1:31" ht="12.7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37"/>
      <c r="AD602" s="23"/>
      <c r="AE602" s="23"/>
    </row>
    <row r="603" spans="1:31" ht="12.7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37"/>
      <c r="AD603" s="23"/>
      <c r="AE603" s="23"/>
    </row>
    <row r="604" spans="1:31" ht="12.7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37"/>
      <c r="AD604" s="23"/>
      <c r="AE604" s="23"/>
    </row>
    <row r="605" spans="1:31" ht="12.7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37"/>
      <c r="AD605" s="23"/>
      <c r="AE605" s="23"/>
    </row>
    <row r="606" spans="1:31" ht="12.7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37"/>
      <c r="AD606" s="23"/>
      <c r="AE606" s="23"/>
    </row>
    <row r="607" spans="1:31" ht="12.7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37"/>
      <c r="AD607" s="23"/>
      <c r="AE607" s="23"/>
    </row>
    <row r="608" spans="1:31" ht="12.7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37"/>
      <c r="AD608" s="23"/>
      <c r="AE608" s="23"/>
    </row>
    <row r="609" spans="1:31" ht="12.7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37"/>
      <c r="AD609" s="23"/>
      <c r="AE609" s="23"/>
    </row>
    <row r="610" spans="1:31" ht="12.7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37"/>
      <c r="AD610" s="23"/>
      <c r="AE610" s="23"/>
    </row>
    <row r="611" spans="1:31" ht="12.7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37"/>
      <c r="AD611" s="23"/>
      <c r="AE611" s="23"/>
    </row>
    <row r="612" spans="1:31" ht="12.7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37"/>
      <c r="AD612" s="23"/>
      <c r="AE612" s="23"/>
    </row>
    <row r="613" spans="1:31" ht="12.7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37"/>
      <c r="AD613" s="23"/>
      <c r="AE613" s="23"/>
    </row>
    <row r="614" spans="1:31" ht="12.7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37"/>
      <c r="AD614" s="23"/>
      <c r="AE614" s="23"/>
    </row>
    <row r="615" spans="1:31" ht="12.7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37"/>
      <c r="AD615" s="23"/>
      <c r="AE615" s="23"/>
    </row>
    <row r="616" spans="1:31" ht="12.7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37"/>
      <c r="AD616" s="23"/>
      <c r="AE616" s="23"/>
    </row>
    <row r="617" spans="1:31" ht="12.7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37"/>
      <c r="AD617" s="23"/>
      <c r="AE617" s="23"/>
    </row>
    <row r="618" spans="1:31" ht="12.7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37"/>
      <c r="AD618" s="23"/>
      <c r="AE618" s="23"/>
    </row>
    <row r="619" spans="1:31" ht="12.7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37"/>
      <c r="AD619" s="23"/>
      <c r="AE619" s="23"/>
    </row>
    <row r="620" spans="1:31" ht="12.7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37"/>
      <c r="AD620" s="23"/>
      <c r="AE620" s="23"/>
    </row>
    <row r="621" spans="1:31" ht="12.7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37"/>
      <c r="AD621" s="23"/>
      <c r="AE621" s="23"/>
    </row>
    <row r="622" spans="1:31" ht="12.7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37"/>
      <c r="AD622" s="23"/>
      <c r="AE622" s="23"/>
    </row>
    <row r="623" spans="1:31" ht="12.7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37"/>
      <c r="AD623" s="23"/>
      <c r="AE623" s="23"/>
    </row>
    <row r="624" spans="1:31" ht="12.7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37"/>
      <c r="AD624" s="23"/>
      <c r="AE624" s="23"/>
    </row>
    <row r="625" spans="1:31" ht="12.7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37"/>
      <c r="AD625" s="23"/>
      <c r="AE625" s="23"/>
    </row>
    <row r="626" spans="1:31" ht="12.7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37"/>
      <c r="AD626" s="23"/>
      <c r="AE626" s="23"/>
    </row>
    <row r="627" spans="1:31" ht="12.7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37"/>
      <c r="AD627" s="23"/>
      <c r="AE627" s="23"/>
    </row>
    <row r="628" spans="1:31" ht="12.7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37"/>
      <c r="AD628" s="23"/>
      <c r="AE628" s="23"/>
    </row>
    <row r="629" spans="1:31" ht="12.7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37"/>
      <c r="AD629" s="23"/>
      <c r="AE629" s="23"/>
    </row>
    <row r="630" spans="1:31" ht="12.7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37"/>
      <c r="AD630" s="23"/>
      <c r="AE630" s="23"/>
    </row>
    <row r="631" spans="1:31" ht="12.7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37"/>
      <c r="AD631" s="23"/>
      <c r="AE631" s="23"/>
    </row>
    <row r="632" spans="1:31" ht="12.7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37"/>
      <c r="AD632" s="23"/>
      <c r="AE632" s="23"/>
    </row>
    <row r="633" spans="1:31" ht="12.7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37"/>
      <c r="AD633" s="23"/>
      <c r="AE633" s="23"/>
    </row>
    <row r="634" spans="1:31" ht="12.7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37"/>
      <c r="AD634" s="23"/>
      <c r="AE634" s="23"/>
    </row>
    <row r="635" spans="1:31" ht="12.7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37"/>
      <c r="AD635" s="23"/>
      <c r="AE635" s="23"/>
    </row>
    <row r="636" spans="1:31" ht="12.7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37"/>
      <c r="AD636" s="23"/>
      <c r="AE636" s="23"/>
    </row>
    <row r="637" spans="1:31" ht="12.7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37"/>
      <c r="AD637" s="23"/>
      <c r="AE637" s="23"/>
    </row>
    <row r="638" spans="1:31" ht="12.7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37"/>
      <c r="AD638" s="23"/>
      <c r="AE638" s="23"/>
    </row>
    <row r="639" spans="1:31" ht="12.7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37"/>
      <c r="AD639" s="23"/>
      <c r="AE639" s="23"/>
    </row>
    <row r="640" spans="1:31" ht="12.7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37"/>
      <c r="AD640" s="23"/>
      <c r="AE640" s="23"/>
    </row>
    <row r="641" spans="1:31" ht="12.7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37"/>
      <c r="AD641" s="23"/>
      <c r="AE641" s="23"/>
    </row>
    <row r="642" spans="1:31" ht="12.7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37"/>
      <c r="AD642" s="23"/>
      <c r="AE642" s="23"/>
    </row>
    <row r="643" spans="1:31" ht="12.7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37"/>
      <c r="AD643" s="23"/>
      <c r="AE643" s="23"/>
    </row>
    <row r="644" spans="1:31" ht="12.7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37"/>
      <c r="AD644" s="23"/>
      <c r="AE644" s="23"/>
    </row>
    <row r="645" spans="1:31" ht="12.7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37"/>
      <c r="AD645" s="23"/>
      <c r="AE645" s="23"/>
    </row>
    <row r="646" spans="1:31" ht="12.7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37"/>
      <c r="AD646" s="23"/>
      <c r="AE646" s="23"/>
    </row>
    <row r="647" spans="1:31" ht="12.7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37"/>
      <c r="AD647" s="23"/>
      <c r="AE647" s="23"/>
    </row>
    <row r="648" spans="1:31" ht="12.7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37"/>
      <c r="AD648" s="23"/>
      <c r="AE648" s="23"/>
    </row>
    <row r="649" spans="1:31" ht="12.7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37"/>
      <c r="AD649" s="23"/>
      <c r="AE649" s="23"/>
    </row>
    <row r="650" spans="1:31" ht="12.7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37"/>
      <c r="AD650" s="23"/>
      <c r="AE650" s="23"/>
    </row>
    <row r="651" spans="1:31" ht="12.7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37"/>
      <c r="AD651" s="23"/>
      <c r="AE651" s="23"/>
    </row>
    <row r="652" spans="1:31" ht="12.7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37"/>
      <c r="AD652" s="23"/>
      <c r="AE652" s="23"/>
    </row>
    <row r="653" spans="1:31" ht="12.7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37"/>
      <c r="AD653" s="23"/>
      <c r="AE653" s="23"/>
    </row>
    <row r="654" spans="1:31" ht="12.7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37"/>
      <c r="AD654" s="23"/>
      <c r="AE654" s="23"/>
    </row>
    <row r="655" spans="1:31" ht="12.7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37"/>
      <c r="AD655" s="23"/>
      <c r="AE655" s="23"/>
    </row>
    <row r="656" spans="1:31" ht="12.7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37"/>
      <c r="AD656" s="23"/>
      <c r="AE656" s="23"/>
    </row>
    <row r="657" spans="1:31" ht="12.7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37"/>
      <c r="AD657" s="23"/>
      <c r="AE657" s="23"/>
    </row>
    <row r="658" spans="1:31" ht="12.7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37"/>
      <c r="AD658" s="23"/>
      <c r="AE658" s="23"/>
    </row>
    <row r="659" spans="1:31" ht="12.7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37"/>
      <c r="AD659" s="23"/>
      <c r="AE659" s="23"/>
    </row>
    <row r="660" spans="1:31" ht="12.7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37"/>
      <c r="AD660" s="23"/>
      <c r="AE660" s="23"/>
    </row>
    <row r="661" spans="1:31" ht="12.7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37"/>
      <c r="AD661" s="23"/>
      <c r="AE661" s="23"/>
    </row>
    <row r="662" spans="1:31" ht="12.7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37"/>
      <c r="AD662" s="23"/>
      <c r="AE662" s="23"/>
    </row>
    <row r="663" spans="1:31" ht="12.7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37"/>
      <c r="AD663" s="23"/>
      <c r="AE663" s="23"/>
    </row>
    <row r="664" spans="1:31" ht="12.7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37"/>
      <c r="AD664" s="23"/>
      <c r="AE664" s="23"/>
    </row>
    <row r="665" spans="1:31" ht="12.7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37"/>
      <c r="AD665" s="23"/>
      <c r="AE665" s="23"/>
    </row>
    <row r="666" spans="1:31" ht="12.7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37"/>
      <c r="AD666" s="23"/>
      <c r="AE666" s="23"/>
    </row>
    <row r="667" spans="1:31" ht="12.7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37"/>
      <c r="AD667" s="23"/>
      <c r="AE667" s="23"/>
    </row>
    <row r="668" spans="1:31" ht="12.7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37"/>
      <c r="AD668" s="23"/>
      <c r="AE668" s="23"/>
    </row>
    <row r="669" spans="1:31" ht="12.7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37"/>
      <c r="AD669" s="23"/>
      <c r="AE669" s="23"/>
    </row>
    <row r="670" spans="1:31" ht="12.7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37"/>
      <c r="AD670" s="23"/>
      <c r="AE670" s="23"/>
    </row>
    <row r="671" spans="1:31" ht="12.7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37"/>
      <c r="AD671" s="23"/>
      <c r="AE671" s="23"/>
    </row>
    <row r="672" spans="1:31" ht="12.7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37"/>
      <c r="AD672" s="23"/>
      <c r="AE672" s="23"/>
    </row>
    <row r="673" spans="1:31" ht="12.7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37"/>
      <c r="AD673" s="23"/>
      <c r="AE673" s="23"/>
    </row>
    <row r="674" spans="1:31" ht="12.7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37"/>
      <c r="AD674" s="23"/>
      <c r="AE674" s="23"/>
    </row>
    <row r="675" spans="1:31" ht="12.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37"/>
      <c r="AD675" s="23"/>
      <c r="AE675" s="23"/>
    </row>
    <row r="676" spans="1:31" ht="12.7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37"/>
      <c r="AD676" s="23"/>
      <c r="AE676" s="23"/>
    </row>
    <row r="677" spans="1:31" ht="12.7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37"/>
      <c r="AD677" s="23"/>
      <c r="AE677" s="23"/>
    </row>
    <row r="678" spans="1:31" ht="12.7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37"/>
      <c r="AD678" s="23"/>
      <c r="AE678" s="23"/>
    </row>
    <row r="679" spans="1:31" ht="12.7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37"/>
      <c r="AD679" s="23"/>
      <c r="AE679" s="23"/>
    </row>
    <row r="680" spans="1:31" ht="12.7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37"/>
      <c r="AD680" s="23"/>
      <c r="AE680" s="23"/>
    </row>
    <row r="681" spans="1:31" ht="12.7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37"/>
      <c r="AD681" s="23"/>
      <c r="AE681" s="23"/>
    </row>
    <row r="682" spans="1:31" ht="12.7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37"/>
      <c r="AD682" s="23"/>
      <c r="AE682" s="23"/>
    </row>
    <row r="683" spans="1:31" ht="12.7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37"/>
      <c r="AD683" s="23"/>
      <c r="AE683" s="23"/>
    </row>
    <row r="684" spans="1:31" ht="12.7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37"/>
      <c r="AD684" s="23"/>
      <c r="AE684" s="23"/>
    </row>
    <row r="685" spans="1:31" ht="12.7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37"/>
      <c r="AD685" s="23"/>
      <c r="AE685" s="23"/>
    </row>
    <row r="686" spans="1:31" ht="12.7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37"/>
      <c r="AD686" s="23"/>
      <c r="AE686" s="23"/>
    </row>
    <row r="687" spans="1:31" ht="12.7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37"/>
      <c r="AD687" s="23"/>
      <c r="AE687" s="23"/>
    </row>
    <row r="688" spans="1:31" ht="12.7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37"/>
      <c r="AD688" s="23"/>
      <c r="AE688" s="23"/>
    </row>
    <row r="689" spans="1:31" ht="12.7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37"/>
      <c r="AD689" s="23"/>
      <c r="AE689" s="23"/>
    </row>
    <row r="690" spans="1:31" ht="12.7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37"/>
      <c r="AD690" s="23"/>
      <c r="AE690" s="23"/>
    </row>
    <row r="691" spans="1:31" ht="12.7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37"/>
      <c r="AD691" s="23"/>
      <c r="AE691" s="23"/>
    </row>
    <row r="692" spans="1:31" ht="12.7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37"/>
      <c r="AD692" s="23"/>
      <c r="AE692" s="23"/>
    </row>
    <row r="693" spans="1:31" ht="12.7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37"/>
      <c r="AD693" s="23"/>
      <c r="AE693" s="23"/>
    </row>
    <row r="694" spans="1:31" ht="12.7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37"/>
      <c r="AD694" s="23"/>
      <c r="AE694" s="23"/>
    </row>
    <row r="695" spans="1:31" ht="12.7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37"/>
      <c r="AD695" s="23"/>
      <c r="AE695" s="23"/>
    </row>
    <row r="696" spans="1:31" ht="12.7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37"/>
      <c r="AD696" s="23"/>
      <c r="AE696" s="23"/>
    </row>
    <row r="697" spans="1:31" ht="12.7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37"/>
      <c r="AD697" s="23"/>
      <c r="AE697" s="23"/>
    </row>
    <row r="698" spans="1:31" ht="12.7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37"/>
      <c r="AD698" s="23"/>
      <c r="AE698" s="23"/>
    </row>
    <row r="699" spans="1:31" ht="12.7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37"/>
      <c r="AD699" s="23"/>
      <c r="AE699" s="23"/>
    </row>
    <row r="700" spans="1:31" ht="12.7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37"/>
      <c r="AD700" s="23"/>
      <c r="AE700" s="23"/>
    </row>
    <row r="701" spans="1:31" ht="12.7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37"/>
      <c r="AD701" s="23"/>
      <c r="AE701" s="23"/>
    </row>
    <row r="702" spans="1:31" ht="12.7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37"/>
      <c r="AD702" s="23"/>
      <c r="AE702" s="23"/>
    </row>
    <row r="703" spans="1:31" ht="12.7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37"/>
      <c r="AD703" s="23"/>
      <c r="AE703" s="23"/>
    </row>
    <row r="704" spans="1:31" ht="12.7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37"/>
      <c r="AD704" s="23"/>
      <c r="AE704" s="23"/>
    </row>
    <row r="705" spans="1:31" ht="12.7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37"/>
      <c r="AD705" s="23"/>
      <c r="AE705" s="23"/>
    </row>
    <row r="706" spans="1:31" ht="12.7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37"/>
      <c r="AD706" s="23"/>
      <c r="AE706" s="23"/>
    </row>
  </sheetData>
  <mergeCells count="68">
    <mergeCell ref="C165:E165"/>
    <mergeCell ref="F165:H165"/>
    <mergeCell ref="C162:E162"/>
    <mergeCell ref="C163:E163"/>
    <mergeCell ref="F163:H163"/>
    <mergeCell ref="C164:E164"/>
    <mergeCell ref="F164:H164"/>
    <mergeCell ref="C166:E166"/>
    <mergeCell ref="F166:H166"/>
    <mergeCell ref="I166:L166"/>
    <mergeCell ref="M166:O166"/>
    <mergeCell ref="P166:R166"/>
    <mergeCell ref="F162:H162"/>
    <mergeCell ref="P162:R162"/>
    <mergeCell ref="I164:L164"/>
    <mergeCell ref="I165:L165"/>
    <mergeCell ref="M165:O165"/>
    <mergeCell ref="P165:R165"/>
    <mergeCell ref="I162:L162"/>
    <mergeCell ref="M162:O162"/>
    <mergeCell ref="I163:L163"/>
    <mergeCell ref="M163:O163"/>
    <mergeCell ref="P163:R163"/>
    <mergeCell ref="M164:O164"/>
    <mergeCell ref="P164:R164"/>
    <mergeCell ref="C161:E161"/>
    <mergeCell ref="F161:H161"/>
    <mergeCell ref="I161:L161"/>
    <mergeCell ref="M161:O161"/>
    <mergeCell ref="P161:R161"/>
    <mergeCell ref="I158:L158"/>
    <mergeCell ref="M158:O158"/>
    <mergeCell ref="C160:E160"/>
    <mergeCell ref="F160:H160"/>
    <mergeCell ref="I160:L160"/>
    <mergeCell ref="M160:O160"/>
    <mergeCell ref="P160:R160"/>
    <mergeCell ref="V160:X160"/>
    <mergeCell ref="M1:N1"/>
    <mergeCell ref="O1:U1"/>
    <mergeCell ref="AA175:AC175"/>
    <mergeCell ref="I168:L168"/>
    <mergeCell ref="M168:O168"/>
    <mergeCell ref="I169:L169"/>
    <mergeCell ref="M169:O169"/>
    <mergeCell ref="P169:R169"/>
    <mergeCell ref="I170:L170"/>
    <mergeCell ref="M170:O170"/>
    <mergeCell ref="P171:R171"/>
    <mergeCell ref="L175:O175"/>
    <mergeCell ref="P175:S175"/>
    <mergeCell ref="T175:W175"/>
    <mergeCell ref="X175:Z175"/>
    <mergeCell ref="M167:O167"/>
    <mergeCell ref="P167:R167"/>
    <mergeCell ref="F168:H168"/>
    <mergeCell ref="P168:R168"/>
    <mergeCell ref="P170:R170"/>
    <mergeCell ref="C175:F175"/>
    <mergeCell ref="G175:J175"/>
    <mergeCell ref="C167:E167"/>
    <mergeCell ref="F167:H167"/>
    <mergeCell ref="I167:L167"/>
    <mergeCell ref="C168:E168"/>
    <mergeCell ref="C169:E169"/>
    <mergeCell ref="F169:H169"/>
    <mergeCell ref="C170:E170"/>
    <mergeCell ref="F170:H170"/>
  </mergeCells>
  <conditionalFormatting sqref="C177:AD200">
    <cfRule type="notContainsBlanks" dxfId="19" priority="1">
      <formula>LEN(TRIM(C177))&gt;0</formula>
    </cfRule>
  </conditionalFormatting>
  <conditionalFormatting sqref="Y2:Y155">
    <cfRule type="expression" dxfId="18" priority="2">
      <formula>$L2&lt;&gt;""</formula>
    </cfRule>
  </conditionalFormatting>
  <conditionalFormatting sqref="Z1:Z156">
    <cfRule type="notContainsBlanks" dxfId="17" priority="3">
      <formula>LEN(TRIM(Z1))&gt;0</formula>
    </cfRule>
  </conditionalFormatting>
  <conditionalFormatting sqref="AA1:AA156">
    <cfRule type="notContainsBlanks" dxfId="16" priority="4">
      <formula>LEN(TRIM(AA1))&gt;0</formula>
    </cfRule>
  </conditionalFormatting>
  <conditionalFormatting sqref="AB2:AB156">
    <cfRule type="cellIs" dxfId="15" priority="5" operator="equal">
      <formula>FALSE()</formula>
    </cfRule>
  </conditionalFormatting>
  <dataValidations count="1">
    <dataValidation type="decimal" operator="greaterThanOrEqual" allowBlank="1" showDropDown="1" showErrorMessage="1" sqref="B2:K156">
      <formula1>0</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13"/>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8" width="5" customWidth="1"/>
    <col min="9" max="20" width="4.5703125" customWidth="1"/>
    <col min="21" max="21" width="14.28515625" customWidth="1"/>
    <col min="22" max="22" width="4.5703125" customWidth="1"/>
    <col min="23" max="23" width="19.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c r="A1" s="1" t="s">
        <v>0</v>
      </c>
      <c r="B1" s="2" t="s">
        <v>1</v>
      </c>
      <c r="C1" s="2" t="s">
        <v>2</v>
      </c>
      <c r="D1" s="2" t="s">
        <v>3</v>
      </c>
      <c r="E1" s="2" t="s">
        <v>4</v>
      </c>
      <c r="F1" s="2" t="s">
        <v>5</v>
      </c>
      <c r="G1" s="2" t="s">
        <v>6</v>
      </c>
      <c r="H1" s="2" t="s">
        <v>7</v>
      </c>
      <c r="I1" s="2" t="s">
        <v>8</v>
      </c>
      <c r="J1" s="2" t="s">
        <v>9</v>
      </c>
      <c r="K1" s="2" t="s">
        <v>10</v>
      </c>
      <c r="L1" s="3"/>
      <c r="M1" s="128" t="s">
        <v>11</v>
      </c>
      <c r="N1" s="117"/>
      <c r="O1" s="129" t="s">
        <v>770</v>
      </c>
      <c r="P1" s="117"/>
      <c r="Q1" s="117"/>
      <c r="R1" s="117"/>
      <c r="S1" s="117"/>
      <c r="T1" s="117"/>
      <c r="U1" s="117"/>
      <c r="V1" s="3"/>
      <c r="W1" s="4">
        <v>46031</v>
      </c>
      <c r="X1" s="3"/>
      <c r="Y1" s="5">
        <f>SUMIFS(Y2:Y66,L2:L66,"&lt;&gt;"&amp;"")</f>
        <v>59193282.172373086</v>
      </c>
      <c r="Z1" s="6" t="s">
        <v>13</v>
      </c>
      <c r="AA1" s="7" t="s">
        <v>14</v>
      </c>
      <c r="AB1" s="8" t="s">
        <v>15</v>
      </c>
      <c r="AC1" s="9">
        <f>SUM(AC2:AC66)</f>
        <v>59193282.172373086</v>
      </c>
      <c r="AD1" s="3"/>
      <c r="AE1" s="3"/>
    </row>
    <row r="2" spans="1:31" ht="15.75" customHeight="1">
      <c r="A2" s="10">
        <f t="shared" ref="A2:A65" si="0">(B2*$P$71+C2*$P$72+D2*$P$73+E2*$P$74+F2*$P$75+G2*$P$76+H2*$P$77+I2*$P$78+J2*$P$79+K2*$P$80)*$T$69</f>
        <v>2308894.1361668631</v>
      </c>
      <c r="B2" s="83">
        <v>3</v>
      </c>
      <c r="C2" s="12"/>
      <c r="D2" s="12"/>
      <c r="E2" s="84">
        <v>2</v>
      </c>
      <c r="F2" s="12"/>
      <c r="G2" s="12"/>
      <c r="H2" s="12"/>
      <c r="I2" s="12"/>
      <c r="J2" s="13"/>
      <c r="K2" s="13"/>
      <c r="L2" s="14" t="s">
        <v>16</v>
      </c>
      <c r="M2" s="15"/>
      <c r="N2" s="16"/>
      <c r="O2" s="17"/>
      <c r="P2" s="17"/>
      <c r="Q2" s="17"/>
      <c r="R2" s="17"/>
      <c r="S2" s="17"/>
      <c r="T2" s="17"/>
      <c r="U2" s="17"/>
      <c r="V2" s="17"/>
      <c r="W2" s="17"/>
      <c r="X2" s="17">
        <f t="shared" ref="X2:X65" si="1">COUNTIF($L$2:L2,"&lt;&gt;"&amp;"")</f>
        <v>1</v>
      </c>
      <c r="Y2" s="18">
        <f t="shared" ref="Y2:Y65" si="2">SUMIF($X$2:$X$66,X2,$A$2:$A$66)</f>
        <v>2308894.1361668631</v>
      </c>
      <c r="Z2" s="19"/>
      <c r="AA2" s="20"/>
      <c r="AB2" s="21" t="b">
        <v>1</v>
      </c>
      <c r="AC2" s="22">
        <f t="shared" ref="AC2:AC64" si="3">IF(L2="",0,IF(AB2=FALSE(),0,Y2))</f>
        <v>2308894.1361668631</v>
      </c>
      <c r="AD2" s="23"/>
      <c r="AE2" s="23"/>
    </row>
    <row r="3" spans="1:31" ht="15.75" customHeight="1">
      <c r="A3" s="10">
        <f t="shared" si="0"/>
        <v>2142621.0153482882</v>
      </c>
      <c r="B3" s="12"/>
      <c r="C3" s="11">
        <v>4</v>
      </c>
      <c r="D3" s="11">
        <v>4</v>
      </c>
      <c r="E3" s="12"/>
      <c r="F3" s="84"/>
      <c r="G3" s="12"/>
      <c r="H3" s="12"/>
      <c r="I3" s="12"/>
      <c r="J3" s="13"/>
      <c r="K3" s="13"/>
      <c r="L3" s="14" t="s">
        <v>17</v>
      </c>
      <c r="M3" s="16"/>
      <c r="N3" s="16"/>
      <c r="O3" s="17"/>
      <c r="P3" s="17"/>
      <c r="Q3" s="17"/>
      <c r="R3" s="17"/>
      <c r="S3" s="17"/>
      <c r="T3" s="17"/>
      <c r="U3" s="17"/>
      <c r="V3" s="17"/>
      <c r="W3" s="17"/>
      <c r="X3" s="17">
        <f t="shared" si="1"/>
        <v>2</v>
      </c>
      <c r="Y3" s="18">
        <f t="shared" si="2"/>
        <v>2142621.0153482882</v>
      </c>
      <c r="Z3" s="24"/>
      <c r="AA3" s="20"/>
      <c r="AB3" s="21" t="b">
        <v>1</v>
      </c>
      <c r="AC3" s="22">
        <f t="shared" si="3"/>
        <v>2142621.0153482882</v>
      </c>
      <c r="AD3" s="23"/>
      <c r="AE3" s="23"/>
    </row>
    <row r="4" spans="1:31" ht="15.75" customHeight="1">
      <c r="A4" s="10">
        <f t="shared" si="0"/>
        <v>1070798.8980716253</v>
      </c>
      <c r="B4" s="12"/>
      <c r="C4" s="12"/>
      <c r="D4" s="12"/>
      <c r="E4" s="12"/>
      <c r="F4" s="12"/>
      <c r="G4" s="12"/>
      <c r="H4" s="11">
        <v>4</v>
      </c>
      <c r="I4" s="12"/>
      <c r="J4" s="13"/>
      <c r="K4" s="13"/>
      <c r="L4" s="14" t="s">
        <v>18</v>
      </c>
      <c r="M4" s="16"/>
      <c r="N4" s="16"/>
      <c r="O4" s="17"/>
      <c r="P4" s="17"/>
      <c r="Q4" s="17"/>
      <c r="R4" s="17"/>
      <c r="S4" s="17"/>
      <c r="T4" s="17"/>
      <c r="U4" s="17"/>
      <c r="V4" s="17"/>
      <c r="W4" s="17"/>
      <c r="X4" s="17">
        <f t="shared" si="1"/>
        <v>3</v>
      </c>
      <c r="Y4" s="18">
        <f t="shared" si="2"/>
        <v>1070798.8980716253</v>
      </c>
      <c r="Z4" s="24"/>
      <c r="AA4" s="25"/>
      <c r="AB4" s="21" t="b">
        <v>1</v>
      </c>
      <c r="AC4" s="22">
        <f t="shared" si="3"/>
        <v>1070798.8980716253</v>
      </c>
      <c r="AD4" s="23"/>
      <c r="AE4" s="23"/>
    </row>
    <row r="5" spans="1:31" ht="15.75" customHeight="1">
      <c r="A5" s="10">
        <f t="shared" si="0"/>
        <v>1173632.4281778827</v>
      </c>
      <c r="B5" s="13"/>
      <c r="C5" s="13"/>
      <c r="D5" s="13"/>
      <c r="E5" s="13"/>
      <c r="F5" s="13"/>
      <c r="G5" s="13"/>
      <c r="H5" s="13"/>
      <c r="I5" s="13"/>
      <c r="J5" s="13"/>
      <c r="K5" s="13">
        <v>4</v>
      </c>
      <c r="L5" s="114" t="s">
        <v>19</v>
      </c>
      <c r="M5" s="62"/>
      <c r="N5" s="16"/>
      <c r="O5" s="17"/>
      <c r="P5" s="17"/>
      <c r="Q5" s="17"/>
      <c r="R5" s="17"/>
      <c r="S5" s="17"/>
      <c r="T5" s="17"/>
      <c r="U5" s="17"/>
      <c r="V5" s="17"/>
      <c r="W5" s="17"/>
      <c r="X5" s="17">
        <f t="shared" si="1"/>
        <v>4</v>
      </c>
      <c r="Y5" s="18">
        <f t="shared" si="2"/>
        <v>1173632.4281778827</v>
      </c>
      <c r="Z5" s="24"/>
      <c r="AA5" s="25"/>
      <c r="AB5" s="21" t="b">
        <v>1</v>
      </c>
      <c r="AC5" s="22">
        <f t="shared" si="3"/>
        <v>1173632.4281778827</v>
      </c>
      <c r="AD5" s="23"/>
      <c r="AE5" s="23"/>
    </row>
    <row r="6" spans="1:31">
      <c r="A6" s="10">
        <f t="shared" si="0"/>
        <v>0</v>
      </c>
      <c r="B6" s="13"/>
      <c r="C6" s="13"/>
      <c r="D6" s="13"/>
      <c r="E6" s="13"/>
      <c r="F6" s="13"/>
      <c r="G6" s="13"/>
      <c r="H6" s="13"/>
      <c r="I6" s="13"/>
      <c r="J6" s="13"/>
      <c r="K6" s="13"/>
      <c r="L6" s="17"/>
      <c r="M6" s="17"/>
      <c r="N6" s="17"/>
      <c r="O6" s="17"/>
      <c r="P6" s="17"/>
      <c r="Q6" s="17"/>
      <c r="R6" s="17"/>
      <c r="S6" s="17"/>
      <c r="T6" s="17"/>
      <c r="U6" s="17"/>
      <c r="V6" s="17"/>
      <c r="W6" s="17"/>
      <c r="X6" s="17">
        <f t="shared" si="1"/>
        <v>4</v>
      </c>
      <c r="Y6" s="18">
        <f t="shared" si="2"/>
        <v>1173632.4281778827</v>
      </c>
      <c r="Z6" s="19"/>
      <c r="AA6" s="20"/>
      <c r="AB6" s="21" t="b">
        <v>1</v>
      </c>
      <c r="AC6" s="22">
        <f t="shared" si="3"/>
        <v>0</v>
      </c>
      <c r="AD6" s="23"/>
      <c r="AE6" s="23"/>
    </row>
    <row r="7" spans="1:31">
      <c r="A7" s="10">
        <f t="shared" si="0"/>
        <v>0</v>
      </c>
      <c r="B7" s="13"/>
      <c r="C7" s="13"/>
      <c r="D7" s="13"/>
      <c r="E7" s="13"/>
      <c r="F7" s="13"/>
      <c r="G7" s="13"/>
      <c r="H7" s="13"/>
      <c r="I7" s="13"/>
      <c r="J7" s="13"/>
      <c r="K7" s="13"/>
      <c r="L7" s="85" t="s">
        <v>767</v>
      </c>
      <c r="M7" s="17"/>
      <c r="N7" s="80"/>
      <c r="O7" s="17"/>
      <c r="P7" s="17"/>
      <c r="Q7" s="17"/>
      <c r="R7" s="17"/>
      <c r="S7" s="17"/>
      <c r="T7" s="17"/>
      <c r="U7" s="17"/>
      <c r="V7" s="17"/>
      <c r="W7" s="17"/>
      <c r="X7" s="17">
        <f t="shared" si="1"/>
        <v>5</v>
      </c>
      <c r="Y7" s="18">
        <f t="shared" si="2"/>
        <v>1173632.4281778827</v>
      </c>
      <c r="Z7" s="24"/>
      <c r="AA7" s="25"/>
      <c r="AB7" s="21" t="b">
        <v>1</v>
      </c>
      <c r="AC7" s="22">
        <f t="shared" si="3"/>
        <v>1173632.4281778827</v>
      </c>
      <c r="AD7" s="23"/>
      <c r="AE7" s="23"/>
    </row>
    <row r="8" spans="1:31">
      <c r="A8" s="10">
        <f t="shared" si="0"/>
        <v>586816.21408894134</v>
      </c>
      <c r="B8" s="13"/>
      <c r="C8" s="13"/>
      <c r="D8" s="13"/>
      <c r="E8" s="13"/>
      <c r="F8" s="13"/>
      <c r="G8" s="13"/>
      <c r="H8" s="13"/>
      <c r="I8" s="13"/>
      <c r="J8" s="13"/>
      <c r="K8" s="13">
        <v>2</v>
      </c>
      <c r="L8" s="17"/>
      <c r="M8" s="16" t="s">
        <v>768</v>
      </c>
      <c r="N8" s="80"/>
      <c r="O8" s="16"/>
      <c r="P8" s="16"/>
      <c r="Q8" s="16"/>
      <c r="R8" s="17"/>
      <c r="S8" s="17"/>
      <c r="T8" s="17"/>
      <c r="U8" s="17"/>
      <c r="V8" s="17"/>
      <c r="W8" s="17"/>
      <c r="X8" s="17">
        <f t="shared" si="1"/>
        <v>5</v>
      </c>
      <c r="Y8" s="18">
        <f t="shared" si="2"/>
        <v>1173632.4281778827</v>
      </c>
      <c r="Z8" s="24"/>
      <c r="AA8" s="20"/>
      <c r="AB8" s="21" t="b">
        <v>1</v>
      </c>
      <c r="AC8" s="22">
        <f t="shared" si="3"/>
        <v>0</v>
      </c>
      <c r="AD8" s="28"/>
      <c r="AE8" s="28"/>
    </row>
    <row r="9" spans="1:31">
      <c r="A9" s="10">
        <f t="shared" si="0"/>
        <v>586816.21408894134</v>
      </c>
      <c r="B9" s="13"/>
      <c r="C9" s="13"/>
      <c r="D9" s="13"/>
      <c r="E9" s="13"/>
      <c r="F9" s="13"/>
      <c r="G9" s="13"/>
      <c r="H9" s="13"/>
      <c r="I9" s="13"/>
      <c r="J9" s="13"/>
      <c r="K9" s="13">
        <v>2</v>
      </c>
      <c r="L9" s="17"/>
      <c r="M9" s="16" t="s">
        <v>769</v>
      </c>
      <c r="N9" s="80"/>
      <c r="O9" s="16"/>
      <c r="P9" s="16"/>
      <c r="Q9" s="16"/>
      <c r="R9" s="17"/>
      <c r="S9" s="17"/>
      <c r="T9" s="17"/>
      <c r="U9" s="17"/>
      <c r="V9" s="17"/>
      <c r="W9" s="17"/>
      <c r="X9" s="17">
        <f t="shared" si="1"/>
        <v>5</v>
      </c>
      <c r="Y9" s="18">
        <f t="shared" si="2"/>
        <v>1173632.4281778827</v>
      </c>
      <c r="Z9" s="24"/>
      <c r="AA9" s="20"/>
      <c r="AB9" s="21" t="b">
        <v>1</v>
      </c>
      <c r="AC9" s="22">
        <f t="shared" si="3"/>
        <v>0</v>
      </c>
      <c r="AD9" s="28"/>
      <c r="AE9" s="28"/>
    </row>
    <row r="10" spans="1:31">
      <c r="A10" s="10">
        <f t="shared" si="0"/>
        <v>0</v>
      </c>
      <c r="B10" s="13"/>
      <c r="C10" s="13"/>
      <c r="D10" s="13"/>
      <c r="E10" s="13"/>
      <c r="F10" s="13"/>
      <c r="G10" s="13"/>
      <c r="H10" s="13"/>
      <c r="I10" s="13"/>
      <c r="J10" s="13"/>
      <c r="K10" s="13"/>
      <c r="L10" s="85" t="s">
        <v>771</v>
      </c>
      <c r="N10" s="80"/>
      <c r="O10" s="16"/>
      <c r="P10" s="16"/>
      <c r="Q10" s="16"/>
      <c r="R10" s="17"/>
      <c r="S10" s="17"/>
      <c r="T10" s="17"/>
      <c r="U10" s="17"/>
      <c r="V10" s="17"/>
      <c r="W10" s="17"/>
      <c r="X10" s="17">
        <f t="shared" si="1"/>
        <v>6</v>
      </c>
      <c r="Y10" s="18">
        <f t="shared" si="2"/>
        <v>5796383.3136560395</v>
      </c>
      <c r="Z10" s="24"/>
      <c r="AA10" s="20"/>
      <c r="AB10" s="21" t="b">
        <v>1</v>
      </c>
      <c r="AC10" s="22">
        <f t="shared" si="3"/>
        <v>5796383.3136560395</v>
      </c>
      <c r="AD10" s="28"/>
      <c r="AE10" s="28"/>
    </row>
    <row r="11" spans="1:31">
      <c r="A11" s="10">
        <f t="shared" si="0"/>
        <v>1691611.5702479337</v>
      </c>
      <c r="B11" s="13"/>
      <c r="C11" s="13"/>
      <c r="D11" s="13"/>
      <c r="E11" s="13"/>
      <c r="F11" s="13"/>
      <c r="G11" s="13">
        <v>3</v>
      </c>
      <c r="H11" s="13"/>
      <c r="I11" s="13"/>
      <c r="J11" s="13"/>
      <c r="K11" s="13">
        <v>3</v>
      </c>
      <c r="L11" s="17"/>
      <c r="M11" s="80" t="s">
        <v>772</v>
      </c>
      <c r="N11" s="80"/>
      <c r="O11" s="16"/>
      <c r="P11" s="16"/>
      <c r="Q11" s="16"/>
      <c r="R11" s="17"/>
      <c r="S11" s="17"/>
      <c r="T11" s="17"/>
      <c r="U11" s="17"/>
      <c r="V11" s="17"/>
      <c r="W11" s="17"/>
      <c r="X11" s="17">
        <f t="shared" si="1"/>
        <v>6</v>
      </c>
      <c r="Y11" s="18">
        <f t="shared" si="2"/>
        <v>5796383.3136560395</v>
      </c>
      <c r="Z11" s="24"/>
      <c r="AA11" s="20"/>
      <c r="AB11" s="21" t="b">
        <v>1</v>
      </c>
      <c r="AC11" s="22">
        <f t="shared" si="3"/>
        <v>0</v>
      </c>
      <c r="AD11" s="28"/>
      <c r="AE11" s="28"/>
    </row>
    <row r="12" spans="1:31">
      <c r="A12" s="10">
        <f t="shared" si="0"/>
        <v>1245513.577331759</v>
      </c>
      <c r="B12" s="13"/>
      <c r="C12" s="13"/>
      <c r="D12" s="13"/>
      <c r="E12" s="13"/>
      <c r="F12" s="13">
        <v>2</v>
      </c>
      <c r="G12" s="13"/>
      <c r="H12" s="13"/>
      <c r="I12" s="13"/>
      <c r="J12" s="13"/>
      <c r="K12" s="13">
        <v>2</v>
      </c>
      <c r="L12" s="86"/>
      <c r="M12" s="82" t="s">
        <v>773</v>
      </c>
      <c r="O12" s="16"/>
      <c r="P12" s="16"/>
      <c r="Q12" s="16"/>
      <c r="R12" s="17"/>
      <c r="S12" s="17"/>
      <c r="T12" s="17"/>
      <c r="U12" s="17"/>
      <c r="V12" s="17"/>
      <c r="W12" s="17"/>
      <c r="X12" s="17">
        <f t="shared" si="1"/>
        <v>6</v>
      </c>
      <c r="Y12" s="18">
        <f t="shared" si="2"/>
        <v>5796383.3136560395</v>
      </c>
      <c r="Z12" s="24"/>
      <c r="AA12" s="20"/>
      <c r="AB12" s="21" t="b">
        <v>1</v>
      </c>
      <c r="AC12" s="22">
        <f t="shared" si="3"/>
        <v>0</v>
      </c>
      <c r="AD12" s="28"/>
      <c r="AE12" s="28"/>
    </row>
    <row r="13" spans="1:31">
      <c r="A13" s="10">
        <f t="shared" si="0"/>
        <v>293408.10704447067</v>
      </c>
      <c r="B13" s="13"/>
      <c r="C13" s="13"/>
      <c r="D13" s="13"/>
      <c r="E13" s="13"/>
      <c r="F13" s="13"/>
      <c r="G13" s="13"/>
      <c r="H13" s="13"/>
      <c r="I13" s="13"/>
      <c r="J13" s="13"/>
      <c r="K13" s="13">
        <v>1</v>
      </c>
      <c r="L13" s="17"/>
      <c r="M13" s="80" t="s">
        <v>774</v>
      </c>
      <c r="N13" s="80"/>
      <c r="O13" s="16"/>
      <c r="P13" s="16"/>
      <c r="Q13" s="16"/>
      <c r="R13" s="17"/>
      <c r="S13" s="17"/>
      <c r="T13" s="17"/>
      <c r="U13" s="17"/>
      <c r="V13" s="17"/>
      <c r="W13" s="17"/>
      <c r="X13" s="17">
        <f t="shared" si="1"/>
        <v>6</v>
      </c>
      <c r="Y13" s="18">
        <f t="shared" si="2"/>
        <v>5796383.3136560395</v>
      </c>
      <c r="Z13" s="24"/>
      <c r="AA13" s="20"/>
      <c r="AB13" s="21" t="b">
        <v>1</v>
      </c>
      <c r="AC13" s="22">
        <f t="shared" si="3"/>
        <v>0</v>
      </c>
      <c r="AD13" s="28"/>
      <c r="AE13" s="28"/>
    </row>
    <row r="14" spans="1:31">
      <c r="A14" s="10">
        <f t="shared" si="0"/>
        <v>293408.10704447067</v>
      </c>
      <c r="B14" s="13"/>
      <c r="C14" s="13"/>
      <c r="D14" s="13"/>
      <c r="E14" s="13"/>
      <c r="F14" s="13"/>
      <c r="G14" s="13"/>
      <c r="H14" s="13"/>
      <c r="I14" s="13"/>
      <c r="J14" s="13"/>
      <c r="K14" s="13">
        <v>1</v>
      </c>
      <c r="L14" s="17"/>
      <c r="M14" s="82" t="s">
        <v>775</v>
      </c>
      <c r="O14" s="16"/>
      <c r="P14" s="16"/>
      <c r="Q14" s="16"/>
      <c r="R14" s="17"/>
      <c r="S14" s="17"/>
      <c r="T14" s="17"/>
      <c r="U14" s="17"/>
      <c r="V14" s="17"/>
      <c r="W14" s="17"/>
      <c r="X14" s="17">
        <f t="shared" si="1"/>
        <v>6</v>
      </c>
      <c r="Y14" s="18">
        <f t="shared" si="2"/>
        <v>5796383.3136560395</v>
      </c>
      <c r="Z14" s="24"/>
      <c r="AA14" s="20"/>
      <c r="AB14" s="21" t="b">
        <v>1</v>
      </c>
      <c r="AC14" s="22">
        <f t="shared" si="3"/>
        <v>0</v>
      </c>
      <c r="AD14" s="28"/>
      <c r="AE14" s="28"/>
    </row>
    <row r="15" spans="1:31">
      <c r="A15" s="10">
        <f t="shared" si="0"/>
        <v>1245513.577331759</v>
      </c>
      <c r="B15" s="13"/>
      <c r="C15" s="13"/>
      <c r="D15" s="13"/>
      <c r="E15" s="13"/>
      <c r="F15" s="13">
        <v>2</v>
      </c>
      <c r="G15" s="13"/>
      <c r="H15" s="13"/>
      <c r="I15" s="13"/>
      <c r="J15" s="13"/>
      <c r="K15" s="13">
        <v>2</v>
      </c>
      <c r="L15" s="85"/>
      <c r="M15" s="16" t="s">
        <v>776</v>
      </c>
      <c r="N15" s="80"/>
      <c r="O15" s="16"/>
      <c r="P15" s="16"/>
      <c r="Q15" s="16"/>
      <c r="R15" s="17"/>
      <c r="S15" s="17"/>
      <c r="T15" s="17"/>
      <c r="U15" s="17"/>
      <c r="V15" s="17"/>
      <c r="W15" s="17"/>
      <c r="X15" s="17">
        <f t="shared" si="1"/>
        <v>6</v>
      </c>
      <c r="Y15" s="18">
        <f t="shared" si="2"/>
        <v>5796383.3136560395</v>
      </c>
      <c r="Z15" s="24"/>
      <c r="AA15" s="20"/>
      <c r="AB15" s="21" t="b">
        <v>1</v>
      </c>
      <c r="AC15" s="22">
        <f t="shared" si="3"/>
        <v>0</v>
      </c>
      <c r="AD15" s="28"/>
      <c r="AE15" s="28"/>
    </row>
    <row r="16" spans="1:31">
      <c r="A16" s="10">
        <f t="shared" si="0"/>
        <v>293408.10704447067</v>
      </c>
      <c r="B16" s="13"/>
      <c r="C16" s="13"/>
      <c r="D16" s="13"/>
      <c r="E16" s="13"/>
      <c r="F16" s="13"/>
      <c r="G16" s="13"/>
      <c r="H16" s="13"/>
      <c r="I16" s="13"/>
      <c r="J16" s="13"/>
      <c r="K16" s="13">
        <v>1</v>
      </c>
      <c r="L16" s="85"/>
      <c r="M16" s="16" t="s">
        <v>777</v>
      </c>
      <c r="N16" s="80"/>
      <c r="O16" s="16"/>
      <c r="P16" s="16"/>
      <c r="Q16" s="16"/>
      <c r="R16" s="16"/>
      <c r="S16" s="17"/>
      <c r="T16" s="17"/>
      <c r="U16" s="17"/>
      <c r="V16" s="17"/>
      <c r="W16" s="17"/>
      <c r="X16" s="17">
        <f t="shared" si="1"/>
        <v>6</v>
      </c>
      <c r="Y16" s="18">
        <f t="shared" si="2"/>
        <v>5796383.3136560395</v>
      </c>
      <c r="Z16" s="24"/>
      <c r="AA16" s="20"/>
      <c r="AB16" s="21" t="b">
        <v>1</v>
      </c>
      <c r="AC16" s="22">
        <f t="shared" si="3"/>
        <v>0</v>
      </c>
      <c r="AD16" s="28"/>
      <c r="AE16" s="28"/>
    </row>
    <row r="17" spans="1:31">
      <c r="A17" s="10">
        <f t="shared" si="0"/>
        <v>293408.10704447067</v>
      </c>
      <c r="B17" s="13"/>
      <c r="C17" s="13"/>
      <c r="D17" s="13"/>
      <c r="E17" s="13"/>
      <c r="F17" s="13"/>
      <c r="G17" s="13"/>
      <c r="H17" s="13"/>
      <c r="I17" s="13"/>
      <c r="J17" s="13"/>
      <c r="K17" s="13">
        <v>1</v>
      </c>
      <c r="L17" s="85"/>
      <c r="M17" s="16" t="s">
        <v>778</v>
      </c>
      <c r="N17" s="80"/>
      <c r="O17" s="16"/>
      <c r="P17" s="16"/>
      <c r="Q17" s="16"/>
      <c r="R17" s="16"/>
      <c r="S17" s="17"/>
      <c r="T17" s="17"/>
      <c r="U17" s="17"/>
      <c r="V17" s="17"/>
      <c r="W17" s="17"/>
      <c r="X17" s="17">
        <f t="shared" si="1"/>
        <v>6</v>
      </c>
      <c r="Y17" s="18">
        <f t="shared" si="2"/>
        <v>5796383.3136560395</v>
      </c>
      <c r="Z17" s="24"/>
      <c r="AA17" s="20"/>
      <c r="AB17" s="21" t="b">
        <v>1</v>
      </c>
      <c r="AC17" s="22">
        <f t="shared" si="3"/>
        <v>0</v>
      </c>
      <c r="AD17" s="28"/>
      <c r="AE17" s="28"/>
    </row>
    <row r="18" spans="1:31">
      <c r="A18" s="10">
        <f t="shared" si="0"/>
        <v>440112.16056670598</v>
      </c>
      <c r="B18" s="13"/>
      <c r="C18" s="13"/>
      <c r="D18" s="13"/>
      <c r="E18" s="13"/>
      <c r="F18" s="13"/>
      <c r="G18" s="13"/>
      <c r="H18" s="13"/>
      <c r="I18" s="13"/>
      <c r="J18" s="13"/>
      <c r="K18" s="13">
        <v>1.5</v>
      </c>
      <c r="L18" s="85"/>
      <c r="M18" s="16" t="s">
        <v>779</v>
      </c>
      <c r="N18" s="80"/>
      <c r="O18" s="16"/>
      <c r="P18" s="16"/>
      <c r="Q18" s="16"/>
      <c r="R18" s="16"/>
      <c r="S18" s="17"/>
      <c r="T18" s="17"/>
      <c r="U18" s="17"/>
      <c r="V18" s="17"/>
      <c r="W18" s="17"/>
      <c r="X18" s="17">
        <f t="shared" si="1"/>
        <v>6</v>
      </c>
      <c r="Y18" s="18">
        <f t="shared" si="2"/>
        <v>5796383.3136560395</v>
      </c>
      <c r="Z18" s="24"/>
      <c r="AA18" s="20"/>
      <c r="AB18" s="21" t="b">
        <v>1</v>
      </c>
      <c r="AC18" s="22">
        <f t="shared" si="3"/>
        <v>0</v>
      </c>
      <c r="AD18" s="28"/>
      <c r="AE18" s="28"/>
    </row>
    <row r="19" spans="1:31">
      <c r="A19" s="10">
        <f t="shared" si="0"/>
        <v>0</v>
      </c>
      <c r="B19" s="13"/>
      <c r="C19" s="13"/>
      <c r="D19" s="13"/>
      <c r="E19" s="13"/>
      <c r="F19" s="13"/>
      <c r="G19" s="13"/>
      <c r="H19" s="13"/>
      <c r="I19" s="13"/>
      <c r="J19" s="13"/>
      <c r="K19" s="13"/>
      <c r="L19" s="85" t="s">
        <v>780</v>
      </c>
      <c r="M19" s="17"/>
      <c r="O19" s="16"/>
      <c r="P19" s="16"/>
      <c r="Q19" s="16"/>
      <c r="R19" s="16"/>
      <c r="S19" s="17"/>
      <c r="T19" s="17"/>
      <c r="U19" s="17"/>
      <c r="V19" s="17"/>
      <c r="W19" s="17"/>
      <c r="X19" s="17">
        <f t="shared" si="1"/>
        <v>7</v>
      </c>
      <c r="Y19" s="18">
        <f t="shared" si="2"/>
        <v>5145922.8650137745</v>
      </c>
      <c r="Z19" s="24"/>
      <c r="AA19" s="20"/>
      <c r="AB19" s="21" t="b">
        <v>1</v>
      </c>
      <c r="AC19" s="22">
        <f t="shared" si="3"/>
        <v>5145922.8650137745</v>
      </c>
      <c r="AD19" s="28"/>
      <c r="AE19" s="28"/>
    </row>
    <row r="20" spans="1:31">
      <c r="A20" s="10">
        <f t="shared" si="0"/>
        <v>2804541.5190869737</v>
      </c>
      <c r="B20" s="13">
        <v>2</v>
      </c>
      <c r="C20" s="13"/>
      <c r="D20" s="13"/>
      <c r="E20" s="13"/>
      <c r="F20" s="13">
        <v>2</v>
      </c>
      <c r="G20" s="13">
        <v>2</v>
      </c>
      <c r="H20" s="13"/>
      <c r="I20" s="13"/>
      <c r="J20" s="13"/>
      <c r="K20" s="13">
        <v>2</v>
      </c>
      <c r="L20" s="85"/>
      <c r="M20" s="16" t="s">
        <v>781</v>
      </c>
      <c r="N20" s="80"/>
      <c r="O20" s="16"/>
      <c r="P20" s="16"/>
      <c r="Q20" s="16"/>
      <c r="R20" s="16"/>
      <c r="S20" s="17"/>
      <c r="T20" s="17"/>
      <c r="U20" s="17"/>
      <c r="V20" s="17"/>
      <c r="W20" s="17"/>
      <c r="X20" s="17">
        <f t="shared" si="1"/>
        <v>7</v>
      </c>
      <c r="Y20" s="18">
        <f t="shared" si="2"/>
        <v>5145922.8650137745</v>
      </c>
      <c r="Z20" s="24"/>
      <c r="AA20" s="20"/>
      <c r="AB20" s="21" t="b">
        <v>1</v>
      </c>
      <c r="AC20" s="22">
        <f t="shared" si="3"/>
        <v>0</v>
      </c>
      <c r="AD20" s="28"/>
      <c r="AE20" s="28"/>
    </row>
    <row r="21" spans="1:31">
      <c r="A21" s="10">
        <f t="shared" si="0"/>
        <v>0</v>
      </c>
      <c r="B21" s="13"/>
      <c r="C21" s="13"/>
      <c r="D21" s="13"/>
      <c r="E21" s="13"/>
      <c r="F21" s="13"/>
      <c r="G21" s="13"/>
      <c r="H21" s="13"/>
      <c r="I21" s="13"/>
      <c r="J21" s="13"/>
      <c r="K21" s="13"/>
      <c r="L21" s="17"/>
      <c r="M21" s="16" t="s">
        <v>782</v>
      </c>
      <c r="N21" s="80"/>
      <c r="O21" s="16"/>
      <c r="P21" s="16"/>
      <c r="Q21" s="16"/>
      <c r="R21" s="16"/>
      <c r="S21" s="17"/>
      <c r="T21" s="17"/>
      <c r="U21" s="17"/>
      <c r="V21" s="17"/>
      <c r="W21" s="17"/>
      <c r="X21" s="17">
        <f t="shared" si="1"/>
        <v>7</v>
      </c>
      <c r="Y21" s="18">
        <f t="shared" si="2"/>
        <v>5145922.8650137745</v>
      </c>
      <c r="Z21" s="19"/>
      <c r="AA21" s="20"/>
      <c r="AB21" s="21" t="b">
        <v>1</v>
      </c>
      <c r="AC21" s="22">
        <f t="shared" si="3"/>
        <v>0</v>
      </c>
      <c r="AD21" s="28"/>
      <c r="AE21" s="28"/>
    </row>
    <row r="22" spans="1:31">
      <c r="A22" s="10">
        <f t="shared" si="0"/>
        <v>0</v>
      </c>
      <c r="B22" s="13"/>
      <c r="C22" s="13"/>
      <c r="D22" s="13"/>
      <c r="E22" s="13"/>
      <c r="F22" s="13"/>
      <c r="G22" s="13"/>
      <c r="H22" s="13"/>
      <c r="I22" s="13"/>
      <c r="J22" s="13"/>
      <c r="K22" s="13"/>
      <c r="L22" s="17"/>
      <c r="M22" s="16" t="s">
        <v>783</v>
      </c>
      <c r="N22" s="81"/>
      <c r="O22" s="16"/>
      <c r="P22" s="16"/>
      <c r="Q22" s="16"/>
      <c r="R22" s="16"/>
      <c r="S22" s="17"/>
      <c r="T22" s="17"/>
      <c r="U22" s="17"/>
      <c r="V22" s="17"/>
      <c r="W22" s="17"/>
      <c r="X22" s="17">
        <f t="shared" si="1"/>
        <v>7</v>
      </c>
      <c r="Y22" s="18">
        <f t="shared" si="2"/>
        <v>5145922.8650137745</v>
      </c>
      <c r="Z22" s="24"/>
      <c r="AA22" s="20"/>
      <c r="AB22" s="21" t="b">
        <v>1</v>
      </c>
      <c r="AC22" s="22">
        <f t="shared" si="3"/>
        <v>0</v>
      </c>
      <c r="AD22" s="28"/>
      <c r="AE22" s="28"/>
    </row>
    <row r="23" spans="1:31">
      <c r="A23" s="10">
        <f t="shared" si="0"/>
        <v>586816.21408894134</v>
      </c>
      <c r="B23" s="13"/>
      <c r="C23" s="13"/>
      <c r="D23" s="13"/>
      <c r="E23" s="13"/>
      <c r="F23" s="13"/>
      <c r="G23" s="13"/>
      <c r="H23" s="13"/>
      <c r="I23" s="13"/>
      <c r="J23" s="13"/>
      <c r="K23" s="13">
        <v>2</v>
      </c>
      <c r="L23" s="17"/>
      <c r="M23" s="16" t="s">
        <v>784</v>
      </c>
      <c r="N23" s="80"/>
      <c r="O23" s="16"/>
      <c r="P23" s="16"/>
      <c r="Q23" s="16"/>
      <c r="R23" s="16"/>
      <c r="S23" s="17"/>
      <c r="T23" s="17"/>
      <c r="U23" s="17"/>
      <c r="V23" s="17"/>
      <c r="W23" s="17"/>
      <c r="X23" s="17">
        <f t="shared" si="1"/>
        <v>7</v>
      </c>
      <c r="Y23" s="18">
        <f t="shared" si="2"/>
        <v>5145922.8650137745</v>
      </c>
      <c r="Z23" s="24"/>
      <c r="AA23" s="20"/>
      <c r="AB23" s="21" t="b">
        <v>1</v>
      </c>
      <c r="AC23" s="22">
        <f t="shared" si="3"/>
        <v>0</v>
      </c>
      <c r="AD23" s="28"/>
      <c r="AE23" s="28"/>
    </row>
    <row r="24" spans="1:31">
      <c r="A24" s="10">
        <f t="shared" si="0"/>
        <v>1754565.1318378593</v>
      </c>
      <c r="B24" s="13">
        <v>1</v>
      </c>
      <c r="C24" s="13"/>
      <c r="D24" s="13"/>
      <c r="E24" s="13"/>
      <c r="F24" s="13">
        <v>2</v>
      </c>
      <c r="G24" s="13"/>
      <c r="H24" s="13"/>
      <c r="I24" s="13"/>
      <c r="J24" s="13"/>
      <c r="K24" s="13">
        <v>2</v>
      </c>
      <c r="L24" s="86"/>
      <c r="M24" s="16" t="s">
        <v>785</v>
      </c>
      <c r="N24" s="80"/>
      <c r="O24" s="16"/>
      <c r="P24" s="16"/>
      <c r="Q24" s="16"/>
      <c r="R24" s="16"/>
      <c r="S24" s="17"/>
      <c r="T24" s="17"/>
      <c r="U24" s="17"/>
      <c r="V24" s="17"/>
      <c r="W24" s="17"/>
      <c r="X24" s="17">
        <f t="shared" si="1"/>
        <v>7</v>
      </c>
      <c r="Y24" s="18">
        <f t="shared" si="2"/>
        <v>5145922.8650137745</v>
      </c>
      <c r="Z24" s="24"/>
      <c r="AA24" s="20"/>
      <c r="AB24" s="21" t="b">
        <v>1</v>
      </c>
      <c r="AC24" s="22">
        <f t="shared" si="3"/>
        <v>0</v>
      </c>
      <c r="AD24" s="28"/>
      <c r="AE24" s="28"/>
    </row>
    <row r="25" spans="1:31">
      <c r="A25" s="10">
        <f t="shared" si="0"/>
        <v>0</v>
      </c>
      <c r="B25" s="13"/>
      <c r="C25" s="13"/>
      <c r="D25" s="13"/>
      <c r="E25" s="13"/>
      <c r="F25" s="13"/>
      <c r="G25" s="13"/>
      <c r="H25" s="13"/>
      <c r="I25" s="13"/>
      <c r="J25" s="13"/>
      <c r="K25" s="13"/>
      <c r="L25" s="85" t="s">
        <v>786</v>
      </c>
      <c r="M25" s="17"/>
      <c r="N25" s="80"/>
      <c r="O25" s="16"/>
      <c r="P25" s="16"/>
      <c r="Q25" s="16"/>
      <c r="R25" s="16"/>
      <c r="S25" s="17"/>
      <c r="T25" s="17"/>
      <c r="U25" s="17"/>
      <c r="V25" s="17"/>
      <c r="W25" s="17"/>
      <c r="X25" s="17">
        <f t="shared" si="1"/>
        <v>8</v>
      </c>
      <c r="Y25" s="18">
        <f t="shared" si="2"/>
        <v>13237872.884691067</v>
      </c>
      <c r="Z25" s="19"/>
      <c r="AA25" s="30"/>
      <c r="AB25" s="21" t="b">
        <v>1</v>
      </c>
      <c r="AC25" s="22">
        <f t="shared" si="3"/>
        <v>13237872.884691067</v>
      </c>
      <c r="AD25" s="28"/>
      <c r="AE25" s="28"/>
    </row>
    <row r="26" spans="1:31">
      <c r="A26" s="10">
        <f t="shared" si="0"/>
        <v>7651351.8299881937</v>
      </c>
      <c r="B26" s="13">
        <v>6</v>
      </c>
      <c r="C26" s="13"/>
      <c r="D26" s="13"/>
      <c r="E26" s="13">
        <v>8</v>
      </c>
      <c r="F26" s="13">
        <v>2</v>
      </c>
      <c r="G26" s="13">
        <v>3</v>
      </c>
      <c r="H26" s="13"/>
      <c r="I26" s="13"/>
      <c r="J26" s="13"/>
      <c r="K26" s="13"/>
      <c r="L26" s="17"/>
      <c r="M26" s="16" t="s">
        <v>787</v>
      </c>
      <c r="O26" s="16"/>
      <c r="P26" s="16"/>
      <c r="Q26" s="16"/>
      <c r="R26" s="16"/>
      <c r="S26" s="16"/>
      <c r="T26" s="17"/>
      <c r="U26" s="17"/>
      <c r="V26" s="17"/>
      <c r="W26" s="17"/>
      <c r="X26" s="17">
        <f t="shared" si="1"/>
        <v>8</v>
      </c>
      <c r="Y26" s="18">
        <f t="shared" si="2"/>
        <v>13237872.884691067</v>
      </c>
      <c r="Z26" s="24"/>
      <c r="AA26" s="20"/>
      <c r="AB26" s="21" t="b">
        <v>1</v>
      </c>
      <c r="AC26" s="22">
        <f t="shared" si="3"/>
        <v>0</v>
      </c>
      <c r="AD26" s="28"/>
      <c r="AE26" s="28"/>
    </row>
    <row r="27" spans="1:31">
      <c r="A27" s="10">
        <f t="shared" si="0"/>
        <v>1759425.4230617867</v>
      </c>
      <c r="B27" s="13"/>
      <c r="C27" s="13"/>
      <c r="D27" s="13"/>
      <c r="E27" s="13">
        <v>3</v>
      </c>
      <c r="F27" s="13"/>
      <c r="G27" s="13"/>
      <c r="H27" s="13"/>
      <c r="I27" s="13"/>
      <c r="J27" s="13"/>
      <c r="K27" s="13">
        <v>2</v>
      </c>
      <c r="L27" s="17"/>
      <c r="M27" s="17"/>
      <c r="N27" s="80" t="s">
        <v>788</v>
      </c>
      <c r="O27" s="16"/>
      <c r="P27" s="16"/>
      <c r="Q27" s="16"/>
      <c r="R27" s="16"/>
      <c r="S27" s="16"/>
      <c r="T27" s="17"/>
      <c r="U27" s="17"/>
      <c r="V27" s="17"/>
      <c r="W27" s="17"/>
      <c r="X27" s="17">
        <f t="shared" si="1"/>
        <v>8</v>
      </c>
      <c r="Y27" s="18">
        <f t="shared" si="2"/>
        <v>13237872.884691067</v>
      </c>
      <c r="Z27" s="24"/>
      <c r="AA27" s="20"/>
      <c r="AB27" s="21" t="b">
        <v>1</v>
      </c>
      <c r="AC27" s="22">
        <f t="shared" si="3"/>
        <v>0</v>
      </c>
      <c r="AD27" s="28"/>
      <c r="AE27" s="28"/>
    </row>
    <row r="28" spans="1:31">
      <c r="A28" s="10">
        <f t="shared" si="0"/>
        <v>2422599.3703266429</v>
      </c>
      <c r="B28" s="13">
        <v>2</v>
      </c>
      <c r="C28" s="13"/>
      <c r="D28" s="13"/>
      <c r="E28" s="13">
        <v>2</v>
      </c>
      <c r="F28" s="13">
        <v>1</v>
      </c>
      <c r="G28" s="13"/>
      <c r="H28" s="13"/>
      <c r="I28" s="13"/>
      <c r="J28" s="13"/>
      <c r="K28" s="13">
        <v>1</v>
      </c>
      <c r="L28" s="17"/>
      <c r="M28" s="17"/>
      <c r="N28" s="80" t="s">
        <v>789</v>
      </c>
      <c r="O28" s="16"/>
      <c r="P28" s="16"/>
      <c r="Q28" s="16"/>
      <c r="R28" s="16"/>
      <c r="S28" s="16"/>
      <c r="T28" s="17"/>
      <c r="U28" s="17"/>
      <c r="V28" s="17"/>
      <c r="W28" s="17"/>
      <c r="X28" s="17">
        <f t="shared" si="1"/>
        <v>8</v>
      </c>
      <c r="Y28" s="18">
        <f t="shared" si="2"/>
        <v>13237872.884691067</v>
      </c>
      <c r="Z28" s="24"/>
      <c r="AA28" s="20"/>
      <c r="AB28" s="21" t="b">
        <v>1</v>
      </c>
      <c r="AC28" s="22">
        <f t="shared" si="3"/>
        <v>0</v>
      </c>
      <c r="AD28" s="28"/>
      <c r="AE28" s="28"/>
    </row>
    <row r="29" spans="1:31">
      <c r="A29" s="10">
        <f t="shared" si="0"/>
        <v>1013626.5249901614</v>
      </c>
      <c r="B29" s="13"/>
      <c r="C29" s="13"/>
      <c r="D29" s="13"/>
      <c r="E29" s="13">
        <v>1</v>
      </c>
      <c r="F29" s="13">
        <v>1</v>
      </c>
      <c r="G29" s="13"/>
      <c r="H29" s="13"/>
      <c r="I29" s="13"/>
      <c r="J29" s="13"/>
      <c r="K29" s="13">
        <v>1</v>
      </c>
      <c r="L29" s="17"/>
      <c r="M29" s="17"/>
      <c r="N29" s="80" t="s">
        <v>790</v>
      </c>
      <c r="O29" s="16"/>
      <c r="P29" s="16"/>
      <c r="Q29" s="16"/>
      <c r="R29" s="16"/>
      <c r="S29" s="16"/>
      <c r="T29" s="17"/>
      <c r="U29" s="17"/>
      <c r="V29" s="17"/>
      <c r="W29" s="17"/>
      <c r="X29" s="17">
        <f t="shared" si="1"/>
        <v>8</v>
      </c>
      <c r="Y29" s="18">
        <f t="shared" si="2"/>
        <v>13237872.884691067</v>
      </c>
      <c r="Z29" s="24"/>
      <c r="AA29" s="20"/>
      <c r="AB29" s="21" t="b">
        <v>1</v>
      </c>
      <c r="AC29" s="22">
        <f t="shared" si="3"/>
        <v>0</v>
      </c>
      <c r="AD29" s="28"/>
      <c r="AE29" s="28"/>
    </row>
    <row r="30" spans="1:31">
      <c r="A30" s="10">
        <f t="shared" si="0"/>
        <v>390869.73632428178</v>
      </c>
      <c r="B30" s="13"/>
      <c r="C30" s="13"/>
      <c r="D30" s="13"/>
      <c r="E30" s="13">
        <v>1</v>
      </c>
      <c r="F30" s="13"/>
      <c r="G30" s="13"/>
      <c r="H30" s="13"/>
      <c r="I30" s="13"/>
      <c r="J30" s="13"/>
      <c r="K30" s="13"/>
      <c r="L30" s="17"/>
      <c r="M30" s="17"/>
      <c r="N30" s="80" t="s">
        <v>791</v>
      </c>
      <c r="O30" s="16"/>
      <c r="P30" s="16"/>
      <c r="Q30" s="16"/>
      <c r="R30" s="16"/>
      <c r="S30" s="16"/>
      <c r="T30" s="17"/>
      <c r="U30" s="17"/>
      <c r="V30" s="17"/>
      <c r="W30" s="17"/>
      <c r="X30" s="17">
        <f t="shared" si="1"/>
        <v>8</v>
      </c>
      <c r="Y30" s="18">
        <f t="shared" si="2"/>
        <v>13237872.884691067</v>
      </c>
      <c r="Z30" s="24"/>
      <c r="AA30" s="20"/>
      <c r="AB30" s="21" t="b">
        <v>1</v>
      </c>
      <c r="AC30" s="22">
        <f t="shared" si="3"/>
        <v>0</v>
      </c>
      <c r="AD30" s="28"/>
      <c r="AE30" s="28"/>
    </row>
    <row r="31" spans="1:31">
      <c r="A31" s="10">
        <f t="shared" si="0"/>
        <v>0</v>
      </c>
      <c r="B31" s="13"/>
      <c r="C31" s="13"/>
      <c r="D31" s="13"/>
      <c r="E31" s="13"/>
      <c r="F31" s="13"/>
      <c r="G31" s="13"/>
      <c r="H31" s="13"/>
      <c r="I31" s="13"/>
      <c r="J31" s="13"/>
      <c r="K31" s="13"/>
      <c r="L31" s="85" t="s">
        <v>792</v>
      </c>
      <c r="M31" s="17"/>
      <c r="N31" s="80"/>
      <c r="O31" s="17"/>
      <c r="P31" s="17"/>
      <c r="Q31" s="17"/>
      <c r="R31" s="17"/>
      <c r="S31" s="17"/>
      <c r="T31" s="17"/>
      <c r="U31" s="17"/>
      <c r="V31" s="17"/>
      <c r="W31" s="17"/>
      <c r="X31" s="17">
        <f t="shared" si="1"/>
        <v>9</v>
      </c>
      <c r="Y31" s="18">
        <f t="shared" si="2"/>
        <v>6818886.2652499015</v>
      </c>
      <c r="Z31" s="24"/>
      <c r="AA31" s="20"/>
      <c r="AB31" s="21" t="b">
        <v>1</v>
      </c>
      <c r="AC31" s="22">
        <f t="shared" si="3"/>
        <v>6818886.2652499015</v>
      </c>
      <c r="AD31" s="28"/>
      <c r="AE31" s="28"/>
    </row>
    <row r="32" spans="1:31">
      <c r="A32" s="10">
        <f t="shared" si="0"/>
        <v>3677270.7595434864</v>
      </c>
      <c r="B32" s="13">
        <v>2</v>
      </c>
      <c r="C32" s="13">
        <v>3</v>
      </c>
      <c r="D32" s="13">
        <v>3</v>
      </c>
      <c r="E32" s="13">
        <v>2</v>
      </c>
      <c r="F32" s="13"/>
      <c r="G32" s="13">
        <v>1</v>
      </c>
      <c r="H32" s="13"/>
      <c r="I32" s="13"/>
      <c r="J32" s="13"/>
      <c r="K32" s="13"/>
      <c r="L32" s="17"/>
      <c r="M32" s="17" t="s">
        <v>793</v>
      </c>
      <c r="N32" s="80"/>
      <c r="O32" s="16"/>
      <c r="P32" s="16"/>
      <c r="Q32" s="16"/>
      <c r="R32" s="16"/>
      <c r="S32" s="16"/>
      <c r="T32" s="17"/>
      <c r="U32" s="17"/>
      <c r="V32" s="17"/>
      <c r="W32" s="17"/>
      <c r="X32" s="17">
        <f t="shared" si="1"/>
        <v>9</v>
      </c>
      <c r="Y32" s="18">
        <f t="shared" si="2"/>
        <v>6818886.2652499015</v>
      </c>
      <c r="Z32" s="24"/>
      <c r="AA32" s="20"/>
      <c r="AB32" s="21" t="b">
        <v>1</v>
      </c>
      <c r="AC32" s="22">
        <f t="shared" si="3"/>
        <v>0</v>
      </c>
      <c r="AD32" s="28"/>
      <c r="AE32" s="28"/>
    </row>
    <row r="33" spans="1:31">
      <c r="A33" s="10">
        <f t="shared" si="0"/>
        <v>0</v>
      </c>
      <c r="B33" s="13"/>
      <c r="C33" s="13"/>
      <c r="D33" s="13"/>
      <c r="E33" s="13"/>
      <c r="F33" s="13"/>
      <c r="G33" s="13"/>
      <c r="H33" s="13"/>
      <c r="I33" s="13"/>
      <c r="J33" s="13"/>
      <c r="K33" s="13"/>
      <c r="L33" s="17"/>
      <c r="M33" s="17"/>
      <c r="N33" s="80" t="s">
        <v>794</v>
      </c>
      <c r="O33" s="16"/>
      <c r="P33" s="16"/>
      <c r="Q33" s="16"/>
      <c r="R33" s="16"/>
      <c r="S33" s="16"/>
      <c r="T33" s="17"/>
      <c r="U33" s="17"/>
      <c r="V33" s="17"/>
      <c r="W33" s="17"/>
      <c r="X33" s="17">
        <f t="shared" si="1"/>
        <v>9</v>
      </c>
      <c r="Y33" s="18">
        <f t="shared" si="2"/>
        <v>6818886.2652499015</v>
      </c>
      <c r="Z33" s="24"/>
      <c r="AA33" s="20"/>
      <c r="AB33" s="21" t="b">
        <v>1</v>
      </c>
      <c r="AC33" s="22">
        <f t="shared" si="3"/>
        <v>0</v>
      </c>
      <c r="AD33" s="28"/>
      <c r="AE33" s="28"/>
    </row>
    <row r="34" spans="1:31">
      <c r="A34" s="10">
        <f t="shared" si="0"/>
        <v>0</v>
      </c>
      <c r="B34" s="13"/>
      <c r="C34" s="13"/>
      <c r="D34" s="13"/>
      <c r="E34" s="13"/>
      <c r="F34" s="13"/>
      <c r="G34" s="13"/>
      <c r="H34" s="13"/>
      <c r="I34" s="13"/>
      <c r="J34" s="13"/>
      <c r="K34" s="13"/>
      <c r="L34" s="17"/>
      <c r="M34" s="17"/>
      <c r="N34" s="80" t="s">
        <v>795</v>
      </c>
      <c r="O34" s="16"/>
      <c r="P34" s="16"/>
      <c r="Q34" s="16"/>
      <c r="R34" s="16"/>
      <c r="S34" s="16"/>
      <c r="T34" s="17"/>
      <c r="U34" s="17"/>
      <c r="V34" s="17"/>
      <c r="W34" s="17"/>
      <c r="X34" s="17">
        <f t="shared" si="1"/>
        <v>9</v>
      </c>
      <c r="Y34" s="18">
        <f t="shared" si="2"/>
        <v>6818886.2652499015</v>
      </c>
      <c r="Z34" s="24"/>
      <c r="AA34" s="20"/>
      <c r="AB34" s="21" t="b">
        <v>1</v>
      </c>
      <c r="AC34" s="22">
        <f t="shared" si="3"/>
        <v>0</v>
      </c>
      <c r="AD34" s="28"/>
      <c r="AE34" s="28"/>
    </row>
    <row r="35" spans="1:31">
      <c r="A35" s="10">
        <f t="shared" si="0"/>
        <v>0</v>
      </c>
      <c r="B35" s="13"/>
      <c r="C35" s="13"/>
      <c r="D35" s="13"/>
      <c r="E35" s="13"/>
      <c r="F35" s="13"/>
      <c r="G35" s="13"/>
      <c r="H35" s="13"/>
      <c r="I35" s="13"/>
      <c r="J35" s="13"/>
      <c r="K35" s="13"/>
      <c r="L35" s="17"/>
      <c r="M35" s="17"/>
      <c r="N35" s="80" t="s">
        <v>796</v>
      </c>
      <c r="O35" s="16"/>
      <c r="P35" s="16"/>
      <c r="Q35" s="16"/>
      <c r="R35" s="16"/>
      <c r="S35" s="16"/>
      <c r="T35" s="17"/>
      <c r="U35" s="17"/>
      <c r="V35" s="17"/>
      <c r="W35" s="17"/>
      <c r="X35" s="17">
        <f t="shared" si="1"/>
        <v>9</v>
      </c>
      <c r="Y35" s="18">
        <f t="shared" si="2"/>
        <v>6818886.2652499015</v>
      </c>
      <c r="Z35" s="24"/>
      <c r="AA35" s="20"/>
      <c r="AB35" s="21" t="b">
        <v>1</v>
      </c>
      <c r="AC35" s="22">
        <f t="shared" si="3"/>
        <v>0</v>
      </c>
      <c r="AD35" s="28"/>
      <c r="AE35" s="28"/>
    </row>
    <row r="36" spans="1:31">
      <c r="A36" s="10">
        <f t="shared" si="0"/>
        <v>1706038.9610389611</v>
      </c>
      <c r="B36" s="13">
        <v>1</v>
      </c>
      <c r="C36" s="13">
        <v>1</v>
      </c>
      <c r="D36" s="13">
        <v>1</v>
      </c>
      <c r="E36" s="13">
        <v>1</v>
      </c>
      <c r="F36" s="13"/>
      <c r="G36" s="13">
        <v>1</v>
      </c>
      <c r="H36" s="13"/>
      <c r="I36" s="13"/>
      <c r="J36" s="13"/>
      <c r="K36" s="13"/>
      <c r="L36" s="17"/>
      <c r="M36" s="17"/>
      <c r="N36" s="80" t="s">
        <v>797</v>
      </c>
      <c r="O36" s="16"/>
      <c r="P36" s="16"/>
      <c r="Q36" s="16"/>
      <c r="R36" s="16"/>
      <c r="S36" s="16"/>
      <c r="T36" s="17"/>
      <c r="U36" s="17"/>
      <c r="V36" s="17"/>
      <c r="W36" s="17"/>
      <c r="X36" s="17">
        <f t="shared" si="1"/>
        <v>9</v>
      </c>
      <c r="Y36" s="18">
        <f t="shared" si="2"/>
        <v>6818886.2652499015</v>
      </c>
      <c r="Z36" s="24"/>
      <c r="AA36" s="20"/>
      <c r="AB36" s="21" t="b">
        <v>1</v>
      </c>
      <c r="AC36" s="22">
        <f t="shared" si="3"/>
        <v>0</v>
      </c>
      <c r="AD36" s="28"/>
      <c r="AE36" s="28"/>
    </row>
    <row r="37" spans="1:31">
      <c r="A37" s="10">
        <f t="shared" si="0"/>
        <v>0</v>
      </c>
      <c r="B37" s="13"/>
      <c r="C37" s="13"/>
      <c r="D37" s="13"/>
      <c r="E37" s="13"/>
      <c r="F37" s="13"/>
      <c r="G37" s="13"/>
      <c r="H37" s="13"/>
      <c r="I37" s="13"/>
      <c r="J37" s="13"/>
      <c r="K37" s="13"/>
      <c r="L37" s="17"/>
      <c r="M37" s="17"/>
      <c r="N37" s="80" t="s">
        <v>798</v>
      </c>
      <c r="O37" s="16"/>
      <c r="P37" s="16"/>
      <c r="Q37" s="16"/>
      <c r="R37" s="16"/>
      <c r="S37" s="16"/>
      <c r="T37" s="17"/>
      <c r="U37" s="17"/>
      <c r="V37" s="17"/>
      <c r="W37" s="17"/>
      <c r="X37" s="17">
        <f t="shared" si="1"/>
        <v>9</v>
      </c>
      <c r="Y37" s="18">
        <f t="shared" si="2"/>
        <v>6818886.2652499015</v>
      </c>
      <c r="Z37" s="19"/>
      <c r="AA37" s="30"/>
      <c r="AB37" s="21" t="b">
        <v>1</v>
      </c>
      <c r="AC37" s="22">
        <f t="shared" si="3"/>
        <v>0</v>
      </c>
      <c r="AD37" s="28"/>
      <c r="AE37" s="28"/>
    </row>
    <row r="38" spans="1:31">
      <c r="A38" s="10">
        <f t="shared" si="0"/>
        <v>1435576.5446674537</v>
      </c>
      <c r="B38" s="13">
        <v>1</v>
      </c>
      <c r="C38" s="13">
        <v>1</v>
      </c>
      <c r="D38" s="13">
        <v>1</v>
      </c>
      <c r="E38" s="13">
        <v>1</v>
      </c>
      <c r="F38" s="13"/>
      <c r="G38" s="13"/>
      <c r="H38" s="13"/>
      <c r="I38" s="13"/>
      <c r="J38" s="13"/>
      <c r="K38" s="13"/>
      <c r="L38" s="17"/>
      <c r="M38" s="17"/>
      <c r="N38" s="80" t="s">
        <v>799</v>
      </c>
      <c r="O38" s="16"/>
      <c r="P38" s="16"/>
      <c r="Q38" s="16"/>
      <c r="R38" s="16"/>
      <c r="S38" s="16"/>
      <c r="T38" s="17"/>
      <c r="U38" s="17"/>
      <c r="V38" s="17"/>
      <c r="W38" s="17"/>
      <c r="X38" s="17">
        <f t="shared" si="1"/>
        <v>9</v>
      </c>
      <c r="Y38" s="18">
        <f t="shared" si="2"/>
        <v>6818886.2652499015</v>
      </c>
      <c r="Z38" s="19"/>
      <c r="AA38" s="30"/>
      <c r="AB38" s="21" t="b">
        <v>1</v>
      </c>
      <c r="AC38" s="22">
        <f t="shared" si="3"/>
        <v>0</v>
      </c>
      <c r="AD38" s="28"/>
      <c r="AE38" s="28"/>
    </row>
    <row r="39" spans="1:31">
      <c r="A39" s="10">
        <f t="shared" si="0"/>
        <v>0</v>
      </c>
      <c r="B39" s="13"/>
      <c r="C39" s="13"/>
      <c r="D39" s="13"/>
      <c r="E39" s="13"/>
      <c r="F39" s="13"/>
      <c r="G39" s="13"/>
      <c r="H39" s="13"/>
      <c r="I39" s="13"/>
      <c r="J39" s="13"/>
      <c r="K39" s="13"/>
      <c r="L39" s="85" t="s">
        <v>800</v>
      </c>
      <c r="M39" s="17"/>
      <c r="N39" s="80"/>
      <c r="O39" s="16"/>
      <c r="P39" s="16"/>
      <c r="Q39" s="16"/>
      <c r="R39" s="16"/>
      <c r="S39" s="16"/>
      <c r="T39" s="17"/>
      <c r="U39" s="17"/>
      <c r="V39" s="17"/>
      <c r="W39" s="17"/>
      <c r="X39" s="17">
        <f t="shared" si="1"/>
        <v>10</v>
      </c>
      <c r="Y39" s="18">
        <f t="shared" si="2"/>
        <v>5184498.229043684</v>
      </c>
      <c r="Z39" s="24"/>
      <c r="AA39" s="20"/>
      <c r="AB39" s="21" t="b">
        <v>1</v>
      </c>
      <c r="AC39" s="22">
        <f t="shared" si="3"/>
        <v>5184498.229043684</v>
      </c>
      <c r="AD39" s="32"/>
      <c r="AE39" s="32"/>
    </row>
    <row r="40" spans="1:31">
      <c r="A40" s="10">
        <f t="shared" si="0"/>
        <v>3802947.658402204</v>
      </c>
      <c r="B40" s="13">
        <v>2</v>
      </c>
      <c r="C40" s="13">
        <v>2</v>
      </c>
      <c r="D40" s="13">
        <v>2</v>
      </c>
      <c r="E40" s="13">
        <v>3</v>
      </c>
      <c r="F40" s="13"/>
      <c r="G40" s="13">
        <v>2</v>
      </c>
      <c r="H40" s="13"/>
      <c r="I40" s="13"/>
      <c r="J40" s="13"/>
      <c r="K40" s="13"/>
      <c r="L40" s="17"/>
      <c r="M40" s="16" t="s">
        <v>801</v>
      </c>
      <c r="N40" s="80"/>
      <c r="O40" s="16"/>
      <c r="P40" s="16"/>
      <c r="Q40" s="16"/>
      <c r="R40" s="16"/>
      <c r="S40" s="16"/>
      <c r="T40" s="17"/>
      <c r="U40" s="17"/>
      <c r="V40" s="17"/>
      <c r="W40" s="17"/>
      <c r="X40" s="17">
        <f t="shared" si="1"/>
        <v>10</v>
      </c>
      <c r="Y40" s="18">
        <f t="shared" si="2"/>
        <v>5184498.229043684</v>
      </c>
      <c r="Z40" s="19"/>
      <c r="AA40" s="20"/>
      <c r="AB40" s="21" t="b">
        <v>1</v>
      </c>
      <c r="AC40" s="22">
        <f t="shared" si="3"/>
        <v>0</v>
      </c>
      <c r="AD40" s="28"/>
      <c r="AE40" s="28"/>
    </row>
    <row r="41" spans="1:31">
      <c r="A41" s="10">
        <f t="shared" si="0"/>
        <v>1052201.8890200709</v>
      </c>
      <c r="B41" s="13"/>
      <c r="C41" s="13"/>
      <c r="D41" s="13"/>
      <c r="E41" s="13">
        <v>2</v>
      </c>
      <c r="F41" s="13"/>
      <c r="G41" s="13">
        <v>1</v>
      </c>
      <c r="H41" s="13"/>
      <c r="I41" s="13"/>
      <c r="J41" s="13"/>
      <c r="K41" s="13"/>
      <c r="L41" s="17"/>
      <c r="M41" s="16" t="s">
        <v>802</v>
      </c>
      <c r="N41" s="80"/>
      <c r="O41" s="16"/>
      <c r="P41" s="16"/>
      <c r="Q41" s="16"/>
      <c r="R41" s="16"/>
      <c r="S41" s="16"/>
      <c r="T41" s="17"/>
      <c r="U41" s="17"/>
      <c r="V41" s="17"/>
      <c r="W41" s="17"/>
      <c r="X41" s="17">
        <f t="shared" si="1"/>
        <v>10</v>
      </c>
      <c r="Y41" s="18">
        <f t="shared" si="2"/>
        <v>5184498.229043684</v>
      </c>
      <c r="Z41" s="24"/>
      <c r="AA41" s="20"/>
      <c r="AB41" s="21" t="b">
        <v>1</v>
      </c>
      <c r="AC41" s="22">
        <f t="shared" si="3"/>
        <v>0</v>
      </c>
      <c r="AD41" s="32"/>
      <c r="AE41" s="32"/>
    </row>
    <row r="42" spans="1:31" ht="12.75">
      <c r="A42" s="10">
        <f t="shared" si="0"/>
        <v>329348.6816214089</v>
      </c>
      <c r="B42" s="13"/>
      <c r="C42" s="13"/>
      <c r="D42" s="13"/>
      <c r="E42" s="13"/>
      <c r="F42" s="13">
        <v>1</v>
      </c>
      <c r="G42" s="13"/>
      <c r="H42" s="13"/>
      <c r="I42" s="13"/>
      <c r="J42" s="13"/>
      <c r="K42" s="13"/>
      <c r="L42" s="17"/>
      <c r="M42" s="16" t="s">
        <v>803</v>
      </c>
      <c r="N42" s="80"/>
      <c r="O42" s="16"/>
      <c r="P42" s="16"/>
      <c r="Q42" s="16"/>
      <c r="R42" s="16"/>
      <c r="S42" s="16"/>
      <c r="T42" s="17"/>
      <c r="U42" s="17"/>
      <c r="V42" s="17"/>
      <c r="W42" s="17"/>
      <c r="X42" s="17">
        <f t="shared" si="1"/>
        <v>10</v>
      </c>
      <c r="Y42" s="18">
        <f t="shared" si="2"/>
        <v>5184498.229043684</v>
      </c>
      <c r="Z42" s="24"/>
      <c r="AA42" s="20"/>
      <c r="AB42" s="21" t="b">
        <v>1</v>
      </c>
      <c r="AC42" s="22">
        <f t="shared" si="3"/>
        <v>0</v>
      </c>
      <c r="AD42" s="32"/>
      <c r="AE42" s="32"/>
    </row>
    <row r="43" spans="1:31" ht="12.75">
      <c r="A43" s="10">
        <f t="shared" si="0"/>
        <v>0</v>
      </c>
      <c r="B43" s="13"/>
      <c r="C43" s="13"/>
      <c r="D43" s="13"/>
      <c r="E43" s="13"/>
      <c r="F43" s="13"/>
      <c r="G43" s="13"/>
      <c r="H43" s="13"/>
      <c r="I43" s="13"/>
      <c r="J43" s="13"/>
      <c r="K43" s="13"/>
      <c r="L43" s="17"/>
      <c r="M43" s="16" t="s">
        <v>804</v>
      </c>
      <c r="N43" s="80"/>
      <c r="O43" s="16"/>
      <c r="P43" s="16"/>
      <c r="Q43" s="16"/>
      <c r="R43" s="16"/>
      <c r="S43" s="16"/>
      <c r="T43" s="17"/>
      <c r="U43" s="17"/>
      <c r="V43" s="17"/>
      <c r="W43" s="17"/>
      <c r="X43" s="17">
        <f t="shared" si="1"/>
        <v>10</v>
      </c>
      <c r="Y43" s="18">
        <f t="shared" si="2"/>
        <v>5184498.229043684</v>
      </c>
      <c r="Z43" s="24"/>
      <c r="AA43" s="20"/>
      <c r="AB43" s="21" t="b">
        <v>1</v>
      </c>
      <c r="AC43" s="22">
        <f t="shared" si="3"/>
        <v>0</v>
      </c>
      <c r="AD43" s="28"/>
      <c r="AE43" s="28"/>
    </row>
    <row r="44" spans="1:31" ht="12.75">
      <c r="A44" s="10">
        <f t="shared" si="0"/>
        <v>0</v>
      </c>
      <c r="B44" s="13"/>
      <c r="C44" s="13"/>
      <c r="D44" s="13"/>
      <c r="E44" s="13"/>
      <c r="F44" s="13"/>
      <c r="G44" s="13"/>
      <c r="H44" s="13"/>
      <c r="I44" s="13"/>
      <c r="J44" s="13"/>
      <c r="K44" s="13"/>
      <c r="L44" s="85" t="s">
        <v>195</v>
      </c>
      <c r="M44" s="17"/>
      <c r="N44" s="80"/>
      <c r="O44" s="16"/>
      <c r="P44" s="16"/>
      <c r="Q44" s="16"/>
      <c r="R44" s="16"/>
      <c r="S44" s="16"/>
      <c r="T44" s="17"/>
      <c r="U44" s="17"/>
      <c r="V44" s="17"/>
      <c r="W44" s="17"/>
      <c r="X44" s="17">
        <f t="shared" si="1"/>
        <v>11</v>
      </c>
      <c r="Y44" s="18">
        <f t="shared" si="2"/>
        <v>1706038.9610389611</v>
      </c>
      <c r="Z44" s="24"/>
      <c r="AA44" s="20"/>
      <c r="AB44" s="21" t="b">
        <v>1</v>
      </c>
      <c r="AC44" s="22">
        <f t="shared" si="3"/>
        <v>1706038.9610389611</v>
      </c>
      <c r="AD44" s="28"/>
      <c r="AE44" s="28"/>
    </row>
    <row r="45" spans="1:31" ht="12.75">
      <c r="A45" s="10">
        <f t="shared" si="0"/>
        <v>1706038.9610389611</v>
      </c>
      <c r="B45" s="13">
        <v>1</v>
      </c>
      <c r="C45" s="13">
        <v>1</v>
      </c>
      <c r="D45" s="13">
        <v>1</v>
      </c>
      <c r="E45" s="13">
        <v>1</v>
      </c>
      <c r="F45" s="13"/>
      <c r="G45" s="13">
        <v>1</v>
      </c>
      <c r="H45" s="13"/>
      <c r="I45" s="13"/>
      <c r="J45" s="13"/>
      <c r="K45" s="13"/>
      <c r="L45" s="17"/>
      <c r="M45" s="16" t="s">
        <v>196</v>
      </c>
      <c r="N45" s="80"/>
      <c r="O45" s="16"/>
      <c r="P45" s="16"/>
      <c r="Q45" s="16"/>
      <c r="R45" s="16"/>
      <c r="S45" s="16"/>
      <c r="T45" s="17"/>
      <c r="U45" s="17"/>
      <c r="V45" s="17"/>
      <c r="W45" s="17"/>
      <c r="X45" s="17">
        <f t="shared" si="1"/>
        <v>11</v>
      </c>
      <c r="Y45" s="18">
        <f t="shared" si="2"/>
        <v>1706038.9610389611</v>
      </c>
      <c r="Z45" s="24"/>
      <c r="AA45" s="20"/>
      <c r="AB45" s="21" t="b">
        <v>1</v>
      </c>
      <c r="AC45" s="22">
        <f t="shared" si="3"/>
        <v>0</v>
      </c>
      <c r="AD45" s="28"/>
      <c r="AE45" s="28"/>
    </row>
    <row r="46" spans="1:31" ht="12.75">
      <c r="A46" s="10">
        <f t="shared" si="0"/>
        <v>0</v>
      </c>
      <c r="B46" s="13"/>
      <c r="C46" s="13"/>
      <c r="D46" s="13"/>
      <c r="E46" s="13"/>
      <c r="F46" s="13"/>
      <c r="G46" s="13"/>
      <c r="H46" s="13"/>
      <c r="I46" s="13"/>
      <c r="J46" s="13"/>
      <c r="K46" s="13"/>
      <c r="L46" s="17"/>
      <c r="M46" s="17"/>
      <c r="N46" s="80" t="s">
        <v>197</v>
      </c>
      <c r="O46" s="16"/>
      <c r="P46" s="16"/>
      <c r="Q46" s="16"/>
      <c r="R46" s="16"/>
      <c r="S46" s="16"/>
      <c r="T46" s="17"/>
      <c r="U46" s="17"/>
      <c r="V46" s="17"/>
      <c r="W46" s="17"/>
      <c r="X46" s="17">
        <f t="shared" si="1"/>
        <v>11</v>
      </c>
      <c r="Y46" s="18">
        <f t="shared" si="2"/>
        <v>1706038.9610389611</v>
      </c>
      <c r="Z46" s="24"/>
      <c r="AA46" s="20"/>
      <c r="AB46" s="21" t="b">
        <v>1</v>
      </c>
      <c r="AC46" s="22">
        <f t="shared" si="3"/>
        <v>0</v>
      </c>
      <c r="AD46" s="28"/>
      <c r="AE46" s="28"/>
    </row>
    <row r="47" spans="1:31" ht="12.75">
      <c r="A47" s="10">
        <f t="shared" si="0"/>
        <v>0</v>
      </c>
      <c r="B47" s="13"/>
      <c r="C47" s="13"/>
      <c r="D47" s="13"/>
      <c r="E47" s="13"/>
      <c r="F47" s="13"/>
      <c r="G47" s="13"/>
      <c r="H47" s="13"/>
      <c r="I47" s="13"/>
      <c r="J47" s="13"/>
      <c r="K47" s="13"/>
      <c r="L47" s="85" t="s">
        <v>198</v>
      </c>
      <c r="M47" s="17"/>
      <c r="N47" s="80"/>
      <c r="O47" s="16"/>
      <c r="P47" s="16"/>
      <c r="Q47" s="16"/>
      <c r="R47" s="16"/>
      <c r="S47" s="16"/>
      <c r="T47" s="17"/>
      <c r="U47" s="17"/>
      <c r="V47" s="17"/>
      <c r="W47" s="17"/>
      <c r="X47" s="17">
        <f t="shared" si="1"/>
        <v>12</v>
      </c>
      <c r="Y47" s="18">
        <f t="shared" si="2"/>
        <v>1706038.9610389611</v>
      </c>
      <c r="Z47" s="24"/>
      <c r="AA47" s="25" t="s">
        <v>156</v>
      </c>
      <c r="AB47" s="21" t="b">
        <v>1</v>
      </c>
      <c r="AC47" s="22">
        <f t="shared" si="3"/>
        <v>1706038.9610389611</v>
      </c>
      <c r="AD47" s="28"/>
      <c r="AE47" s="28"/>
    </row>
    <row r="48" spans="1:31" ht="12.75">
      <c r="A48" s="10">
        <f t="shared" si="0"/>
        <v>1706038.9610389611</v>
      </c>
      <c r="B48" s="13">
        <v>1</v>
      </c>
      <c r="C48" s="13">
        <v>1</v>
      </c>
      <c r="D48" s="13">
        <v>1</v>
      </c>
      <c r="E48" s="13">
        <v>1</v>
      </c>
      <c r="F48" s="13"/>
      <c r="G48" s="13">
        <v>1</v>
      </c>
      <c r="H48" s="13"/>
      <c r="I48" s="13"/>
      <c r="J48" s="13"/>
      <c r="K48" s="13"/>
      <c r="L48" s="17"/>
      <c r="M48" s="16" t="s">
        <v>805</v>
      </c>
      <c r="N48" s="80"/>
      <c r="O48" s="16"/>
      <c r="P48" s="16"/>
      <c r="Q48" s="16"/>
      <c r="R48" s="16"/>
      <c r="S48" s="16"/>
      <c r="T48" s="17"/>
      <c r="U48" s="17"/>
      <c r="V48" s="17"/>
      <c r="W48" s="17"/>
      <c r="X48" s="17">
        <f t="shared" si="1"/>
        <v>12</v>
      </c>
      <c r="Y48" s="18">
        <f t="shared" si="2"/>
        <v>1706038.9610389611</v>
      </c>
      <c r="Z48" s="24"/>
      <c r="AA48" s="20"/>
      <c r="AB48" s="21" t="b">
        <v>1</v>
      </c>
      <c r="AC48" s="22">
        <f t="shared" si="3"/>
        <v>0</v>
      </c>
      <c r="AD48" s="28"/>
      <c r="AE48" s="28"/>
    </row>
    <row r="49" spans="1:31" ht="12.75">
      <c r="A49" s="10">
        <f t="shared" si="0"/>
        <v>0</v>
      </c>
      <c r="B49" s="13"/>
      <c r="C49" s="13"/>
      <c r="D49" s="13"/>
      <c r="E49" s="13"/>
      <c r="F49" s="13"/>
      <c r="G49" s="13"/>
      <c r="H49" s="13"/>
      <c r="I49" s="13"/>
      <c r="J49" s="13"/>
      <c r="K49" s="13"/>
      <c r="L49" s="17"/>
      <c r="M49" s="16" t="s">
        <v>806</v>
      </c>
      <c r="N49" s="80"/>
      <c r="O49" s="16"/>
      <c r="P49" s="16"/>
      <c r="Q49" s="16"/>
      <c r="R49" s="16"/>
      <c r="S49" s="16"/>
      <c r="T49" s="17"/>
      <c r="U49" s="17"/>
      <c r="V49" s="17"/>
      <c r="W49" s="17"/>
      <c r="X49" s="17">
        <f t="shared" si="1"/>
        <v>12</v>
      </c>
      <c r="Y49" s="18">
        <f t="shared" si="2"/>
        <v>1706038.9610389611</v>
      </c>
      <c r="Z49" s="24"/>
      <c r="AA49" s="20"/>
      <c r="AB49" s="21" t="b">
        <v>1</v>
      </c>
      <c r="AC49" s="22">
        <f t="shared" si="3"/>
        <v>0</v>
      </c>
      <c r="AD49" s="32"/>
      <c r="AE49" s="32"/>
    </row>
    <row r="50" spans="1:31" ht="12.75">
      <c r="A50" s="10">
        <f t="shared" si="0"/>
        <v>0</v>
      </c>
      <c r="B50" s="13"/>
      <c r="C50" s="13"/>
      <c r="D50" s="13"/>
      <c r="E50" s="13"/>
      <c r="F50" s="13"/>
      <c r="G50" s="13"/>
      <c r="H50" s="13"/>
      <c r="I50" s="13"/>
      <c r="J50" s="13"/>
      <c r="K50" s="13"/>
      <c r="L50" s="85" t="s">
        <v>202</v>
      </c>
      <c r="M50" s="17"/>
      <c r="N50" s="80"/>
      <c r="O50" s="16"/>
      <c r="P50" s="16"/>
      <c r="Q50" s="16"/>
      <c r="R50" s="16"/>
      <c r="S50" s="16"/>
      <c r="T50" s="17"/>
      <c r="U50" s="17"/>
      <c r="V50" s="17"/>
      <c r="W50" s="17"/>
      <c r="X50" s="17">
        <f t="shared" si="1"/>
        <v>13</v>
      </c>
      <c r="Y50" s="18">
        <f t="shared" si="2"/>
        <v>3980015.7418339239</v>
      </c>
      <c r="Z50" s="24"/>
      <c r="AA50" s="20"/>
      <c r="AB50" s="21" t="b">
        <v>1</v>
      </c>
      <c r="AC50" s="22">
        <f t="shared" si="3"/>
        <v>3980015.7418339239</v>
      </c>
      <c r="AD50" s="32"/>
      <c r="AE50" s="32"/>
    </row>
    <row r="51" spans="1:31" ht="12.75">
      <c r="A51" s="10">
        <f t="shared" si="0"/>
        <v>3980015.7418339239</v>
      </c>
      <c r="B51" s="13">
        <v>3</v>
      </c>
      <c r="C51" s="13">
        <v>2</v>
      </c>
      <c r="D51" s="13">
        <v>2</v>
      </c>
      <c r="E51" s="13">
        <v>2</v>
      </c>
      <c r="F51" s="13">
        <v>1</v>
      </c>
      <c r="G51" s="13">
        <v>1</v>
      </c>
      <c r="H51" s="13"/>
      <c r="I51" s="13"/>
      <c r="J51" s="13"/>
      <c r="K51" s="13"/>
      <c r="L51" s="17"/>
      <c r="M51" s="17" t="s">
        <v>203</v>
      </c>
      <c r="N51" s="80"/>
      <c r="O51" s="16"/>
      <c r="P51" s="16"/>
      <c r="Q51" s="16"/>
      <c r="R51" s="16"/>
      <c r="S51" s="16"/>
      <c r="T51" s="17"/>
      <c r="U51" s="17"/>
      <c r="V51" s="17"/>
      <c r="W51" s="17"/>
      <c r="X51" s="17">
        <f t="shared" si="1"/>
        <v>13</v>
      </c>
      <c r="Y51" s="18">
        <f t="shared" si="2"/>
        <v>3980015.7418339239</v>
      </c>
      <c r="Z51" s="24"/>
      <c r="AA51" s="20"/>
      <c r="AB51" s="21" t="b">
        <v>1</v>
      </c>
      <c r="AC51" s="22">
        <f t="shared" si="3"/>
        <v>0</v>
      </c>
      <c r="AD51" s="32"/>
      <c r="AE51" s="32"/>
    </row>
    <row r="52" spans="1:31" ht="12.75">
      <c r="A52" s="10">
        <f t="shared" si="0"/>
        <v>0</v>
      </c>
      <c r="B52" s="13"/>
      <c r="C52" s="13"/>
      <c r="D52" s="13"/>
      <c r="E52" s="13"/>
      <c r="F52" s="13"/>
      <c r="G52" s="13"/>
      <c r="H52" s="13"/>
      <c r="I52" s="13"/>
      <c r="J52" s="13"/>
      <c r="K52" s="13"/>
      <c r="L52" s="17"/>
      <c r="M52" s="17"/>
      <c r="N52" s="80" t="s">
        <v>204</v>
      </c>
      <c r="O52" s="16"/>
      <c r="P52" s="16"/>
      <c r="Q52" s="16"/>
      <c r="R52" s="16"/>
      <c r="S52" s="16"/>
      <c r="T52" s="17"/>
      <c r="U52" s="17"/>
      <c r="V52" s="17"/>
      <c r="W52" s="17"/>
      <c r="X52" s="17">
        <f t="shared" si="1"/>
        <v>13</v>
      </c>
      <c r="Y52" s="18">
        <f t="shared" si="2"/>
        <v>3980015.7418339239</v>
      </c>
      <c r="Z52" s="24"/>
      <c r="AA52" s="20"/>
      <c r="AB52" s="21" t="b">
        <v>1</v>
      </c>
      <c r="AC52" s="22">
        <f t="shared" si="3"/>
        <v>0</v>
      </c>
      <c r="AD52" s="32"/>
      <c r="AE52" s="32"/>
    </row>
    <row r="53" spans="1:31" ht="12.75">
      <c r="A53" s="10">
        <f t="shared" si="0"/>
        <v>0</v>
      </c>
      <c r="B53" s="13"/>
      <c r="C53" s="13"/>
      <c r="D53" s="13"/>
      <c r="E53" s="13"/>
      <c r="F53" s="13"/>
      <c r="G53" s="13"/>
      <c r="H53" s="13"/>
      <c r="I53" s="13"/>
      <c r="J53" s="13"/>
      <c r="K53" s="13"/>
      <c r="L53" s="85" t="s">
        <v>807</v>
      </c>
      <c r="M53" s="17"/>
      <c r="N53" s="80"/>
      <c r="O53" s="16"/>
      <c r="P53" s="16"/>
      <c r="Q53" s="16"/>
      <c r="R53" s="16"/>
      <c r="S53" s="16"/>
      <c r="T53" s="17"/>
      <c r="U53" s="17"/>
      <c r="V53" s="17"/>
      <c r="W53" s="17"/>
      <c r="X53" s="17">
        <f t="shared" si="1"/>
        <v>14</v>
      </c>
      <c r="Y53" s="18">
        <f t="shared" si="2"/>
        <v>7748046.0448642271</v>
      </c>
      <c r="Z53" s="24"/>
      <c r="AA53" s="20"/>
      <c r="AB53" s="21" t="b">
        <v>1</v>
      </c>
      <c r="AC53" s="22">
        <f t="shared" si="3"/>
        <v>7748046.0448642271</v>
      </c>
      <c r="AD53" s="32"/>
      <c r="AE53" s="32"/>
    </row>
    <row r="54" spans="1:31" ht="12.75">
      <c r="A54" s="10">
        <f t="shared" si="0"/>
        <v>7748046.0448642271</v>
      </c>
      <c r="B54" s="13">
        <v>4</v>
      </c>
      <c r="C54" s="13">
        <v>5</v>
      </c>
      <c r="D54" s="13">
        <v>5</v>
      </c>
      <c r="E54" s="13">
        <v>4</v>
      </c>
      <c r="F54" s="13">
        <v>2</v>
      </c>
      <c r="G54" s="13">
        <v>3</v>
      </c>
      <c r="H54" s="13"/>
      <c r="I54" s="13"/>
      <c r="J54" s="13"/>
      <c r="K54" s="13"/>
      <c r="L54" s="17"/>
      <c r="M54" s="16" t="s">
        <v>808</v>
      </c>
      <c r="N54" s="80"/>
      <c r="O54" s="16"/>
      <c r="P54" s="16"/>
      <c r="Q54" s="16"/>
      <c r="R54" s="16"/>
      <c r="S54" s="16"/>
      <c r="T54" s="17"/>
      <c r="U54" s="17"/>
      <c r="V54" s="17"/>
      <c r="W54" s="17"/>
      <c r="X54" s="17">
        <f t="shared" si="1"/>
        <v>14</v>
      </c>
      <c r="Y54" s="18">
        <f t="shared" si="2"/>
        <v>7748046.0448642271</v>
      </c>
      <c r="Z54" s="24"/>
      <c r="AA54" s="20"/>
      <c r="AB54" s="21" t="b">
        <v>1</v>
      </c>
      <c r="AC54" s="22">
        <f t="shared" si="3"/>
        <v>0</v>
      </c>
      <c r="AD54" s="32"/>
      <c r="AE54" s="32"/>
    </row>
    <row r="55" spans="1:31" ht="12.75">
      <c r="A55" s="10">
        <f t="shared" si="0"/>
        <v>0</v>
      </c>
      <c r="B55" s="13"/>
      <c r="C55" s="13"/>
      <c r="D55" s="13"/>
      <c r="E55" s="13"/>
      <c r="F55" s="13"/>
      <c r="G55" s="13"/>
      <c r="H55" s="13"/>
      <c r="I55" s="13"/>
      <c r="J55" s="13"/>
      <c r="K55" s="13"/>
      <c r="L55" s="17"/>
      <c r="M55" s="16" t="s">
        <v>809</v>
      </c>
      <c r="N55" s="80"/>
      <c r="O55" s="16"/>
      <c r="P55" s="16"/>
      <c r="Q55" s="16"/>
      <c r="R55" s="16"/>
      <c r="S55" s="16"/>
      <c r="T55" s="17"/>
      <c r="U55" s="17"/>
      <c r="V55" s="17"/>
      <c r="W55" s="17"/>
      <c r="X55" s="17">
        <f t="shared" si="1"/>
        <v>14</v>
      </c>
      <c r="Y55" s="18">
        <f t="shared" si="2"/>
        <v>7748046.0448642271</v>
      </c>
      <c r="Z55" s="24"/>
      <c r="AA55" s="20"/>
      <c r="AB55" s="21" t="b">
        <v>1</v>
      </c>
      <c r="AC55" s="22">
        <f t="shared" si="3"/>
        <v>0</v>
      </c>
      <c r="AD55" s="32"/>
      <c r="AE55" s="32"/>
    </row>
    <row r="56" spans="1:31" ht="12.75">
      <c r="A56" s="10">
        <f t="shared" si="0"/>
        <v>0</v>
      </c>
      <c r="B56" s="13"/>
      <c r="C56" s="13"/>
      <c r="D56" s="13"/>
      <c r="E56" s="13"/>
      <c r="F56" s="13"/>
      <c r="G56" s="13"/>
      <c r="H56" s="13"/>
      <c r="I56" s="13"/>
      <c r="J56" s="13"/>
      <c r="K56" s="13"/>
      <c r="L56" s="17"/>
      <c r="M56" s="16" t="s">
        <v>810</v>
      </c>
      <c r="N56" s="80"/>
      <c r="O56" s="16"/>
      <c r="P56" s="16"/>
      <c r="Q56" s="16"/>
      <c r="R56" s="16"/>
      <c r="S56" s="16"/>
      <c r="T56" s="17"/>
      <c r="U56" s="17"/>
      <c r="V56" s="17"/>
      <c r="W56" s="17"/>
      <c r="X56" s="17">
        <f t="shared" si="1"/>
        <v>14</v>
      </c>
      <c r="Y56" s="18">
        <f t="shared" si="2"/>
        <v>7748046.0448642271</v>
      </c>
      <c r="Z56" s="24"/>
      <c r="AA56" s="20"/>
      <c r="AB56" s="21" t="b">
        <v>1</v>
      </c>
      <c r="AC56" s="22">
        <f t="shared" si="3"/>
        <v>0</v>
      </c>
      <c r="AD56" s="32"/>
      <c r="AE56" s="32"/>
    </row>
    <row r="57" spans="1:31" ht="12.75">
      <c r="A57" s="10">
        <f t="shared" si="0"/>
        <v>0</v>
      </c>
      <c r="B57" s="13"/>
      <c r="C57" s="13"/>
      <c r="D57" s="13"/>
      <c r="E57" s="13"/>
      <c r="F57" s="13"/>
      <c r="G57" s="13"/>
      <c r="H57" s="13"/>
      <c r="I57" s="13"/>
      <c r="J57" s="13"/>
      <c r="K57" s="13"/>
      <c r="L57" s="17"/>
      <c r="M57" s="16" t="s">
        <v>811</v>
      </c>
      <c r="N57" s="80"/>
      <c r="O57" s="16"/>
      <c r="P57" s="16"/>
      <c r="Q57" s="16"/>
      <c r="R57" s="16"/>
      <c r="S57" s="16"/>
      <c r="T57" s="17"/>
      <c r="U57" s="17"/>
      <c r="V57" s="17"/>
      <c r="W57" s="17"/>
      <c r="X57" s="17">
        <f t="shared" si="1"/>
        <v>14</v>
      </c>
      <c r="Y57" s="18">
        <f t="shared" si="2"/>
        <v>7748046.0448642271</v>
      </c>
      <c r="Z57" s="24"/>
      <c r="AA57" s="20"/>
      <c r="AB57" s="21" t="b">
        <v>1</v>
      </c>
      <c r="AC57" s="22">
        <f t="shared" si="3"/>
        <v>0</v>
      </c>
      <c r="AD57" s="32"/>
      <c r="AE57" s="32"/>
    </row>
    <row r="58" spans="1:31" ht="12.75">
      <c r="A58" s="10">
        <f t="shared" si="0"/>
        <v>0</v>
      </c>
      <c r="B58" s="13"/>
      <c r="C58" s="13"/>
      <c r="D58" s="13"/>
      <c r="E58" s="13"/>
      <c r="F58" s="13"/>
      <c r="G58" s="13"/>
      <c r="H58" s="13"/>
      <c r="I58" s="13"/>
      <c r="J58" s="13"/>
      <c r="K58" s="13"/>
      <c r="L58" s="17"/>
      <c r="M58" s="16" t="s">
        <v>812</v>
      </c>
      <c r="N58" s="80"/>
      <c r="O58" s="16"/>
      <c r="P58" s="16"/>
      <c r="Q58" s="16"/>
      <c r="R58" s="16"/>
      <c r="S58" s="16"/>
      <c r="T58" s="17"/>
      <c r="U58" s="17"/>
      <c r="V58" s="17"/>
      <c r="W58" s="17"/>
      <c r="X58" s="17">
        <f t="shared" si="1"/>
        <v>14</v>
      </c>
      <c r="Y58" s="18">
        <f t="shared" si="2"/>
        <v>7748046.0448642271</v>
      </c>
      <c r="Z58" s="24"/>
      <c r="AA58" s="20"/>
      <c r="AB58" s="21" t="b">
        <v>1</v>
      </c>
      <c r="AC58" s="22">
        <f t="shared" si="3"/>
        <v>0</v>
      </c>
      <c r="AD58" s="32"/>
      <c r="AE58" s="32"/>
    </row>
    <row r="59" spans="1:31" ht="12.75">
      <c r="A59" s="10">
        <f t="shared" si="0"/>
        <v>0</v>
      </c>
      <c r="B59" s="13"/>
      <c r="C59" s="13"/>
      <c r="D59" s="13"/>
      <c r="E59" s="13"/>
      <c r="F59" s="13"/>
      <c r="G59" s="13"/>
      <c r="H59" s="13"/>
      <c r="I59" s="13"/>
      <c r="J59" s="13"/>
      <c r="K59" s="13"/>
      <c r="L59" s="17"/>
      <c r="M59" s="16" t="s">
        <v>813</v>
      </c>
      <c r="N59" s="80"/>
      <c r="O59" s="16"/>
      <c r="P59" s="16"/>
      <c r="Q59" s="16"/>
      <c r="R59" s="16"/>
      <c r="S59" s="16"/>
      <c r="T59" s="17"/>
      <c r="U59" s="17"/>
      <c r="V59" s="17"/>
      <c r="W59" s="17"/>
      <c r="X59" s="17">
        <f t="shared" si="1"/>
        <v>14</v>
      </c>
      <c r="Y59" s="18">
        <f t="shared" si="2"/>
        <v>7748046.0448642271</v>
      </c>
      <c r="Z59" s="24"/>
      <c r="AA59" s="20"/>
      <c r="AB59" s="21" t="b">
        <v>1</v>
      </c>
      <c r="AC59" s="22">
        <f t="shared" si="3"/>
        <v>0</v>
      </c>
      <c r="AD59" s="32"/>
      <c r="AE59" s="32"/>
    </row>
    <row r="60" spans="1:31" ht="12.75">
      <c r="A60" s="10">
        <f t="shared" si="0"/>
        <v>0</v>
      </c>
      <c r="B60" s="13"/>
      <c r="C60" s="13"/>
      <c r="D60" s="13"/>
      <c r="E60" s="13"/>
      <c r="F60" s="13"/>
      <c r="G60" s="13"/>
      <c r="H60" s="13"/>
      <c r="I60" s="13"/>
      <c r="J60" s="13"/>
      <c r="K60" s="13"/>
      <c r="L60" s="17"/>
      <c r="M60" s="16" t="s">
        <v>814</v>
      </c>
      <c r="N60" s="80"/>
      <c r="O60" s="16"/>
      <c r="P60" s="16"/>
      <c r="Q60" s="16"/>
      <c r="R60" s="16"/>
      <c r="S60" s="16"/>
      <c r="T60" s="17"/>
      <c r="U60" s="17"/>
      <c r="V60" s="17"/>
      <c r="W60" s="17"/>
      <c r="X60" s="17">
        <f t="shared" si="1"/>
        <v>14</v>
      </c>
      <c r="Y60" s="18">
        <f t="shared" si="2"/>
        <v>7748046.0448642271</v>
      </c>
      <c r="Z60" s="24"/>
      <c r="AA60" s="20"/>
      <c r="AB60" s="21" t="b">
        <v>1</v>
      </c>
      <c r="AC60" s="22">
        <f t="shared" si="3"/>
        <v>0</v>
      </c>
      <c r="AD60" s="32"/>
      <c r="AE60" s="32"/>
    </row>
    <row r="61" spans="1:31" ht="12.75">
      <c r="A61" s="10">
        <f t="shared" si="0"/>
        <v>0</v>
      </c>
      <c r="B61" s="13"/>
      <c r="C61" s="13"/>
      <c r="D61" s="13"/>
      <c r="E61" s="13"/>
      <c r="F61" s="13"/>
      <c r="G61" s="13"/>
      <c r="H61" s="13"/>
      <c r="I61" s="13"/>
      <c r="J61" s="13"/>
      <c r="K61" s="13"/>
      <c r="L61" s="17"/>
      <c r="M61" s="16" t="s">
        <v>815</v>
      </c>
      <c r="N61" s="80"/>
      <c r="O61" s="16"/>
      <c r="P61" s="16"/>
      <c r="Q61" s="16"/>
      <c r="R61" s="16"/>
      <c r="S61" s="16"/>
      <c r="T61" s="17"/>
      <c r="U61" s="17"/>
      <c r="V61" s="17"/>
      <c r="W61" s="17"/>
      <c r="X61" s="17">
        <f t="shared" si="1"/>
        <v>14</v>
      </c>
      <c r="Y61" s="18">
        <f t="shared" si="2"/>
        <v>7748046.0448642271</v>
      </c>
      <c r="Z61" s="24"/>
      <c r="AA61" s="20"/>
      <c r="AB61" s="21" t="b">
        <v>1</v>
      </c>
      <c r="AC61" s="22">
        <f t="shared" si="3"/>
        <v>0</v>
      </c>
      <c r="AD61" s="32"/>
      <c r="AE61" s="32"/>
    </row>
    <row r="62" spans="1:31" ht="12.75">
      <c r="A62" s="10">
        <f t="shared" si="0"/>
        <v>0</v>
      </c>
      <c r="B62" s="13"/>
      <c r="C62" s="13"/>
      <c r="D62" s="13"/>
      <c r="E62" s="13"/>
      <c r="F62" s="13"/>
      <c r="G62" s="13"/>
      <c r="H62" s="13"/>
      <c r="I62" s="13"/>
      <c r="J62" s="13"/>
      <c r="K62" s="13"/>
      <c r="L62" s="17"/>
      <c r="M62" s="16" t="s">
        <v>816</v>
      </c>
      <c r="N62" s="80"/>
      <c r="O62" s="16"/>
      <c r="P62" s="16"/>
      <c r="Q62" s="16"/>
      <c r="R62" s="16"/>
      <c r="S62" s="16"/>
      <c r="T62" s="17"/>
      <c r="U62" s="17"/>
      <c r="V62" s="17"/>
      <c r="W62" s="17"/>
      <c r="X62" s="17">
        <f t="shared" si="1"/>
        <v>14</v>
      </c>
      <c r="Y62" s="18">
        <f t="shared" si="2"/>
        <v>7748046.0448642271</v>
      </c>
      <c r="Z62" s="24"/>
      <c r="AA62" s="20"/>
      <c r="AB62" s="21" t="b">
        <v>1</v>
      </c>
      <c r="AC62" s="22">
        <f t="shared" si="3"/>
        <v>0</v>
      </c>
      <c r="AD62" s="32"/>
      <c r="AE62" s="32"/>
    </row>
    <row r="63" spans="1:31" ht="12.75">
      <c r="A63" s="10">
        <f t="shared" si="0"/>
        <v>0</v>
      </c>
      <c r="B63" s="13"/>
      <c r="C63" s="13"/>
      <c r="D63" s="13"/>
      <c r="E63" s="13"/>
      <c r="F63" s="13"/>
      <c r="G63" s="13"/>
      <c r="H63" s="13"/>
      <c r="I63" s="13"/>
      <c r="J63" s="13"/>
      <c r="K63" s="13"/>
      <c r="L63" s="17"/>
      <c r="M63" s="17"/>
      <c r="N63" s="80"/>
      <c r="O63" s="16"/>
      <c r="P63" s="16"/>
      <c r="Q63" s="16"/>
      <c r="R63" s="16"/>
      <c r="S63" s="16"/>
      <c r="T63" s="17"/>
      <c r="U63" s="17"/>
      <c r="V63" s="17"/>
      <c r="W63" s="17"/>
      <c r="X63" s="17">
        <f t="shared" si="1"/>
        <v>14</v>
      </c>
      <c r="Y63" s="18">
        <f t="shared" si="2"/>
        <v>7748046.0448642271</v>
      </c>
      <c r="Z63" s="24"/>
      <c r="AA63" s="20"/>
      <c r="AB63" s="21" t="b">
        <v>1</v>
      </c>
      <c r="AC63" s="22">
        <f t="shared" si="3"/>
        <v>0</v>
      </c>
      <c r="AD63" s="32"/>
      <c r="AE63" s="32"/>
    </row>
    <row r="64" spans="1:31" ht="12.75">
      <c r="A64" s="10">
        <f t="shared" si="0"/>
        <v>0</v>
      </c>
      <c r="B64" s="13"/>
      <c r="C64" s="13"/>
      <c r="D64" s="13"/>
      <c r="E64" s="13"/>
      <c r="F64" s="13"/>
      <c r="G64" s="13"/>
      <c r="H64" s="13"/>
      <c r="I64" s="13"/>
      <c r="J64" s="13"/>
      <c r="K64" s="13"/>
      <c r="L64" s="17"/>
      <c r="M64" s="17"/>
      <c r="N64" s="80"/>
      <c r="O64" s="16"/>
      <c r="P64" s="16"/>
      <c r="Q64" s="16"/>
      <c r="R64" s="16"/>
      <c r="S64" s="16"/>
      <c r="T64" s="17"/>
      <c r="U64" s="17"/>
      <c r="V64" s="17"/>
      <c r="W64" s="17"/>
      <c r="X64" s="17">
        <f t="shared" si="1"/>
        <v>14</v>
      </c>
      <c r="Y64" s="18">
        <f t="shared" si="2"/>
        <v>7748046.0448642271</v>
      </c>
      <c r="Z64" s="24"/>
      <c r="AA64" s="20"/>
      <c r="AB64" s="21" t="b">
        <v>1</v>
      </c>
      <c r="AC64" s="22">
        <f t="shared" si="3"/>
        <v>0</v>
      </c>
      <c r="AD64" s="32"/>
      <c r="AE64" s="32"/>
    </row>
    <row r="65" spans="1:31" ht="12.75">
      <c r="A65" s="10">
        <f t="shared" si="0"/>
        <v>0</v>
      </c>
      <c r="B65" s="13"/>
      <c r="C65" s="13"/>
      <c r="D65" s="13"/>
      <c r="E65" s="13"/>
      <c r="F65" s="13"/>
      <c r="G65" s="13"/>
      <c r="H65" s="13"/>
      <c r="I65" s="13"/>
      <c r="J65" s="13"/>
      <c r="K65" s="13"/>
      <c r="L65" s="17"/>
      <c r="M65" s="17"/>
      <c r="N65" s="80"/>
      <c r="O65" s="16"/>
      <c r="P65" s="16"/>
      <c r="Q65" s="16"/>
      <c r="R65" s="16"/>
      <c r="S65" s="16"/>
      <c r="T65" s="17"/>
      <c r="U65" s="17"/>
      <c r="V65" s="17"/>
      <c r="W65" s="17"/>
      <c r="X65" s="17">
        <f t="shared" si="1"/>
        <v>14</v>
      </c>
      <c r="Y65" s="18">
        <f t="shared" si="2"/>
        <v>7748046.0448642271</v>
      </c>
      <c r="Z65" s="24"/>
      <c r="AA65" s="20"/>
      <c r="AB65" s="21" t="b">
        <v>1</v>
      </c>
      <c r="AC65" s="22">
        <f>IF(L71="",0,IF(AB65=FALSE(),0,Y65))</f>
        <v>0</v>
      </c>
      <c r="AD65" s="28"/>
      <c r="AE65" s="28"/>
    </row>
    <row r="66" spans="1:31" ht="12.75">
      <c r="A66" s="33"/>
      <c r="B66" s="33"/>
      <c r="C66" s="33"/>
      <c r="D66" s="33"/>
      <c r="E66" s="33"/>
      <c r="F66" s="33"/>
      <c r="G66" s="33"/>
      <c r="H66" s="33"/>
      <c r="I66" s="33"/>
      <c r="J66" s="33"/>
      <c r="K66" s="33"/>
      <c r="L66" s="34"/>
      <c r="M66" s="34"/>
      <c r="N66" s="35"/>
      <c r="O66" s="35" t="s">
        <v>20</v>
      </c>
      <c r="P66" s="34"/>
      <c r="Q66" s="34"/>
      <c r="R66" s="34"/>
      <c r="S66" s="34"/>
      <c r="T66" s="34"/>
      <c r="U66" s="34"/>
      <c r="V66" s="34"/>
      <c r="W66" s="34"/>
      <c r="X66" s="34"/>
      <c r="Y66" s="34"/>
      <c r="Z66" s="34"/>
      <c r="AA66" s="34"/>
      <c r="AB66" s="34"/>
      <c r="AC66" s="34"/>
      <c r="AD66" s="34"/>
      <c r="AE66" s="34"/>
    </row>
    <row r="67" spans="1:31" ht="15">
      <c r="A67" s="36">
        <f>ROW()</f>
        <v>67</v>
      </c>
      <c r="B67" s="23">
        <f t="shared" ref="B67:K67" si="4">SUM(B2:B66)</f>
        <v>29</v>
      </c>
      <c r="C67" s="23">
        <f t="shared" si="4"/>
        <v>20</v>
      </c>
      <c r="D67" s="23">
        <f t="shared" si="4"/>
        <v>20</v>
      </c>
      <c r="E67" s="23">
        <f t="shared" si="4"/>
        <v>34</v>
      </c>
      <c r="F67" s="23">
        <f t="shared" si="4"/>
        <v>16</v>
      </c>
      <c r="G67" s="23">
        <f t="shared" si="4"/>
        <v>19</v>
      </c>
      <c r="H67" s="23">
        <f t="shared" si="4"/>
        <v>4</v>
      </c>
      <c r="I67" s="23">
        <f t="shared" si="4"/>
        <v>0</v>
      </c>
      <c r="J67" s="23">
        <f t="shared" si="4"/>
        <v>0</v>
      </c>
      <c r="K67" s="23">
        <f t="shared" si="4"/>
        <v>30.5</v>
      </c>
      <c r="L67" s="27"/>
      <c r="M67" s="16"/>
      <c r="N67" s="16"/>
      <c r="O67" s="17"/>
      <c r="P67" s="23"/>
      <c r="Q67" s="23"/>
      <c r="R67" s="23"/>
      <c r="S67" s="23"/>
      <c r="T67" s="23"/>
      <c r="U67" s="23"/>
      <c r="V67" s="23"/>
      <c r="W67" s="13"/>
      <c r="X67" s="23"/>
      <c r="Y67" s="23"/>
      <c r="Z67" s="23"/>
      <c r="AA67" s="23"/>
      <c r="AB67" s="23"/>
      <c r="AC67" s="37"/>
      <c r="AD67" s="23"/>
      <c r="AE67" s="23"/>
    </row>
    <row r="68" spans="1:31" ht="12.75">
      <c r="A68" s="23"/>
      <c r="B68" s="23"/>
      <c r="C68" s="38"/>
      <c r="D68" s="38"/>
      <c r="E68" s="38"/>
      <c r="F68" s="38"/>
      <c r="G68" s="38"/>
      <c r="H68" s="38"/>
      <c r="I68" s="130" t="s">
        <v>21</v>
      </c>
      <c r="J68" s="117"/>
      <c r="K68" s="117"/>
      <c r="L68" s="117"/>
      <c r="M68" s="131">
        <f>400000+120000</f>
        <v>520000</v>
      </c>
      <c r="N68" s="117"/>
      <c r="O68" s="117"/>
      <c r="P68" s="23"/>
      <c r="Q68" s="23"/>
      <c r="R68" s="23"/>
      <c r="S68" s="38"/>
      <c r="T68" s="38"/>
      <c r="U68" s="38"/>
      <c r="V68" s="23"/>
      <c r="W68" s="23"/>
      <c r="X68" s="23"/>
      <c r="Y68" s="23"/>
      <c r="Z68" s="23"/>
      <c r="AA68" s="23"/>
      <c r="AB68" s="23"/>
      <c r="AC68" s="37"/>
      <c r="AD68" s="23"/>
      <c r="AE68" s="23"/>
    </row>
    <row r="69" spans="1:31" ht="15">
      <c r="A69" s="23"/>
      <c r="B69" s="23"/>
      <c r="C69" s="38"/>
      <c r="D69" s="39" t="s">
        <v>22</v>
      </c>
      <c r="E69" s="40">
        <v>1423000</v>
      </c>
      <c r="F69" s="41" t="s">
        <v>23</v>
      </c>
      <c r="G69" s="42">
        <v>200000</v>
      </c>
      <c r="H69" s="38"/>
      <c r="I69" s="43" t="s">
        <v>24</v>
      </c>
      <c r="J69" s="44">
        <v>0.18</v>
      </c>
      <c r="K69" s="44"/>
      <c r="L69" s="45" t="s">
        <v>25</v>
      </c>
      <c r="M69" s="46">
        <f>2.7/12</f>
        <v>0.22500000000000001</v>
      </c>
      <c r="N69" s="47" t="s">
        <v>26</v>
      </c>
      <c r="O69" s="48">
        <f>40*4.2*((244-2)/260)</f>
        <v>156.36923076923077</v>
      </c>
      <c r="P69" s="38"/>
      <c r="Q69" s="43" t="s">
        <v>27</v>
      </c>
      <c r="R69" s="49"/>
      <c r="S69" s="38"/>
      <c r="T69" s="50">
        <v>8</v>
      </c>
      <c r="U69" s="51" t="s">
        <v>28</v>
      </c>
      <c r="V69" s="52"/>
      <c r="W69" s="23"/>
      <c r="X69" s="23"/>
      <c r="Y69" s="37"/>
      <c r="Z69" s="23"/>
      <c r="AA69" s="23"/>
      <c r="AB69" s="23"/>
      <c r="AC69" s="37"/>
      <c r="AD69" s="23"/>
      <c r="AE69" s="23"/>
    </row>
    <row r="70" spans="1:31" ht="12.75">
      <c r="A70" s="23"/>
      <c r="B70" s="23"/>
      <c r="C70" s="127" t="s">
        <v>29</v>
      </c>
      <c r="D70" s="117"/>
      <c r="E70" s="117"/>
      <c r="F70" s="127" t="s">
        <v>30</v>
      </c>
      <c r="G70" s="117"/>
      <c r="H70" s="117"/>
      <c r="I70" s="127" t="s">
        <v>31</v>
      </c>
      <c r="J70" s="117"/>
      <c r="K70" s="117"/>
      <c r="L70" s="117"/>
      <c r="M70" s="127" t="s">
        <v>32</v>
      </c>
      <c r="N70" s="117"/>
      <c r="O70" s="117"/>
      <c r="P70" s="127" t="s">
        <v>33</v>
      </c>
      <c r="Q70" s="117"/>
      <c r="R70" s="117"/>
      <c r="S70" s="38"/>
      <c r="T70" s="38"/>
      <c r="U70" s="53" t="s">
        <v>26</v>
      </c>
      <c r="V70" s="127" t="s">
        <v>34</v>
      </c>
      <c r="W70" s="117"/>
      <c r="X70" s="117"/>
      <c r="Y70" s="23"/>
      <c r="Z70" s="23"/>
      <c r="AA70" s="23"/>
      <c r="AB70" s="23"/>
      <c r="AC70" s="37"/>
      <c r="AD70" s="23"/>
      <c r="AE70" s="23"/>
    </row>
    <row r="71" spans="1:31" ht="12.75">
      <c r="A71" s="54" t="s">
        <v>35</v>
      </c>
      <c r="B71" s="53" t="str">
        <f>B1</f>
        <v>DB</v>
      </c>
      <c r="C71" s="116">
        <v>6000000</v>
      </c>
      <c r="D71" s="117"/>
      <c r="E71" s="117"/>
      <c r="F71" s="116">
        <v>1000000</v>
      </c>
      <c r="G71" s="117"/>
      <c r="H71" s="117"/>
      <c r="I71" s="116">
        <v>0</v>
      </c>
      <c r="J71" s="117"/>
      <c r="K71" s="117"/>
      <c r="L71" s="117"/>
      <c r="M71" s="116">
        <f t="shared" ref="M71:M80" si="5">C71*(1+$J$69+$M$69)+F71+I71+$M$68+IF(($E$69*2)&gt;=C71,$G$69,0)</f>
        <v>9950000</v>
      </c>
      <c r="N71" s="117"/>
      <c r="O71" s="117"/>
      <c r="P71" s="124">
        <f t="shared" ref="P71:P80" si="6">M71/$O$69*(1+$R$69)</f>
        <v>63631.444313262495</v>
      </c>
      <c r="Q71" s="117"/>
      <c r="R71" s="117"/>
      <c r="S71" s="38"/>
      <c r="T71" s="38"/>
      <c r="U71" s="23">
        <f t="shared" ref="U71:U80" si="7">HLOOKUP(B71,$B$1:$K$67,$A$67,0)*$T$69</f>
        <v>232</v>
      </c>
      <c r="W71" s="55">
        <f t="shared" ref="W71:W80" si="8">P71*U71</f>
        <v>14762495.080676898</v>
      </c>
      <c r="Y71" s="23"/>
      <c r="Z71" s="23"/>
      <c r="AA71" s="23"/>
      <c r="AB71" s="23"/>
      <c r="AC71" s="87">
        <v>82870</v>
      </c>
      <c r="AD71" s="23"/>
      <c r="AE71" s="23"/>
    </row>
    <row r="72" spans="1:31" ht="12.75">
      <c r="A72" s="54" t="s">
        <v>36</v>
      </c>
      <c r="B72" s="53" t="str">
        <f>C1</f>
        <v>UX</v>
      </c>
      <c r="C72" s="116">
        <v>3000000</v>
      </c>
      <c r="D72" s="117"/>
      <c r="E72" s="117"/>
      <c r="F72" s="116">
        <v>500000</v>
      </c>
      <c r="G72" s="117"/>
      <c r="H72" s="117"/>
      <c r="I72" s="116">
        <v>0</v>
      </c>
      <c r="J72" s="117"/>
      <c r="K72" s="117"/>
      <c r="L72" s="117"/>
      <c r="M72" s="116">
        <f t="shared" si="5"/>
        <v>5235000</v>
      </c>
      <c r="N72" s="117"/>
      <c r="O72" s="117"/>
      <c r="P72" s="124">
        <f t="shared" si="6"/>
        <v>33478.453364817004</v>
      </c>
      <c r="Q72" s="117"/>
      <c r="R72" s="117"/>
      <c r="S72" s="38"/>
      <c r="T72" s="38"/>
      <c r="U72" s="23">
        <f t="shared" si="7"/>
        <v>160</v>
      </c>
      <c r="W72" s="55">
        <f t="shared" si="8"/>
        <v>5356552.538370721</v>
      </c>
      <c r="Y72" s="13" t="s">
        <v>55</v>
      </c>
      <c r="Z72" s="23"/>
      <c r="AA72" s="23"/>
      <c r="AB72" s="23"/>
      <c r="AC72" s="37"/>
      <c r="AD72" s="23"/>
      <c r="AE72" s="23"/>
    </row>
    <row r="73" spans="1:31" ht="12.75">
      <c r="A73" s="54" t="s">
        <v>37</v>
      </c>
      <c r="B73" s="53" t="str">
        <f>D1</f>
        <v>FM</v>
      </c>
      <c r="C73" s="116">
        <v>3000000</v>
      </c>
      <c r="D73" s="117"/>
      <c r="E73" s="117"/>
      <c r="F73" s="116">
        <v>500000</v>
      </c>
      <c r="G73" s="117"/>
      <c r="H73" s="117"/>
      <c r="I73" s="116">
        <v>0</v>
      </c>
      <c r="J73" s="117"/>
      <c r="K73" s="117"/>
      <c r="L73" s="117"/>
      <c r="M73" s="116">
        <f t="shared" si="5"/>
        <v>5235000</v>
      </c>
      <c r="N73" s="117"/>
      <c r="O73" s="117"/>
      <c r="P73" s="124">
        <f t="shared" si="6"/>
        <v>33478.453364817004</v>
      </c>
      <c r="Q73" s="117"/>
      <c r="R73" s="117"/>
      <c r="S73" s="38"/>
      <c r="T73" s="38"/>
      <c r="U73" s="23">
        <f t="shared" si="7"/>
        <v>160</v>
      </c>
      <c r="W73" s="55">
        <f t="shared" si="8"/>
        <v>5356552.538370721</v>
      </c>
      <c r="Y73" s="23"/>
      <c r="Z73" s="23"/>
      <c r="AA73" s="23"/>
      <c r="AB73" s="23"/>
      <c r="AC73" s="37"/>
      <c r="AD73" s="23"/>
      <c r="AE73" s="23"/>
    </row>
    <row r="74" spans="1:31" ht="12.75">
      <c r="A74" s="54" t="s">
        <v>38</v>
      </c>
      <c r="B74" s="53" t="str">
        <f>E1</f>
        <v>BS</v>
      </c>
      <c r="C74" s="116">
        <v>4000000</v>
      </c>
      <c r="D74" s="117"/>
      <c r="E74" s="117"/>
      <c r="F74" s="116">
        <v>1500000</v>
      </c>
      <c r="G74" s="117"/>
      <c r="H74" s="117"/>
      <c r="I74" s="116">
        <v>0</v>
      </c>
      <c r="J74" s="117"/>
      <c r="K74" s="117"/>
      <c r="L74" s="117"/>
      <c r="M74" s="116">
        <f t="shared" si="5"/>
        <v>7640000</v>
      </c>
      <c r="N74" s="117"/>
      <c r="O74" s="117"/>
      <c r="P74" s="124">
        <f t="shared" si="6"/>
        <v>48858.717040535223</v>
      </c>
      <c r="Q74" s="117"/>
      <c r="R74" s="117"/>
      <c r="S74" s="38"/>
      <c r="T74" s="38"/>
      <c r="U74" s="23">
        <f t="shared" si="7"/>
        <v>272</v>
      </c>
      <c r="W74" s="55">
        <f t="shared" si="8"/>
        <v>13289571.03502558</v>
      </c>
      <c r="Y74" s="23"/>
      <c r="Z74" s="23"/>
      <c r="AA74" s="23"/>
      <c r="AB74" s="23"/>
      <c r="AC74" s="115">
        <f>AC1/0.6</f>
        <v>98655470.287288487</v>
      </c>
      <c r="AD74" s="23"/>
      <c r="AE74" s="23"/>
    </row>
    <row r="75" spans="1:31" ht="12.75">
      <c r="A75" s="54" t="s">
        <v>39</v>
      </c>
      <c r="B75" s="53" t="str">
        <f>F1</f>
        <v>BM</v>
      </c>
      <c r="C75" s="116">
        <v>3500000</v>
      </c>
      <c r="D75" s="117"/>
      <c r="E75" s="117"/>
      <c r="F75" s="116">
        <v>1000000</v>
      </c>
      <c r="G75" s="117"/>
      <c r="H75" s="117"/>
      <c r="I75" s="116">
        <v>0</v>
      </c>
      <c r="J75" s="117"/>
      <c r="K75" s="117"/>
      <c r="L75" s="117"/>
      <c r="M75" s="116">
        <f t="shared" si="5"/>
        <v>6437500</v>
      </c>
      <c r="N75" s="117"/>
      <c r="O75" s="117"/>
      <c r="P75" s="124">
        <f t="shared" si="6"/>
        <v>41168.585202676113</v>
      </c>
      <c r="Q75" s="117"/>
      <c r="R75" s="117"/>
      <c r="S75" s="38"/>
      <c r="T75" s="38"/>
      <c r="U75" s="23">
        <f t="shared" si="7"/>
        <v>128</v>
      </c>
      <c r="W75" s="55">
        <f t="shared" si="8"/>
        <v>5269578.9059425425</v>
      </c>
      <c r="Y75" s="23"/>
      <c r="Z75" s="23"/>
      <c r="AA75" s="23"/>
      <c r="AB75" s="23"/>
      <c r="AC75" s="37"/>
      <c r="AD75" s="23"/>
      <c r="AE75" s="23"/>
    </row>
    <row r="76" spans="1:31" ht="12.75">
      <c r="A76" s="54" t="s">
        <v>40</v>
      </c>
      <c r="B76" s="53" t="str">
        <f>G1</f>
        <v>QA</v>
      </c>
      <c r="C76" s="116">
        <v>2500000</v>
      </c>
      <c r="D76" s="117"/>
      <c r="E76" s="117"/>
      <c r="F76" s="116">
        <v>1000000</v>
      </c>
      <c r="G76" s="117"/>
      <c r="H76" s="117"/>
      <c r="I76" s="116">
        <v>54000</v>
      </c>
      <c r="J76" s="117"/>
      <c r="K76" s="117"/>
      <c r="L76" s="117"/>
      <c r="M76" s="116">
        <f t="shared" si="5"/>
        <v>5286500</v>
      </c>
      <c r="N76" s="117"/>
      <c r="O76" s="117"/>
      <c r="P76" s="124">
        <f t="shared" si="6"/>
        <v>33807.80204643841</v>
      </c>
      <c r="Q76" s="117"/>
      <c r="R76" s="117"/>
      <c r="S76" s="38"/>
      <c r="T76" s="38"/>
      <c r="U76" s="23">
        <f t="shared" si="7"/>
        <v>152</v>
      </c>
      <c r="W76" s="55">
        <f t="shared" si="8"/>
        <v>5138785.9110586382</v>
      </c>
      <c r="Y76" s="23"/>
      <c r="Z76" s="23"/>
      <c r="AA76" s="23"/>
      <c r="AB76" s="23"/>
      <c r="AC76" s="37"/>
      <c r="AD76" s="23"/>
      <c r="AE76" s="23"/>
    </row>
    <row r="77" spans="1:31" ht="12.75">
      <c r="A77" s="54" t="s">
        <v>41</v>
      </c>
      <c r="B77" s="53" t="str">
        <f>H1</f>
        <v>IM</v>
      </c>
      <c r="C77" s="116">
        <v>2500000</v>
      </c>
      <c r="D77" s="117"/>
      <c r="E77" s="117"/>
      <c r="F77" s="116">
        <v>1000000</v>
      </c>
      <c r="G77" s="117"/>
      <c r="H77" s="117"/>
      <c r="I77" s="116">
        <v>0</v>
      </c>
      <c r="J77" s="117"/>
      <c r="K77" s="117"/>
      <c r="L77" s="117"/>
      <c r="M77" s="116">
        <f t="shared" si="5"/>
        <v>5232500</v>
      </c>
      <c r="N77" s="117"/>
      <c r="O77" s="117"/>
      <c r="P77" s="124">
        <f t="shared" si="6"/>
        <v>33462.46556473829</v>
      </c>
      <c r="Q77" s="117"/>
      <c r="R77" s="117"/>
      <c r="S77" s="38"/>
      <c r="T77" s="38"/>
      <c r="U77" s="23">
        <f t="shared" si="7"/>
        <v>32</v>
      </c>
      <c r="W77" s="55">
        <f t="shared" si="8"/>
        <v>1070798.8980716253</v>
      </c>
      <c r="Y77" s="23"/>
      <c r="Z77" s="23"/>
      <c r="AA77" s="23"/>
      <c r="AB77" s="23"/>
      <c r="AC77" s="37"/>
      <c r="AD77" s="23"/>
      <c r="AE77" s="23"/>
    </row>
    <row r="78" spans="1:31" ht="12.75">
      <c r="A78" s="54" t="s">
        <v>42</v>
      </c>
      <c r="B78" s="53" t="str">
        <f>I1</f>
        <v>MS</v>
      </c>
      <c r="C78" s="116">
        <v>7500000</v>
      </c>
      <c r="D78" s="117"/>
      <c r="E78" s="117"/>
      <c r="F78" s="116">
        <v>2000000</v>
      </c>
      <c r="G78" s="117"/>
      <c r="H78" s="117"/>
      <c r="I78" s="116">
        <v>132000</v>
      </c>
      <c r="J78" s="117"/>
      <c r="K78" s="117"/>
      <c r="L78" s="117"/>
      <c r="M78" s="116">
        <f t="shared" si="5"/>
        <v>13189500</v>
      </c>
      <c r="N78" s="117"/>
      <c r="O78" s="117"/>
      <c r="P78" s="124">
        <f t="shared" si="6"/>
        <v>84348.435655253837</v>
      </c>
      <c r="Q78" s="117"/>
      <c r="R78" s="117"/>
      <c r="S78" s="38"/>
      <c r="T78" s="38"/>
      <c r="U78" s="23">
        <f t="shared" si="7"/>
        <v>0</v>
      </c>
      <c r="W78" s="55">
        <f t="shared" si="8"/>
        <v>0</v>
      </c>
      <c r="Y78" s="23"/>
      <c r="Z78" s="23"/>
      <c r="AA78" s="23"/>
      <c r="AB78" s="23"/>
      <c r="AC78" s="37"/>
      <c r="AD78" s="23"/>
      <c r="AE78" s="23"/>
    </row>
    <row r="79" spans="1:31" ht="12.75">
      <c r="A79" s="54" t="s">
        <v>43</v>
      </c>
      <c r="B79" s="53" t="str">
        <f>J1</f>
        <v>MM</v>
      </c>
      <c r="C79" s="116">
        <v>3000000</v>
      </c>
      <c r="D79" s="117"/>
      <c r="E79" s="117"/>
      <c r="F79" s="116">
        <v>1000000</v>
      </c>
      <c r="G79" s="117"/>
      <c r="H79" s="117"/>
      <c r="I79" s="116">
        <v>132000</v>
      </c>
      <c r="J79" s="117"/>
      <c r="K79" s="117"/>
      <c r="L79" s="117"/>
      <c r="M79" s="116">
        <f t="shared" si="5"/>
        <v>5867000</v>
      </c>
      <c r="N79" s="117"/>
      <c r="O79" s="117"/>
      <c r="P79" s="124">
        <f t="shared" si="6"/>
        <v>37520.169224714678</v>
      </c>
      <c r="Q79" s="117"/>
      <c r="R79" s="117"/>
      <c r="S79" s="38"/>
      <c r="T79" s="38"/>
      <c r="U79" s="23">
        <f t="shared" si="7"/>
        <v>0</v>
      </c>
      <c r="W79" s="55">
        <f t="shared" si="8"/>
        <v>0</v>
      </c>
      <c r="Y79" s="23"/>
      <c r="Z79" s="23"/>
      <c r="AA79" s="23"/>
      <c r="AB79" s="23"/>
      <c r="AC79" s="37"/>
      <c r="AD79" s="23"/>
      <c r="AE79" s="23"/>
    </row>
    <row r="80" spans="1:31" ht="12.75">
      <c r="A80" s="54" t="s">
        <v>44</v>
      </c>
      <c r="B80" s="53" t="s">
        <v>10</v>
      </c>
      <c r="C80" s="116">
        <v>3000000</v>
      </c>
      <c r="D80" s="117"/>
      <c r="E80" s="117"/>
      <c r="F80" s="116">
        <v>1000000</v>
      </c>
      <c r="G80" s="117"/>
      <c r="H80" s="117"/>
      <c r="I80" s="116"/>
      <c r="J80" s="117"/>
      <c r="K80" s="117"/>
      <c r="L80" s="117"/>
      <c r="M80" s="116">
        <f t="shared" si="5"/>
        <v>5735000</v>
      </c>
      <c r="N80" s="117"/>
      <c r="O80" s="117"/>
      <c r="P80" s="124">
        <f t="shared" si="6"/>
        <v>36676.013380558834</v>
      </c>
      <c r="Q80" s="117"/>
      <c r="R80" s="117"/>
      <c r="S80" s="38"/>
      <c r="T80" s="38"/>
      <c r="U80" s="23">
        <f t="shared" si="7"/>
        <v>244</v>
      </c>
      <c r="W80" s="55">
        <f t="shared" si="8"/>
        <v>8948947.2648563553</v>
      </c>
      <c r="Y80" s="23"/>
      <c r="Z80" s="23"/>
      <c r="AA80" s="23"/>
      <c r="AB80" s="23"/>
      <c r="AC80" s="37"/>
      <c r="AD80" s="23"/>
      <c r="AE80" s="23"/>
    </row>
    <row r="81" spans="1:31" ht="12.75">
      <c r="A81" s="54"/>
      <c r="B81" s="53"/>
      <c r="C81" s="38"/>
      <c r="D81" s="38"/>
      <c r="E81" s="38"/>
      <c r="F81" s="38"/>
      <c r="G81" s="38"/>
      <c r="H81" s="38"/>
      <c r="I81" s="23"/>
      <c r="J81" s="23"/>
      <c r="K81" s="23"/>
      <c r="L81" s="23"/>
      <c r="M81" s="23"/>
      <c r="N81" s="23"/>
      <c r="O81" s="23"/>
      <c r="P81" s="125">
        <f>SUM(P71:P80)</f>
        <v>446430.53915781184</v>
      </c>
      <c r="Q81" s="117"/>
      <c r="R81" s="117"/>
      <c r="S81" s="38"/>
      <c r="T81" s="38"/>
      <c r="U81" s="38"/>
      <c r="W81" s="56">
        <f>SUM(W71:W80)</f>
        <v>59193282.172373079</v>
      </c>
      <c r="Y81" s="23"/>
      <c r="Z81" s="23"/>
      <c r="AA81" s="23"/>
      <c r="AB81" s="23"/>
      <c r="AC81" s="37"/>
      <c r="AD81" s="23"/>
      <c r="AE81" s="23"/>
    </row>
    <row r="82" spans="1:31" ht="12.75">
      <c r="A82" s="23"/>
      <c r="B82" s="23"/>
      <c r="C82" s="57"/>
      <c r="D82" s="57"/>
      <c r="E82" s="23"/>
      <c r="F82" s="23"/>
      <c r="G82" s="23"/>
      <c r="H82" s="38"/>
      <c r="I82" s="23"/>
      <c r="J82" s="23"/>
      <c r="K82" s="23"/>
      <c r="L82" s="38"/>
      <c r="M82" s="23"/>
      <c r="N82" s="23"/>
      <c r="O82" s="23"/>
      <c r="P82" s="23"/>
      <c r="Q82" s="23"/>
      <c r="R82" s="23"/>
      <c r="S82" s="23"/>
      <c r="T82" s="23"/>
      <c r="U82" s="23"/>
      <c r="V82" s="23"/>
      <c r="W82" s="23"/>
      <c r="X82" s="23"/>
      <c r="Y82" s="23"/>
      <c r="Z82" s="23"/>
      <c r="AA82" s="23"/>
      <c r="AB82" s="23"/>
      <c r="AC82" s="37"/>
      <c r="AD82" s="23"/>
      <c r="AE82" s="23"/>
    </row>
    <row r="83" spans="1:31" ht="12.7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37"/>
      <c r="AD83" s="23"/>
      <c r="AE83" s="23"/>
    </row>
    <row r="84" spans="1:31" ht="12.75">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9"/>
      <c r="AD84" s="58"/>
      <c r="AE84" s="58"/>
    </row>
    <row r="85" spans="1:31" ht="15">
      <c r="A85" s="58"/>
      <c r="B85" s="58"/>
      <c r="C85" s="118"/>
      <c r="D85" s="119"/>
      <c r="E85" s="119"/>
      <c r="F85" s="120"/>
      <c r="G85" s="121" t="s">
        <v>212</v>
      </c>
      <c r="H85" s="122"/>
      <c r="I85" s="122"/>
      <c r="J85" s="123"/>
      <c r="K85" s="60"/>
      <c r="L85" s="126"/>
      <c r="M85" s="122"/>
      <c r="N85" s="122"/>
      <c r="O85" s="123"/>
      <c r="P85" s="121"/>
      <c r="Q85" s="122"/>
      <c r="R85" s="122"/>
      <c r="S85" s="123"/>
      <c r="T85" s="126"/>
      <c r="U85" s="122"/>
      <c r="V85" s="122"/>
      <c r="W85" s="123"/>
      <c r="X85" s="121"/>
      <c r="Y85" s="122"/>
      <c r="Z85" s="123"/>
      <c r="AA85" s="126"/>
      <c r="AB85" s="122"/>
      <c r="AC85" s="123"/>
      <c r="AD85" s="61"/>
      <c r="AE85" s="58"/>
    </row>
    <row r="86" spans="1:31" ht="12.75">
      <c r="A86" s="62" t="e">
        <f t="array" aca="1" ref="A86:A100" ca="1">unique(L1:L66)</f>
        <v>#NAME?</v>
      </c>
      <c r="B86" s="63"/>
      <c r="C86" s="64"/>
      <c r="D86" s="64"/>
      <c r="E86" s="64"/>
      <c r="F86" s="65"/>
      <c r="G86" s="66" t="s">
        <v>45</v>
      </c>
      <c r="H86" s="66" t="s">
        <v>46</v>
      </c>
      <c r="I86" s="66" t="s">
        <v>47</v>
      </c>
      <c r="J86" s="66" t="s">
        <v>48</v>
      </c>
      <c r="K86" s="66" t="s">
        <v>49</v>
      </c>
      <c r="L86" s="67" t="s">
        <v>50</v>
      </c>
      <c r="M86" s="67" t="s">
        <v>51</v>
      </c>
      <c r="N86" s="67" t="s">
        <v>52</v>
      </c>
      <c r="O86" s="67" t="s">
        <v>53</v>
      </c>
      <c r="P86" s="66" t="s">
        <v>54</v>
      </c>
      <c r="Q86" s="66"/>
      <c r="R86" s="66"/>
      <c r="S86" s="66"/>
      <c r="T86" s="67"/>
      <c r="U86" s="67"/>
      <c r="V86" s="67"/>
      <c r="W86" s="67"/>
      <c r="X86" s="66"/>
      <c r="Y86" s="66"/>
      <c r="Z86" s="66"/>
      <c r="AA86" s="67"/>
      <c r="AB86" s="67"/>
      <c r="AC86" s="68"/>
      <c r="AD86" s="67"/>
      <c r="AE86" s="58"/>
    </row>
    <row r="87" spans="1:31" ht="12.75">
      <c r="A87" s="69" t="e">
        <f ca="1"/>
        <v>#NAME?</v>
      </c>
      <c r="B87" s="70"/>
      <c r="C87" s="71"/>
      <c r="D87" s="71" t="s">
        <v>55</v>
      </c>
      <c r="E87" s="71"/>
      <c r="F87" s="72"/>
      <c r="G87" s="73" t="s">
        <v>213</v>
      </c>
      <c r="H87" s="73"/>
      <c r="I87" s="73"/>
      <c r="J87" s="73"/>
      <c r="K87" s="73"/>
      <c r="L87" s="74"/>
      <c r="M87" s="74"/>
      <c r="N87" s="74"/>
      <c r="O87" s="75"/>
      <c r="P87" s="76"/>
      <c r="Q87" s="76"/>
      <c r="R87" s="76"/>
      <c r="S87" s="76"/>
      <c r="T87" s="75"/>
      <c r="U87" s="75"/>
      <c r="V87" s="75"/>
      <c r="W87" s="75"/>
      <c r="X87" s="76"/>
      <c r="Y87" s="76"/>
      <c r="Z87" s="76"/>
      <c r="AA87" s="75"/>
      <c r="AB87" s="75"/>
      <c r="AC87" s="77"/>
      <c r="AD87" s="75"/>
      <c r="AE87" s="58"/>
    </row>
    <row r="88" spans="1:31" ht="12.75">
      <c r="A88" s="69" t="e">
        <f ca="1"/>
        <v>#NAME?</v>
      </c>
      <c r="B88" s="70"/>
      <c r="C88" s="71"/>
      <c r="D88" s="71"/>
      <c r="E88" s="71"/>
      <c r="F88" s="72"/>
      <c r="G88" s="73" t="s">
        <v>156</v>
      </c>
      <c r="H88" s="73"/>
      <c r="I88" s="73"/>
      <c r="J88" s="73"/>
      <c r="K88" s="73"/>
      <c r="L88" s="74"/>
      <c r="M88" s="75"/>
      <c r="N88" s="75"/>
      <c r="O88" s="75"/>
      <c r="P88" s="76"/>
      <c r="Q88" s="76"/>
      <c r="R88" s="76"/>
      <c r="S88" s="76"/>
      <c r="T88" s="75"/>
      <c r="U88" s="75"/>
      <c r="V88" s="75"/>
      <c r="W88" s="75"/>
      <c r="X88" s="76"/>
      <c r="Y88" s="76"/>
      <c r="Z88" s="76"/>
      <c r="AA88" s="75"/>
      <c r="AB88" s="75"/>
      <c r="AC88" s="77"/>
      <c r="AD88" s="75"/>
      <c r="AE88" s="58"/>
    </row>
    <row r="89" spans="1:31" ht="12.75">
      <c r="A89" s="69" t="e">
        <f ca="1"/>
        <v>#NAME?</v>
      </c>
      <c r="B89" s="70"/>
      <c r="C89" s="71"/>
      <c r="D89" s="71"/>
      <c r="E89" s="71"/>
      <c r="F89" s="72"/>
      <c r="G89" s="73" t="s">
        <v>156</v>
      </c>
      <c r="H89" s="73"/>
      <c r="I89" s="73"/>
      <c r="J89" s="73"/>
      <c r="K89" s="73"/>
      <c r="L89" s="74"/>
      <c r="M89" s="74"/>
      <c r="N89" s="74"/>
      <c r="O89" s="74"/>
      <c r="P89" s="76"/>
      <c r="Q89" s="76"/>
      <c r="R89" s="76"/>
      <c r="S89" s="76"/>
      <c r="T89" s="75"/>
      <c r="U89" s="75"/>
      <c r="V89" s="75"/>
      <c r="W89" s="75"/>
      <c r="X89" s="76"/>
      <c r="Y89" s="76"/>
      <c r="Z89" s="76"/>
      <c r="AA89" s="75"/>
      <c r="AB89" s="75"/>
      <c r="AC89" s="77"/>
      <c r="AD89" s="75"/>
      <c r="AE89" s="58"/>
    </row>
    <row r="90" spans="1:31" ht="12.75">
      <c r="A90" s="69" t="e">
        <f ca="1"/>
        <v>#NAME?</v>
      </c>
      <c r="B90" s="70"/>
      <c r="C90" s="71"/>
      <c r="D90" s="71"/>
      <c r="E90" s="71"/>
      <c r="F90" s="72"/>
      <c r="G90" s="73" t="s">
        <v>156</v>
      </c>
      <c r="H90" s="73"/>
      <c r="I90" s="73"/>
      <c r="J90" s="73"/>
      <c r="K90" s="73"/>
      <c r="L90" s="74"/>
      <c r="M90" s="74"/>
      <c r="N90" s="74"/>
      <c r="O90" s="75"/>
      <c r="P90" s="76"/>
      <c r="Q90" s="76"/>
      <c r="R90" s="76"/>
      <c r="S90" s="76"/>
      <c r="T90" s="75"/>
      <c r="U90" s="75"/>
      <c r="V90" s="75"/>
      <c r="W90" s="75"/>
      <c r="X90" s="76"/>
      <c r="Y90" s="76"/>
      <c r="Z90" s="76"/>
      <c r="AA90" s="75"/>
      <c r="AB90" s="75"/>
      <c r="AC90" s="77"/>
      <c r="AD90" s="75"/>
      <c r="AE90" s="58"/>
    </row>
    <row r="91" spans="1:31" ht="12.75">
      <c r="A91" s="69" t="e">
        <f ca="1"/>
        <v>#NAME?</v>
      </c>
      <c r="B91" s="70"/>
      <c r="C91" s="71"/>
      <c r="D91" s="71"/>
      <c r="E91" s="71"/>
      <c r="F91" s="72"/>
      <c r="G91" s="73" t="s">
        <v>213</v>
      </c>
      <c r="H91" s="73" t="s">
        <v>156</v>
      </c>
      <c r="I91" s="73"/>
      <c r="J91" s="73"/>
      <c r="K91" s="73"/>
      <c r="L91" s="74"/>
      <c r="M91" s="74"/>
      <c r="N91" s="74"/>
      <c r="O91" s="74"/>
      <c r="P91" s="76"/>
      <c r="Q91" s="76"/>
      <c r="R91" s="76"/>
      <c r="S91" s="76"/>
      <c r="T91" s="75"/>
      <c r="U91" s="75"/>
      <c r="V91" s="75"/>
      <c r="W91" s="75"/>
      <c r="X91" s="76"/>
      <c r="Y91" s="76"/>
      <c r="Z91" s="76"/>
      <c r="AA91" s="75"/>
      <c r="AB91" s="75"/>
      <c r="AC91" s="77"/>
      <c r="AD91" s="75"/>
      <c r="AE91" s="58"/>
    </row>
    <row r="92" spans="1:31" ht="12.75">
      <c r="A92" s="69" t="e">
        <f ca="1"/>
        <v>#NAME?</v>
      </c>
      <c r="B92" s="70"/>
      <c r="C92" s="71"/>
      <c r="D92" s="71"/>
      <c r="E92" s="71"/>
      <c r="F92" s="72"/>
      <c r="G92" s="73" t="s">
        <v>156</v>
      </c>
      <c r="H92" s="73" t="s">
        <v>156</v>
      </c>
      <c r="I92" s="73"/>
      <c r="J92" s="73"/>
      <c r="K92" s="73"/>
      <c r="L92" s="74"/>
      <c r="M92" s="74"/>
      <c r="N92" s="74"/>
      <c r="O92" s="75"/>
      <c r="P92" s="73"/>
      <c r="Q92" s="76"/>
      <c r="R92" s="76"/>
      <c r="S92" s="76"/>
      <c r="T92" s="75"/>
      <c r="U92" s="75"/>
      <c r="V92" s="75"/>
      <c r="W92" s="75"/>
      <c r="X92" s="76"/>
      <c r="Y92" s="76"/>
      <c r="Z92" s="76"/>
      <c r="AA92" s="75"/>
      <c r="AB92" s="75"/>
      <c r="AC92" s="77"/>
      <c r="AD92" s="75"/>
      <c r="AE92" s="58"/>
    </row>
    <row r="93" spans="1:31" ht="12.75">
      <c r="A93" s="69" t="e">
        <f ca="1"/>
        <v>#NAME?</v>
      </c>
      <c r="B93" s="70"/>
      <c r="C93" s="71"/>
      <c r="D93" s="71"/>
      <c r="E93" s="71"/>
      <c r="F93" s="72"/>
      <c r="G93" s="73" t="s">
        <v>156</v>
      </c>
      <c r="H93" s="73" t="s">
        <v>156</v>
      </c>
      <c r="I93" s="73"/>
      <c r="J93" s="73"/>
      <c r="K93" s="73"/>
      <c r="L93" s="74"/>
      <c r="M93" s="74"/>
      <c r="N93" s="74"/>
      <c r="O93" s="75"/>
      <c r="P93" s="73"/>
      <c r="Q93" s="76"/>
      <c r="R93" s="76"/>
      <c r="S93" s="76"/>
      <c r="T93" s="75"/>
      <c r="U93" s="75"/>
      <c r="V93" s="75"/>
      <c r="W93" s="75"/>
      <c r="X93" s="76"/>
      <c r="Y93" s="76"/>
      <c r="Z93" s="76"/>
      <c r="AA93" s="75"/>
      <c r="AB93" s="75"/>
      <c r="AC93" s="77"/>
      <c r="AD93" s="75"/>
      <c r="AE93" s="58"/>
    </row>
    <row r="94" spans="1:31" ht="12.75">
      <c r="A94" s="69" t="e">
        <f ca="1"/>
        <v>#NAME?</v>
      </c>
      <c r="B94" s="70"/>
      <c r="C94" s="71"/>
      <c r="D94" s="71"/>
      <c r="E94" s="71"/>
      <c r="F94" s="72"/>
      <c r="G94" s="73" t="s">
        <v>156</v>
      </c>
      <c r="H94" s="73" t="s">
        <v>156</v>
      </c>
      <c r="I94" s="73"/>
      <c r="J94" s="73"/>
      <c r="K94" s="73"/>
      <c r="L94" s="74"/>
      <c r="M94" s="74"/>
      <c r="N94" s="74"/>
      <c r="O94" s="74"/>
      <c r="P94" s="73"/>
      <c r="Q94" s="76"/>
      <c r="R94" s="76"/>
      <c r="S94" s="76"/>
      <c r="T94" s="75"/>
      <c r="U94" s="75"/>
      <c r="V94" s="75"/>
      <c r="W94" s="75"/>
      <c r="X94" s="76"/>
      <c r="Y94" s="76"/>
      <c r="Z94" s="76"/>
      <c r="AA94" s="75"/>
      <c r="AB94" s="75"/>
      <c r="AC94" s="77"/>
      <c r="AD94" s="75"/>
      <c r="AE94" s="58"/>
    </row>
    <row r="95" spans="1:31" ht="12.75">
      <c r="A95" s="69" t="e">
        <f ca="1"/>
        <v>#NAME?</v>
      </c>
      <c r="B95" s="70"/>
      <c r="C95" s="71"/>
      <c r="D95" s="71"/>
      <c r="E95" s="71"/>
      <c r="F95" s="72"/>
      <c r="G95" s="73" t="s">
        <v>156</v>
      </c>
      <c r="H95" s="73" t="s">
        <v>156</v>
      </c>
      <c r="I95" s="73"/>
      <c r="J95" s="73"/>
      <c r="K95" s="73"/>
      <c r="L95" s="74"/>
      <c r="M95" s="74"/>
      <c r="N95" s="74"/>
      <c r="O95" s="75"/>
      <c r="P95" s="76"/>
      <c r="Q95" s="76"/>
      <c r="R95" s="76"/>
      <c r="S95" s="76"/>
      <c r="T95" s="75"/>
      <c r="U95" s="75"/>
      <c r="V95" s="75"/>
      <c r="W95" s="75"/>
      <c r="X95" s="76"/>
      <c r="Y95" s="76"/>
      <c r="Z95" s="76"/>
      <c r="AA95" s="75"/>
      <c r="AB95" s="75"/>
      <c r="AC95" s="77"/>
      <c r="AD95" s="75"/>
      <c r="AE95" s="58"/>
    </row>
    <row r="96" spans="1:31" ht="12.75">
      <c r="A96" s="69" t="e">
        <f ca="1"/>
        <v>#NAME?</v>
      </c>
      <c r="B96" s="70"/>
      <c r="C96" s="71"/>
      <c r="D96" s="71"/>
      <c r="E96" s="71"/>
      <c r="F96" s="72"/>
      <c r="G96" s="73"/>
      <c r="H96" s="73" t="s">
        <v>156</v>
      </c>
      <c r="I96" s="73"/>
      <c r="J96" s="73"/>
      <c r="K96" s="73"/>
      <c r="L96" s="74"/>
      <c r="M96" s="74"/>
      <c r="N96" s="74"/>
      <c r="O96" s="75"/>
      <c r="P96" s="76"/>
      <c r="Q96" s="76"/>
      <c r="R96" s="76"/>
      <c r="S96" s="76"/>
      <c r="T96" s="75"/>
      <c r="U96" s="75"/>
      <c r="V96" s="75"/>
      <c r="W96" s="75"/>
      <c r="X96" s="76"/>
      <c r="Y96" s="76"/>
      <c r="Z96" s="76"/>
      <c r="AA96" s="75"/>
      <c r="AB96" s="75"/>
      <c r="AC96" s="77"/>
      <c r="AD96" s="75"/>
      <c r="AE96" s="58"/>
    </row>
    <row r="97" spans="1:31" ht="12.75">
      <c r="A97" s="69" t="e">
        <f ca="1"/>
        <v>#NAME?</v>
      </c>
      <c r="B97" s="70"/>
      <c r="C97" s="71"/>
      <c r="D97" s="71"/>
      <c r="E97" s="71"/>
      <c r="F97" s="72"/>
      <c r="G97" s="73"/>
      <c r="H97" s="73" t="s">
        <v>156</v>
      </c>
      <c r="I97" s="73"/>
      <c r="J97" s="73"/>
      <c r="K97" s="73"/>
      <c r="L97" s="74"/>
      <c r="M97" s="74"/>
      <c r="N97" s="74"/>
      <c r="O97" s="75"/>
      <c r="P97" s="76"/>
      <c r="Q97" s="76"/>
      <c r="R97" s="76"/>
      <c r="S97" s="76"/>
      <c r="T97" s="75"/>
      <c r="U97" s="75"/>
      <c r="V97" s="75"/>
      <c r="W97" s="75"/>
      <c r="X97" s="76"/>
      <c r="Y97" s="76"/>
      <c r="Z97" s="76"/>
      <c r="AA97" s="75"/>
      <c r="AB97" s="75"/>
      <c r="AC97" s="77"/>
      <c r="AD97" s="75"/>
      <c r="AE97" s="58"/>
    </row>
    <row r="98" spans="1:31" ht="12.75">
      <c r="A98" s="69" t="e">
        <f ca="1"/>
        <v>#NAME?</v>
      </c>
      <c r="B98" s="70"/>
      <c r="C98" s="71"/>
      <c r="D98" s="71"/>
      <c r="E98" s="71"/>
      <c r="F98" s="72"/>
      <c r="G98" s="73"/>
      <c r="H98" s="73" t="s">
        <v>156</v>
      </c>
      <c r="I98" s="73"/>
      <c r="J98" s="73"/>
      <c r="K98" s="73"/>
      <c r="L98" s="74"/>
      <c r="M98" s="74"/>
      <c r="N98" s="74"/>
      <c r="O98" s="75"/>
      <c r="P98" s="76"/>
      <c r="Q98" s="76"/>
      <c r="R98" s="76"/>
      <c r="S98" s="76"/>
      <c r="T98" s="75"/>
      <c r="U98" s="75"/>
      <c r="V98" s="75"/>
      <c r="W98" s="75"/>
      <c r="X98" s="76"/>
      <c r="Y98" s="76"/>
      <c r="Z98" s="76"/>
      <c r="AA98" s="75"/>
      <c r="AB98" s="75"/>
      <c r="AC98" s="77"/>
      <c r="AD98" s="75"/>
      <c r="AE98" s="58"/>
    </row>
    <row r="99" spans="1:31" ht="12.75">
      <c r="A99" s="69" t="e">
        <f ca="1"/>
        <v>#NAME?</v>
      </c>
      <c r="B99" s="70"/>
      <c r="C99" s="71"/>
      <c r="D99" s="71"/>
      <c r="E99" s="71"/>
      <c r="F99" s="72"/>
      <c r="G99" s="73"/>
      <c r="H99" s="73" t="s">
        <v>156</v>
      </c>
      <c r="I99" s="73"/>
      <c r="J99" s="73"/>
      <c r="K99" s="73"/>
      <c r="L99" s="74"/>
      <c r="M99" s="74"/>
      <c r="N99" s="74"/>
      <c r="O99" s="75"/>
      <c r="P99" s="76"/>
      <c r="Q99" s="76"/>
      <c r="R99" s="76"/>
      <c r="S99" s="76"/>
      <c r="T99" s="75"/>
      <c r="U99" s="75"/>
      <c r="V99" s="75"/>
      <c r="W99" s="75"/>
      <c r="X99" s="76"/>
      <c r="Y99" s="76"/>
      <c r="Z99" s="76"/>
      <c r="AA99" s="75"/>
      <c r="AB99" s="75"/>
      <c r="AC99" s="77"/>
      <c r="AD99" s="75"/>
      <c r="AE99" s="58"/>
    </row>
    <row r="100" spans="1:31" ht="12.75">
      <c r="A100" s="69" t="e">
        <f ca="1"/>
        <v>#NAME?</v>
      </c>
      <c r="B100" s="70"/>
      <c r="C100" s="71"/>
      <c r="D100" s="71"/>
      <c r="E100" s="71"/>
      <c r="F100" s="72"/>
      <c r="G100" s="73"/>
      <c r="H100" s="73" t="s">
        <v>156</v>
      </c>
      <c r="I100" s="73"/>
      <c r="J100" s="73"/>
      <c r="K100" s="73"/>
      <c r="L100" s="74"/>
      <c r="M100" s="74"/>
      <c r="N100" s="74"/>
      <c r="O100" s="75"/>
      <c r="P100" s="76"/>
      <c r="Q100" s="76"/>
      <c r="R100" s="76"/>
      <c r="S100" s="76"/>
      <c r="T100" s="75"/>
      <c r="U100" s="75"/>
      <c r="V100" s="75"/>
      <c r="W100" s="75"/>
      <c r="X100" s="76"/>
      <c r="Y100" s="76"/>
      <c r="Z100" s="76"/>
      <c r="AA100" s="75"/>
      <c r="AB100" s="75"/>
      <c r="AC100" s="77"/>
      <c r="AD100" s="75"/>
      <c r="AE100" s="58"/>
    </row>
    <row r="101" spans="1:31" ht="12.75">
      <c r="A101" s="69" t="s">
        <v>817</v>
      </c>
      <c r="B101" s="70"/>
      <c r="C101" s="71"/>
      <c r="D101" s="71"/>
      <c r="E101" s="71"/>
      <c r="F101" s="72"/>
      <c r="G101" s="73"/>
      <c r="H101" s="73"/>
      <c r="I101" s="73" t="s">
        <v>156</v>
      </c>
      <c r="J101" s="73"/>
      <c r="K101" s="73"/>
      <c r="L101" s="74"/>
      <c r="M101" s="74"/>
      <c r="N101" s="74"/>
      <c r="O101" s="75"/>
      <c r="P101" s="76"/>
      <c r="Q101" s="76"/>
      <c r="R101" s="76"/>
      <c r="S101" s="76"/>
      <c r="T101" s="75"/>
      <c r="U101" s="75"/>
      <c r="V101" s="75"/>
      <c r="W101" s="75"/>
      <c r="X101" s="76"/>
      <c r="Y101" s="76"/>
      <c r="Z101" s="76"/>
      <c r="AA101" s="75"/>
      <c r="AB101" s="75"/>
      <c r="AC101" s="77"/>
      <c r="AD101" s="75"/>
      <c r="AE101" s="58"/>
    </row>
    <row r="102" spans="1:31" ht="12.75">
      <c r="A102" s="69"/>
      <c r="B102" s="70"/>
      <c r="C102" s="71"/>
      <c r="D102" s="71"/>
      <c r="E102" s="71"/>
      <c r="F102" s="72"/>
      <c r="G102" s="73"/>
      <c r="H102" s="73"/>
      <c r="I102" s="73"/>
      <c r="J102" s="73"/>
      <c r="K102" s="73"/>
      <c r="L102" s="74"/>
      <c r="M102" s="74"/>
      <c r="N102" s="74"/>
      <c r="O102" s="75"/>
      <c r="P102" s="76"/>
      <c r="Q102" s="76"/>
      <c r="R102" s="76"/>
      <c r="S102" s="76"/>
      <c r="T102" s="75"/>
      <c r="U102" s="75"/>
      <c r="V102" s="75"/>
      <c r="W102" s="75"/>
      <c r="X102" s="76"/>
      <c r="Y102" s="76"/>
      <c r="Z102" s="76"/>
      <c r="AA102" s="75"/>
      <c r="AB102" s="75"/>
      <c r="AC102" s="77"/>
      <c r="AD102" s="75"/>
      <c r="AE102" s="58"/>
    </row>
    <row r="103" spans="1:31" ht="12.75">
      <c r="A103" s="69"/>
      <c r="B103" s="70"/>
      <c r="C103" s="71"/>
      <c r="D103" s="71"/>
      <c r="E103" s="71"/>
      <c r="F103" s="72"/>
      <c r="G103" s="73"/>
      <c r="H103" s="73"/>
      <c r="I103" s="73"/>
      <c r="J103" s="73"/>
      <c r="K103" s="73"/>
      <c r="L103" s="74"/>
      <c r="M103" s="74"/>
      <c r="N103" s="74"/>
      <c r="O103" s="75"/>
      <c r="P103" s="76"/>
      <c r="Q103" s="76"/>
      <c r="R103" s="76"/>
      <c r="S103" s="76"/>
      <c r="T103" s="75"/>
      <c r="U103" s="75"/>
      <c r="V103" s="75"/>
      <c r="W103" s="75"/>
      <c r="X103" s="76"/>
      <c r="Y103" s="76"/>
      <c r="Z103" s="76"/>
      <c r="AA103" s="75"/>
      <c r="AB103" s="75"/>
      <c r="AC103" s="77"/>
      <c r="AD103" s="75"/>
      <c r="AE103" s="58"/>
    </row>
    <row r="104" spans="1:31" ht="12.75">
      <c r="A104" s="69"/>
      <c r="B104" s="70"/>
      <c r="C104" s="71"/>
      <c r="D104" s="71"/>
      <c r="E104" s="71"/>
      <c r="F104" s="72"/>
      <c r="G104" s="73"/>
      <c r="H104" s="73"/>
      <c r="I104" s="73"/>
      <c r="J104" s="73"/>
      <c r="K104" s="73"/>
      <c r="L104" s="74"/>
      <c r="M104" s="74"/>
      <c r="N104" s="74"/>
      <c r="O104" s="75"/>
      <c r="P104" s="76"/>
      <c r="Q104" s="76"/>
      <c r="R104" s="76"/>
      <c r="S104" s="76"/>
      <c r="T104" s="75"/>
      <c r="U104" s="75"/>
      <c r="V104" s="75"/>
      <c r="W104" s="75"/>
      <c r="X104" s="76"/>
      <c r="Y104" s="76"/>
      <c r="Z104" s="76"/>
      <c r="AA104" s="75"/>
      <c r="AB104" s="75"/>
      <c r="AC104" s="77"/>
      <c r="AD104" s="75"/>
      <c r="AE104" s="58"/>
    </row>
    <row r="105" spans="1:31" ht="12.75">
      <c r="A105" s="69"/>
      <c r="B105" s="70"/>
      <c r="C105" s="71"/>
      <c r="D105" s="71"/>
      <c r="E105" s="71"/>
      <c r="F105" s="72"/>
      <c r="G105" s="73"/>
      <c r="H105" s="73"/>
      <c r="I105" s="73"/>
      <c r="J105" s="73"/>
      <c r="K105" s="73"/>
      <c r="L105" s="74"/>
      <c r="M105" s="74"/>
      <c r="N105" s="74"/>
      <c r="O105" s="75"/>
      <c r="P105" s="76"/>
      <c r="Q105" s="76"/>
      <c r="R105" s="76"/>
      <c r="S105" s="76"/>
      <c r="T105" s="75"/>
      <c r="U105" s="75"/>
      <c r="V105" s="75"/>
      <c r="W105" s="75"/>
      <c r="X105" s="76"/>
      <c r="Y105" s="76"/>
      <c r="Z105" s="76"/>
      <c r="AA105" s="75"/>
      <c r="AB105" s="75"/>
      <c r="AC105" s="77"/>
      <c r="AD105" s="75"/>
      <c r="AE105" s="58"/>
    </row>
    <row r="106" spans="1:31" ht="12.75">
      <c r="A106" s="69"/>
      <c r="B106" s="70"/>
      <c r="C106" s="71"/>
      <c r="D106" s="71"/>
      <c r="E106" s="71"/>
      <c r="F106" s="72"/>
      <c r="G106" s="73"/>
      <c r="H106" s="73"/>
      <c r="I106" s="73"/>
      <c r="J106" s="73"/>
      <c r="K106" s="73"/>
      <c r="L106" s="74"/>
      <c r="M106" s="74"/>
      <c r="N106" s="74"/>
      <c r="O106" s="75"/>
      <c r="P106" s="76"/>
      <c r="Q106" s="76"/>
      <c r="R106" s="76"/>
      <c r="S106" s="76"/>
      <c r="T106" s="75"/>
      <c r="U106" s="75"/>
      <c r="V106" s="75"/>
      <c r="W106" s="75"/>
      <c r="X106" s="76"/>
      <c r="Y106" s="76"/>
      <c r="Z106" s="76"/>
      <c r="AA106" s="75"/>
      <c r="AB106" s="75"/>
      <c r="AC106" s="77"/>
      <c r="AD106" s="75"/>
      <c r="AE106" s="58"/>
    </row>
    <row r="107" spans="1:31" ht="12.75">
      <c r="A107" s="69"/>
      <c r="B107" s="70"/>
      <c r="C107" s="71"/>
      <c r="D107" s="71"/>
      <c r="E107" s="71"/>
      <c r="F107" s="72"/>
      <c r="G107" s="73"/>
      <c r="H107" s="73"/>
      <c r="I107" s="73"/>
      <c r="J107" s="73"/>
      <c r="K107" s="73"/>
      <c r="L107" s="74"/>
      <c r="M107" s="74"/>
      <c r="N107" s="74"/>
      <c r="O107" s="75"/>
      <c r="P107" s="76"/>
      <c r="Q107" s="76"/>
      <c r="R107" s="76"/>
      <c r="S107" s="76"/>
      <c r="T107" s="75"/>
      <c r="U107" s="75"/>
      <c r="V107" s="75"/>
      <c r="W107" s="75"/>
      <c r="X107" s="76"/>
      <c r="Y107" s="76"/>
      <c r="Z107" s="76"/>
      <c r="AA107" s="75"/>
      <c r="AB107" s="75"/>
      <c r="AC107" s="77"/>
      <c r="AD107" s="75"/>
      <c r="AE107" s="58"/>
    </row>
    <row r="108" spans="1:31" ht="12.75">
      <c r="A108" s="69"/>
      <c r="B108" s="70"/>
      <c r="C108" s="71"/>
      <c r="D108" s="71"/>
      <c r="E108" s="71"/>
      <c r="F108" s="72"/>
      <c r="G108" s="73"/>
      <c r="H108" s="73"/>
      <c r="I108" s="73"/>
      <c r="J108" s="73"/>
      <c r="K108" s="73"/>
      <c r="L108" s="74"/>
      <c r="M108" s="74"/>
      <c r="N108" s="74"/>
      <c r="O108" s="75"/>
      <c r="P108" s="76"/>
      <c r="Q108" s="76"/>
      <c r="R108" s="76"/>
      <c r="S108" s="76"/>
      <c r="T108" s="75"/>
      <c r="U108" s="75"/>
      <c r="V108" s="75"/>
      <c r="W108" s="75"/>
      <c r="X108" s="76"/>
      <c r="Y108" s="76"/>
      <c r="Z108" s="76"/>
      <c r="AA108" s="75"/>
      <c r="AB108" s="75"/>
      <c r="AC108" s="77"/>
      <c r="AD108" s="75"/>
      <c r="AE108" s="58"/>
    </row>
    <row r="109" spans="1:31" ht="12.75">
      <c r="A109" s="69"/>
      <c r="B109" s="70"/>
      <c r="C109" s="71"/>
      <c r="D109" s="71"/>
      <c r="E109" s="71"/>
      <c r="F109" s="72"/>
      <c r="G109" s="73"/>
      <c r="H109" s="73"/>
      <c r="I109" s="73"/>
      <c r="J109" s="73"/>
      <c r="K109" s="73"/>
      <c r="L109" s="74"/>
      <c r="M109" s="74"/>
      <c r="N109" s="75"/>
      <c r="O109" s="75"/>
      <c r="P109" s="76"/>
      <c r="Q109" s="76"/>
      <c r="R109" s="76"/>
      <c r="S109" s="76"/>
      <c r="T109" s="75"/>
      <c r="U109" s="75"/>
      <c r="V109" s="75"/>
      <c r="W109" s="75"/>
      <c r="X109" s="76"/>
      <c r="Y109" s="76"/>
      <c r="Z109" s="76"/>
      <c r="AA109" s="75"/>
      <c r="AB109" s="75"/>
      <c r="AC109" s="77"/>
      <c r="AD109" s="75"/>
      <c r="AE109" s="58"/>
    </row>
    <row r="110" spans="1:31" ht="12.75">
      <c r="A110" s="69"/>
      <c r="B110" s="70"/>
      <c r="C110" s="71"/>
      <c r="D110" s="71"/>
      <c r="E110" s="71"/>
      <c r="F110" s="72"/>
      <c r="G110" s="73"/>
      <c r="H110" s="73"/>
      <c r="I110" s="73"/>
      <c r="J110" s="73"/>
      <c r="K110" s="73"/>
      <c r="L110" s="74"/>
      <c r="M110" s="74"/>
      <c r="N110" s="75"/>
      <c r="O110" s="75"/>
      <c r="P110" s="76"/>
      <c r="Q110" s="76"/>
      <c r="R110" s="76"/>
      <c r="S110" s="76"/>
      <c r="T110" s="75"/>
      <c r="U110" s="75"/>
      <c r="V110" s="75"/>
      <c r="W110" s="75"/>
      <c r="X110" s="76"/>
      <c r="Y110" s="76"/>
      <c r="Z110" s="76"/>
      <c r="AA110" s="75"/>
      <c r="AB110" s="75"/>
      <c r="AC110" s="77"/>
      <c r="AD110" s="75"/>
      <c r="AE110" s="58"/>
    </row>
    <row r="111" spans="1:31" ht="12.75">
      <c r="A111" s="23"/>
      <c r="B111" s="23"/>
      <c r="C111" s="23"/>
      <c r="D111" s="23"/>
      <c r="E111" s="23"/>
      <c r="F111" s="23"/>
      <c r="G111" s="23"/>
      <c r="H111" s="13"/>
      <c r="I111" s="13"/>
      <c r="J111" s="13"/>
      <c r="K111" s="13"/>
      <c r="L111" s="13"/>
      <c r="M111" s="13"/>
      <c r="N111" s="23"/>
      <c r="O111" s="23"/>
      <c r="P111" s="23"/>
      <c r="Q111" s="23"/>
      <c r="R111" s="23"/>
      <c r="S111" s="23"/>
      <c r="T111" s="23"/>
      <c r="U111" s="23"/>
      <c r="V111" s="23"/>
      <c r="W111" s="23"/>
      <c r="X111" s="23"/>
      <c r="Y111" s="23"/>
      <c r="Z111" s="23"/>
      <c r="AA111" s="23"/>
      <c r="AB111" s="23"/>
      <c r="AC111" s="37"/>
      <c r="AD111" s="23"/>
      <c r="AE111" s="58"/>
    </row>
    <row r="112" spans="1:31" ht="12.7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37"/>
      <c r="AD112" s="23"/>
      <c r="AE112" s="23"/>
    </row>
    <row r="113" spans="1:31" ht="12.7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37"/>
      <c r="AD113" s="23"/>
      <c r="AE113" s="23"/>
    </row>
  </sheetData>
  <mergeCells count="68">
    <mergeCell ref="C75:E75"/>
    <mergeCell ref="F75:H75"/>
    <mergeCell ref="C72:E72"/>
    <mergeCell ref="C73:E73"/>
    <mergeCell ref="F73:H73"/>
    <mergeCell ref="C74:E74"/>
    <mergeCell ref="F74:H74"/>
    <mergeCell ref="C76:E76"/>
    <mergeCell ref="F76:H76"/>
    <mergeCell ref="I76:L76"/>
    <mergeCell ref="M76:O76"/>
    <mergeCell ref="P76:R76"/>
    <mergeCell ref="F72:H72"/>
    <mergeCell ref="P72:R72"/>
    <mergeCell ref="I74:L74"/>
    <mergeCell ref="I75:L75"/>
    <mergeCell ref="M75:O75"/>
    <mergeCell ref="P75:R75"/>
    <mergeCell ref="I72:L72"/>
    <mergeCell ref="M72:O72"/>
    <mergeCell ref="I73:L73"/>
    <mergeCell ref="M73:O73"/>
    <mergeCell ref="P73:R73"/>
    <mergeCell ref="M74:O74"/>
    <mergeCell ref="P74:R74"/>
    <mergeCell ref="C71:E71"/>
    <mergeCell ref="F71:H71"/>
    <mergeCell ref="I71:L71"/>
    <mergeCell ref="M71:O71"/>
    <mergeCell ref="P71:R71"/>
    <mergeCell ref="I68:L68"/>
    <mergeCell ref="M68:O68"/>
    <mergeCell ref="C70:E70"/>
    <mergeCell ref="F70:H70"/>
    <mergeCell ref="I70:L70"/>
    <mergeCell ref="M70:O70"/>
    <mergeCell ref="P70:R70"/>
    <mergeCell ref="V70:X70"/>
    <mergeCell ref="M1:N1"/>
    <mergeCell ref="O1:U1"/>
    <mergeCell ref="AA85:AC85"/>
    <mergeCell ref="I78:L78"/>
    <mergeCell ref="M78:O78"/>
    <mergeCell ref="I79:L79"/>
    <mergeCell ref="M79:O79"/>
    <mergeCell ref="P79:R79"/>
    <mergeCell ref="I80:L80"/>
    <mergeCell ref="M80:O80"/>
    <mergeCell ref="P81:R81"/>
    <mergeCell ref="L85:O85"/>
    <mergeCell ref="P85:S85"/>
    <mergeCell ref="T85:W85"/>
    <mergeCell ref="X85:Z85"/>
    <mergeCell ref="M77:O77"/>
    <mergeCell ref="P77:R77"/>
    <mergeCell ref="F78:H78"/>
    <mergeCell ref="P78:R78"/>
    <mergeCell ref="P80:R80"/>
    <mergeCell ref="C85:F85"/>
    <mergeCell ref="G85:J85"/>
    <mergeCell ref="C77:E77"/>
    <mergeCell ref="F77:H77"/>
    <mergeCell ref="I77:L77"/>
    <mergeCell ref="C78:E78"/>
    <mergeCell ref="C79:E79"/>
    <mergeCell ref="F79:H79"/>
    <mergeCell ref="C80:E80"/>
    <mergeCell ref="F80:H80"/>
  </mergeCells>
  <conditionalFormatting sqref="C87:AD110">
    <cfRule type="notContainsBlanks" dxfId="14" priority="1">
      <formula>LEN(TRIM(C87))&gt;0</formula>
    </cfRule>
  </conditionalFormatting>
  <conditionalFormatting sqref="Y2:Y65">
    <cfRule type="expression" dxfId="13" priority="2">
      <formula>$L2&lt;&gt;""</formula>
    </cfRule>
  </conditionalFormatting>
  <conditionalFormatting sqref="Z1:Z65">
    <cfRule type="notContainsBlanks" dxfId="12" priority="3">
      <formula>LEN(TRIM(Z1))&gt;0</formula>
    </cfRule>
  </conditionalFormatting>
  <conditionalFormatting sqref="AA1:AA65">
    <cfRule type="notContainsBlanks" dxfId="11" priority="4">
      <formula>LEN(TRIM(AA1))&gt;0</formula>
    </cfRule>
  </conditionalFormatting>
  <conditionalFormatting sqref="AB2:AB65">
    <cfRule type="cellIs" dxfId="10" priority="5" operator="equal">
      <formula>FALSE()</formula>
    </cfRule>
  </conditionalFormatting>
  <dataValidations count="1">
    <dataValidation type="decimal" operator="greaterThanOrEqual" allowBlank="1" showDropDown="1" showErrorMessage="1" sqref="B2:K66">
      <formula1>0</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42"/>
  <sheetViews>
    <sheetView workbookViewId="0"/>
  </sheetViews>
  <sheetFormatPr baseColWidth="10" defaultColWidth="12.5703125" defaultRowHeight="15.75" customHeight="1"/>
  <cols>
    <col min="1" max="1" width="23.85546875" customWidth="1"/>
    <col min="2" max="8" width="5" customWidth="1"/>
    <col min="9" max="22" width="4.5703125" customWidth="1"/>
    <col min="23" max="23" width="19.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ht="76.5" customHeight="1">
      <c r="A1" s="1" t="s">
        <v>0</v>
      </c>
      <c r="B1" s="2" t="s">
        <v>1</v>
      </c>
      <c r="C1" s="2" t="s">
        <v>2</v>
      </c>
      <c r="D1" s="2" t="s">
        <v>3</v>
      </c>
      <c r="E1" s="2" t="s">
        <v>4</v>
      </c>
      <c r="F1" s="2" t="s">
        <v>5</v>
      </c>
      <c r="G1" s="2" t="s">
        <v>6</v>
      </c>
      <c r="H1" s="2" t="s">
        <v>7</v>
      </c>
      <c r="I1" s="2" t="s">
        <v>8</v>
      </c>
      <c r="J1" s="2" t="s">
        <v>9</v>
      </c>
      <c r="K1" s="2" t="s">
        <v>10</v>
      </c>
      <c r="L1" s="3"/>
      <c r="M1" s="128" t="s">
        <v>11</v>
      </c>
      <c r="N1" s="117"/>
      <c r="O1" s="129" t="s">
        <v>770</v>
      </c>
      <c r="P1" s="117"/>
      <c r="Q1" s="117"/>
      <c r="R1" s="117"/>
      <c r="S1" s="117"/>
      <c r="T1" s="117"/>
      <c r="U1" s="117"/>
      <c r="V1" s="3"/>
      <c r="W1" s="4">
        <v>46036</v>
      </c>
      <c r="X1" s="3"/>
      <c r="Y1" s="5">
        <f>SUMIFS(Y2:Y95,L2:L95,"&lt;&gt;"&amp;"")</f>
        <v>6695946.4777646596</v>
      </c>
      <c r="Z1" s="6" t="s">
        <v>13</v>
      </c>
      <c r="AA1" s="7" t="s">
        <v>14</v>
      </c>
      <c r="AB1" s="8" t="s">
        <v>15</v>
      </c>
      <c r="AC1" s="9">
        <f>SUM(AC2:AC95)</f>
        <v>6695946.4777646596</v>
      </c>
      <c r="AD1" s="3"/>
      <c r="AE1" s="3"/>
    </row>
    <row r="2" spans="1:31" ht="18">
      <c r="A2" s="10">
        <f t="shared" ref="A2:A94" si="0">(B2*$P$100+C2*$P$101+D2*$P$102+E2*$P$103+F2*$P$104+G2*$P$105+H2*$P$106+I2*$P$107+J2*$P$108+K2*$P$109)*$T$98</f>
        <v>2308894.1361668631</v>
      </c>
      <c r="B2" s="83">
        <v>3</v>
      </c>
      <c r="C2" s="12"/>
      <c r="D2" s="12"/>
      <c r="E2" s="84">
        <v>2</v>
      </c>
      <c r="F2" s="12"/>
      <c r="G2" s="12"/>
      <c r="H2" s="12"/>
      <c r="I2" s="12"/>
      <c r="J2" s="13"/>
      <c r="K2" s="13"/>
      <c r="L2" s="14" t="s">
        <v>16</v>
      </c>
      <c r="M2" s="15"/>
      <c r="N2" s="16"/>
      <c r="O2" s="17"/>
      <c r="P2" s="17"/>
      <c r="Q2" s="17"/>
      <c r="R2" s="17"/>
      <c r="S2" s="17"/>
      <c r="T2" s="17"/>
      <c r="U2" s="17"/>
      <c r="V2" s="17"/>
      <c r="W2" s="17"/>
      <c r="X2" s="17">
        <f t="shared" ref="X2:X94" si="1">COUNTIF($L$2:L2,"&lt;&gt;"&amp;"")</f>
        <v>1</v>
      </c>
      <c r="Y2" s="18">
        <f t="shared" ref="Y2:Y94" si="2">SUMIF($X$2:$X$95,X2,$A$2:$A$95)</f>
        <v>2308894.1361668631</v>
      </c>
      <c r="Z2" s="19"/>
      <c r="AA2" s="20"/>
      <c r="AB2" s="21" t="b">
        <v>1</v>
      </c>
      <c r="AC2" s="22">
        <f t="shared" ref="AC2:AC20" si="3">IF(L2="",0,IF(AB2=FALSE(),0,Y2))</f>
        <v>2308894.1361668631</v>
      </c>
      <c r="AD2" s="23"/>
      <c r="AE2" s="23"/>
    </row>
    <row r="3" spans="1:31" ht="15">
      <c r="A3" s="10">
        <f t="shared" si="0"/>
        <v>2142621.0153482882</v>
      </c>
      <c r="B3" s="12"/>
      <c r="C3" s="11">
        <v>4</v>
      </c>
      <c r="D3" s="11">
        <v>4</v>
      </c>
      <c r="E3" s="12"/>
      <c r="F3" s="84"/>
      <c r="G3" s="12"/>
      <c r="H3" s="12"/>
      <c r="I3" s="12"/>
      <c r="J3" s="13"/>
      <c r="K3" s="13"/>
      <c r="L3" s="14" t="s">
        <v>17</v>
      </c>
      <c r="M3" s="16"/>
      <c r="N3" s="16"/>
      <c r="O3" s="17"/>
      <c r="P3" s="17"/>
      <c r="Q3" s="17"/>
      <c r="R3" s="17"/>
      <c r="S3" s="17"/>
      <c r="T3" s="17"/>
      <c r="U3" s="17"/>
      <c r="V3" s="17"/>
      <c r="W3" s="17"/>
      <c r="X3" s="17">
        <f t="shared" si="1"/>
        <v>2</v>
      </c>
      <c r="Y3" s="18">
        <f t="shared" si="2"/>
        <v>2142621.0153482882</v>
      </c>
      <c r="Z3" s="24"/>
      <c r="AA3" s="20"/>
      <c r="AB3" s="21" t="b">
        <v>1</v>
      </c>
      <c r="AC3" s="22">
        <f t="shared" si="3"/>
        <v>2142621.0153482882</v>
      </c>
      <c r="AD3" s="23"/>
      <c r="AE3" s="23"/>
    </row>
    <row r="4" spans="1:31" ht="15">
      <c r="A4" s="10">
        <f t="shared" si="0"/>
        <v>1070798.8980716253</v>
      </c>
      <c r="B4" s="12"/>
      <c r="C4" s="12"/>
      <c r="D4" s="12"/>
      <c r="E4" s="12"/>
      <c r="F4" s="12"/>
      <c r="G4" s="12"/>
      <c r="H4" s="11">
        <v>4</v>
      </c>
      <c r="I4" s="12"/>
      <c r="J4" s="13"/>
      <c r="K4" s="13"/>
      <c r="L4" s="14" t="s">
        <v>18</v>
      </c>
      <c r="M4" s="16"/>
      <c r="N4" s="16"/>
      <c r="O4" s="17"/>
      <c r="P4" s="17"/>
      <c r="Q4" s="17"/>
      <c r="R4" s="17"/>
      <c r="S4" s="17"/>
      <c r="T4" s="17"/>
      <c r="U4" s="17"/>
      <c r="V4" s="17"/>
      <c r="W4" s="17"/>
      <c r="X4" s="17">
        <f t="shared" si="1"/>
        <v>3</v>
      </c>
      <c r="Y4" s="18">
        <f t="shared" si="2"/>
        <v>1070798.8980716253</v>
      </c>
      <c r="Z4" s="24"/>
      <c r="AA4" s="25"/>
      <c r="AB4" s="21" t="b">
        <v>1</v>
      </c>
      <c r="AC4" s="22">
        <f t="shared" si="3"/>
        <v>1070798.8980716253</v>
      </c>
      <c r="AD4" s="23"/>
      <c r="AE4" s="23"/>
    </row>
    <row r="5" spans="1:31" ht="15">
      <c r="A5" s="10">
        <f t="shared" si="0"/>
        <v>1173632.4281778827</v>
      </c>
      <c r="B5" s="13"/>
      <c r="C5" s="13"/>
      <c r="D5" s="13"/>
      <c r="E5" s="13"/>
      <c r="F5" s="13"/>
      <c r="G5" s="13"/>
      <c r="H5" s="13"/>
      <c r="I5" s="13"/>
      <c r="J5" s="13"/>
      <c r="K5" s="13">
        <v>4</v>
      </c>
      <c r="L5" s="114" t="s">
        <v>19</v>
      </c>
      <c r="M5" s="62"/>
      <c r="N5" s="16"/>
      <c r="O5" s="17"/>
      <c r="P5" s="17"/>
      <c r="Q5" s="17"/>
      <c r="R5" s="17"/>
      <c r="S5" s="17"/>
      <c r="T5" s="17"/>
      <c r="U5" s="17"/>
      <c r="V5" s="17"/>
      <c r="W5" s="17"/>
      <c r="X5" s="17">
        <f t="shared" si="1"/>
        <v>4</v>
      </c>
      <c r="Y5" s="18">
        <f t="shared" si="2"/>
        <v>1173632.4281778827</v>
      </c>
      <c r="Z5" s="24"/>
      <c r="AA5" s="25"/>
      <c r="AB5" s="21" t="b">
        <v>1</v>
      </c>
      <c r="AC5" s="22">
        <f t="shared" si="3"/>
        <v>1173632.4281778827</v>
      </c>
      <c r="AD5" s="23"/>
      <c r="AE5" s="23"/>
    </row>
    <row r="6" spans="1:31" ht="12.75">
      <c r="A6" s="10">
        <f t="shared" si="0"/>
        <v>0</v>
      </c>
      <c r="B6" s="13"/>
      <c r="C6" s="13"/>
      <c r="D6" s="13"/>
      <c r="E6" s="13"/>
      <c r="F6" s="13"/>
      <c r="G6" s="13"/>
      <c r="H6" s="13"/>
      <c r="I6" s="13"/>
      <c r="J6" s="13"/>
      <c r="K6" s="13"/>
      <c r="L6" s="17"/>
      <c r="M6" s="17"/>
      <c r="N6" s="17"/>
      <c r="O6" s="17"/>
      <c r="P6" s="17"/>
      <c r="Q6" s="17"/>
      <c r="R6" s="17"/>
      <c r="S6" s="17"/>
      <c r="T6" s="17"/>
      <c r="U6" s="17"/>
      <c r="V6" s="17"/>
      <c r="W6" s="17"/>
      <c r="X6" s="17">
        <f t="shared" si="1"/>
        <v>4</v>
      </c>
      <c r="Y6" s="18">
        <f t="shared" si="2"/>
        <v>1173632.4281778827</v>
      </c>
      <c r="Z6" s="19"/>
      <c r="AA6" s="20"/>
      <c r="AB6" s="21" t="b">
        <v>1</v>
      </c>
      <c r="AC6" s="22">
        <f t="shared" si="3"/>
        <v>0</v>
      </c>
      <c r="AD6" s="23"/>
      <c r="AE6" s="23"/>
    </row>
    <row r="7" spans="1:31" ht="12.75">
      <c r="A7" s="10">
        <f t="shared" si="0"/>
        <v>0</v>
      </c>
      <c r="B7" s="13"/>
      <c r="C7" s="13"/>
      <c r="D7" s="13"/>
      <c r="E7" s="13"/>
      <c r="F7" s="13"/>
      <c r="G7" s="13"/>
      <c r="H7" s="13"/>
      <c r="I7" s="13"/>
      <c r="J7" s="13"/>
      <c r="K7" s="13"/>
      <c r="L7" s="86" t="s">
        <v>818</v>
      </c>
      <c r="M7" s="17"/>
      <c r="N7" s="80"/>
      <c r="O7" s="17"/>
      <c r="P7" s="17"/>
      <c r="Q7" s="17"/>
      <c r="R7" s="17"/>
      <c r="S7" s="17"/>
      <c r="T7" s="17"/>
      <c r="U7" s="17"/>
      <c r="V7" s="17"/>
      <c r="W7" s="17"/>
      <c r="X7" s="17">
        <f t="shared" si="1"/>
        <v>5</v>
      </c>
      <c r="Y7" s="18">
        <f t="shared" si="2"/>
        <v>0</v>
      </c>
      <c r="Z7" s="24"/>
      <c r="AA7" s="25"/>
      <c r="AB7" s="21" t="b">
        <v>1</v>
      </c>
      <c r="AC7" s="22">
        <f t="shared" si="3"/>
        <v>0</v>
      </c>
      <c r="AD7" s="23"/>
      <c r="AE7" s="23"/>
    </row>
    <row r="8" spans="1:31" ht="12.75">
      <c r="A8" s="10">
        <f t="shared" si="0"/>
        <v>0</v>
      </c>
      <c r="B8" s="13"/>
      <c r="C8" s="13"/>
      <c r="D8" s="13"/>
      <c r="E8" s="13"/>
      <c r="F8" s="13"/>
      <c r="G8" s="13"/>
      <c r="H8" s="13"/>
      <c r="I8" s="13"/>
      <c r="J8" s="13"/>
      <c r="K8" s="13"/>
      <c r="L8" s="17"/>
      <c r="M8" s="17" t="s">
        <v>819</v>
      </c>
      <c r="N8" s="80"/>
      <c r="O8" s="16"/>
      <c r="P8" s="16"/>
      <c r="Q8" s="16"/>
      <c r="R8" s="17"/>
      <c r="S8" s="17"/>
      <c r="T8" s="17"/>
      <c r="U8" s="17"/>
      <c r="V8" s="17"/>
      <c r="W8" s="17"/>
      <c r="X8" s="17">
        <f t="shared" si="1"/>
        <v>5</v>
      </c>
      <c r="Y8" s="18">
        <f t="shared" si="2"/>
        <v>0</v>
      </c>
      <c r="Z8" s="24"/>
      <c r="AA8" s="20"/>
      <c r="AB8" s="21" t="b">
        <v>1</v>
      </c>
      <c r="AC8" s="22">
        <f t="shared" si="3"/>
        <v>0</v>
      </c>
      <c r="AD8" s="28"/>
      <c r="AE8" s="28"/>
    </row>
    <row r="9" spans="1:31" ht="12.75">
      <c r="A9" s="10">
        <f t="shared" si="0"/>
        <v>0</v>
      </c>
      <c r="B9" s="13"/>
      <c r="C9" s="13"/>
      <c r="D9" s="13"/>
      <c r="E9" s="13"/>
      <c r="F9" s="13"/>
      <c r="G9" s="13"/>
      <c r="H9" s="13"/>
      <c r="I9" s="13"/>
      <c r="J9" s="13"/>
      <c r="K9" s="13"/>
      <c r="L9" s="17"/>
      <c r="M9" s="17" t="s">
        <v>820</v>
      </c>
      <c r="N9" s="80"/>
      <c r="O9" s="16"/>
      <c r="P9" s="16"/>
      <c r="Q9" s="16"/>
      <c r="R9" s="17"/>
      <c r="S9" s="17"/>
      <c r="T9" s="17"/>
      <c r="U9" s="17"/>
      <c r="V9" s="17"/>
      <c r="W9" s="17"/>
      <c r="X9" s="17">
        <f t="shared" si="1"/>
        <v>5</v>
      </c>
      <c r="Y9" s="18">
        <f t="shared" si="2"/>
        <v>0</v>
      </c>
      <c r="Z9" s="24"/>
      <c r="AA9" s="20"/>
      <c r="AB9" s="21" t="b">
        <v>1</v>
      </c>
      <c r="AC9" s="22">
        <f t="shared" si="3"/>
        <v>0</v>
      </c>
      <c r="AD9" s="28"/>
      <c r="AE9" s="28"/>
    </row>
    <row r="10" spans="1:31" ht="12.75">
      <c r="A10" s="10">
        <f t="shared" si="0"/>
        <v>0</v>
      </c>
      <c r="B10" s="13"/>
      <c r="C10" s="13"/>
      <c r="D10" s="13"/>
      <c r="E10" s="13"/>
      <c r="F10" s="13"/>
      <c r="G10" s="13"/>
      <c r="H10" s="13"/>
      <c r="I10" s="13"/>
      <c r="J10" s="13"/>
      <c r="K10" s="13"/>
      <c r="L10" s="17"/>
      <c r="M10" s="17" t="s">
        <v>821</v>
      </c>
      <c r="N10" s="80"/>
      <c r="O10" s="16"/>
      <c r="P10" s="16"/>
      <c r="Q10" s="16"/>
      <c r="R10" s="17"/>
      <c r="S10" s="17"/>
      <c r="T10" s="17"/>
      <c r="U10" s="17"/>
      <c r="V10" s="17"/>
      <c r="W10" s="17"/>
      <c r="X10" s="17">
        <f t="shared" si="1"/>
        <v>5</v>
      </c>
      <c r="Y10" s="18">
        <f t="shared" si="2"/>
        <v>0</v>
      </c>
      <c r="Z10" s="24"/>
      <c r="AA10" s="20"/>
      <c r="AB10" s="21" t="b">
        <v>1</v>
      </c>
      <c r="AC10" s="22">
        <f t="shared" si="3"/>
        <v>0</v>
      </c>
      <c r="AD10" s="28"/>
      <c r="AE10" s="28"/>
    </row>
    <row r="11" spans="1:31" ht="12.75">
      <c r="A11" s="10">
        <f t="shared" si="0"/>
        <v>0</v>
      </c>
      <c r="B11" s="13"/>
      <c r="C11" s="13"/>
      <c r="D11" s="13"/>
      <c r="E11" s="13"/>
      <c r="F11" s="13"/>
      <c r="G11" s="13"/>
      <c r="H11" s="13"/>
      <c r="I11" s="13"/>
      <c r="J11" s="13"/>
      <c r="K11" s="13"/>
      <c r="L11" s="17"/>
      <c r="M11" s="17" t="s">
        <v>822</v>
      </c>
      <c r="N11" s="80"/>
      <c r="O11" s="16"/>
      <c r="P11" s="16"/>
      <c r="Q11" s="16"/>
      <c r="R11" s="17"/>
      <c r="S11" s="17"/>
      <c r="T11" s="17"/>
      <c r="U11" s="17"/>
      <c r="V11" s="17"/>
      <c r="W11" s="17"/>
      <c r="X11" s="17">
        <f t="shared" si="1"/>
        <v>5</v>
      </c>
      <c r="Y11" s="18">
        <f t="shared" si="2"/>
        <v>0</v>
      </c>
      <c r="Z11" s="24"/>
      <c r="AA11" s="20"/>
      <c r="AB11" s="21" t="b">
        <v>1</v>
      </c>
      <c r="AC11" s="22">
        <f t="shared" si="3"/>
        <v>0</v>
      </c>
      <c r="AD11" s="28"/>
      <c r="AE11" s="28"/>
    </row>
    <row r="12" spans="1:31" ht="12.75">
      <c r="A12" s="10">
        <f t="shared" si="0"/>
        <v>0</v>
      </c>
      <c r="B12" s="13"/>
      <c r="C12" s="13"/>
      <c r="D12" s="13"/>
      <c r="E12" s="13"/>
      <c r="F12" s="13"/>
      <c r="G12" s="13"/>
      <c r="H12" s="13"/>
      <c r="I12" s="13"/>
      <c r="J12" s="13"/>
      <c r="K12" s="13"/>
      <c r="L12" s="86" t="s">
        <v>823</v>
      </c>
      <c r="M12" s="17"/>
      <c r="N12" s="80"/>
      <c r="O12" s="16"/>
      <c r="P12" s="16"/>
      <c r="Q12" s="16"/>
      <c r="R12" s="17"/>
      <c r="S12" s="17"/>
      <c r="T12" s="17"/>
      <c r="U12" s="17"/>
      <c r="V12" s="17"/>
      <c r="W12" s="17"/>
      <c r="X12" s="17">
        <f t="shared" si="1"/>
        <v>6</v>
      </c>
      <c r="Y12" s="18">
        <f t="shared" si="2"/>
        <v>0</v>
      </c>
      <c r="Z12" s="24"/>
      <c r="AA12" s="20"/>
      <c r="AB12" s="21" t="b">
        <v>1</v>
      </c>
      <c r="AC12" s="22">
        <f t="shared" si="3"/>
        <v>0</v>
      </c>
      <c r="AD12" s="28"/>
      <c r="AE12" s="28"/>
    </row>
    <row r="13" spans="1:31" ht="12.75">
      <c r="A13" s="10">
        <f t="shared" si="0"/>
        <v>0</v>
      </c>
      <c r="B13" s="13"/>
      <c r="C13" s="13"/>
      <c r="D13" s="13"/>
      <c r="E13" s="13"/>
      <c r="F13" s="13"/>
      <c r="G13" s="13"/>
      <c r="H13" s="13"/>
      <c r="I13" s="13"/>
      <c r="J13" s="13"/>
      <c r="K13" s="13"/>
      <c r="L13" s="17"/>
      <c r="M13" s="17" t="s">
        <v>824</v>
      </c>
      <c r="N13" s="80"/>
      <c r="O13" s="16"/>
      <c r="P13" s="16"/>
      <c r="Q13" s="16"/>
      <c r="R13" s="17"/>
      <c r="S13" s="17"/>
      <c r="T13" s="17"/>
      <c r="U13" s="17"/>
      <c r="V13" s="17"/>
      <c r="W13" s="17"/>
      <c r="X13" s="17">
        <f t="shared" si="1"/>
        <v>6</v>
      </c>
      <c r="Y13" s="18">
        <f t="shared" si="2"/>
        <v>0</v>
      </c>
      <c r="Z13" s="24"/>
      <c r="AA13" s="20"/>
      <c r="AB13" s="21" t="b">
        <v>1</v>
      </c>
      <c r="AC13" s="22">
        <f t="shared" si="3"/>
        <v>0</v>
      </c>
      <c r="AD13" s="28"/>
      <c r="AE13" s="28"/>
    </row>
    <row r="14" spans="1:31" ht="12.75">
      <c r="A14" s="10">
        <f t="shared" si="0"/>
        <v>0</v>
      </c>
      <c r="B14" s="13"/>
      <c r="C14" s="13"/>
      <c r="D14" s="13"/>
      <c r="E14" s="13"/>
      <c r="F14" s="13"/>
      <c r="G14" s="13"/>
      <c r="H14" s="13"/>
      <c r="I14" s="13"/>
      <c r="J14" s="13"/>
      <c r="K14" s="13"/>
      <c r="L14" s="17"/>
      <c r="M14" s="17" t="s">
        <v>825</v>
      </c>
      <c r="N14" s="80"/>
      <c r="O14" s="16"/>
      <c r="P14" s="16"/>
      <c r="Q14" s="16"/>
      <c r="R14" s="17"/>
      <c r="S14" s="17"/>
      <c r="T14" s="17"/>
      <c r="U14" s="17"/>
      <c r="V14" s="17"/>
      <c r="W14" s="17"/>
      <c r="X14" s="17">
        <f t="shared" si="1"/>
        <v>6</v>
      </c>
      <c r="Y14" s="18">
        <f t="shared" si="2"/>
        <v>0</v>
      </c>
      <c r="Z14" s="24"/>
      <c r="AA14" s="20"/>
      <c r="AB14" s="21" t="b">
        <v>1</v>
      </c>
      <c r="AC14" s="22">
        <f t="shared" si="3"/>
        <v>0</v>
      </c>
      <c r="AD14" s="28"/>
      <c r="AE14" s="28"/>
    </row>
    <row r="15" spans="1:31" ht="12.75">
      <c r="A15" s="10">
        <f t="shared" si="0"/>
        <v>0</v>
      </c>
      <c r="B15" s="13"/>
      <c r="C15" s="13"/>
      <c r="D15" s="13"/>
      <c r="E15" s="13"/>
      <c r="F15" s="13"/>
      <c r="G15" s="13"/>
      <c r="H15" s="13"/>
      <c r="I15" s="13"/>
      <c r="J15" s="13"/>
      <c r="K15" s="13"/>
      <c r="L15" s="17"/>
      <c r="M15" s="17"/>
      <c r="N15" s="82" t="s">
        <v>826</v>
      </c>
      <c r="O15" s="16"/>
      <c r="P15" s="16"/>
      <c r="Q15" s="16"/>
      <c r="R15" s="17"/>
      <c r="S15" s="17"/>
      <c r="T15" s="17"/>
      <c r="U15" s="17"/>
      <c r="V15" s="17"/>
      <c r="W15" s="17"/>
      <c r="X15" s="17">
        <f t="shared" si="1"/>
        <v>6</v>
      </c>
      <c r="Y15" s="18">
        <f t="shared" si="2"/>
        <v>0</v>
      </c>
      <c r="Z15" s="24"/>
      <c r="AA15" s="20"/>
      <c r="AB15" s="21" t="b">
        <v>1</v>
      </c>
      <c r="AC15" s="22">
        <f t="shared" si="3"/>
        <v>0</v>
      </c>
      <c r="AD15" s="28"/>
      <c r="AE15" s="28"/>
    </row>
    <row r="16" spans="1:31" ht="12.75">
      <c r="A16" s="10">
        <f t="shared" si="0"/>
        <v>0</v>
      </c>
      <c r="B16" s="13"/>
      <c r="C16" s="13"/>
      <c r="D16" s="13"/>
      <c r="E16" s="13"/>
      <c r="F16" s="13"/>
      <c r="G16" s="13"/>
      <c r="H16" s="13"/>
      <c r="I16" s="13"/>
      <c r="J16" s="13"/>
      <c r="K16" s="13"/>
      <c r="L16" s="17"/>
      <c r="M16" s="17"/>
      <c r="N16" s="82" t="s">
        <v>827</v>
      </c>
      <c r="O16" s="16"/>
      <c r="P16" s="16"/>
      <c r="Q16" s="16"/>
      <c r="R16" s="16"/>
      <c r="S16" s="17"/>
      <c r="T16" s="17"/>
      <c r="U16" s="17"/>
      <c r="V16" s="17"/>
      <c r="W16" s="17"/>
      <c r="X16" s="17">
        <f t="shared" si="1"/>
        <v>6</v>
      </c>
      <c r="Y16" s="18">
        <f t="shared" si="2"/>
        <v>0</v>
      </c>
      <c r="Z16" s="24"/>
      <c r="AA16" s="20"/>
      <c r="AB16" s="21" t="b">
        <v>1</v>
      </c>
      <c r="AC16" s="22">
        <f t="shared" si="3"/>
        <v>0</v>
      </c>
      <c r="AD16" s="28"/>
      <c r="AE16" s="28"/>
    </row>
    <row r="17" spans="1:31" ht="12.75">
      <c r="A17" s="10">
        <f t="shared" si="0"/>
        <v>0</v>
      </c>
      <c r="B17" s="13"/>
      <c r="C17" s="13"/>
      <c r="D17" s="13"/>
      <c r="E17" s="13"/>
      <c r="F17" s="13"/>
      <c r="G17" s="13"/>
      <c r="H17" s="13"/>
      <c r="I17" s="13"/>
      <c r="J17" s="13"/>
      <c r="K17" s="13"/>
      <c r="L17" s="17"/>
      <c r="M17" s="17" t="s">
        <v>828</v>
      </c>
      <c r="N17" s="80"/>
      <c r="O17" s="16"/>
      <c r="P17" s="16"/>
      <c r="Q17" s="16"/>
      <c r="R17" s="16"/>
      <c r="S17" s="16"/>
      <c r="T17" s="17"/>
      <c r="U17" s="17"/>
      <c r="V17" s="17"/>
      <c r="W17" s="17"/>
      <c r="X17" s="17">
        <f t="shared" si="1"/>
        <v>6</v>
      </c>
      <c r="Y17" s="18">
        <f t="shared" si="2"/>
        <v>0</v>
      </c>
      <c r="Z17" s="24"/>
      <c r="AA17" s="20"/>
      <c r="AB17" s="21" t="b">
        <v>1</v>
      </c>
      <c r="AC17" s="22">
        <f t="shared" si="3"/>
        <v>0</v>
      </c>
      <c r="AD17" s="28"/>
      <c r="AE17" s="28"/>
    </row>
    <row r="18" spans="1:31" ht="12.75">
      <c r="A18" s="10">
        <f t="shared" si="0"/>
        <v>0</v>
      </c>
      <c r="B18" s="13"/>
      <c r="C18" s="13"/>
      <c r="D18" s="13"/>
      <c r="E18" s="13"/>
      <c r="F18" s="13"/>
      <c r="G18" s="13"/>
      <c r="H18" s="13"/>
      <c r="I18" s="13"/>
      <c r="J18" s="13"/>
      <c r="K18" s="13"/>
      <c r="L18" s="86" t="s">
        <v>829</v>
      </c>
      <c r="M18" s="17"/>
      <c r="N18" s="80"/>
      <c r="O18" s="16"/>
      <c r="P18" s="16"/>
      <c r="Q18" s="16"/>
      <c r="R18" s="16"/>
      <c r="S18" s="16"/>
      <c r="T18" s="17"/>
      <c r="U18" s="17"/>
      <c r="V18" s="17"/>
      <c r="W18" s="17"/>
      <c r="X18" s="17">
        <f t="shared" si="1"/>
        <v>7</v>
      </c>
      <c r="Y18" s="18">
        <f t="shared" si="2"/>
        <v>0</v>
      </c>
      <c r="Z18" s="24"/>
      <c r="AA18" s="20"/>
      <c r="AB18" s="21" t="b">
        <v>1</v>
      </c>
      <c r="AC18" s="22">
        <f t="shared" si="3"/>
        <v>0</v>
      </c>
      <c r="AD18" s="28"/>
      <c r="AE18" s="28"/>
    </row>
    <row r="19" spans="1:31" ht="12.75">
      <c r="A19" s="10">
        <f t="shared" si="0"/>
        <v>0</v>
      </c>
      <c r="B19" s="13"/>
      <c r="C19" s="13"/>
      <c r="D19" s="13"/>
      <c r="E19" s="13"/>
      <c r="F19" s="13"/>
      <c r="G19" s="13"/>
      <c r="H19" s="13"/>
      <c r="I19" s="13"/>
      <c r="J19" s="13"/>
      <c r="K19" s="13"/>
      <c r="L19" s="17"/>
      <c r="M19" s="17" t="s">
        <v>830</v>
      </c>
      <c r="N19" s="80"/>
      <c r="O19" s="16"/>
      <c r="P19" s="16"/>
      <c r="Q19" s="16"/>
      <c r="R19" s="16"/>
      <c r="S19" s="16"/>
      <c r="T19" s="17"/>
      <c r="U19" s="17"/>
      <c r="V19" s="17"/>
      <c r="W19" s="17"/>
      <c r="X19" s="17">
        <f t="shared" si="1"/>
        <v>7</v>
      </c>
      <c r="Y19" s="18">
        <f t="shared" si="2"/>
        <v>0</v>
      </c>
      <c r="Z19" s="24"/>
      <c r="AA19" s="20"/>
      <c r="AB19" s="21" t="b">
        <v>1</v>
      </c>
      <c r="AC19" s="22">
        <f t="shared" si="3"/>
        <v>0</v>
      </c>
      <c r="AD19" s="28"/>
      <c r="AE19" s="28"/>
    </row>
    <row r="20" spans="1:31" ht="12.75">
      <c r="A20" s="10">
        <f t="shared" si="0"/>
        <v>0</v>
      </c>
      <c r="B20" s="13"/>
      <c r="C20" s="13"/>
      <c r="D20" s="13"/>
      <c r="E20" s="13"/>
      <c r="F20" s="13"/>
      <c r="G20" s="13"/>
      <c r="H20" s="13"/>
      <c r="I20" s="13"/>
      <c r="J20" s="13"/>
      <c r="K20" s="13"/>
      <c r="L20" s="17"/>
      <c r="M20" s="17"/>
      <c r="N20" s="81" t="s">
        <v>831</v>
      </c>
      <c r="O20" s="16"/>
      <c r="P20" s="16"/>
      <c r="Q20" s="17"/>
      <c r="R20" s="17"/>
      <c r="S20" s="17"/>
      <c r="T20" s="17"/>
      <c r="U20" s="17"/>
      <c r="V20" s="17"/>
      <c r="W20" s="17"/>
      <c r="X20" s="17">
        <f t="shared" si="1"/>
        <v>7</v>
      </c>
      <c r="Y20" s="18">
        <f t="shared" si="2"/>
        <v>0</v>
      </c>
      <c r="Z20" s="19"/>
      <c r="AA20" s="20"/>
      <c r="AB20" s="21" t="b">
        <v>1</v>
      </c>
      <c r="AC20" s="22">
        <f t="shared" si="3"/>
        <v>0</v>
      </c>
      <c r="AD20" s="28"/>
      <c r="AE20" s="28"/>
    </row>
    <row r="21" spans="1:31" ht="12.75">
      <c r="A21" s="10">
        <f t="shared" si="0"/>
        <v>0</v>
      </c>
      <c r="B21" s="13"/>
      <c r="C21" s="13"/>
      <c r="D21" s="13"/>
      <c r="E21" s="13"/>
      <c r="F21" s="13"/>
      <c r="G21" s="13"/>
      <c r="H21" s="13"/>
      <c r="I21" s="13"/>
      <c r="J21" s="13"/>
      <c r="K21" s="13"/>
      <c r="L21" s="17"/>
      <c r="M21" s="17"/>
      <c r="N21" s="81" t="s">
        <v>832</v>
      </c>
      <c r="O21" s="16"/>
      <c r="P21" s="16"/>
      <c r="Q21" s="16"/>
      <c r="R21" s="16"/>
      <c r="S21" s="17"/>
      <c r="T21" s="17"/>
      <c r="U21" s="17"/>
      <c r="V21" s="17"/>
      <c r="W21" s="17"/>
      <c r="X21" s="17">
        <f t="shared" si="1"/>
        <v>7</v>
      </c>
      <c r="Y21" s="18">
        <f t="shared" si="2"/>
        <v>0</v>
      </c>
      <c r="Z21" s="24"/>
      <c r="AA21" s="20"/>
      <c r="AB21" s="21" t="b">
        <v>1</v>
      </c>
      <c r="AC21" s="22">
        <f t="shared" ref="AC21:AC22" si="4">IF(N20="",0,IF(AB21=FALSE(),0,Y21))</f>
        <v>0</v>
      </c>
      <c r="AD21" s="28"/>
      <c r="AE21" s="28"/>
    </row>
    <row r="22" spans="1:31" ht="12.75">
      <c r="A22" s="10">
        <f t="shared" si="0"/>
        <v>0</v>
      </c>
      <c r="B22" s="13"/>
      <c r="C22" s="13"/>
      <c r="D22" s="13"/>
      <c r="E22" s="13"/>
      <c r="F22" s="13"/>
      <c r="G22" s="13"/>
      <c r="H22" s="13"/>
      <c r="I22" s="13"/>
      <c r="J22" s="13"/>
      <c r="K22" s="13"/>
      <c r="L22" s="17"/>
      <c r="M22" s="17" t="s">
        <v>833</v>
      </c>
      <c r="N22" s="80"/>
      <c r="O22" s="16"/>
      <c r="P22" s="16"/>
      <c r="Q22" s="16"/>
      <c r="R22" s="16"/>
      <c r="S22" s="17"/>
      <c r="T22" s="17"/>
      <c r="U22" s="17"/>
      <c r="V22" s="17"/>
      <c r="W22" s="17"/>
      <c r="X22" s="17">
        <f t="shared" si="1"/>
        <v>7</v>
      </c>
      <c r="Y22" s="18">
        <f t="shared" si="2"/>
        <v>0</v>
      </c>
      <c r="Z22" s="24"/>
      <c r="AA22" s="20"/>
      <c r="AB22" s="21" t="b">
        <v>1</v>
      </c>
      <c r="AC22" s="22">
        <f t="shared" si="4"/>
        <v>0</v>
      </c>
      <c r="AD22" s="28"/>
      <c r="AE22" s="28"/>
    </row>
    <row r="23" spans="1:31" ht="12.75">
      <c r="A23" s="10">
        <f t="shared" si="0"/>
        <v>0</v>
      </c>
      <c r="B23" s="13"/>
      <c r="C23" s="13"/>
      <c r="D23" s="13"/>
      <c r="E23" s="13"/>
      <c r="F23" s="13"/>
      <c r="G23" s="13"/>
      <c r="H23" s="13"/>
      <c r="I23" s="13"/>
      <c r="J23" s="13"/>
      <c r="K23" s="13"/>
      <c r="L23" s="17"/>
      <c r="M23" s="17"/>
      <c r="N23" s="81" t="s">
        <v>834</v>
      </c>
      <c r="O23" s="16"/>
      <c r="P23" s="16"/>
      <c r="Q23" s="16"/>
      <c r="R23" s="16"/>
      <c r="S23" s="17"/>
      <c r="T23" s="17"/>
      <c r="U23" s="17"/>
      <c r="V23" s="17"/>
      <c r="W23" s="17"/>
      <c r="X23" s="17">
        <f t="shared" si="1"/>
        <v>7</v>
      </c>
      <c r="Y23" s="18">
        <f t="shared" si="2"/>
        <v>0</v>
      </c>
      <c r="Z23" s="24"/>
      <c r="AA23" s="20"/>
      <c r="AB23" s="21" t="b">
        <v>1</v>
      </c>
      <c r="AC23" s="22">
        <f>IF(M22="",0,IF(AB23=FALSE(),0,Y23))</f>
        <v>0</v>
      </c>
      <c r="AD23" s="28"/>
      <c r="AE23" s="28"/>
    </row>
    <row r="24" spans="1:31" ht="12.75">
      <c r="A24" s="10">
        <f t="shared" si="0"/>
        <v>0</v>
      </c>
      <c r="B24" s="13"/>
      <c r="C24" s="13"/>
      <c r="D24" s="13"/>
      <c r="E24" s="13"/>
      <c r="F24" s="13"/>
      <c r="G24" s="13"/>
      <c r="H24" s="13"/>
      <c r="I24" s="13"/>
      <c r="J24" s="13"/>
      <c r="K24" s="13"/>
      <c r="L24" s="17"/>
      <c r="M24" s="17" t="s">
        <v>835</v>
      </c>
      <c r="N24" s="80"/>
      <c r="O24" s="16"/>
      <c r="P24" s="16"/>
      <c r="Q24" s="16"/>
      <c r="R24" s="16"/>
      <c r="S24" s="17"/>
      <c r="T24" s="17"/>
      <c r="U24" s="17"/>
      <c r="V24" s="17"/>
      <c r="W24" s="17"/>
      <c r="X24" s="17">
        <f t="shared" si="1"/>
        <v>7</v>
      </c>
      <c r="Y24" s="18">
        <f t="shared" si="2"/>
        <v>0</v>
      </c>
      <c r="Z24" s="19"/>
      <c r="AA24" s="30"/>
      <c r="AB24" s="21" t="b">
        <v>1</v>
      </c>
      <c r="AC24" s="22">
        <f>IF(N23="",0,IF(AB24=FALSE(),0,Y24))</f>
        <v>0</v>
      </c>
      <c r="AD24" s="28"/>
      <c r="AE24" s="28"/>
    </row>
    <row r="25" spans="1:31" ht="12.75">
      <c r="A25" s="10">
        <f t="shared" si="0"/>
        <v>0</v>
      </c>
      <c r="B25" s="13"/>
      <c r="C25" s="13"/>
      <c r="D25" s="13"/>
      <c r="E25" s="13"/>
      <c r="F25" s="13"/>
      <c r="G25" s="13"/>
      <c r="H25" s="13"/>
      <c r="I25" s="13"/>
      <c r="J25" s="13"/>
      <c r="K25" s="13"/>
      <c r="L25" s="86" t="s">
        <v>836</v>
      </c>
      <c r="M25" s="17"/>
      <c r="N25" s="80"/>
      <c r="O25" s="16"/>
      <c r="P25" s="16"/>
      <c r="Q25" s="16"/>
      <c r="R25" s="16"/>
      <c r="S25" s="17"/>
      <c r="T25" s="17"/>
      <c r="U25" s="17"/>
      <c r="V25" s="17"/>
      <c r="W25" s="17"/>
      <c r="X25" s="17">
        <f t="shared" si="1"/>
        <v>8</v>
      </c>
      <c r="Y25" s="18">
        <f t="shared" si="2"/>
        <v>0</v>
      </c>
      <c r="Z25" s="24"/>
      <c r="AA25" s="20"/>
      <c r="AB25" s="21" t="b">
        <v>1</v>
      </c>
      <c r="AC25" s="22">
        <f>IF(M24="",0,IF(AB25=FALSE(),0,Y25))</f>
        <v>0</v>
      </c>
      <c r="AD25" s="28"/>
      <c r="AE25" s="28"/>
    </row>
    <row r="26" spans="1:31" ht="12.75">
      <c r="A26" s="10">
        <f t="shared" si="0"/>
        <v>0</v>
      </c>
      <c r="B26" s="13"/>
      <c r="C26" s="13"/>
      <c r="D26" s="13"/>
      <c r="E26" s="13"/>
      <c r="F26" s="13"/>
      <c r="G26" s="13"/>
      <c r="H26" s="13"/>
      <c r="I26" s="13"/>
      <c r="J26" s="13"/>
      <c r="K26" s="13"/>
      <c r="L26" s="17"/>
      <c r="M26" s="17" t="s">
        <v>837</v>
      </c>
      <c r="N26" s="80"/>
      <c r="O26" s="16"/>
      <c r="P26" s="16"/>
      <c r="Q26" s="16"/>
      <c r="R26" s="16"/>
      <c r="S26" s="17"/>
      <c r="T26" s="17"/>
      <c r="U26" s="17"/>
      <c r="V26" s="17"/>
      <c r="W26" s="17"/>
      <c r="X26" s="17">
        <f t="shared" si="1"/>
        <v>8</v>
      </c>
      <c r="Y26" s="18">
        <f t="shared" si="2"/>
        <v>0</v>
      </c>
      <c r="Z26" s="24"/>
      <c r="AA26" s="20"/>
      <c r="AB26" s="21" t="b">
        <v>1</v>
      </c>
      <c r="AC26" s="22">
        <f>IF(L26="",0,IF(AB26=FALSE(),0,Y26))</f>
        <v>0</v>
      </c>
      <c r="AD26" s="28"/>
      <c r="AE26" s="28"/>
    </row>
    <row r="27" spans="1:31" ht="12.75">
      <c r="A27" s="10">
        <f t="shared" si="0"/>
        <v>0</v>
      </c>
      <c r="B27" s="13"/>
      <c r="C27" s="13"/>
      <c r="D27" s="13"/>
      <c r="E27" s="13"/>
      <c r="F27" s="13"/>
      <c r="G27" s="13"/>
      <c r="H27" s="13"/>
      <c r="I27" s="13"/>
      <c r="J27" s="13"/>
      <c r="K27" s="13"/>
      <c r="L27" s="17"/>
      <c r="M27" s="17"/>
      <c r="N27" s="82" t="s">
        <v>838</v>
      </c>
      <c r="O27" s="16"/>
      <c r="P27" s="16"/>
      <c r="Q27" s="16"/>
      <c r="R27" s="16"/>
      <c r="S27" s="17"/>
      <c r="T27" s="17"/>
      <c r="U27" s="17"/>
      <c r="V27" s="17"/>
      <c r="W27" s="17"/>
      <c r="X27" s="17">
        <f t="shared" si="1"/>
        <v>8</v>
      </c>
      <c r="Y27" s="18">
        <f t="shared" si="2"/>
        <v>0</v>
      </c>
      <c r="Z27" s="24"/>
      <c r="AA27" s="20"/>
      <c r="AB27" s="21" t="b">
        <v>1</v>
      </c>
      <c r="AC27" s="22">
        <f>IF(M26="",0,IF(AB27=FALSE(),0,Y27))</f>
        <v>0</v>
      </c>
      <c r="AD27" s="28"/>
      <c r="AE27" s="28"/>
    </row>
    <row r="28" spans="1:31" ht="12.75">
      <c r="A28" s="10">
        <f t="shared" si="0"/>
        <v>0</v>
      </c>
      <c r="B28" s="13"/>
      <c r="C28" s="13"/>
      <c r="D28" s="13"/>
      <c r="E28" s="13"/>
      <c r="F28" s="13"/>
      <c r="G28" s="13"/>
      <c r="H28" s="13"/>
      <c r="I28" s="13"/>
      <c r="J28" s="13"/>
      <c r="K28" s="13"/>
      <c r="L28" s="17"/>
      <c r="M28" s="17"/>
      <c r="N28" s="82" t="s">
        <v>839</v>
      </c>
      <c r="O28" s="16"/>
      <c r="P28" s="16"/>
      <c r="Q28" s="16"/>
      <c r="R28" s="16"/>
      <c r="S28" s="17"/>
      <c r="T28" s="17"/>
      <c r="U28" s="17"/>
      <c r="V28" s="17"/>
      <c r="W28" s="17"/>
      <c r="X28" s="17">
        <f t="shared" si="1"/>
        <v>8</v>
      </c>
      <c r="Y28" s="18">
        <f t="shared" si="2"/>
        <v>0</v>
      </c>
      <c r="Z28" s="24"/>
      <c r="AA28" s="20"/>
      <c r="AB28" s="21" t="b">
        <v>1</v>
      </c>
      <c r="AC28" s="22">
        <f t="shared" ref="AC28:AC33" si="5">IF(N27="",0,IF(AB28=FALSE(),0,Y28))</f>
        <v>0</v>
      </c>
      <c r="AD28" s="28"/>
      <c r="AE28" s="28"/>
    </row>
    <row r="29" spans="1:31" ht="12.75">
      <c r="A29" s="10">
        <f t="shared" si="0"/>
        <v>0</v>
      </c>
      <c r="B29" s="13"/>
      <c r="C29" s="13"/>
      <c r="D29" s="13"/>
      <c r="E29" s="13"/>
      <c r="F29" s="13"/>
      <c r="G29" s="13"/>
      <c r="H29" s="13"/>
      <c r="I29" s="13"/>
      <c r="J29" s="13"/>
      <c r="K29" s="13"/>
      <c r="L29" s="17"/>
      <c r="M29" s="17"/>
      <c r="N29" s="82" t="s">
        <v>840</v>
      </c>
      <c r="O29" s="16"/>
      <c r="P29" s="16"/>
      <c r="Q29" s="16"/>
      <c r="R29" s="16"/>
      <c r="S29" s="17"/>
      <c r="T29" s="17"/>
      <c r="U29" s="17"/>
      <c r="V29" s="17"/>
      <c r="W29" s="17"/>
      <c r="X29" s="17">
        <f t="shared" si="1"/>
        <v>8</v>
      </c>
      <c r="Y29" s="18">
        <f t="shared" si="2"/>
        <v>0</v>
      </c>
      <c r="Z29" s="24"/>
      <c r="AA29" s="20"/>
      <c r="AB29" s="21" t="b">
        <v>1</v>
      </c>
      <c r="AC29" s="22">
        <f t="shared" si="5"/>
        <v>0</v>
      </c>
      <c r="AD29" s="28"/>
      <c r="AE29" s="28"/>
    </row>
    <row r="30" spans="1:31" ht="12.75">
      <c r="A30" s="10">
        <f t="shared" si="0"/>
        <v>0</v>
      </c>
      <c r="B30" s="13"/>
      <c r="C30" s="13"/>
      <c r="D30" s="13"/>
      <c r="E30" s="13"/>
      <c r="F30" s="13"/>
      <c r="G30" s="13"/>
      <c r="H30" s="13"/>
      <c r="I30" s="13"/>
      <c r="J30" s="13"/>
      <c r="K30" s="13"/>
      <c r="L30" s="17"/>
      <c r="M30" s="17"/>
      <c r="N30" s="82" t="s">
        <v>841</v>
      </c>
      <c r="O30" s="16"/>
      <c r="P30" s="16"/>
      <c r="Q30" s="16"/>
      <c r="R30" s="16"/>
      <c r="S30" s="17"/>
      <c r="T30" s="17"/>
      <c r="U30" s="17"/>
      <c r="V30" s="17"/>
      <c r="W30" s="17"/>
      <c r="X30" s="17">
        <f t="shared" si="1"/>
        <v>8</v>
      </c>
      <c r="Y30" s="18">
        <f t="shared" si="2"/>
        <v>0</v>
      </c>
      <c r="Z30" s="24"/>
      <c r="AA30" s="20"/>
      <c r="AB30" s="21" t="b">
        <v>1</v>
      </c>
      <c r="AC30" s="22">
        <f t="shared" si="5"/>
        <v>0</v>
      </c>
      <c r="AD30" s="28"/>
      <c r="AE30" s="28"/>
    </row>
    <row r="31" spans="1:31" ht="12.75">
      <c r="A31" s="10">
        <f t="shared" si="0"/>
        <v>0</v>
      </c>
      <c r="B31" s="13"/>
      <c r="C31" s="13"/>
      <c r="D31" s="13"/>
      <c r="E31" s="13"/>
      <c r="F31" s="13"/>
      <c r="G31" s="13"/>
      <c r="H31" s="13"/>
      <c r="I31" s="13"/>
      <c r="J31" s="13"/>
      <c r="K31" s="13"/>
      <c r="L31" s="17"/>
      <c r="M31" s="17"/>
      <c r="N31" s="82" t="s">
        <v>842</v>
      </c>
      <c r="O31" s="16"/>
      <c r="P31" s="16"/>
      <c r="Q31" s="16"/>
      <c r="R31" s="16"/>
      <c r="S31" s="17"/>
      <c r="T31" s="17"/>
      <c r="U31" s="17"/>
      <c r="V31" s="17"/>
      <c r="W31" s="17"/>
      <c r="X31" s="17">
        <f t="shared" si="1"/>
        <v>8</v>
      </c>
      <c r="Y31" s="18">
        <f t="shared" si="2"/>
        <v>0</v>
      </c>
      <c r="Z31" s="24"/>
      <c r="AA31" s="20"/>
      <c r="AB31" s="21" t="b">
        <v>1</v>
      </c>
      <c r="AC31" s="22">
        <f t="shared" si="5"/>
        <v>0</v>
      </c>
      <c r="AD31" s="28"/>
      <c r="AE31" s="28"/>
    </row>
    <row r="32" spans="1:31" ht="12.75">
      <c r="A32" s="10">
        <f t="shared" si="0"/>
        <v>0</v>
      </c>
      <c r="B32" s="13"/>
      <c r="C32" s="13"/>
      <c r="D32" s="13"/>
      <c r="E32" s="13"/>
      <c r="F32" s="13"/>
      <c r="G32" s="13"/>
      <c r="H32" s="13"/>
      <c r="I32" s="13"/>
      <c r="J32" s="13"/>
      <c r="K32" s="13"/>
      <c r="L32" s="17"/>
      <c r="M32" s="17"/>
      <c r="N32" s="82" t="s">
        <v>843</v>
      </c>
      <c r="O32" s="16"/>
      <c r="P32" s="16"/>
      <c r="Q32" s="16"/>
      <c r="R32" s="16"/>
      <c r="S32" s="17"/>
      <c r="T32" s="17"/>
      <c r="U32" s="17"/>
      <c r="V32" s="17"/>
      <c r="W32" s="17"/>
      <c r="X32" s="17">
        <f t="shared" si="1"/>
        <v>8</v>
      </c>
      <c r="Y32" s="18">
        <f t="shared" si="2"/>
        <v>0</v>
      </c>
      <c r="Z32" s="24"/>
      <c r="AA32" s="20"/>
      <c r="AB32" s="21" t="b">
        <v>1</v>
      </c>
      <c r="AC32" s="22">
        <f t="shared" si="5"/>
        <v>0</v>
      </c>
      <c r="AD32" s="28"/>
      <c r="AE32" s="28"/>
    </row>
    <row r="33" spans="1:31" ht="12.75">
      <c r="A33" s="10">
        <f t="shared" si="0"/>
        <v>0</v>
      </c>
      <c r="B33" s="13"/>
      <c r="C33" s="13"/>
      <c r="D33" s="13"/>
      <c r="E33" s="13"/>
      <c r="F33" s="13"/>
      <c r="G33" s="13"/>
      <c r="H33" s="13"/>
      <c r="I33" s="13"/>
      <c r="J33" s="13"/>
      <c r="K33" s="13"/>
      <c r="L33" s="17"/>
      <c r="M33" s="17" t="s">
        <v>844</v>
      </c>
      <c r="N33" s="80"/>
      <c r="O33" s="16"/>
      <c r="P33" s="16"/>
      <c r="Q33" s="16"/>
      <c r="R33" s="16"/>
      <c r="S33" s="17"/>
      <c r="T33" s="17"/>
      <c r="U33" s="17"/>
      <c r="V33" s="17"/>
      <c r="W33" s="17"/>
      <c r="X33" s="17">
        <f t="shared" si="1"/>
        <v>8</v>
      </c>
      <c r="Y33" s="18">
        <f t="shared" si="2"/>
        <v>0</v>
      </c>
      <c r="Z33" s="24"/>
      <c r="AA33" s="20"/>
      <c r="AB33" s="21" t="b">
        <v>1</v>
      </c>
      <c r="AC33" s="22">
        <f t="shared" si="5"/>
        <v>0</v>
      </c>
      <c r="AD33" s="28"/>
      <c r="AE33" s="28"/>
    </row>
    <row r="34" spans="1:31" ht="12.75">
      <c r="A34" s="10">
        <f t="shared" si="0"/>
        <v>0</v>
      </c>
      <c r="B34" s="13"/>
      <c r="C34" s="13"/>
      <c r="D34" s="13"/>
      <c r="E34" s="13"/>
      <c r="F34" s="13"/>
      <c r="G34" s="13"/>
      <c r="H34" s="13"/>
      <c r="I34" s="13"/>
      <c r="J34" s="13"/>
      <c r="K34" s="13"/>
      <c r="L34" s="17"/>
      <c r="M34" s="17" t="s">
        <v>845</v>
      </c>
      <c r="N34" s="80"/>
      <c r="O34" s="16"/>
      <c r="P34" s="16"/>
      <c r="Q34" s="16"/>
      <c r="R34" s="16"/>
      <c r="S34" s="17"/>
      <c r="T34" s="17"/>
      <c r="U34" s="17"/>
      <c r="V34" s="17"/>
      <c r="W34" s="17"/>
      <c r="X34" s="17">
        <f t="shared" si="1"/>
        <v>8</v>
      </c>
      <c r="Y34" s="18">
        <f t="shared" si="2"/>
        <v>0</v>
      </c>
      <c r="Z34" s="24"/>
      <c r="AA34" s="20"/>
      <c r="AB34" s="21" t="b">
        <v>1</v>
      </c>
      <c r="AC34" s="22">
        <f t="shared" ref="AC34:AC35" si="6">IF(M33="",0,IF(AB34=FALSE(),0,Y34))</f>
        <v>0</v>
      </c>
      <c r="AD34" s="28"/>
      <c r="AE34" s="28"/>
    </row>
    <row r="35" spans="1:31" ht="12.75">
      <c r="A35" s="10">
        <f t="shared" si="0"/>
        <v>0</v>
      </c>
      <c r="B35" s="13"/>
      <c r="C35" s="13"/>
      <c r="D35" s="13"/>
      <c r="E35" s="13"/>
      <c r="F35" s="13"/>
      <c r="G35" s="13"/>
      <c r="H35" s="13"/>
      <c r="I35" s="13"/>
      <c r="J35" s="13"/>
      <c r="K35" s="13"/>
      <c r="L35" s="17"/>
      <c r="M35" s="17"/>
      <c r="N35" s="82" t="s">
        <v>846</v>
      </c>
      <c r="O35" s="16"/>
      <c r="P35" s="16"/>
      <c r="Q35" s="16"/>
      <c r="R35" s="16"/>
      <c r="S35" s="17"/>
      <c r="T35" s="17"/>
      <c r="U35" s="17"/>
      <c r="V35" s="17"/>
      <c r="W35" s="17"/>
      <c r="X35" s="17">
        <f t="shared" si="1"/>
        <v>8</v>
      </c>
      <c r="Y35" s="18">
        <f t="shared" si="2"/>
        <v>0</v>
      </c>
      <c r="Z35" s="24"/>
      <c r="AA35" s="20"/>
      <c r="AB35" s="21" t="b">
        <v>1</v>
      </c>
      <c r="AC35" s="22">
        <f t="shared" si="6"/>
        <v>0</v>
      </c>
      <c r="AD35" s="28"/>
      <c r="AE35" s="28"/>
    </row>
    <row r="36" spans="1:31" ht="12.75">
      <c r="A36" s="10">
        <f t="shared" si="0"/>
        <v>0</v>
      </c>
      <c r="B36" s="13"/>
      <c r="C36" s="13"/>
      <c r="D36" s="13"/>
      <c r="E36" s="13"/>
      <c r="F36" s="13"/>
      <c r="G36" s="13"/>
      <c r="H36" s="13"/>
      <c r="I36" s="13"/>
      <c r="J36" s="13"/>
      <c r="K36" s="13"/>
      <c r="L36" s="17"/>
      <c r="M36" s="17"/>
      <c r="N36" s="82" t="s">
        <v>847</v>
      </c>
      <c r="O36" s="16"/>
      <c r="P36" s="16"/>
      <c r="Q36" s="16"/>
      <c r="R36" s="16"/>
      <c r="S36" s="17"/>
      <c r="T36" s="17"/>
      <c r="U36" s="17"/>
      <c r="V36" s="17"/>
      <c r="W36" s="17"/>
      <c r="X36" s="17">
        <f t="shared" si="1"/>
        <v>8</v>
      </c>
      <c r="Y36" s="18">
        <f t="shared" si="2"/>
        <v>0</v>
      </c>
      <c r="Z36" s="19"/>
      <c r="AA36" s="30"/>
      <c r="AB36" s="21" t="b">
        <v>1</v>
      </c>
      <c r="AC36" s="22">
        <f t="shared" ref="AC36:AC39" si="7">IF(N35="",0,IF(AB36=FALSE(),0,Y36))</f>
        <v>0</v>
      </c>
      <c r="AD36" s="28"/>
      <c r="AE36" s="28"/>
    </row>
    <row r="37" spans="1:31" ht="12.75">
      <c r="A37" s="10">
        <f t="shared" si="0"/>
        <v>0</v>
      </c>
      <c r="B37" s="13"/>
      <c r="C37" s="13"/>
      <c r="D37" s="13"/>
      <c r="E37" s="13"/>
      <c r="F37" s="13"/>
      <c r="G37" s="13"/>
      <c r="H37" s="13"/>
      <c r="I37" s="13"/>
      <c r="J37" s="13"/>
      <c r="K37" s="13"/>
      <c r="L37" s="17"/>
      <c r="M37" s="17"/>
      <c r="N37" s="82" t="s">
        <v>848</v>
      </c>
      <c r="O37" s="16"/>
      <c r="P37" s="16"/>
      <c r="Q37" s="16"/>
      <c r="R37" s="16"/>
      <c r="S37" s="17"/>
      <c r="T37" s="17"/>
      <c r="U37" s="17"/>
      <c r="V37" s="17"/>
      <c r="W37" s="17"/>
      <c r="X37" s="17">
        <f t="shared" si="1"/>
        <v>8</v>
      </c>
      <c r="Y37" s="18">
        <f t="shared" si="2"/>
        <v>0</v>
      </c>
      <c r="Z37" s="19"/>
      <c r="AA37" s="30"/>
      <c r="AB37" s="21" t="b">
        <v>1</v>
      </c>
      <c r="AC37" s="22">
        <f t="shared" si="7"/>
        <v>0</v>
      </c>
      <c r="AD37" s="28"/>
      <c r="AE37" s="28"/>
    </row>
    <row r="38" spans="1:31" ht="12.75">
      <c r="A38" s="10">
        <f t="shared" si="0"/>
        <v>0</v>
      </c>
      <c r="B38" s="13"/>
      <c r="C38" s="13"/>
      <c r="D38" s="13"/>
      <c r="E38" s="13"/>
      <c r="F38" s="13"/>
      <c r="G38" s="13"/>
      <c r="H38" s="13"/>
      <c r="I38" s="13"/>
      <c r="J38" s="13"/>
      <c r="K38" s="13"/>
      <c r="L38" s="17"/>
      <c r="M38" s="17"/>
      <c r="N38" s="82" t="s">
        <v>849</v>
      </c>
      <c r="O38" s="16"/>
      <c r="P38" s="17"/>
      <c r="Q38" s="17"/>
      <c r="R38" s="17"/>
      <c r="S38" s="17"/>
      <c r="T38" s="17"/>
      <c r="U38" s="17"/>
      <c r="V38" s="17"/>
      <c r="W38" s="17"/>
      <c r="X38" s="17">
        <f t="shared" si="1"/>
        <v>8</v>
      </c>
      <c r="Y38" s="18">
        <f t="shared" si="2"/>
        <v>0</v>
      </c>
      <c r="Z38" s="24"/>
      <c r="AA38" s="20"/>
      <c r="AB38" s="21" t="b">
        <v>1</v>
      </c>
      <c r="AC38" s="22">
        <f t="shared" si="7"/>
        <v>0</v>
      </c>
      <c r="AD38" s="32"/>
      <c r="AE38" s="32"/>
    </row>
    <row r="39" spans="1:31" ht="12.75">
      <c r="A39" s="10">
        <f t="shared" si="0"/>
        <v>0</v>
      </c>
      <c r="B39" s="13"/>
      <c r="C39" s="13"/>
      <c r="D39" s="13"/>
      <c r="E39" s="13"/>
      <c r="F39" s="13"/>
      <c r="G39" s="13"/>
      <c r="H39" s="13"/>
      <c r="I39" s="13"/>
      <c r="J39" s="13"/>
      <c r="K39" s="13"/>
      <c r="L39" s="17"/>
      <c r="M39" s="17" t="s">
        <v>850</v>
      </c>
      <c r="N39" s="80"/>
      <c r="O39" s="16"/>
      <c r="P39" s="16"/>
      <c r="Q39" s="16"/>
      <c r="R39" s="16"/>
      <c r="S39" s="17"/>
      <c r="T39" s="17"/>
      <c r="U39" s="17"/>
      <c r="V39" s="17"/>
      <c r="W39" s="17"/>
      <c r="X39" s="17">
        <f t="shared" si="1"/>
        <v>8</v>
      </c>
      <c r="Y39" s="18">
        <f t="shared" si="2"/>
        <v>0</v>
      </c>
      <c r="Z39" s="19"/>
      <c r="AA39" s="20"/>
      <c r="AB39" s="21" t="b">
        <v>1</v>
      </c>
      <c r="AC39" s="22">
        <f t="shared" si="7"/>
        <v>0</v>
      </c>
      <c r="AD39" s="28"/>
      <c r="AE39" s="28"/>
    </row>
    <row r="40" spans="1:31" ht="12.75">
      <c r="A40" s="10">
        <f t="shared" si="0"/>
        <v>0</v>
      </c>
      <c r="B40" s="13"/>
      <c r="C40" s="13"/>
      <c r="D40" s="13"/>
      <c r="E40" s="13"/>
      <c r="F40" s="13"/>
      <c r="G40" s="13"/>
      <c r="H40" s="13"/>
      <c r="I40" s="13"/>
      <c r="J40" s="13"/>
      <c r="K40" s="13"/>
      <c r="L40" s="86" t="s">
        <v>851</v>
      </c>
      <c r="M40" s="17"/>
      <c r="N40" s="80"/>
      <c r="O40" s="16"/>
      <c r="P40" s="16"/>
      <c r="Q40" s="16"/>
      <c r="R40" s="16"/>
      <c r="S40" s="17"/>
      <c r="T40" s="17"/>
      <c r="U40" s="17"/>
      <c r="V40" s="17"/>
      <c r="W40" s="17"/>
      <c r="X40" s="17">
        <f t="shared" si="1"/>
        <v>9</v>
      </c>
      <c r="Y40" s="18">
        <f t="shared" si="2"/>
        <v>0</v>
      </c>
      <c r="Z40" s="24"/>
      <c r="AA40" s="20"/>
      <c r="AB40" s="21" t="b">
        <v>1</v>
      </c>
      <c r="AC40" s="22">
        <f>IF(M39="",0,IF(AB40=FALSE(),0,Y40))</f>
        <v>0</v>
      </c>
      <c r="AD40" s="32"/>
      <c r="AE40" s="32"/>
    </row>
    <row r="41" spans="1:31" ht="12.75">
      <c r="A41" s="10">
        <f t="shared" si="0"/>
        <v>0</v>
      </c>
      <c r="B41" s="13"/>
      <c r="C41" s="13"/>
      <c r="D41" s="13"/>
      <c r="E41" s="13"/>
      <c r="F41" s="13"/>
      <c r="G41" s="13"/>
      <c r="H41" s="13"/>
      <c r="I41" s="13"/>
      <c r="J41" s="13"/>
      <c r="K41" s="13"/>
      <c r="L41" s="17"/>
      <c r="M41" s="17" t="s">
        <v>852</v>
      </c>
      <c r="N41" s="80"/>
      <c r="O41" s="16"/>
      <c r="P41" s="16"/>
      <c r="Q41" s="16"/>
      <c r="R41" s="16"/>
      <c r="S41" s="17"/>
      <c r="T41" s="17"/>
      <c r="U41" s="17"/>
      <c r="V41" s="17"/>
      <c r="W41" s="17"/>
      <c r="X41" s="17">
        <f t="shared" si="1"/>
        <v>9</v>
      </c>
      <c r="Y41" s="18">
        <f t="shared" si="2"/>
        <v>0</v>
      </c>
      <c r="Z41" s="24"/>
      <c r="AA41" s="20"/>
      <c r="AB41" s="21" t="b">
        <v>1</v>
      </c>
      <c r="AC41" s="22">
        <f>IF(L41="",0,IF(AB41=FALSE(),0,Y41))</f>
        <v>0</v>
      </c>
      <c r="AD41" s="32"/>
      <c r="AE41" s="32"/>
    </row>
    <row r="42" spans="1:31" ht="12.75">
      <c r="A42" s="10">
        <f t="shared" si="0"/>
        <v>0</v>
      </c>
      <c r="B42" s="13"/>
      <c r="C42" s="13"/>
      <c r="D42" s="13"/>
      <c r="E42" s="13"/>
      <c r="F42" s="13"/>
      <c r="G42" s="13"/>
      <c r="H42" s="13"/>
      <c r="I42" s="13"/>
      <c r="J42" s="13"/>
      <c r="K42" s="13"/>
      <c r="L42" s="17"/>
      <c r="M42" s="17"/>
      <c r="N42" s="82" t="s">
        <v>853</v>
      </c>
      <c r="O42" s="16"/>
      <c r="P42" s="16"/>
      <c r="Q42" s="16"/>
      <c r="R42" s="16"/>
      <c r="S42" s="17"/>
      <c r="T42" s="17"/>
      <c r="U42" s="17"/>
      <c r="V42" s="17"/>
      <c r="W42" s="17"/>
      <c r="X42" s="17">
        <f t="shared" si="1"/>
        <v>9</v>
      </c>
      <c r="Y42" s="18">
        <f t="shared" si="2"/>
        <v>0</v>
      </c>
      <c r="Z42" s="24"/>
      <c r="AA42" s="20"/>
      <c r="AB42" s="21" t="b">
        <v>1</v>
      </c>
      <c r="AC42" s="22">
        <f>IF(M41="",0,IF(AB42=FALSE(),0,Y42))</f>
        <v>0</v>
      </c>
      <c r="AD42" s="28"/>
      <c r="AE42" s="28"/>
    </row>
    <row r="43" spans="1:31" ht="12.75">
      <c r="A43" s="10">
        <f t="shared" si="0"/>
        <v>0</v>
      </c>
      <c r="B43" s="13"/>
      <c r="C43" s="13"/>
      <c r="D43" s="13"/>
      <c r="E43" s="13"/>
      <c r="F43" s="13"/>
      <c r="G43" s="13"/>
      <c r="H43" s="13"/>
      <c r="I43" s="13"/>
      <c r="J43" s="13"/>
      <c r="K43" s="13"/>
      <c r="L43" s="17"/>
      <c r="M43" s="17"/>
      <c r="N43" s="82" t="s">
        <v>854</v>
      </c>
      <c r="O43" s="16"/>
      <c r="P43" s="16"/>
      <c r="Q43" s="16"/>
      <c r="R43" s="16"/>
      <c r="S43" s="17"/>
      <c r="T43" s="17"/>
      <c r="U43" s="17"/>
      <c r="V43" s="17"/>
      <c r="W43" s="17"/>
      <c r="X43" s="17">
        <f t="shared" si="1"/>
        <v>9</v>
      </c>
      <c r="Y43" s="18">
        <f t="shared" si="2"/>
        <v>0</v>
      </c>
      <c r="Z43" s="24"/>
      <c r="AA43" s="20"/>
      <c r="AB43" s="21" t="b">
        <v>1</v>
      </c>
      <c r="AC43" s="22">
        <f t="shared" ref="AC43:AC44" si="8">IF(N42="",0,IF(AB43=FALSE(),0,Y43))</f>
        <v>0</v>
      </c>
      <c r="AD43" s="28"/>
      <c r="AE43" s="28"/>
    </row>
    <row r="44" spans="1:31" ht="12.75">
      <c r="A44" s="10">
        <f t="shared" si="0"/>
        <v>0</v>
      </c>
      <c r="B44" s="13"/>
      <c r="C44" s="13"/>
      <c r="D44" s="13"/>
      <c r="E44" s="13"/>
      <c r="F44" s="13"/>
      <c r="G44" s="13"/>
      <c r="H44" s="13"/>
      <c r="I44" s="13"/>
      <c r="J44" s="13"/>
      <c r="K44" s="13"/>
      <c r="L44" s="17"/>
      <c r="M44" s="17" t="s">
        <v>855</v>
      </c>
      <c r="N44" s="80"/>
      <c r="O44" s="16"/>
      <c r="P44" s="16"/>
      <c r="Q44" s="16"/>
      <c r="R44" s="16"/>
      <c r="S44" s="17"/>
      <c r="T44" s="17"/>
      <c r="U44" s="17"/>
      <c r="V44" s="17"/>
      <c r="W44" s="17"/>
      <c r="X44" s="17">
        <f t="shared" si="1"/>
        <v>9</v>
      </c>
      <c r="Y44" s="18">
        <f t="shared" si="2"/>
        <v>0</v>
      </c>
      <c r="Z44" s="24"/>
      <c r="AA44" s="20"/>
      <c r="AB44" s="21" t="b">
        <v>1</v>
      </c>
      <c r="AC44" s="22">
        <f t="shared" si="8"/>
        <v>0</v>
      </c>
      <c r="AD44" s="28"/>
      <c r="AE44" s="28"/>
    </row>
    <row r="45" spans="1:31" ht="12.75">
      <c r="A45" s="10">
        <f t="shared" si="0"/>
        <v>0</v>
      </c>
      <c r="B45" s="13"/>
      <c r="C45" s="13"/>
      <c r="D45" s="13"/>
      <c r="E45" s="13"/>
      <c r="F45" s="13"/>
      <c r="G45" s="13"/>
      <c r="H45" s="13"/>
      <c r="I45" s="13"/>
      <c r="J45" s="13"/>
      <c r="K45" s="13"/>
      <c r="L45" s="17"/>
      <c r="M45" s="17"/>
      <c r="N45" s="82" t="s">
        <v>856</v>
      </c>
      <c r="O45" s="16"/>
      <c r="P45" s="16"/>
      <c r="Q45" s="16"/>
      <c r="R45" s="16"/>
      <c r="S45" s="17"/>
      <c r="T45" s="17"/>
      <c r="U45" s="17"/>
      <c r="V45" s="17"/>
      <c r="W45" s="17"/>
      <c r="X45" s="17">
        <f t="shared" si="1"/>
        <v>9</v>
      </c>
      <c r="Y45" s="18">
        <f t="shared" si="2"/>
        <v>0</v>
      </c>
      <c r="Z45" s="24"/>
      <c r="AA45" s="20"/>
      <c r="AB45" s="21" t="b">
        <v>1</v>
      </c>
      <c r="AC45" s="22">
        <f>IF(M44="",0,IF(AB45=FALSE(),0,Y45))</f>
        <v>0</v>
      </c>
      <c r="AD45" s="28"/>
      <c r="AE45" s="28"/>
    </row>
    <row r="46" spans="1:31" ht="12.75">
      <c r="A46" s="10">
        <f t="shared" si="0"/>
        <v>0</v>
      </c>
      <c r="B46" s="13"/>
      <c r="C46" s="13"/>
      <c r="D46" s="13"/>
      <c r="E46" s="13"/>
      <c r="F46" s="13"/>
      <c r="G46" s="13"/>
      <c r="H46" s="13"/>
      <c r="I46" s="13"/>
      <c r="J46" s="13"/>
      <c r="K46" s="13"/>
      <c r="L46" s="17"/>
      <c r="M46" s="17"/>
      <c r="N46" s="82" t="s">
        <v>857</v>
      </c>
      <c r="O46" s="16"/>
      <c r="P46" s="16"/>
      <c r="Q46" s="16"/>
      <c r="R46" s="16"/>
      <c r="S46" s="17"/>
      <c r="T46" s="17"/>
      <c r="U46" s="17"/>
      <c r="V46" s="17"/>
      <c r="W46" s="17"/>
      <c r="X46" s="17">
        <f t="shared" si="1"/>
        <v>9</v>
      </c>
      <c r="Y46" s="18">
        <f t="shared" si="2"/>
        <v>0</v>
      </c>
      <c r="Z46" s="24"/>
      <c r="AA46" s="20"/>
      <c r="AB46" s="21" t="b">
        <v>1</v>
      </c>
      <c r="AC46" s="22">
        <f t="shared" ref="AC46:AC49" si="9">IF(N45="",0,IF(AB46=FALSE(),0,Y46))</f>
        <v>0</v>
      </c>
      <c r="AD46" s="28"/>
      <c r="AE46" s="28"/>
    </row>
    <row r="47" spans="1:31" ht="12.75">
      <c r="A47" s="10">
        <f t="shared" si="0"/>
        <v>0</v>
      </c>
      <c r="B47" s="13"/>
      <c r="C47" s="13"/>
      <c r="D47" s="13"/>
      <c r="E47" s="13"/>
      <c r="F47" s="13"/>
      <c r="G47" s="13"/>
      <c r="H47" s="13"/>
      <c r="I47" s="13"/>
      <c r="J47" s="13"/>
      <c r="K47" s="13"/>
      <c r="L47" s="17"/>
      <c r="M47" s="17"/>
      <c r="N47" s="82" t="s">
        <v>858</v>
      </c>
      <c r="O47" s="16"/>
      <c r="P47" s="16"/>
      <c r="Q47" s="16"/>
      <c r="R47" s="16"/>
      <c r="S47" s="17"/>
      <c r="T47" s="17"/>
      <c r="U47" s="17"/>
      <c r="V47" s="17"/>
      <c r="W47" s="17"/>
      <c r="X47" s="17">
        <f t="shared" si="1"/>
        <v>9</v>
      </c>
      <c r="Y47" s="18">
        <f t="shared" si="2"/>
        <v>0</v>
      </c>
      <c r="Z47" s="24"/>
      <c r="AA47" s="20"/>
      <c r="AB47" s="21" t="b">
        <v>1</v>
      </c>
      <c r="AC47" s="22">
        <f t="shared" si="9"/>
        <v>0</v>
      </c>
      <c r="AD47" s="28"/>
      <c r="AE47" s="28"/>
    </row>
    <row r="48" spans="1:31" ht="12.75">
      <c r="A48" s="10">
        <f t="shared" si="0"/>
        <v>0</v>
      </c>
      <c r="B48" s="13"/>
      <c r="C48" s="13"/>
      <c r="D48" s="13"/>
      <c r="E48" s="13"/>
      <c r="F48" s="13"/>
      <c r="G48" s="13"/>
      <c r="H48" s="13"/>
      <c r="I48" s="13"/>
      <c r="J48" s="13"/>
      <c r="K48" s="13"/>
      <c r="L48" s="17"/>
      <c r="M48" s="17"/>
      <c r="N48" s="82" t="s">
        <v>859</v>
      </c>
      <c r="O48" s="16"/>
      <c r="P48" s="16"/>
      <c r="Q48" s="16"/>
      <c r="R48" s="16"/>
      <c r="S48" s="17"/>
      <c r="T48" s="17"/>
      <c r="U48" s="17"/>
      <c r="V48" s="17"/>
      <c r="W48" s="17"/>
      <c r="X48" s="17">
        <f t="shared" si="1"/>
        <v>9</v>
      </c>
      <c r="Y48" s="18">
        <f t="shared" si="2"/>
        <v>0</v>
      </c>
      <c r="Z48" s="24"/>
      <c r="AA48" s="20"/>
      <c r="AB48" s="21" t="b">
        <v>1</v>
      </c>
      <c r="AC48" s="22">
        <f t="shared" si="9"/>
        <v>0</v>
      </c>
      <c r="AD48" s="32"/>
      <c r="AE48" s="32"/>
    </row>
    <row r="49" spans="1:31" ht="12.75">
      <c r="A49" s="10">
        <f t="shared" si="0"/>
        <v>0</v>
      </c>
      <c r="B49" s="13"/>
      <c r="C49" s="13"/>
      <c r="D49" s="13"/>
      <c r="E49" s="13"/>
      <c r="F49" s="13"/>
      <c r="G49" s="13"/>
      <c r="H49" s="13"/>
      <c r="I49" s="13"/>
      <c r="J49" s="13"/>
      <c r="K49" s="13"/>
      <c r="L49" s="17"/>
      <c r="M49" s="17" t="s">
        <v>860</v>
      </c>
      <c r="N49" s="80"/>
      <c r="O49" s="16"/>
      <c r="P49" s="16"/>
      <c r="Q49" s="16"/>
      <c r="R49" s="16"/>
      <c r="S49" s="17"/>
      <c r="T49" s="17"/>
      <c r="U49" s="17"/>
      <c r="V49" s="17"/>
      <c r="W49" s="17"/>
      <c r="X49" s="17">
        <f t="shared" si="1"/>
        <v>9</v>
      </c>
      <c r="Y49" s="18">
        <f t="shared" si="2"/>
        <v>0</v>
      </c>
      <c r="Z49" s="24"/>
      <c r="AA49" s="20"/>
      <c r="AB49" s="21" t="b">
        <v>1</v>
      </c>
      <c r="AC49" s="22">
        <f t="shared" si="9"/>
        <v>0</v>
      </c>
      <c r="AD49" s="32"/>
      <c r="AE49" s="32"/>
    </row>
    <row r="50" spans="1:31" ht="12.75">
      <c r="A50" s="10">
        <f t="shared" si="0"/>
        <v>0</v>
      </c>
      <c r="B50" s="13"/>
      <c r="C50" s="13"/>
      <c r="D50" s="13"/>
      <c r="E50" s="13"/>
      <c r="F50" s="13"/>
      <c r="G50" s="13"/>
      <c r="H50" s="13"/>
      <c r="I50" s="13"/>
      <c r="J50" s="13"/>
      <c r="K50" s="13"/>
      <c r="L50" s="86" t="s">
        <v>861</v>
      </c>
      <c r="M50" s="17"/>
      <c r="N50" s="80"/>
      <c r="O50" s="16"/>
      <c r="P50" s="16"/>
      <c r="Q50" s="16"/>
      <c r="R50" s="16"/>
      <c r="S50" s="17"/>
      <c r="T50" s="17"/>
      <c r="U50" s="17"/>
      <c r="V50" s="17"/>
      <c r="W50" s="17"/>
      <c r="X50" s="17">
        <f t="shared" si="1"/>
        <v>10</v>
      </c>
      <c r="Y50" s="18">
        <f t="shared" si="2"/>
        <v>0</v>
      </c>
      <c r="Z50" s="24"/>
      <c r="AA50" s="20"/>
      <c r="AB50" s="21" t="b">
        <v>1</v>
      </c>
      <c r="AC50" s="22">
        <f>IF(M49="",0,IF(AB50=FALSE(),0,Y50))</f>
        <v>0</v>
      </c>
      <c r="AD50" s="32"/>
      <c r="AE50" s="32"/>
    </row>
    <row r="51" spans="1:31" ht="12.75">
      <c r="A51" s="10">
        <f t="shared" si="0"/>
        <v>0</v>
      </c>
      <c r="B51" s="13"/>
      <c r="C51" s="13"/>
      <c r="D51" s="13"/>
      <c r="E51" s="13"/>
      <c r="F51" s="13"/>
      <c r="G51" s="13"/>
      <c r="H51" s="13"/>
      <c r="I51" s="13"/>
      <c r="J51" s="13"/>
      <c r="K51" s="13"/>
      <c r="L51" s="17"/>
      <c r="M51" s="17" t="s">
        <v>862</v>
      </c>
      <c r="N51" s="80"/>
      <c r="O51" s="16"/>
      <c r="P51" s="16"/>
      <c r="Q51" s="16"/>
      <c r="R51" s="16"/>
      <c r="S51" s="17"/>
      <c r="T51" s="17"/>
      <c r="U51" s="17"/>
      <c r="V51" s="17"/>
      <c r="W51" s="17"/>
      <c r="X51" s="17">
        <f t="shared" si="1"/>
        <v>10</v>
      </c>
      <c r="Y51" s="18">
        <f t="shared" si="2"/>
        <v>0</v>
      </c>
      <c r="Z51" s="24"/>
      <c r="AA51" s="20"/>
      <c r="AB51" s="21" t="b">
        <v>1</v>
      </c>
      <c r="AC51" s="22">
        <f>IF(L51="",0,IF(AB51=FALSE(),0,Y51))</f>
        <v>0</v>
      </c>
      <c r="AD51" s="32"/>
      <c r="AE51" s="32"/>
    </row>
    <row r="52" spans="1:31" ht="12.75">
      <c r="A52" s="10">
        <f t="shared" si="0"/>
        <v>0</v>
      </c>
      <c r="B52" s="13"/>
      <c r="C52" s="13"/>
      <c r="D52" s="13"/>
      <c r="E52" s="13"/>
      <c r="F52" s="13"/>
      <c r="G52" s="13"/>
      <c r="H52" s="13"/>
      <c r="I52" s="13"/>
      <c r="J52" s="13"/>
      <c r="K52" s="13"/>
      <c r="L52" s="17"/>
      <c r="M52" s="17"/>
      <c r="N52" s="82" t="s">
        <v>781</v>
      </c>
      <c r="O52" s="16"/>
      <c r="P52" s="16"/>
      <c r="Q52" s="16"/>
      <c r="R52" s="16"/>
      <c r="S52" s="17"/>
      <c r="T52" s="17"/>
      <c r="U52" s="17"/>
      <c r="V52" s="17"/>
      <c r="W52" s="17"/>
      <c r="X52" s="17">
        <f t="shared" si="1"/>
        <v>10</v>
      </c>
      <c r="Y52" s="18">
        <f t="shared" si="2"/>
        <v>0</v>
      </c>
      <c r="Z52" s="24"/>
      <c r="AA52" s="20"/>
      <c r="AB52" s="21" t="b">
        <v>1</v>
      </c>
      <c r="AC52" s="22">
        <f>IF(M51="",0,IF(AB52=FALSE(),0,Y52))</f>
        <v>0</v>
      </c>
      <c r="AD52" s="32"/>
      <c r="AE52" s="32"/>
    </row>
    <row r="53" spans="1:31" ht="12.75">
      <c r="A53" s="10">
        <f t="shared" si="0"/>
        <v>0</v>
      </c>
      <c r="B53" s="13"/>
      <c r="C53" s="13"/>
      <c r="D53" s="13"/>
      <c r="E53" s="13"/>
      <c r="F53" s="13"/>
      <c r="G53" s="13"/>
      <c r="H53" s="13"/>
      <c r="I53" s="13"/>
      <c r="J53" s="13"/>
      <c r="K53" s="13"/>
      <c r="L53" s="17"/>
      <c r="M53" s="17"/>
      <c r="N53" s="82" t="s">
        <v>782</v>
      </c>
      <c r="O53" s="16"/>
      <c r="P53" s="16"/>
      <c r="Q53" s="16"/>
      <c r="R53" s="16"/>
      <c r="S53" s="17"/>
      <c r="T53" s="17"/>
      <c r="U53" s="17"/>
      <c r="V53" s="17"/>
      <c r="W53" s="17"/>
      <c r="X53" s="17">
        <f t="shared" si="1"/>
        <v>10</v>
      </c>
      <c r="Y53" s="18">
        <f t="shared" si="2"/>
        <v>0</v>
      </c>
      <c r="Z53" s="24"/>
      <c r="AA53" s="20"/>
      <c r="AB53" s="21" t="b">
        <v>1</v>
      </c>
      <c r="AC53" s="22">
        <f t="shared" ref="AC53:AC55" si="10">IF(N52="",0,IF(AB53=FALSE(),0,Y53))</f>
        <v>0</v>
      </c>
      <c r="AD53" s="32"/>
      <c r="AE53" s="32"/>
    </row>
    <row r="54" spans="1:31" ht="12.75">
      <c r="A54" s="10">
        <f t="shared" si="0"/>
        <v>0</v>
      </c>
      <c r="B54" s="13"/>
      <c r="C54" s="13"/>
      <c r="D54" s="13"/>
      <c r="E54" s="13"/>
      <c r="F54" s="13"/>
      <c r="G54" s="13"/>
      <c r="H54" s="13"/>
      <c r="I54" s="13"/>
      <c r="J54" s="13"/>
      <c r="K54" s="13"/>
      <c r="L54" s="17"/>
      <c r="M54" s="17"/>
      <c r="N54" s="82" t="s">
        <v>783</v>
      </c>
      <c r="O54" s="16"/>
      <c r="P54" s="16"/>
      <c r="Q54" s="16"/>
      <c r="R54" s="16"/>
      <c r="S54" s="17"/>
      <c r="T54" s="17"/>
      <c r="U54" s="17"/>
      <c r="V54" s="17"/>
      <c r="W54" s="17"/>
      <c r="X54" s="17">
        <f t="shared" si="1"/>
        <v>10</v>
      </c>
      <c r="Y54" s="18">
        <f t="shared" si="2"/>
        <v>0</v>
      </c>
      <c r="Z54" s="24"/>
      <c r="AA54" s="20"/>
      <c r="AB54" s="21" t="b">
        <v>1</v>
      </c>
      <c r="AC54" s="22">
        <f t="shared" si="10"/>
        <v>0</v>
      </c>
      <c r="AD54" s="32"/>
      <c r="AE54" s="32"/>
    </row>
    <row r="55" spans="1:31" ht="12.75">
      <c r="A55" s="10">
        <f t="shared" si="0"/>
        <v>0</v>
      </c>
      <c r="B55" s="13"/>
      <c r="C55" s="13"/>
      <c r="D55" s="13"/>
      <c r="E55" s="13"/>
      <c r="F55" s="13"/>
      <c r="G55" s="13"/>
      <c r="H55" s="13"/>
      <c r="I55" s="13"/>
      <c r="J55" s="13"/>
      <c r="K55" s="13"/>
      <c r="L55" s="17"/>
      <c r="M55" s="17" t="s">
        <v>863</v>
      </c>
      <c r="N55" s="80"/>
      <c r="O55" s="16"/>
      <c r="P55" s="16"/>
      <c r="Q55" s="16"/>
      <c r="R55" s="16"/>
      <c r="S55" s="17"/>
      <c r="T55" s="17"/>
      <c r="U55" s="17"/>
      <c r="V55" s="17"/>
      <c r="W55" s="17"/>
      <c r="X55" s="17">
        <f t="shared" si="1"/>
        <v>10</v>
      </c>
      <c r="Y55" s="18">
        <f t="shared" si="2"/>
        <v>0</v>
      </c>
      <c r="Z55" s="24"/>
      <c r="AA55" s="20"/>
      <c r="AB55" s="21" t="b">
        <v>1</v>
      </c>
      <c r="AC55" s="22">
        <f t="shared" si="10"/>
        <v>0</v>
      </c>
      <c r="AD55" s="32"/>
      <c r="AE55" s="32"/>
    </row>
    <row r="56" spans="1:31" ht="12.75">
      <c r="A56" s="10">
        <f t="shared" si="0"/>
        <v>0</v>
      </c>
      <c r="B56" s="13"/>
      <c r="C56" s="13"/>
      <c r="D56" s="13"/>
      <c r="E56" s="13"/>
      <c r="F56" s="13"/>
      <c r="G56" s="13"/>
      <c r="H56" s="13"/>
      <c r="I56" s="13"/>
      <c r="J56" s="13"/>
      <c r="K56" s="13"/>
      <c r="L56" s="17"/>
      <c r="M56" s="17"/>
      <c r="N56" s="82" t="s">
        <v>864</v>
      </c>
      <c r="O56" s="16"/>
      <c r="P56" s="16"/>
      <c r="Q56" s="16"/>
      <c r="R56" s="16"/>
      <c r="S56" s="17"/>
      <c r="T56" s="17"/>
      <c r="U56" s="17"/>
      <c r="V56" s="17"/>
      <c r="W56" s="17"/>
      <c r="X56" s="17">
        <f t="shared" si="1"/>
        <v>10</v>
      </c>
      <c r="Y56" s="18">
        <f t="shared" si="2"/>
        <v>0</v>
      </c>
      <c r="Z56" s="24"/>
      <c r="AA56" s="20"/>
      <c r="AB56" s="21" t="b">
        <v>1</v>
      </c>
      <c r="AC56" s="22">
        <f>IF(M55="",0,IF(AB56=FALSE(),0,Y56))</f>
        <v>0</v>
      </c>
      <c r="AD56" s="32"/>
      <c r="AE56" s="32"/>
    </row>
    <row r="57" spans="1:31" ht="12.75">
      <c r="A57" s="10">
        <f t="shared" si="0"/>
        <v>0</v>
      </c>
      <c r="B57" s="13"/>
      <c r="C57" s="13"/>
      <c r="D57" s="13"/>
      <c r="E57" s="13"/>
      <c r="F57" s="13"/>
      <c r="G57" s="13"/>
      <c r="H57" s="13"/>
      <c r="I57" s="13"/>
      <c r="J57" s="13"/>
      <c r="K57" s="13"/>
      <c r="L57" s="17"/>
      <c r="M57" s="17" t="s">
        <v>865</v>
      </c>
      <c r="N57" s="80"/>
      <c r="O57" s="16"/>
      <c r="P57" s="16"/>
      <c r="Q57" s="16"/>
      <c r="R57" s="16"/>
      <c r="S57" s="17"/>
      <c r="T57" s="17"/>
      <c r="U57" s="17"/>
      <c r="V57" s="17"/>
      <c r="W57" s="17"/>
      <c r="X57" s="17">
        <f t="shared" si="1"/>
        <v>10</v>
      </c>
      <c r="Y57" s="18">
        <f t="shared" si="2"/>
        <v>0</v>
      </c>
      <c r="Z57" s="24"/>
      <c r="AA57" s="20"/>
      <c r="AB57" s="21" t="b">
        <v>1</v>
      </c>
      <c r="AC57" s="22">
        <f>IF(N56="",0,IF(AB57=FALSE(),0,Y57))</f>
        <v>0</v>
      </c>
      <c r="AD57" s="32"/>
      <c r="AE57" s="32"/>
    </row>
    <row r="58" spans="1:31" ht="12.75">
      <c r="A58" s="10">
        <f t="shared" si="0"/>
        <v>0</v>
      </c>
      <c r="B58" s="13"/>
      <c r="C58" s="13"/>
      <c r="D58" s="13"/>
      <c r="E58" s="13"/>
      <c r="F58" s="13"/>
      <c r="G58" s="13"/>
      <c r="H58" s="13"/>
      <c r="I58" s="13"/>
      <c r="J58" s="13"/>
      <c r="K58" s="13"/>
      <c r="L58" s="86" t="s">
        <v>866</v>
      </c>
      <c r="M58" s="17"/>
      <c r="N58" s="80"/>
      <c r="O58" s="16"/>
      <c r="P58" s="16"/>
      <c r="Q58" s="16"/>
      <c r="R58" s="16"/>
      <c r="S58" s="17"/>
      <c r="T58" s="17"/>
      <c r="U58" s="17"/>
      <c r="V58" s="17"/>
      <c r="W58" s="17"/>
      <c r="X58" s="17">
        <f t="shared" si="1"/>
        <v>11</v>
      </c>
      <c r="Y58" s="18">
        <f t="shared" si="2"/>
        <v>0</v>
      </c>
      <c r="Z58" s="24"/>
      <c r="AA58" s="20"/>
      <c r="AB58" s="21" t="b">
        <v>1</v>
      </c>
      <c r="AC58" s="22">
        <f>IF(M57="",0,IF(AB58=FALSE(),0,Y58))</f>
        <v>0</v>
      </c>
      <c r="AD58" s="32"/>
      <c r="AE58" s="32"/>
    </row>
    <row r="59" spans="1:31" ht="12.75">
      <c r="A59" s="10">
        <f t="shared" si="0"/>
        <v>0</v>
      </c>
      <c r="B59" s="13"/>
      <c r="C59" s="13"/>
      <c r="D59" s="13"/>
      <c r="E59" s="13"/>
      <c r="F59" s="13"/>
      <c r="G59" s="13"/>
      <c r="H59" s="13"/>
      <c r="I59" s="13"/>
      <c r="J59" s="13"/>
      <c r="K59" s="13"/>
      <c r="L59" s="17"/>
      <c r="M59" s="17" t="s">
        <v>867</v>
      </c>
      <c r="N59" s="80"/>
      <c r="O59" s="16"/>
      <c r="P59" s="16"/>
      <c r="Q59" s="16"/>
      <c r="R59" s="16"/>
      <c r="S59" s="17"/>
      <c r="T59" s="17"/>
      <c r="U59" s="17"/>
      <c r="V59" s="17"/>
      <c r="W59" s="17"/>
      <c r="X59" s="17">
        <f t="shared" si="1"/>
        <v>11</v>
      </c>
      <c r="Y59" s="18">
        <f t="shared" si="2"/>
        <v>0</v>
      </c>
      <c r="Z59" s="24"/>
      <c r="AA59" s="20"/>
      <c r="AB59" s="21" t="b">
        <v>1</v>
      </c>
      <c r="AC59" s="22">
        <f>IF(L59="",0,IF(AB59=FALSE(),0,Y59))</f>
        <v>0</v>
      </c>
      <c r="AD59" s="32"/>
      <c r="AE59" s="32"/>
    </row>
    <row r="60" spans="1:31" ht="12.75">
      <c r="A60" s="10">
        <f t="shared" si="0"/>
        <v>0</v>
      </c>
      <c r="B60" s="13"/>
      <c r="C60" s="13"/>
      <c r="D60" s="13"/>
      <c r="E60" s="13"/>
      <c r="F60" s="13"/>
      <c r="G60" s="13"/>
      <c r="H60" s="13"/>
      <c r="I60" s="13"/>
      <c r="J60" s="13"/>
      <c r="K60" s="13"/>
      <c r="L60" s="17"/>
      <c r="M60" s="17"/>
      <c r="N60" s="82" t="s">
        <v>868</v>
      </c>
      <c r="O60" s="16"/>
      <c r="P60" s="16"/>
      <c r="Q60" s="16"/>
      <c r="R60" s="16"/>
      <c r="S60" s="17"/>
      <c r="T60" s="17"/>
      <c r="U60" s="17"/>
      <c r="V60" s="17"/>
      <c r="W60" s="17"/>
      <c r="X60" s="17">
        <f t="shared" si="1"/>
        <v>11</v>
      </c>
      <c r="Y60" s="18">
        <f t="shared" si="2"/>
        <v>0</v>
      </c>
      <c r="Z60" s="24"/>
      <c r="AA60" s="20"/>
      <c r="AB60" s="21" t="b">
        <v>1</v>
      </c>
      <c r="AC60" s="22">
        <f>IF(M59="",0,IF(AB60=FALSE(),0,Y60))</f>
        <v>0</v>
      </c>
      <c r="AD60" s="32"/>
      <c r="AE60" s="32"/>
    </row>
    <row r="61" spans="1:31" ht="12.75">
      <c r="A61" s="10">
        <f t="shared" si="0"/>
        <v>0</v>
      </c>
      <c r="B61" s="13"/>
      <c r="C61" s="13"/>
      <c r="D61" s="13"/>
      <c r="E61" s="13"/>
      <c r="F61" s="13"/>
      <c r="G61" s="13"/>
      <c r="H61" s="13"/>
      <c r="I61" s="13"/>
      <c r="J61" s="13"/>
      <c r="K61" s="13"/>
      <c r="L61" s="17"/>
      <c r="M61" s="17"/>
      <c r="N61" s="82" t="s">
        <v>869</v>
      </c>
      <c r="O61" s="16"/>
      <c r="P61" s="16"/>
      <c r="Q61" s="16"/>
      <c r="R61" s="16"/>
      <c r="S61" s="17"/>
      <c r="T61" s="17"/>
      <c r="U61" s="17"/>
      <c r="V61" s="17"/>
      <c r="W61" s="17"/>
      <c r="X61" s="17">
        <f t="shared" si="1"/>
        <v>11</v>
      </c>
      <c r="Y61" s="18">
        <f t="shared" si="2"/>
        <v>0</v>
      </c>
      <c r="Z61" s="24"/>
      <c r="AA61" s="20"/>
      <c r="AB61" s="21" t="b">
        <v>1</v>
      </c>
      <c r="AC61" s="22">
        <f t="shared" ref="AC61:AC64" si="11">IF(N60="",0,IF(AB61=FALSE(),0,Y61))</f>
        <v>0</v>
      </c>
      <c r="AD61" s="32"/>
      <c r="AE61" s="32"/>
    </row>
    <row r="62" spans="1:31" ht="12.75">
      <c r="A62" s="10">
        <f t="shared" si="0"/>
        <v>0</v>
      </c>
      <c r="B62" s="13"/>
      <c r="C62" s="13"/>
      <c r="D62" s="13"/>
      <c r="E62" s="13"/>
      <c r="F62" s="13"/>
      <c r="G62" s="13"/>
      <c r="H62" s="13"/>
      <c r="I62" s="13"/>
      <c r="J62" s="13"/>
      <c r="K62" s="13"/>
      <c r="L62" s="17"/>
      <c r="M62" s="17"/>
      <c r="N62" s="82" t="s">
        <v>870</v>
      </c>
      <c r="O62" s="16"/>
      <c r="P62" s="16"/>
      <c r="Q62" s="16"/>
      <c r="R62" s="16"/>
      <c r="S62" s="17"/>
      <c r="T62" s="17"/>
      <c r="U62" s="17"/>
      <c r="V62" s="17"/>
      <c r="W62" s="17"/>
      <c r="X62" s="17">
        <f t="shared" si="1"/>
        <v>11</v>
      </c>
      <c r="Y62" s="18">
        <f t="shared" si="2"/>
        <v>0</v>
      </c>
      <c r="Z62" s="24"/>
      <c r="AA62" s="20"/>
      <c r="AB62" s="21" t="b">
        <v>1</v>
      </c>
      <c r="AC62" s="22">
        <f t="shared" si="11"/>
        <v>0</v>
      </c>
      <c r="AD62" s="32"/>
      <c r="AE62" s="32"/>
    </row>
    <row r="63" spans="1:31" ht="12.75">
      <c r="A63" s="10">
        <f t="shared" si="0"/>
        <v>0</v>
      </c>
      <c r="B63" s="13"/>
      <c r="C63" s="13"/>
      <c r="D63" s="13"/>
      <c r="E63" s="13"/>
      <c r="F63" s="13"/>
      <c r="G63" s="13"/>
      <c r="H63" s="13"/>
      <c r="I63" s="13"/>
      <c r="J63" s="13"/>
      <c r="K63" s="13"/>
      <c r="L63" s="17"/>
      <c r="M63" s="17"/>
      <c r="N63" s="82" t="s">
        <v>871</v>
      </c>
      <c r="O63" s="16"/>
      <c r="P63" s="16"/>
      <c r="Q63" s="16"/>
      <c r="R63" s="16"/>
      <c r="S63" s="17"/>
      <c r="T63" s="17"/>
      <c r="U63" s="17"/>
      <c r="V63" s="17"/>
      <c r="W63" s="17"/>
      <c r="X63" s="17">
        <f t="shared" si="1"/>
        <v>11</v>
      </c>
      <c r="Y63" s="18">
        <f t="shared" si="2"/>
        <v>0</v>
      </c>
      <c r="Z63" s="24"/>
      <c r="AA63" s="20"/>
      <c r="AB63" s="21" t="b">
        <v>1</v>
      </c>
      <c r="AC63" s="22">
        <f t="shared" si="11"/>
        <v>0</v>
      </c>
      <c r="AD63" s="32"/>
      <c r="AE63" s="32"/>
    </row>
    <row r="64" spans="1:31" ht="12.75">
      <c r="A64" s="10">
        <f t="shared" si="0"/>
        <v>0</v>
      </c>
      <c r="B64" s="13"/>
      <c r="C64" s="13"/>
      <c r="D64" s="13"/>
      <c r="E64" s="13"/>
      <c r="F64" s="13"/>
      <c r="G64" s="13"/>
      <c r="H64" s="13"/>
      <c r="I64" s="13"/>
      <c r="J64" s="13"/>
      <c r="K64" s="13"/>
      <c r="L64" s="17"/>
      <c r="M64" s="17" t="s">
        <v>872</v>
      </c>
      <c r="N64" s="80"/>
      <c r="O64" s="16"/>
      <c r="P64" s="16"/>
      <c r="Q64" s="16"/>
      <c r="R64" s="16"/>
      <c r="S64" s="17"/>
      <c r="T64" s="17"/>
      <c r="U64" s="17"/>
      <c r="V64" s="17"/>
      <c r="W64" s="17"/>
      <c r="X64" s="17">
        <f t="shared" si="1"/>
        <v>11</v>
      </c>
      <c r="Y64" s="18">
        <f t="shared" si="2"/>
        <v>0</v>
      </c>
      <c r="Z64" s="24"/>
      <c r="AA64" s="20"/>
      <c r="AB64" s="21" t="b">
        <v>1</v>
      </c>
      <c r="AC64" s="22">
        <f t="shared" si="11"/>
        <v>0</v>
      </c>
      <c r="AD64" s="28"/>
      <c r="AE64" s="28"/>
    </row>
    <row r="65" spans="1:31" ht="12.75">
      <c r="A65" s="10">
        <f t="shared" si="0"/>
        <v>0</v>
      </c>
      <c r="B65" s="13"/>
      <c r="C65" s="13"/>
      <c r="D65" s="13"/>
      <c r="E65" s="13"/>
      <c r="F65" s="13"/>
      <c r="G65" s="13"/>
      <c r="H65" s="13"/>
      <c r="I65" s="13"/>
      <c r="J65" s="13"/>
      <c r="K65" s="13"/>
      <c r="L65" s="86" t="s">
        <v>873</v>
      </c>
      <c r="M65" s="17"/>
      <c r="N65" s="80"/>
      <c r="O65" s="16"/>
      <c r="P65" s="16"/>
      <c r="Q65" s="16"/>
      <c r="R65" s="16"/>
      <c r="S65" s="17"/>
      <c r="T65" s="17"/>
      <c r="U65" s="17"/>
      <c r="V65" s="17"/>
      <c r="W65" s="17"/>
      <c r="X65" s="17">
        <f t="shared" si="1"/>
        <v>12</v>
      </c>
      <c r="Y65" s="18">
        <f t="shared" si="2"/>
        <v>0</v>
      </c>
      <c r="Z65" s="24"/>
      <c r="AA65" s="20"/>
      <c r="AB65" s="21" t="b">
        <v>1</v>
      </c>
      <c r="AC65" s="22">
        <f>IF(M64="",0,IF(AB65=FALSE(),0,Y65))</f>
        <v>0</v>
      </c>
      <c r="AD65" s="32"/>
      <c r="AE65" s="32"/>
    </row>
    <row r="66" spans="1:31" ht="12.75">
      <c r="A66" s="10">
        <f t="shared" si="0"/>
        <v>0</v>
      </c>
      <c r="B66" s="13"/>
      <c r="C66" s="13"/>
      <c r="D66" s="13"/>
      <c r="E66" s="13"/>
      <c r="F66" s="13"/>
      <c r="G66" s="13"/>
      <c r="H66" s="13"/>
      <c r="I66" s="13"/>
      <c r="J66" s="13"/>
      <c r="K66" s="13"/>
      <c r="L66" s="17"/>
      <c r="M66" s="17" t="s">
        <v>874</v>
      </c>
      <c r="N66" s="80"/>
      <c r="O66" s="16"/>
      <c r="P66" s="16"/>
      <c r="Q66" s="16"/>
      <c r="R66" s="16"/>
      <c r="S66" s="17"/>
      <c r="T66" s="17"/>
      <c r="U66" s="17"/>
      <c r="V66" s="17"/>
      <c r="W66" s="17"/>
      <c r="X66" s="17">
        <f t="shared" si="1"/>
        <v>12</v>
      </c>
      <c r="Y66" s="18">
        <f t="shared" si="2"/>
        <v>0</v>
      </c>
      <c r="Z66" s="24"/>
      <c r="AA66" s="20"/>
      <c r="AB66" s="21" t="b">
        <v>1</v>
      </c>
      <c r="AC66" s="22">
        <f>IF(L66="",0,IF(AB66=FALSE(),0,Y66))</f>
        <v>0</v>
      </c>
      <c r="AD66" s="32"/>
      <c r="AE66" s="32"/>
    </row>
    <row r="67" spans="1:31" ht="12.75">
      <c r="A67" s="10">
        <f t="shared" si="0"/>
        <v>0</v>
      </c>
      <c r="B67" s="13"/>
      <c r="C67" s="13"/>
      <c r="D67" s="13"/>
      <c r="E67" s="13"/>
      <c r="F67" s="13"/>
      <c r="G67" s="13"/>
      <c r="H67" s="13"/>
      <c r="I67" s="13"/>
      <c r="J67" s="13"/>
      <c r="K67" s="13"/>
      <c r="L67" s="17"/>
      <c r="M67" s="17"/>
      <c r="N67" s="82" t="s">
        <v>875</v>
      </c>
      <c r="O67" s="16"/>
      <c r="P67" s="16"/>
      <c r="Q67" s="16"/>
      <c r="R67" s="16"/>
      <c r="S67" s="17"/>
      <c r="T67" s="17"/>
      <c r="U67" s="17"/>
      <c r="V67" s="17"/>
      <c r="W67" s="17"/>
      <c r="X67" s="17">
        <f t="shared" si="1"/>
        <v>12</v>
      </c>
      <c r="Y67" s="18">
        <f t="shared" si="2"/>
        <v>0</v>
      </c>
      <c r="Z67" s="24"/>
      <c r="AA67" s="20"/>
      <c r="AB67" s="21" t="b">
        <v>1</v>
      </c>
      <c r="AC67" s="22">
        <f>IF(M66="",0,IF(AB67=FALSE(),0,Y67))</f>
        <v>0</v>
      </c>
      <c r="AD67" s="32"/>
      <c r="AE67" s="32"/>
    </row>
    <row r="68" spans="1:31" ht="12.75">
      <c r="A68" s="10">
        <f t="shared" si="0"/>
        <v>0</v>
      </c>
      <c r="B68" s="13"/>
      <c r="C68" s="13"/>
      <c r="D68" s="13"/>
      <c r="E68" s="13"/>
      <c r="F68" s="13"/>
      <c r="G68" s="13"/>
      <c r="H68" s="13"/>
      <c r="I68" s="13"/>
      <c r="J68" s="13"/>
      <c r="K68" s="13"/>
      <c r="L68" s="17"/>
      <c r="M68" s="17"/>
      <c r="N68" s="82" t="s">
        <v>876</v>
      </c>
      <c r="O68" s="16"/>
      <c r="P68" s="16"/>
      <c r="Q68" s="16"/>
      <c r="R68" s="16"/>
      <c r="S68" s="17"/>
      <c r="T68" s="17"/>
      <c r="U68" s="17"/>
      <c r="V68" s="17"/>
      <c r="W68" s="17"/>
      <c r="X68" s="17">
        <f t="shared" si="1"/>
        <v>12</v>
      </c>
      <c r="Y68" s="18">
        <f t="shared" si="2"/>
        <v>0</v>
      </c>
      <c r="Z68" s="24"/>
      <c r="AA68" s="20"/>
      <c r="AB68" s="21" t="b">
        <v>1</v>
      </c>
      <c r="AC68" s="22">
        <f t="shared" ref="AC68:AC69" si="12">IF(N67="",0,IF(AB68=FALSE(),0,Y68))</f>
        <v>0</v>
      </c>
      <c r="AD68" s="32"/>
      <c r="AE68" s="32"/>
    </row>
    <row r="69" spans="1:31" ht="12.75">
      <c r="A69" s="10">
        <f t="shared" si="0"/>
        <v>0</v>
      </c>
      <c r="B69" s="13"/>
      <c r="C69" s="13"/>
      <c r="D69" s="13"/>
      <c r="E69" s="13"/>
      <c r="F69" s="13"/>
      <c r="G69" s="13"/>
      <c r="H69" s="13"/>
      <c r="I69" s="13"/>
      <c r="J69" s="13"/>
      <c r="K69" s="13"/>
      <c r="L69" s="17"/>
      <c r="M69" s="17" t="s">
        <v>877</v>
      </c>
      <c r="N69" s="80"/>
      <c r="O69" s="16"/>
      <c r="P69" s="16"/>
      <c r="Q69" s="16"/>
      <c r="R69" s="16"/>
      <c r="S69" s="17"/>
      <c r="T69" s="17"/>
      <c r="U69" s="17"/>
      <c r="V69" s="17"/>
      <c r="W69" s="17"/>
      <c r="X69" s="17">
        <f t="shared" si="1"/>
        <v>12</v>
      </c>
      <c r="Y69" s="18">
        <f t="shared" si="2"/>
        <v>0</v>
      </c>
      <c r="Z69" s="24"/>
      <c r="AA69" s="20"/>
      <c r="AB69" s="21" t="b">
        <v>1</v>
      </c>
      <c r="AC69" s="22">
        <f t="shared" si="12"/>
        <v>0</v>
      </c>
      <c r="AD69" s="32"/>
      <c r="AE69" s="32"/>
    </row>
    <row r="70" spans="1:31" ht="12.75">
      <c r="A70" s="10">
        <f t="shared" si="0"/>
        <v>0</v>
      </c>
      <c r="B70" s="13"/>
      <c r="C70" s="13"/>
      <c r="D70" s="13"/>
      <c r="E70" s="13"/>
      <c r="F70" s="13"/>
      <c r="G70" s="13"/>
      <c r="H70" s="13"/>
      <c r="I70" s="13"/>
      <c r="J70" s="13"/>
      <c r="K70" s="13"/>
      <c r="L70" s="86" t="s">
        <v>878</v>
      </c>
      <c r="M70" s="17"/>
      <c r="N70" s="80"/>
      <c r="O70" s="16"/>
      <c r="P70" s="16"/>
      <c r="Q70" s="16"/>
      <c r="R70" s="16"/>
      <c r="S70" s="17"/>
      <c r="T70" s="17"/>
      <c r="U70" s="17"/>
      <c r="V70" s="17"/>
      <c r="W70" s="17"/>
      <c r="X70" s="17">
        <f t="shared" si="1"/>
        <v>13</v>
      </c>
      <c r="Y70" s="18">
        <f t="shared" si="2"/>
        <v>0</v>
      </c>
      <c r="Z70" s="24"/>
      <c r="AA70" s="20"/>
      <c r="AB70" s="21" t="b">
        <v>1</v>
      </c>
      <c r="AC70" s="22">
        <f>IF(M69="",0,IF(AB70=FALSE(),0,Y70))</f>
        <v>0</v>
      </c>
      <c r="AD70" s="32"/>
      <c r="AE70" s="32"/>
    </row>
    <row r="71" spans="1:31" ht="12.75">
      <c r="A71" s="10">
        <f t="shared" si="0"/>
        <v>0</v>
      </c>
      <c r="B71" s="13"/>
      <c r="C71" s="13"/>
      <c r="D71" s="13"/>
      <c r="E71" s="13"/>
      <c r="F71" s="13"/>
      <c r="G71" s="13"/>
      <c r="H71" s="13"/>
      <c r="I71" s="13"/>
      <c r="J71" s="13"/>
      <c r="K71" s="13"/>
      <c r="L71" s="17"/>
      <c r="M71" s="17" t="s">
        <v>879</v>
      </c>
      <c r="N71" s="80"/>
      <c r="O71" s="16"/>
      <c r="P71" s="16"/>
      <c r="Q71" s="16"/>
      <c r="R71" s="16"/>
      <c r="S71" s="17"/>
      <c r="T71" s="17"/>
      <c r="U71" s="17"/>
      <c r="V71" s="17"/>
      <c r="W71" s="17"/>
      <c r="X71" s="17">
        <f t="shared" si="1"/>
        <v>13</v>
      </c>
      <c r="Y71" s="18">
        <f t="shared" si="2"/>
        <v>0</v>
      </c>
      <c r="Z71" s="24"/>
      <c r="AA71" s="20"/>
      <c r="AB71" s="21" t="b">
        <v>1</v>
      </c>
      <c r="AC71" s="22">
        <f>IF(L71="",0,IF(AB71=FALSE(),0,Y71))</f>
        <v>0</v>
      </c>
      <c r="AD71" s="32"/>
      <c r="AE71" s="32"/>
    </row>
    <row r="72" spans="1:31" ht="12.75">
      <c r="A72" s="10">
        <f t="shared" si="0"/>
        <v>0</v>
      </c>
      <c r="B72" s="13"/>
      <c r="C72" s="13"/>
      <c r="D72" s="13"/>
      <c r="E72" s="13"/>
      <c r="F72" s="13"/>
      <c r="G72" s="13"/>
      <c r="H72" s="13"/>
      <c r="I72" s="13"/>
      <c r="J72" s="13"/>
      <c r="K72" s="13"/>
      <c r="L72" s="17"/>
      <c r="M72" s="17"/>
      <c r="N72" s="82" t="s">
        <v>880</v>
      </c>
      <c r="O72" s="16"/>
      <c r="P72" s="16"/>
      <c r="Q72" s="16"/>
      <c r="R72" s="16"/>
      <c r="S72" s="17"/>
      <c r="T72" s="17"/>
      <c r="U72" s="17"/>
      <c r="V72" s="17"/>
      <c r="W72" s="17"/>
      <c r="X72" s="17">
        <f t="shared" si="1"/>
        <v>13</v>
      </c>
      <c r="Y72" s="18">
        <f t="shared" si="2"/>
        <v>0</v>
      </c>
      <c r="Z72" s="24"/>
      <c r="AA72" s="20"/>
      <c r="AB72" s="21" t="b">
        <v>1</v>
      </c>
      <c r="AC72" s="22">
        <f>IF(M71="",0,IF(AB72=FALSE(),0,Y72))</f>
        <v>0</v>
      </c>
      <c r="AD72" s="32"/>
      <c r="AE72" s="32"/>
    </row>
    <row r="73" spans="1:31" ht="12.75">
      <c r="A73" s="10">
        <f t="shared" si="0"/>
        <v>0</v>
      </c>
      <c r="B73" s="13"/>
      <c r="C73" s="13"/>
      <c r="D73" s="13"/>
      <c r="E73" s="13"/>
      <c r="F73" s="13"/>
      <c r="G73" s="13"/>
      <c r="H73" s="13"/>
      <c r="I73" s="13"/>
      <c r="J73" s="13"/>
      <c r="K73" s="13"/>
      <c r="L73" s="17"/>
      <c r="M73" s="17"/>
      <c r="N73" s="82" t="s">
        <v>881</v>
      </c>
      <c r="O73" s="16"/>
      <c r="P73" s="16"/>
      <c r="Q73" s="16"/>
      <c r="R73" s="16"/>
      <c r="S73" s="17"/>
      <c r="T73" s="17"/>
      <c r="U73" s="17"/>
      <c r="V73" s="17"/>
      <c r="W73" s="17"/>
      <c r="X73" s="17">
        <f t="shared" si="1"/>
        <v>13</v>
      </c>
      <c r="Y73" s="18">
        <f t="shared" si="2"/>
        <v>0</v>
      </c>
      <c r="Z73" s="24"/>
      <c r="AA73" s="20"/>
      <c r="AB73" s="21" t="b">
        <v>1</v>
      </c>
      <c r="AC73" s="22">
        <f t="shared" ref="AC73:AC76" si="13">IF(N72="",0,IF(AB73=FALSE(),0,Y73))</f>
        <v>0</v>
      </c>
      <c r="AD73" s="32"/>
      <c r="AE73" s="32"/>
    </row>
    <row r="74" spans="1:31" ht="12.75">
      <c r="A74" s="10">
        <f t="shared" si="0"/>
        <v>0</v>
      </c>
      <c r="B74" s="13"/>
      <c r="C74" s="13"/>
      <c r="D74" s="13"/>
      <c r="E74" s="13"/>
      <c r="F74" s="13"/>
      <c r="G74" s="13"/>
      <c r="H74" s="13"/>
      <c r="I74" s="13"/>
      <c r="J74" s="13"/>
      <c r="K74" s="13"/>
      <c r="L74" s="17"/>
      <c r="M74" s="17"/>
      <c r="N74" s="82" t="s">
        <v>882</v>
      </c>
      <c r="O74" s="16"/>
      <c r="P74" s="16"/>
      <c r="Q74" s="16"/>
      <c r="R74" s="16"/>
      <c r="S74" s="17"/>
      <c r="T74" s="17"/>
      <c r="U74" s="17"/>
      <c r="V74" s="17"/>
      <c r="W74" s="17"/>
      <c r="X74" s="17">
        <f t="shared" si="1"/>
        <v>13</v>
      </c>
      <c r="Y74" s="18">
        <f t="shared" si="2"/>
        <v>0</v>
      </c>
      <c r="Z74" s="24"/>
      <c r="AA74" s="20"/>
      <c r="AB74" s="21" t="b">
        <v>1</v>
      </c>
      <c r="AC74" s="22">
        <f t="shared" si="13"/>
        <v>0</v>
      </c>
      <c r="AD74" s="32"/>
      <c r="AE74" s="32"/>
    </row>
    <row r="75" spans="1:31" ht="12.75">
      <c r="A75" s="10">
        <f t="shared" si="0"/>
        <v>0</v>
      </c>
      <c r="B75" s="13"/>
      <c r="C75" s="13"/>
      <c r="D75" s="13"/>
      <c r="E75" s="13"/>
      <c r="F75" s="13"/>
      <c r="G75" s="13"/>
      <c r="H75" s="13"/>
      <c r="I75" s="13"/>
      <c r="J75" s="13"/>
      <c r="K75" s="13"/>
      <c r="L75" s="17"/>
      <c r="M75" s="17"/>
      <c r="N75" s="82" t="s">
        <v>883</v>
      </c>
      <c r="O75" s="16"/>
      <c r="P75" s="16"/>
      <c r="Q75" s="16"/>
      <c r="R75" s="16"/>
      <c r="S75" s="17"/>
      <c r="T75" s="17"/>
      <c r="U75" s="17"/>
      <c r="V75" s="17"/>
      <c r="W75" s="17"/>
      <c r="X75" s="17">
        <f t="shared" si="1"/>
        <v>13</v>
      </c>
      <c r="Y75" s="18">
        <f t="shared" si="2"/>
        <v>0</v>
      </c>
      <c r="Z75" s="24"/>
      <c r="AA75" s="20"/>
      <c r="AB75" s="21" t="b">
        <v>1</v>
      </c>
      <c r="AC75" s="22">
        <f t="shared" si="13"/>
        <v>0</v>
      </c>
      <c r="AD75" s="28"/>
      <c r="AE75" s="28"/>
    </row>
    <row r="76" spans="1:31" ht="12.75">
      <c r="A76" s="10">
        <f t="shared" si="0"/>
        <v>0</v>
      </c>
      <c r="B76" s="13"/>
      <c r="C76" s="13"/>
      <c r="D76" s="13"/>
      <c r="E76" s="13"/>
      <c r="F76" s="13"/>
      <c r="G76" s="13"/>
      <c r="H76" s="13"/>
      <c r="I76" s="13"/>
      <c r="J76" s="13"/>
      <c r="K76" s="13"/>
      <c r="L76" s="17"/>
      <c r="M76" s="17" t="s">
        <v>884</v>
      </c>
      <c r="N76" s="80"/>
      <c r="O76" s="16"/>
      <c r="P76" s="16"/>
      <c r="Q76" s="16"/>
      <c r="R76" s="16"/>
      <c r="S76" s="17"/>
      <c r="T76" s="17"/>
      <c r="U76" s="17"/>
      <c r="V76" s="17"/>
      <c r="W76" s="17"/>
      <c r="X76" s="17">
        <f t="shared" si="1"/>
        <v>13</v>
      </c>
      <c r="Y76" s="18">
        <f t="shared" si="2"/>
        <v>0</v>
      </c>
      <c r="Z76" s="24"/>
      <c r="AA76" s="20"/>
      <c r="AB76" s="21" t="b">
        <v>1</v>
      </c>
      <c r="AC76" s="22">
        <f t="shared" si="13"/>
        <v>0</v>
      </c>
      <c r="AD76" s="28"/>
      <c r="AE76" s="28"/>
    </row>
    <row r="77" spans="1:31" ht="12.75">
      <c r="A77" s="10">
        <f t="shared" si="0"/>
        <v>0</v>
      </c>
      <c r="B77" s="13"/>
      <c r="C77" s="13"/>
      <c r="D77" s="13"/>
      <c r="E77" s="13"/>
      <c r="F77" s="13"/>
      <c r="G77" s="13"/>
      <c r="H77" s="13"/>
      <c r="I77" s="13"/>
      <c r="J77" s="13"/>
      <c r="K77" s="13"/>
      <c r="L77" s="86" t="s">
        <v>885</v>
      </c>
      <c r="M77" s="17"/>
      <c r="N77" s="80"/>
      <c r="O77" s="16"/>
      <c r="P77" s="16"/>
      <c r="Q77" s="16"/>
      <c r="R77" s="16"/>
      <c r="S77" s="17"/>
      <c r="T77" s="17"/>
      <c r="U77" s="17"/>
      <c r="V77" s="17"/>
      <c r="W77" s="17"/>
      <c r="X77" s="17">
        <f t="shared" si="1"/>
        <v>14</v>
      </c>
      <c r="Y77" s="18">
        <f t="shared" si="2"/>
        <v>0</v>
      </c>
      <c r="Z77" s="24"/>
      <c r="AA77" s="20"/>
      <c r="AB77" s="21" t="b">
        <v>1</v>
      </c>
      <c r="AC77" s="22">
        <f>IF(M76="",0,IF(AB77=FALSE(),0,Y77))</f>
        <v>0</v>
      </c>
      <c r="AD77" s="28"/>
      <c r="AE77" s="28"/>
    </row>
    <row r="78" spans="1:31" ht="12.75">
      <c r="A78" s="10">
        <f t="shared" si="0"/>
        <v>0</v>
      </c>
      <c r="B78" s="13"/>
      <c r="C78" s="13"/>
      <c r="D78" s="13"/>
      <c r="E78" s="13"/>
      <c r="F78" s="13"/>
      <c r="G78" s="13"/>
      <c r="H78" s="13"/>
      <c r="I78" s="13"/>
      <c r="J78" s="13"/>
      <c r="K78" s="13"/>
      <c r="L78" s="17"/>
      <c r="M78" s="17" t="s">
        <v>886</v>
      </c>
      <c r="N78" s="80"/>
      <c r="O78" s="16"/>
      <c r="P78" s="16"/>
      <c r="Q78" s="16"/>
      <c r="R78" s="16"/>
      <c r="S78" s="17"/>
      <c r="T78" s="17"/>
      <c r="U78" s="17"/>
      <c r="V78" s="17"/>
      <c r="W78" s="17"/>
      <c r="X78" s="17">
        <f t="shared" si="1"/>
        <v>14</v>
      </c>
      <c r="Y78" s="18">
        <f t="shared" si="2"/>
        <v>0</v>
      </c>
      <c r="Z78" s="24"/>
      <c r="AA78" s="20"/>
      <c r="AB78" s="21" t="b">
        <v>1</v>
      </c>
      <c r="AC78" s="22">
        <f>IF(L78="",0,IF(AB78=FALSE(),0,Y78))</f>
        <v>0</v>
      </c>
      <c r="AD78" s="28"/>
      <c r="AE78" s="28"/>
    </row>
    <row r="79" spans="1:31" ht="12.75">
      <c r="A79" s="10">
        <f t="shared" si="0"/>
        <v>0</v>
      </c>
      <c r="B79" s="13"/>
      <c r="C79" s="13"/>
      <c r="D79" s="13"/>
      <c r="E79" s="13"/>
      <c r="F79" s="13"/>
      <c r="G79" s="13"/>
      <c r="H79" s="13"/>
      <c r="I79" s="13"/>
      <c r="J79" s="13"/>
      <c r="K79" s="13"/>
      <c r="L79" s="17"/>
      <c r="M79" s="17"/>
      <c r="N79" s="82" t="s">
        <v>887</v>
      </c>
      <c r="O79" s="16"/>
      <c r="P79" s="16"/>
      <c r="Q79" s="16"/>
      <c r="R79" s="16"/>
      <c r="S79" s="17"/>
      <c r="T79" s="17"/>
      <c r="U79" s="17"/>
      <c r="V79" s="17"/>
      <c r="W79" s="17"/>
      <c r="X79" s="17">
        <f t="shared" si="1"/>
        <v>14</v>
      </c>
      <c r="Y79" s="18">
        <f t="shared" si="2"/>
        <v>0</v>
      </c>
      <c r="Z79" s="24"/>
      <c r="AA79" s="20"/>
      <c r="AB79" s="21" t="b">
        <v>1</v>
      </c>
      <c r="AC79" s="22">
        <f>IF(M78="",0,IF(AB79=FALSE(),0,Y79))</f>
        <v>0</v>
      </c>
      <c r="AD79" s="28"/>
      <c r="AE79" s="28"/>
    </row>
    <row r="80" spans="1:31" ht="12.75">
      <c r="A80" s="10">
        <f t="shared" si="0"/>
        <v>0</v>
      </c>
      <c r="B80" s="13"/>
      <c r="C80" s="23"/>
      <c r="D80" s="13"/>
      <c r="E80" s="23"/>
      <c r="F80" s="13"/>
      <c r="G80" s="23"/>
      <c r="H80" s="23"/>
      <c r="I80" s="23"/>
      <c r="J80" s="23"/>
      <c r="K80" s="23"/>
      <c r="L80" s="17"/>
      <c r="M80" s="17"/>
      <c r="N80" s="82" t="s">
        <v>888</v>
      </c>
      <c r="O80" s="16"/>
      <c r="P80" s="16"/>
      <c r="Q80" s="16"/>
      <c r="R80" s="17"/>
      <c r="S80" s="17"/>
      <c r="T80" s="17"/>
      <c r="U80" s="17"/>
      <c r="V80" s="17"/>
      <c r="W80" s="17"/>
      <c r="X80" s="17">
        <f t="shared" si="1"/>
        <v>14</v>
      </c>
      <c r="Y80" s="18">
        <f t="shared" si="2"/>
        <v>0</v>
      </c>
      <c r="Z80" s="24"/>
      <c r="AA80" s="20"/>
      <c r="AB80" s="21" t="b">
        <v>1</v>
      </c>
      <c r="AC80" s="22">
        <f t="shared" ref="AC80:AC81" si="14">IF(N79="",0,IF(AB80=FALSE(),0,Y80))</f>
        <v>0</v>
      </c>
      <c r="AD80" s="23"/>
      <c r="AE80" s="23"/>
    </row>
    <row r="81" spans="1:31" ht="12.75">
      <c r="A81" s="10">
        <f t="shared" si="0"/>
        <v>0</v>
      </c>
      <c r="B81" s="23"/>
      <c r="C81" s="23"/>
      <c r="D81" s="23"/>
      <c r="E81" s="23"/>
      <c r="F81" s="23"/>
      <c r="G81" s="23"/>
      <c r="H81" s="23"/>
      <c r="I81" s="23"/>
      <c r="J81" s="23"/>
      <c r="K81" s="23"/>
      <c r="L81" s="17"/>
      <c r="M81" s="17" t="s">
        <v>889</v>
      </c>
      <c r="N81" s="80"/>
      <c r="O81" s="16"/>
      <c r="P81" s="16"/>
      <c r="Q81" s="16"/>
      <c r="R81" s="17"/>
      <c r="S81" s="17"/>
      <c r="T81" s="17"/>
      <c r="U81" s="17"/>
      <c r="V81" s="17"/>
      <c r="W81" s="17"/>
      <c r="X81" s="17">
        <f t="shared" si="1"/>
        <v>14</v>
      </c>
      <c r="Y81" s="18">
        <f t="shared" si="2"/>
        <v>0</v>
      </c>
      <c r="Z81" s="24"/>
      <c r="AA81" s="20"/>
      <c r="AB81" s="21" t="b">
        <v>1</v>
      </c>
      <c r="AC81" s="22">
        <f t="shared" si="14"/>
        <v>0</v>
      </c>
      <c r="AD81" s="23"/>
      <c r="AE81" s="23"/>
    </row>
    <row r="82" spans="1:31" ht="12.75">
      <c r="A82" s="10">
        <f t="shared" si="0"/>
        <v>0</v>
      </c>
      <c r="B82" s="23"/>
      <c r="C82" s="23"/>
      <c r="D82" s="23"/>
      <c r="E82" s="23"/>
      <c r="F82" s="23"/>
      <c r="G82" s="23"/>
      <c r="H82" s="23"/>
      <c r="I82" s="23"/>
      <c r="J82" s="23"/>
      <c r="K82" s="23"/>
      <c r="L82" s="17"/>
      <c r="M82" s="17" t="s">
        <v>890</v>
      </c>
      <c r="N82" s="80"/>
      <c r="O82" s="16"/>
      <c r="P82" s="16"/>
      <c r="Q82" s="16"/>
      <c r="R82" s="17"/>
      <c r="S82" s="17"/>
      <c r="T82" s="17"/>
      <c r="U82" s="17"/>
      <c r="V82" s="17"/>
      <c r="W82" s="17"/>
      <c r="X82" s="17">
        <f t="shared" si="1"/>
        <v>14</v>
      </c>
      <c r="Y82" s="18">
        <f t="shared" si="2"/>
        <v>0</v>
      </c>
      <c r="Z82" s="24"/>
      <c r="AA82" s="20"/>
      <c r="AB82" s="21" t="b">
        <v>1</v>
      </c>
      <c r="AC82" s="22">
        <f t="shared" ref="AC82:AC83" si="15">IF(M81="",0,IF(AB82=FALSE(),0,Y82))</f>
        <v>0</v>
      </c>
      <c r="AD82" s="23"/>
      <c r="AE82" s="23"/>
    </row>
    <row r="83" spans="1:31" ht="12.75">
      <c r="A83" s="10">
        <f t="shared" si="0"/>
        <v>0</v>
      </c>
      <c r="B83" s="23"/>
      <c r="C83" s="23"/>
      <c r="D83" s="13"/>
      <c r="E83" s="23"/>
      <c r="F83" s="13"/>
      <c r="G83" s="23"/>
      <c r="H83" s="23"/>
      <c r="I83" s="23"/>
      <c r="J83" s="23"/>
      <c r="K83" s="23"/>
      <c r="L83" s="86" t="s">
        <v>891</v>
      </c>
      <c r="M83" s="17"/>
      <c r="N83" s="80"/>
      <c r="O83" s="16"/>
      <c r="P83" s="16"/>
      <c r="Q83" s="16"/>
      <c r="R83" s="17"/>
      <c r="S83" s="17"/>
      <c r="T83" s="17"/>
      <c r="U83" s="17"/>
      <c r="V83" s="17"/>
      <c r="W83" s="17"/>
      <c r="X83" s="17">
        <f t="shared" si="1"/>
        <v>15</v>
      </c>
      <c r="Y83" s="18">
        <f t="shared" si="2"/>
        <v>0</v>
      </c>
      <c r="Z83" s="24"/>
      <c r="AA83" s="20"/>
      <c r="AB83" s="21" t="b">
        <v>1</v>
      </c>
      <c r="AC83" s="22">
        <f t="shared" si="15"/>
        <v>0</v>
      </c>
      <c r="AD83" s="23"/>
      <c r="AE83" s="23"/>
    </row>
    <row r="84" spans="1:31" ht="12.75">
      <c r="A84" s="10">
        <f t="shared" si="0"/>
        <v>0</v>
      </c>
      <c r="B84" s="23"/>
      <c r="C84" s="23"/>
      <c r="D84" s="23"/>
      <c r="E84" s="23"/>
      <c r="F84" s="23"/>
      <c r="G84" s="23"/>
      <c r="H84" s="23"/>
      <c r="I84" s="23"/>
      <c r="J84" s="23"/>
      <c r="K84" s="23"/>
      <c r="L84" s="17"/>
      <c r="M84" s="17" t="s">
        <v>808</v>
      </c>
      <c r="N84" s="80"/>
      <c r="O84" s="16"/>
      <c r="P84" s="16"/>
      <c r="Q84" s="16"/>
      <c r="R84" s="17"/>
      <c r="S84" s="17"/>
      <c r="T84" s="17"/>
      <c r="U84" s="17"/>
      <c r="V84" s="17"/>
      <c r="W84" s="17"/>
      <c r="X84" s="17">
        <f t="shared" si="1"/>
        <v>15</v>
      </c>
      <c r="Y84" s="18">
        <f t="shared" si="2"/>
        <v>0</v>
      </c>
      <c r="Z84" s="24"/>
      <c r="AA84" s="20"/>
      <c r="AB84" s="21" t="b">
        <v>1</v>
      </c>
      <c r="AC84" s="22">
        <f>IF(L84="",0,IF(AB84=FALSE(),0,Y84))</f>
        <v>0</v>
      </c>
      <c r="AD84" s="23"/>
      <c r="AE84" s="23"/>
    </row>
    <row r="85" spans="1:31" ht="12.75">
      <c r="A85" s="10">
        <f t="shared" si="0"/>
        <v>0</v>
      </c>
      <c r="B85" s="13"/>
      <c r="C85" s="13"/>
      <c r="D85" s="13"/>
      <c r="E85" s="13"/>
      <c r="F85" s="13"/>
      <c r="G85" s="13"/>
      <c r="H85" s="13"/>
      <c r="I85" s="13"/>
      <c r="J85" s="13"/>
      <c r="K85" s="13"/>
      <c r="L85" s="17"/>
      <c r="M85" s="17" t="s">
        <v>809</v>
      </c>
      <c r="N85" s="80"/>
      <c r="O85" s="16"/>
      <c r="P85" s="16"/>
      <c r="Q85" s="16"/>
      <c r="R85" s="16"/>
      <c r="S85" s="17"/>
      <c r="T85" s="17"/>
      <c r="U85" s="17"/>
      <c r="V85" s="17"/>
      <c r="W85" s="17"/>
      <c r="X85" s="17">
        <f t="shared" si="1"/>
        <v>15</v>
      </c>
      <c r="Y85" s="18">
        <f t="shared" si="2"/>
        <v>0</v>
      </c>
      <c r="Z85" s="24"/>
      <c r="AA85" s="20"/>
      <c r="AB85" s="21" t="b">
        <v>1</v>
      </c>
      <c r="AC85" s="22">
        <f t="shared" ref="AC85:AC93" si="16">IF(M84="",0,IF(AB85=FALSE(),0,Y85))</f>
        <v>0</v>
      </c>
      <c r="AD85" s="32"/>
      <c r="AE85" s="32"/>
    </row>
    <row r="86" spans="1:31" ht="12.75">
      <c r="A86" s="10">
        <f t="shared" si="0"/>
        <v>0</v>
      </c>
      <c r="B86" s="13"/>
      <c r="C86" s="13"/>
      <c r="D86" s="13"/>
      <c r="E86" s="13"/>
      <c r="F86" s="13"/>
      <c r="G86" s="13"/>
      <c r="H86" s="13"/>
      <c r="I86" s="13"/>
      <c r="J86" s="13"/>
      <c r="K86" s="13"/>
      <c r="L86" s="17"/>
      <c r="M86" s="17" t="s">
        <v>810</v>
      </c>
      <c r="N86" s="80"/>
      <c r="O86" s="16"/>
      <c r="P86" s="16"/>
      <c r="Q86" s="16"/>
      <c r="R86" s="16"/>
      <c r="S86" s="17"/>
      <c r="T86" s="17"/>
      <c r="U86" s="17"/>
      <c r="V86" s="17"/>
      <c r="W86" s="17"/>
      <c r="X86" s="17">
        <f t="shared" si="1"/>
        <v>15</v>
      </c>
      <c r="Y86" s="18">
        <f t="shared" si="2"/>
        <v>0</v>
      </c>
      <c r="Z86" s="19"/>
      <c r="AA86" s="30"/>
      <c r="AB86" s="21" t="b">
        <v>1</v>
      </c>
      <c r="AC86" s="22">
        <f t="shared" si="16"/>
        <v>0</v>
      </c>
      <c r="AD86" s="32"/>
      <c r="AE86" s="32"/>
    </row>
    <row r="87" spans="1:31" ht="12.75">
      <c r="A87" s="10">
        <f t="shared" si="0"/>
        <v>0</v>
      </c>
      <c r="B87" s="13"/>
      <c r="C87" s="13"/>
      <c r="D87" s="13"/>
      <c r="E87" s="13"/>
      <c r="F87" s="13"/>
      <c r="G87" s="13"/>
      <c r="H87" s="13"/>
      <c r="I87" s="13"/>
      <c r="J87" s="13"/>
      <c r="K87" s="13"/>
      <c r="L87" s="17"/>
      <c r="M87" s="17" t="s">
        <v>811</v>
      </c>
      <c r="N87" s="80"/>
      <c r="O87" s="16"/>
      <c r="P87" s="16"/>
      <c r="Q87" s="16"/>
      <c r="R87" s="16"/>
      <c r="S87" s="17"/>
      <c r="T87" s="17"/>
      <c r="U87" s="17"/>
      <c r="V87" s="17"/>
      <c r="W87" s="17"/>
      <c r="X87" s="17">
        <f t="shared" si="1"/>
        <v>15</v>
      </c>
      <c r="Y87" s="18">
        <f t="shared" si="2"/>
        <v>0</v>
      </c>
      <c r="Z87" s="19"/>
      <c r="AA87" s="30"/>
      <c r="AB87" s="21" t="b">
        <v>1</v>
      </c>
      <c r="AC87" s="22">
        <f t="shared" si="16"/>
        <v>0</v>
      </c>
      <c r="AD87" s="32"/>
      <c r="AE87" s="32"/>
    </row>
    <row r="88" spans="1:31" ht="12.75">
      <c r="A88" s="10">
        <f t="shared" si="0"/>
        <v>0</v>
      </c>
      <c r="B88" s="13"/>
      <c r="C88" s="13"/>
      <c r="D88" s="13"/>
      <c r="E88" s="13"/>
      <c r="F88" s="13"/>
      <c r="G88" s="13"/>
      <c r="H88" s="13"/>
      <c r="I88" s="13"/>
      <c r="J88" s="13"/>
      <c r="K88" s="13"/>
      <c r="L88" s="17"/>
      <c r="M88" s="17" t="s">
        <v>812</v>
      </c>
      <c r="N88" s="80"/>
      <c r="O88" s="16"/>
      <c r="P88" s="16"/>
      <c r="Q88" s="16"/>
      <c r="R88" s="16"/>
      <c r="S88" s="17"/>
      <c r="T88" s="17"/>
      <c r="U88" s="17"/>
      <c r="V88" s="17"/>
      <c r="W88" s="17"/>
      <c r="X88" s="17">
        <f t="shared" si="1"/>
        <v>15</v>
      </c>
      <c r="Y88" s="18">
        <f t="shared" si="2"/>
        <v>0</v>
      </c>
      <c r="Z88" s="19"/>
      <c r="AA88" s="30"/>
      <c r="AB88" s="21" t="b">
        <v>1</v>
      </c>
      <c r="AC88" s="22">
        <f t="shared" si="16"/>
        <v>0</v>
      </c>
      <c r="AD88" s="32"/>
      <c r="AE88" s="32"/>
    </row>
    <row r="89" spans="1:31" ht="12.75">
      <c r="A89" s="10">
        <f t="shared" si="0"/>
        <v>0</v>
      </c>
      <c r="B89" s="13"/>
      <c r="C89" s="13"/>
      <c r="D89" s="13"/>
      <c r="E89" s="13"/>
      <c r="F89" s="13"/>
      <c r="G89" s="13"/>
      <c r="H89" s="13"/>
      <c r="I89" s="13"/>
      <c r="J89" s="13"/>
      <c r="K89" s="13"/>
      <c r="L89" s="17"/>
      <c r="M89" s="17" t="s">
        <v>813</v>
      </c>
      <c r="N89" s="80"/>
      <c r="O89" s="16"/>
      <c r="P89" s="16"/>
      <c r="Q89" s="16"/>
      <c r="R89" s="16"/>
      <c r="S89" s="17"/>
      <c r="T89" s="17"/>
      <c r="U89" s="17"/>
      <c r="V89" s="17"/>
      <c r="W89" s="17"/>
      <c r="X89" s="17">
        <f t="shared" si="1"/>
        <v>15</v>
      </c>
      <c r="Y89" s="18">
        <f t="shared" si="2"/>
        <v>0</v>
      </c>
      <c r="Z89" s="19"/>
      <c r="AA89" s="30"/>
      <c r="AB89" s="21" t="b">
        <v>1</v>
      </c>
      <c r="AC89" s="22">
        <f t="shared" si="16"/>
        <v>0</v>
      </c>
      <c r="AD89" s="32"/>
      <c r="AE89" s="32"/>
    </row>
    <row r="90" spans="1:31" ht="12.75">
      <c r="A90" s="10">
        <f t="shared" si="0"/>
        <v>0</v>
      </c>
      <c r="B90" s="13"/>
      <c r="C90" s="13"/>
      <c r="D90" s="13"/>
      <c r="E90" s="13"/>
      <c r="F90" s="13"/>
      <c r="G90" s="13"/>
      <c r="H90" s="13"/>
      <c r="I90" s="13"/>
      <c r="J90" s="13"/>
      <c r="K90" s="13"/>
      <c r="L90" s="17"/>
      <c r="M90" s="17" t="s">
        <v>814</v>
      </c>
      <c r="N90" s="80"/>
      <c r="O90" s="16"/>
      <c r="P90" s="16"/>
      <c r="Q90" s="16"/>
      <c r="R90" s="16"/>
      <c r="S90" s="17"/>
      <c r="T90" s="17"/>
      <c r="U90" s="17"/>
      <c r="V90" s="17"/>
      <c r="W90" s="17"/>
      <c r="X90" s="17">
        <f t="shared" si="1"/>
        <v>15</v>
      </c>
      <c r="Y90" s="18">
        <f t="shared" si="2"/>
        <v>0</v>
      </c>
      <c r="Z90" s="19"/>
      <c r="AA90" s="30"/>
      <c r="AB90" s="21" t="b">
        <v>1</v>
      </c>
      <c r="AC90" s="22">
        <f t="shared" si="16"/>
        <v>0</v>
      </c>
      <c r="AD90" s="32"/>
      <c r="AE90" s="32"/>
    </row>
    <row r="91" spans="1:31" ht="12.75">
      <c r="A91" s="10">
        <f t="shared" si="0"/>
        <v>0</v>
      </c>
      <c r="B91" s="13"/>
      <c r="C91" s="13"/>
      <c r="D91" s="13"/>
      <c r="E91" s="13"/>
      <c r="F91" s="13"/>
      <c r="G91" s="13"/>
      <c r="H91" s="13"/>
      <c r="I91" s="13"/>
      <c r="J91" s="13"/>
      <c r="K91" s="13"/>
      <c r="L91" s="17"/>
      <c r="M91" s="17" t="s">
        <v>815</v>
      </c>
      <c r="N91" s="80"/>
      <c r="O91" s="16"/>
      <c r="P91" s="16"/>
      <c r="Q91" s="16"/>
      <c r="R91" s="16"/>
      <c r="S91" s="17"/>
      <c r="T91" s="17"/>
      <c r="U91" s="17"/>
      <c r="V91" s="17"/>
      <c r="W91" s="17"/>
      <c r="X91" s="17">
        <f t="shared" si="1"/>
        <v>15</v>
      </c>
      <c r="Y91" s="18">
        <f t="shared" si="2"/>
        <v>0</v>
      </c>
      <c r="Z91" s="19"/>
      <c r="AA91" s="30"/>
      <c r="AB91" s="21" t="b">
        <v>1</v>
      </c>
      <c r="AC91" s="22">
        <f t="shared" si="16"/>
        <v>0</v>
      </c>
      <c r="AD91" s="32"/>
      <c r="AE91" s="32"/>
    </row>
    <row r="92" spans="1:31" ht="12.75">
      <c r="A92" s="10">
        <f t="shared" si="0"/>
        <v>0</v>
      </c>
      <c r="B92" s="13"/>
      <c r="C92" s="13"/>
      <c r="D92" s="13"/>
      <c r="E92" s="13"/>
      <c r="F92" s="13"/>
      <c r="G92" s="13"/>
      <c r="H92" s="13"/>
      <c r="I92" s="13"/>
      <c r="J92" s="13"/>
      <c r="K92" s="13"/>
      <c r="L92" s="17"/>
      <c r="M92" s="17" t="s">
        <v>816</v>
      </c>
      <c r="N92" s="80"/>
      <c r="O92" s="16"/>
      <c r="P92" s="16"/>
      <c r="Q92" s="16"/>
      <c r="R92" s="16"/>
      <c r="S92" s="17"/>
      <c r="T92" s="17"/>
      <c r="U92" s="17"/>
      <c r="V92" s="17"/>
      <c r="W92" s="17"/>
      <c r="X92" s="17">
        <f t="shared" si="1"/>
        <v>15</v>
      </c>
      <c r="Y92" s="18">
        <f t="shared" si="2"/>
        <v>0</v>
      </c>
      <c r="Z92" s="19"/>
      <c r="AA92" s="30"/>
      <c r="AB92" s="21" t="b">
        <v>1</v>
      </c>
      <c r="AC92" s="22">
        <f t="shared" si="16"/>
        <v>0</v>
      </c>
      <c r="AD92" s="32"/>
      <c r="AE92" s="32"/>
    </row>
    <row r="93" spans="1:31" ht="12.75">
      <c r="A93" s="10">
        <f t="shared" si="0"/>
        <v>0</v>
      </c>
      <c r="B93" s="13"/>
      <c r="C93" s="13"/>
      <c r="D93" s="13"/>
      <c r="E93" s="13"/>
      <c r="F93" s="13"/>
      <c r="G93" s="13"/>
      <c r="H93" s="13"/>
      <c r="I93" s="13"/>
      <c r="J93" s="13"/>
      <c r="K93" s="13"/>
      <c r="L93" s="17"/>
      <c r="M93" s="17"/>
      <c r="N93" s="80"/>
      <c r="O93" s="16"/>
      <c r="P93" s="16"/>
      <c r="Q93" s="16"/>
      <c r="R93" s="16"/>
      <c r="S93" s="17"/>
      <c r="T93" s="17"/>
      <c r="U93" s="17"/>
      <c r="V93" s="17"/>
      <c r="W93" s="17"/>
      <c r="X93" s="17">
        <f t="shared" si="1"/>
        <v>15</v>
      </c>
      <c r="Y93" s="18">
        <f t="shared" si="2"/>
        <v>0</v>
      </c>
      <c r="Z93" s="19"/>
      <c r="AA93" s="30"/>
      <c r="AB93" s="21" t="b">
        <v>1</v>
      </c>
      <c r="AC93" s="22">
        <f t="shared" si="16"/>
        <v>0</v>
      </c>
      <c r="AD93" s="32"/>
      <c r="AE93" s="32"/>
    </row>
    <row r="94" spans="1:31" ht="15">
      <c r="A94" s="10">
        <f t="shared" si="0"/>
        <v>0</v>
      </c>
      <c r="B94" s="23"/>
      <c r="C94" s="23"/>
      <c r="D94" s="23"/>
      <c r="E94" s="23"/>
      <c r="F94" s="23"/>
      <c r="G94" s="23"/>
      <c r="H94" s="23"/>
      <c r="I94" s="23"/>
      <c r="J94" s="23"/>
      <c r="K94" s="23"/>
      <c r="L94" s="27"/>
      <c r="M94" s="16"/>
      <c r="N94" s="16"/>
      <c r="O94" s="17"/>
      <c r="P94" s="17"/>
      <c r="Q94" s="17"/>
      <c r="R94" s="17"/>
      <c r="S94" s="17"/>
      <c r="T94" s="17"/>
      <c r="U94" s="17"/>
      <c r="V94" s="17"/>
      <c r="W94" s="17"/>
      <c r="X94" s="17">
        <f t="shared" si="1"/>
        <v>15</v>
      </c>
      <c r="Y94" s="18">
        <f t="shared" si="2"/>
        <v>0</v>
      </c>
      <c r="Z94" s="24"/>
      <c r="AA94" s="20"/>
      <c r="AB94" s="21" t="b">
        <v>1</v>
      </c>
      <c r="AC94" s="22">
        <f>IF(L94="",0,IF(AB94=FALSE(),0,Y94))</f>
        <v>0</v>
      </c>
      <c r="AD94" s="23"/>
      <c r="AE94" s="23"/>
    </row>
    <row r="95" spans="1:31" ht="12.75">
      <c r="A95" s="33"/>
      <c r="B95" s="33"/>
      <c r="C95" s="33"/>
      <c r="D95" s="33"/>
      <c r="E95" s="33"/>
      <c r="F95" s="33"/>
      <c r="G95" s="33"/>
      <c r="H95" s="33"/>
      <c r="I95" s="33"/>
      <c r="J95" s="33"/>
      <c r="K95" s="33"/>
      <c r="L95" s="34"/>
      <c r="M95" s="34"/>
      <c r="N95" s="35"/>
      <c r="O95" s="35" t="s">
        <v>20</v>
      </c>
      <c r="P95" s="34"/>
      <c r="Q95" s="34"/>
      <c r="R95" s="34"/>
      <c r="S95" s="34"/>
      <c r="T95" s="34"/>
      <c r="U95" s="34"/>
      <c r="V95" s="34"/>
      <c r="W95" s="34"/>
      <c r="X95" s="34"/>
      <c r="Y95" s="96"/>
      <c r="Z95" s="97"/>
      <c r="AA95" s="20"/>
      <c r="AB95" s="21" t="b">
        <v>1</v>
      </c>
      <c r="AC95" s="98"/>
      <c r="AD95" s="23"/>
      <c r="AE95" s="23"/>
    </row>
    <row r="96" spans="1:31" ht="15">
      <c r="A96" s="36">
        <f>ROW()</f>
        <v>96</v>
      </c>
      <c r="B96" s="23">
        <f t="shared" ref="B96:K96" si="17">SUM(B2:B95)</f>
        <v>3</v>
      </c>
      <c r="C96" s="23">
        <f t="shared" si="17"/>
        <v>4</v>
      </c>
      <c r="D96" s="23">
        <f t="shared" si="17"/>
        <v>4</v>
      </c>
      <c r="E96" s="23">
        <f t="shared" si="17"/>
        <v>2</v>
      </c>
      <c r="F96" s="23">
        <f t="shared" si="17"/>
        <v>0</v>
      </c>
      <c r="G96" s="23">
        <f t="shared" si="17"/>
        <v>0</v>
      </c>
      <c r="H96" s="23">
        <f t="shared" si="17"/>
        <v>4</v>
      </c>
      <c r="I96" s="23">
        <f t="shared" si="17"/>
        <v>0</v>
      </c>
      <c r="J96" s="23">
        <f t="shared" si="17"/>
        <v>0</v>
      </c>
      <c r="K96" s="23">
        <f t="shared" si="17"/>
        <v>4</v>
      </c>
      <c r="L96" s="27"/>
      <c r="M96" s="16"/>
      <c r="N96" s="16"/>
      <c r="O96" s="17"/>
      <c r="P96" s="23"/>
      <c r="Q96" s="23"/>
      <c r="R96" s="23"/>
      <c r="S96" s="23"/>
      <c r="T96" s="23"/>
      <c r="U96" s="23"/>
      <c r="V96" s="23"/>
      <c r="W96" s="13"/>
      <c r="X96" s="23"/>
      <c r="Y96" s="23"/>
      <c r="Z96" s="23"/>
      <c r="AA96" s="23"/>
      <c r="AB96" s="23"/>
      <c r="AC96" s="37"/>
      <c r="AD96" s="23"/>
      <c r="AE96" s="23"/>
    </row>
    <row r="97" spans="1:31" ht="12.75">
      <c r="A97" s="23"/>
      <c r="B97" s="23"/>
      <c r="C97" s="38"/>
      <c r="D97" s="38"/>
      <c r="E97" s="38"/>
      <c r="F97" s="38"/>
      <c r="G97" s="38"/>
      <c r="H97" s="38"/>
      <c r="I97" s="130" t="s">
        <v>21</v>
      </c>
      <c r="J97" s="117"/>
      <c r="K97" s="117"/>
      <c r="L97" s="117"/>
      <c r="M97" s="131">
        <f>400000+120000</f>
        <v>520000</v>
      </c>
      <c r="N97" s="117"/>
      <c r="O97" s="117"/>
      <c r="P97" s="23"/>
      <c r="Q97" s="23"/>
      <c r="R97" s="23"/>
      <c r="S97" s="38"/>
      <c r="T97" s="38"/>
      <c r="U97" s="38"/>
      <c r="V97" s="23"/>
      <c r="W97" s="23"/>
      <c r="X97" s="23"/>
      <c r="Y97" s="23"/>
      <c r="Z97" s="23"/>
      <c r="AA97" s="23"/>
      <c r="AB97" s="23"/>
      <c r="AC97" s="37"/>
      <c r="AD97" s="23"/>
      <c r="AE97" s="23"/>
    </row>
    <row r="98" spans="1:31" ht="15">
      <c r="A98" s="23"/>
      <c r="B98" s="23"/>
      <c r="C98" s="38"/>
      <c r="D98" s="39" t="s">
        <v>22</v>
      </c>
      <c r="E98" s="40">
        <v>1423000</v>
      </c>
      <c r="F98" s="41" t="s">
        <v>23</v>
      </c>
      <c r="G98" s="42">
        <v>200000</v>
      </c>
      <c r="H98" s="38"/>
      <c r="I98" s="43" t="s">
        <v>24</v>
      </c>
      <c r="J98" s="44">
        <v>0.18</v>
      </c>
      <c r="K98" s="44"/>
      <c r="L98" s="45" t="s">
        <v>25</v>
      </c>
      <c r="M98" s="46">
        <f>2.7/12</f>
        <v>0.22500000000000001</v>
      </c>
      <c r="N98" s="47" t="s">
        <v>26</v>
      </c>
      <c r="O98" s="48">
        <f>40*4.2*((244-2)/260)</f>
        <v>156.36923076923077</v>
      </c>
      <c r="P98" s="38"/>
      <c r="Q98" s="43" t="s">
        <v>27</v>
      </c>
      <c r="R98" s="49"/>
      <c r="S98" s="38"/>
      <c r="T98" s="50">
        <v>8</v>
      </c>
      <c r="U98" s="51" t="s">
        <v>28</v>
      </c>
      <c r="V98" s="52"/>
      <c r="W98" s="23"/>
      <c r="X98" s="23"/>
      <c r="Y98" s="23"/>
      <c r="Z98" s="23"/>
      <c r="AA98" s="23"/>
      <c r="AB98" s="23"/>
      <c r="AC98" s="37"/>
      <c r="AD98" s="23"/>
      <c r="AE98" s="23"/>
    </row>
    <row r="99" spans="1:31" ht="12.75">
      <c r="A99" s="23"/>
      <c r="B99" s="23"/>
      <c r="C99" s="127" t="s">
        <v>29</v>
      </c>
      <c r="D99" s="117"/>
      <c r="E99" s="117"/>
      <c r="F99" s="127" t="s">
        <v>30</v>
      </c>
      <c r="G99" s="117"/>
      <c r="H99" s="117"/>
      <c r="I99" s="127" t="s">
        <v>31</v>
      </c>
      <c r="J99" s="117"/>
      <c r="K99" s="117"/>
      <c r="L99" s="117"/>
      <c r="M99" s="127" t="s">
        <v>32</v>
      </c>
      <c r="N99" s="117"/>
      <c r="O99" s="117"/>
      <c r="P99" s="127" t="s">
        <v>33</v>
      </c>
      <c r="Q99" s="117"/>
      <c r="R99" s="117"/>
      <c r="S99" s="38"/>
      <c r="T99" s="38"/>
      <c r="U99" s="53" t="s">
        <v>26</v>
      </c>
      <c r="V99" s="127" t="s">
        <v>34</v>
      </c>
      <c r="W99" s="117"/>
      <c r="X99" s="117"/>
      <c r="Y99" s="23"/>
      <c r="Z99" s="23"/>
      <c r="AA99" s="23"/>
      <c r="AB99" s="23"/>
      <c r="AC99" s="37"/>
      <c r="AD99" s="23"/>
      <c r="AE99" s="23"/>
    </row>
    <row r="100" spans="1:31" ht="12.75">
      <c r="A100" s="54" t="s">
        <v>35</v>
      </c>
      <c r="B100" s="53" t="str">
        <f>B1</f>
        <v>DB</v>
      </c>
      <c r="C100" s="116">
        <v>6000000</v>
      </c>
      <c r="D100" s="117"/>
      <c r="E100" s="117"/>
      <c r="F100" s="116">
        <v>1000000</v>
      </c>
      <c r="G100" s="117"/>
      <c r="H100" s="117"/>
      <c r="I100" s="116">
        <v>0</v>
      </c>
      <c r="J100" s="117"/>
      <c r="K100" s="117"/>
      <c r="L100" s="117"/>
      <c r="M100" s="116">
        <f t="shared" ref="M100:M109" si="18">C100*(1+$J$98+$M$98)+F100+I100+$M$97+IF(($E$98*2)&gt;=C100,$G$98,0)</f>
        <v>9950000</v>
      </c>
      <c r="N100" s="117"/>
      <c r="O100" s="117"/>
      <c r="P100" s="124">
        <f t="shared" ref="P100:P109" si="19">M100/$O$98*(1+$R$98)</f>
        <v>63631.444313262495</v>
      </c>
      <c r="Q100" s="117"/>
      <c r="R100" s="117"/>
      <c r="S100" s="38"/>
      <c r="T100" s="38"/>
      <c r="U100" s="23">
        <f t="shared" ref="U100:U109" si="20">HLOOKUP(B100,$B$1:$K$96,$A$96,0)*$T$98</f>
        <v>24</v>
      </c>
      <c r="W100" s="55">
        <f t="shared" ref="W100:W109" si="21">P100*U100</f>
        <v>1527154.6635182998</v>
      </c>
      <c r="Y100" s="23"/>
      <c r="Z100" s="23"/>
      <c r="AA100" s="23"/>
      <c r="AB100" s="23"/>
      <c r="AC100" s="37"/>
      <c r="AD100" s="23"/>
      <c r="AE100" s="23"/>
    </row>
    <row r="101" spans="1:31" ht="12.75">
      <c r="A101" s="54" t="s">
        <v>36</v>
      </c>
      <c r="B101" s="53" t="str">
        <f>C1</f>
        <v>UX</v>
      </c>
      <c r="C101" s="116">
        <v>3000000</v>
      </c>
      <c r="D101" s="117"/>
      <c r="E101" s="117"/>
      <c r="F101" s="116">
        <v>500000</v>
      </c>
      <c r="G101" s="117"/>
      <c r="H101" s="117"/>
      <c r="I101" s="116">
        <v>0</v>
      </c>
      <c r="J101" s="117"/>
      <c r="K101" s="117"/>
      <c r="L101" s="117"/>
      <c r="M101" s="116">
        <f t="shared" si="18"/>
        <v>5235000</v>
      </c>
      <c r="N101" s="117"/>
      <c r="O101" s="117"/>
      <c r="P101" s="124">
        <f t="shared" si="19"/>
        <v>33478.453364817004</v>
      </c>
      <c r="Q101" s="117"/>
      <c r="R101" s="117"/>
      <c r="S101" s="38"/>
      <c r="T101" s="38"/>
      <c r="U101" s="23">
        <f t="shared" si="20"/>
        <v>32</v>
      </c>
      <c r="W101" s="55">
        <f t="shared" si="21"/>
        <v>1071310.5076741441</v>
      </c>
      <c r="Y101" s="23"/>
      <c r="Z101" s="23"/>
      <c r="AA101" s="23"/>
      <c r="AB101" s="23"/>
      <c r="AC101" s="37"/>
      <c r="AD101" s="23"/>
      <c r="AE101" s="23"/>
    </row>
    <row r="102" spans="1:31" ht="12.75">
      <c r="A102" s="54" t="s">
        <v>37</v>
      </c>
      <c r="B102" s="53" t="str">
        <f>D1</f>
        <v>FM</v>
      </c>
      <c r="C102" s="116">
        <v>3000000</v>
      </c>
      <c r="D102" s="117"/>
      <c r="E102" s="117"/>
      <c r="F102" s="116">
        <v>500000</v>
      </c>
      <c r="G102" s="117"/>
      <c r="H102" s="117"/>
      <c r="I102" s="116">
        <v>0</v>
      </c>
      <c r="J102" s="117"/>
      <c r="K102" s="117"/>
      <c r="L102" s="117"/>
      <c r="M102" s="116">
        <f t="shared" si="18"/>
        <v>5235000</v>
      </c>
      <c r="N102" s="117"/>
      <c r="O102" s="117"/>
      <c r="P102" s="124">
        <f t="shared" si="19"/>
        <v>33478.453364817004</v>
      </c>
      <c r="Q102" s="117"/>
      <c r="R102" s="117"/>
      <c r="S102" s="38"/>
      <c r="T102" s="38"/>
      <c r="U102" s="23">
        <f t="shared" si="20"/>
        <v>32</v>
      </c>
      <c r="W102" s="55">
        <f t="shared" si="21"/>
        <v>1071310.5076741441</v>
      </c>
      <c r="Y102" s="23"/>
      <c r="Z102" s="23"/>
      <c r="AA102" s="23"/>
      <c r="AB102" s="23"/>
      <c r="AC102" s="37"/>
      <c r="AD102" s="23"/>
      <c r="AE102" s="23"/>
    </row>
    <row r="103" spans="1:31" ht="12.75">
      <c r="A103" s="54" t="s">
        <v>38</v>
      </c>
      <c r="B103" s="53" t="str">
        <f>E1</f>
        <v>BS</v>
      </c>
      <c r="C103" s="116">
        <v>4000000</v>
      </c>
      <c r="D103" s="117"/>
      <c r="E103" s="117"/>
      <c r="F103" s="116">
        <v>1500000</v>
      </c>
      <c r="G103" s="117"/>
      <c r="H103" s="117"/>
      <c r="I103" s="116">
        <v>0</v>
      </c>
      <c r="J103" s="117"/>
      <c r="K103" s="117"/>
      <c r="L103" s="117"/>
      <c r="M103" s="116">
        <f t="shared" si="18"/>
        <v>7640000</v>
      </c>
      <c r="N103" s="117"/>
      <c r="O103" s="117"/>
      <c r="P103" s="124">
        <f t="shared" si="19"/>
        <v>48858.717040535223</v>
      </c>
      <c r="Q103" s="117"/>
      <c r="R103" s="117"/>
      <c r="S103" s="38"/>
      <c r="T103" s="38"/>
      <c r="U103" s="23">
        <f t="shared" si="20"/>
        <v>16</v>
      </c>
      <c r="W103" s="55">
        <f t="shared" si="21"/>
        <v>781739.47264856356</v>
      </c>
      <c r="Y103" s="23"/>
      <c r="Z103" s="23"/>
      <c r="AA103" s="23"/>
      <c r="AB103" s="23"/>
      <c r="AC103" s="37"/>
      <c r="AD103" s="23"/>
      <c r="AE103" s="23"/>
    </row>
    <row r="104" spans="1:31" ht="12.75">
      <c r="A104" s="54" t="s">
        <v>39</v>
      </c>
      <c r="B104" s="53" t="str">
        <f>F1</f>
        <v>BM</v>
      </c>
      <c r="C104" s="116">
        <v>3500000</v>
      </c>
      <c r="D104" s="117"/>
      <c r="E104" s="117"/>
      <c r="F104" s="116">
        <v>1000000</v>
      </c>
      <c r="G104" s="117"/>
      <c r="H104" s="117"/>
      <c r="I104" s="116">
        <v>0</v>
      </c>
      <c r="J104" s="117"/>
      <c r="K104" s="117"/>
      <c r="L104" s="117"/>
      <c r="M104" s="116">
        <f t="shared" si="18"/>
        <v>6437500</v>
      </c>
      <c r="N104" s="117"/>
      <c r="O104" s="117"/>
      <c r="P104" s="124">
        <f t="shared" si="19"/>
        <v>41168.585202676113</v>
      </c>
      <c r="Q104" s="117"/>
      <c r="R104" s="117"/>
      <c r="S104" s="38"/>
      <c r="T104" s="38"/>
      <c r="U104" s="23">
        <f t="shared" si="20"/>
        <v>0</v>
      </c>
      <c r="W104" s="55">
        <f t="shared" si="21"/>
        <v>0</v>
      </c>
      <c r="Y104" s="23"/>
      <c r="Z104" s="23"/>
      <c r="AA104" s="23"/>
      <c r="AB104" s="23"/>
      <c r="AC104" s="37"/>
      <c r="AD104" s="23"/>
      <c r="AE104" s="23"/>
    </row>
    <row r="105" spans="1:31" ht="12.75">
      <c r="A105" s="54" t="s">
        <v>40</v>
      </c>
      <c r="B105" s="53" t="str">
        <f>G1</f>
        <v>QA</v>
      </c>
      <c r="C105" s="116">
        <v>2500000</v>
      </c>
      <c r="D105" s="117"/>
      <c r="E105" s="117"/>
      <c r="F105" s="116">
        <v>1000000</v>
      </c>
      <c r="G105" s="117"/>
      <c r="H105" s="117"/>
      <c r="I105" s="116">
        <v>54000</v>
      </c>
      <c r="J105" s="117"/>
      <c r="K105" s="117"/>
      <c r="L105" s="117"/>
      <c r="M105" s="116">
        <f t="shared" si="18"/>
        <v>5286500</v>
      </c>
      <c r="N105" s="117"/>
      <c r="O105" s="117"/>
      <c r="P105" s="124">
        <f t="shared" si="19"/>
        <v>33807.80204643841</v>
      </c>
      <c r="Q105" s="117"/>
      <c r="R105" s="117"/>
      <c r="S105" s="38"/>
      <c r="T105" s="38"/>
      <c r="U105" s="23">
        <f t="shared" si="20"/>
        <v>0</v>
      </c>
      <c r="W105" s="55">
        <f t="shared" si="21"/>
        <v>0</v>
      </c>
      <c r="Y105" s="23"/>
      <c r="Z105" s="23"/>
      <c r="AA105" s="23"/>
      <c r="AB105" s="23"/>
      <c r="AC105" s="37"/>
      <c r="AD105" s="23"/>
      <c r="AE105" s="23"/>
    </row>
    <row r="106" spans="1:31" ht="12.75">
      <c r="A106" s="54" t="s">
        <v>41</v>
      </c>
      <c r="B106" s="53" t="str">
        <f>H1</f>
        <v>IM</v>
      </c>
      <c r="C106" s="116">
        <v>2500000</v>
      </c>
      <c r="D106" s="117"/>
      <c r="E106" s="117"/>
      <c r="F106" s="116">
        <v>1000000</v>
      </c>
      <c r="G106" s="117"/>
      <c r="H106" s="117"/>
      <c r="I106" s="116">
        <v>0</v>
      </c>
      <c r="J106" s="117"/>
      <c r="K106" s="117"/>
      <c r="L106" s="117"/>
      <c r="M106" s="116">
        <f t="shared" si="18"/>
        <v>5232500</v>
      </c>
      <c r="N106" s="117"/>
      <c r="O106" s="117"/>
      <c r="P106" s="124">
        <f t="shared" si="19"/>
        <v>33462.46556473829</v>
      </c>
      <c r="Q106" s="117"/>
      <c r="R106" s="117"/>
      <c r="S106" s="38"/>
      <c r="T106" s="38"/>
      <c r="U106" s="23">
        <f t="shared" si="20"/>
        <v>32</v>
      </c>
      <c r="W106" s="55">
        <f t="shared" si="21"/>
        <v>1070798.8980716253</v>
      </c>
      <c r="Y106" s="23"/>
      <c r="Z106" s="23"/>
      <c r="AA106" s="23"/>
      <c r="AB106" s="23"/>
      <c r="AC106" s="37"/>
      <c r="AD106" s="23"/>
      <c r="AE106" s="23"/>
    </row>
    <row r="107" spans="1:31" ht="12.75">
      <c r="A107" s="54" t="s">
        <v>42</v>
      </c>
      <c r="B107" s="53" t="str">
        <f>I1</f>
        <v>MS</v>
      </c>
      <c r="C107" s="116">
        <v>7500000</v>
      </c>
      <c r="D107" s="117"/>
      <c r="E107" s="117"/>
      <c r="F107" s="116">
        <v>2000000</v>
      </c>
      <c r="G107" s="117"/>
      <c r="H107" s="117"/>
      <c r="I107" s="116">
        <v>132000</v>
      </c>
      <c r="J107" s="117"/>
      <c r="K107" s="117"/>
      <c r="L107" s="117"/>
      <c r="M107" s="116">
        <f t="shared" si="18"/>
        <v>13189500</v>
      </c>
      <c r="N107" s="117"/>
      <c r="O107" s="117"/>
      <c r="P107" s="124">
        <f t="shared" si="19"/>
        <v>84348.435655253837</v>
      </c>
      <c r="Q107" s="117"/>
      <c r="R107" s="117"/>
      <c r="S107" s="38"/>
      <c r="T107" s="38"/>
      <c r="U107" s="23">
        <f t="shared" si="20"/>
        <v>0</v>
      </c>
      <c r="W107" s="55">
        <f t="shared" si="21"/>
        <v>0</v>
      </c>
      <c r="Y107" s="23"/>
      <c r="Z107" s="23"/>
      <c r="AA107" s="23"/>
      <c r="AB107" s="23"/>
      <c r="AC107" s="37"/>
      <c r="AD107" s="23"/>
      <c r="AE107" s="23"/>
    </row>
    <row r="108" spans="1:31" ht="12.75">
      <c r="A108" s="54" t="s">
        <v>43</v>
      </c>
      <c r="B108" s="53" t="str">
        <f>J1</f>
        <v>MM</v>
      </c>
      <c r="C108" s="116">
        <v>3000000</v>
      </c>
      <c r="D108" s="117"/>
      <c r="E108" s="117"/>
      <c r="F108" s="116">
        <v>1000000</v>
      </c>
      <c r="G108" s="117"/>
      <c r="H108" s="117"/>
      <c r="I108" s="116">
        <v>132000</v>
      </c>
      <c r="J108" s="117"/>
      <c r="K108" s="117"/>
      <c r="L108" s="117"/>
      <c r="M108" s="116">
        <f t="shared" si="18"/>
        <v>5867000</v>
      </c>
      <c r="N108" s="117"/>
      <c r="O108" s="117"/>
      <c r="P108" s="124">
        <f t="shared" si="19"/>
        <v>37520.169224714678</v>
      </c>
      <c r="Q108" s="117"/>
      <c r="R108" s="117"/>
      <c r="S108" s="38"/>
      <c r="T108" s="38"/>
      <c r="U108" s="23">
        <f t="shared" si="20"/>
        <v>0</v>
      </c>
      <c r="W108" s="55">
        <f t="shared" si="21"/>
        <v>0</v>
      </c>
      <c r="Y108" s="23"/>
      <c r="Z108" s="23"/>
      <c r="AA108" s="23"/>
      <c r="AB108" s="23"/>
      <c r="AC108" s="37"/>
      <c r="AD108" s="23"/>
      <c r="AE108" s="23"/>
    </row>
    <row r="109" spans="1:31" ht="12.75">
      <c r="A109" s="54" t="s">
        <v>44</v>
      </c>
      <c r="B109" s="53" t="s">
        <v>10</v>
      </c>
      <c r="C109" s="116">
        <v>3000000</v>
      </c>
      <c r="D109" s="117"/>
      <c r="E109" s="117"/>
      <c r="F109" s="116">
        <v>1000000</v>
      </c>
      <c r="G109" s="117"/>
      <c r="H109" s="117"/>
      <c r="I109" s="116"/>
      <c r="J109" s="117"/>
      <c r="K109" s="117"/>
      <c r="L109" s="117"/>
      <c r="M109" s="116">
        <f t="shared" si="18"/>
        <v>5735000</v>
      </c>
      <c r="N109" s="117"/>
      <c r="O109" s="117"/>
      <c r="P109" s="124">
        <f t="shared" si="19"/>
        <v>36676.013380558834</v>
      </c>
      <c r="Q109" s="117"/>
      <c r="R109" s="117"/>
      <c r="S109" s="38"/>
      <c r="T109" s="38"/>
      <c r="U109" s="23">
        <f t="shared" si="20"/>
        <v>32</v>
      </c>
      <c r="W109" s="55">
        <f t="shared" si="21"/>
        <v>1173632.4281778827</v>
      </c>
      <c r="Y109" s="23"/>
      <c r="Z109" s="23"/>
      <c r="AA109" s="23"/>
      <c r="AB109" s="23"/>
      <c r="AC109" s="37"/>
      <c r="AD109" s="23"/>
      <c r="AE109" s="23"/>
    </row>
    <row r="110" spans="1:31" ht="12.75">
      <c r="A110" s="54"/>
      <c r="B110" s="53"/>
      <c r="C110" s="38"/>
      <c r="D110" s="38"/>
      <c r="E110" s="38"/>
      <c r="F110" s="38"/>
      <c r="G110" s="38"/>
      <c r="H110" s="38"/>
      <c r="I110" s="23"/>
      <c r="J110" s="23"/>
      <c r="K110" s="23"/>
      <c r="L110" s="23"/>
      <c r="M110" s="23"/>
      <c r="N110" s="23"/>
      <c r="O110" s="23"/>
      <c r="P110" s="125">
        <f>SUM(P100:P109)</f>
        <v>446430.53915781184</v>
      </c>
      <c r="Q110" s="117"/>
      <c r="R110" s="117"/>
      <c r="S110" s="38"/>
      <c r="T110" s="38"/>
      <c r="U110" s="38"/>
      <c r="W110" s="56">
        <f>SUM(W100:W109)</f>
        <v>6695946.4777646596</v>
      </c>
      <c r="Y110" s="23"/>
      <c r="Z110" s="23"/>
      <c r="AA110" s="23"/>
      <c r="AB110" s="23"/>
      <c r="AC110" s="37"/>
      <c r="AD110" s="23"/>
      <c r="AE110" s="23"/>
    </row>
    <row r="111" spans="1:31" ht="12.75">
      <c r="A111" s="23"/>
      <c r="B111" s="23"/>
      <c r="C111" s="57"/>
      <c r="D111" s="57"/>
      <c r="E111" s="23"/>
      <c r="F111" s="23"/>
      <c r="G111" s="23"/>
      <c r="H111" s="38"/>
      <c r="I111" s="23"/>
      <c r="J111" s="23"/>
      <c r="K111" s="23"/>
      <c r="L111" s="38"/>
      <c r="M111" s="23"/>
      <c r="N111" s="23"/>
      <c r="O111" s="23"/>
      <c r="P111" s="23"/>
      <c r="Q111" s="23"/>
      <c r="R111" s="23"/>
      <c r="S111" s="23"/>
      <c r="T111" s="23"/>
      <c r="U111" s="23"/>
      <c r="V111" s="23"/>
      <c r="W111" s="23"/>
      <c r="X111" s="23"/>
      <c r="Y111" s="23"/>
      <c r="Z111" s="23"/>
      <c r="AA111" s="23"/>
      <c r="AB111" s="23"/>
      <c r="AC111" s="37"/>
      <c r="AD111" s="23"/>
      <c r="AE111" s="23"/>
    </row>
    <row r="112" spans="1:31" ht="12.7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37"/>
      <c r="AD112" s="23"/>
      <c r="AE112" s="23"/>
    </row>
    <row r="113" spans="1:31" ht="12.75">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9"/>
      <c r="AD113" s="58"/>
      <c r="AE113" s="58"/>
    </row>
    <row r="114" spans="1:31" ht="15">
      <c r="A114" s="58"/>
      <c r="B114" s="58"/>
      <c r="C114" s="118"/>
      <c r="D114" s="119"/>
      <c r="E114" s="119"/>
      <c r="F114" s="120"/>
      <c r="G114" s="121"/>
      <c r="H114" s="122"/>
      <c r="I114" s="122"/>
      <c r="J114" s="123"/>
      <c r="K114" s="60"/>
      <c r="L114" s="126"/>
      <c r="M114" s="122"/>
      <c r="N114" s="122"/>
      <c r="O114" s="123"/>
      <c r="P114" s="121"/>
      <c r="Q114" s="122"/>
      <c r="R114" s="122"/>
      <c r="S114" s="123"/>
      <c r="T114" s="126"/>
      <c r="U114" s="122"/>
      <c r="V114" s="122"/>
      <c r="W114" s="123"/>
      <c r="X114" s="121"/>
      <c r="Y114" s="122"/>
      <c r="Z114" s="123"/>
      <c r="AA114" s="126"/>
      <c r="AB114" s="122"/>
      <c r="AC114" s="123"/>
      <c r="AD114" s="61"/>
      <c r="AE114" s="58"/>
    </row>
    <row r="115" spans="1:31" ht="12.75">
      <c r="A115" s="62" t="e">
        <f t="array" aca="1" ref="A115:A130" ca="1">unique(L1:L95)</f>
        <v>#NAME?</v>
      </c>
      <c r="B115" s="63"/>
      <c r="C115" s="64"/>
      <c r="D115" s="64"/>
      <c r="E115" s="64"/>
      <c r="F115" s="65"/>
      <c r="G115" s="66" t="s">
        <v>45</v>
      </c>
      <c r="H115" s="66" t="s">
        <v>46</v>
      </c>
      <c r="I115" s="66" t="s">
        <v>47</v>
      </c>
      <c r="J115" s="66" t="s">
        <v>48</v>
      </c>
      <c r="K115" s="66" t="s">
        <v>49</v>
      </c>
      <c r="L115" s="67" t="s">
        <v>50</v>
      </c>
      <c r="M115" s="67" t="s">
        <v>51</v>
      </c>
      <c r="N115" s="67" t="s">
        <v>52</v>
      </c>
      <c r="O115" s="67" t="s">
        <v>53</v>
      </c>
      <c r="P115" s="66" t="s">
        <v>54</v>
      </c>
      <c r="Q115" s="66"/>
      <c r="R115" s="66"/>
      <c r="S115" s="66"/>
      <c r="T115" s="67"/>
      <c r="U115" s="67"/>
      <c r="V115" s="67"/>
      <c r="W115" s="67"/>
      <c r="X115" s="66"/>
      <c r="Y115" s="66"/>
      <c r="Z115" s="66"/>
      <c r="AA115" s="67"/>
      <c r="AB115" s="67"/>
      <c r="AC115" s="68"/>
      <c r="AD115" s="67"/>
      <c r="AE115" s="58"/>
    </row>
    <row r="116" spans="1:31" ht="12.75">
      <c r="A116" s="69" t="e">
        <f ca="1"/>
        <v>#NAME?</v>
      </c>
      <c r="B116" s="70"/>
      <c r="C116" s="71"/>
      <c r="D116" s="71" t="s">
        <v>55</v>
      </c>
      <c r="E116" s="71"/>
      <c r="F116" s="72"/>
      <c r="G116" s="73" t="s">
        <v>213</v>
      </c>
      <c r="H116" s="73"/>
      <c r="I116" s="73"/>
      <c r="J116" s="73"/>
      <c r="K116" s="73"/>
      <c r="L116" s="74"/>
      <c r="M116" s="74"/>
      <c r="N116" s="74"/>
      <c r="O116" s="75"/>
      <c r="P116" s="76"/>
      <c r="Q116" s="76"/>
      <c r="R116" s="76"/>
      <c r="S116" s="76"/>
      <c r="T116" s="75"/>
      <c r="U116" s="75"/>
      <c r="V116" s="75"/>
      <c r="W116" s="75"/>
      <c r="X116" s="76"/>
      <c r="Y116" s="76"/>
      <c r="Z116" s="76"/>
      <c r="AA116" s="75"/>
      <c r="AB116" s="75"/>
      <c r="AC116" s="77"/>
      <c r="AD116" s="75"/>
      <c r="AE116" s="58"/>
    </row>
    <row r="117" spans="1:31" ht="12.75">
      <c r="A117" s="69" t="e">
        <f ca="1"/>
        <v>#NAME?</v>
      </c>
      <c r="B117" s="70"/>
      <c r="C117" s="71"/>
      <c r="D117" s="71"/>
      <c r="E117" s="71"/>
      <c r="F117" s="72"/>
      <c r="G117" s="73"/>
      <c r="H117" s="73"/>
      <c r="I117" s="73"/>
      <c r="J117" s="73"/>
      <c r="K117" s="73"/>
      <c r="L117" s="74"/>
      <c r="M117" s="75"/>
      <c r="N117" s="75"/>
      <c r="O117" s="75"/>
      <c r="P117" s="76"/>
      <c r="Q117" s="76"/>
      <c r="R117" s="76"/>
      <c r="S117" s="76"/>
      <c r="T117" s="75"/>
      <c r="U117" s="75"/>
      <c r="V117" s="75"/>
      <c r="W117" s="75"/>
      <c r="X117" s="76"/>
      <c r="Y117" s="76"/>
      <c r="Z117" s="76"/>
      <c r="AA117" s="75"/>
      <c r="AB117" s="75"/>
      <c r="AC117" s="77"/>
      <c r="AD117" s="75"/>
      <c r="AE117" s="58"/>
    </row>
    <row r="118" spans="1:31" ht="12.75">
      <c r="A118" s="69" t="e">
        <f ca="1"/>
        <v>#NAME?</v>
      </c>
      <c r="B118" s="70"/>
      <c r="C118" s="71"/>
      <c r="D118" s="71"/>
      <c r="E118" s="71"/>
      <c r="F118" s="72"/>
      <c r="G118" s="73"/>
      <c r="H118" s="73"/>
      <c r="I118" s="73"/>
      <c r="J118" s="73"/>
      <c r="K118" s="73"/>
      <c r="L118" s="74"/>
      <c r="M118" s="74"/>
      <c r="N118" s="74"/>
      <c r="O118" s="74"/>
      <c r="P118" s="76"/>
      <c r="Q118" s="76"/>
      <c r="R118" s="76"/>
      <c r="S118" s="76"/>
      <c r="T118" s="75"/>
      <c r="U118" s="75"/>
      <c r="V118" s="75"/>
      <c r="W118" s="75"/>
      <c r="X118" s="76"/>
      <c r="Y118" s="76"/>
      <c r="Z118" s="76"/>
      <c r="AA118" s="75"/>
      <c r="AB118" s="75"/>
      <c r="AC118" s="77"/>
      <c r="AD118" s="75"/>
      <c r="AE118" s="58"/>
    </row>
    <row r="119" spans="1:31" ht="12.75">
      <c r="A119" s="69" t="e">
        <f ca="1"/>
        <v>#NAME?</v>
      </c>
      <c r="B119" s="70"/>
      <c r="C119" s="71"/>
      <c r="D119" s="71"/>
      <c r="E119" s="71"/>
      <c r="F119" s="72"/>
      <c r="G119" s="73"/>
      <c r="H119" s="73"/>
      <c r="I119" s="73"/>
      <c r="J119" s="73"/>
      <c r="K119" s="73"/>
      <c r="L119" s="74"/>
      <c r="M119" s="74"/>
      <c r="N119" s="74"/>
      <c r="O119" s="75"/>
      <c r="P119" s="76"/>
      <c r="Q119" s="76"/>
      <c r="R119" s="76"/>
      <c r="S119" s="76"/>
      <c r="T119" s="75"/>
      <c r="U119" s="75"/>
      <c r="V119" s="75"/>
      <c r="W119" s="75"/>
      <c r="X119" s="76"/>
      <c r="Y119" s="76"/>
      <c r="Z119" s="76"/>
      <c r="AA119" s="75"/>
      <c r="AB119" s="75"/>
      <c r="AC119" s="77"/>
      <c r="AD119" s="75"/>
      <c r="AE119" s="58"/>
    </row>
    <row r="120" spans="1:31" ht="12.75">
      <c r="A120" s="69" t="e">
        <f ca="1"/>
        <v>#NAME?</v>
      </c>
      <c r="B120" s="70"/>
      <c r="C120" s="71"/>
      <c r="D120" s="71"/>
      <c r="E120" s="71"/>
      <c r="F120" s="72"/>
      <c r="G120" s="73" t="s">
        <v>213</v>
      </c>
      <c r="H120" s="73"/>
      <c r="I120" s="73"/>
      <c r="J120" s="73"/>
      <c r="K120" s="73"/>
      <c r="L120" s="74"/>
      <c r="M120" s="74"/>
      <c r="N120" s="74"/>
      <c r="O120" s="74"/>
      <c r="P120" s="76"/>
      <c r="Q120" s="76"/>
      <c r="R120" s="76"/>
      <c r="S120" s="76"/>
      <c r="T120" s="75"/>
      <c r="U120" s="75"/>
      <c r="V120" s="75"/>
      <c r="W120" s="75"/>
      <c r="X120" s="76"/>
      <c r="Y120" s="76"/>
      <c r="Z120" s="76"/>
      <c r="AA120" s="75"/>
      <c r="AB120" s="75"/>
      <c r="AC120" s="77"/>
      <c r="AD120" s="75"/>
      <c r="AE120" s="58"/>
    </row>
    <row r="121" spans="1:31" ht="12.75">
      <c r="A121" s="69" t="e">
        <f ca="1"/>
        <v>#NAME?</v>
      </c>
      <c r="B121" s="70"/>
      <c r="C121" s="71"/>
      <c r="D121" s="71"/>
      <c r="E121" s="71"/>
      <c r="F121" s="72"/>
      <c r="G121" s="73"/>
      <c r="H121" s="73"/>
      <c r="I121" s="73"/>
      <c r="J121" s="73"/>
      <c r="K121" s="73"/>
      <c r="L121" s="74"/>
      <c r="M121" s="74"/>
      <c r="N121" s="74"/>
      <c r="O121" s="75"/>
      <c r="P121" s="73"/>
      <c r="Q121" s="76"/>
      <c r="R121" s="76"/>
      <c r="S121" s="76"/>
      <c r="T121" s="75"/>
      <c r="U121" s="75"/>
      <c r="V121" s="75"/>
      <c r="W121" s="75"/>
      <c r="X121" s="76"/>
      <c r="Y121" s="76"/>
      <c r="Z121" s="76"/>
      <c r="AA121" s="75"/>
      <c r="AB121" s="75"/>
      <c r="AC121" s="77"/>
      <c r="AD121" s="75"/>
      <c r="AE121" s="58"/>
    </row>
    <row r="122" spans="1:31" ht="12.75">
      <c r="A122" s="69" t="e">
        <f ca="1"/>
        <v>#NAME?</v>
      </c>
      <c r="B122" s="70"/>
      <c r="C122" s="71"/>
      <c r="D122" s="71"/>
      <c r="E122" s="71"/>
      <c r="F122" s="72"/>
      <c r="G122" s="73"/>
      <c r="H122" s="73"/>
      <c r="I122" s="73"/>
      <c r="J122" s="73"/>
      <c r="K122" s="73"/>
      <c r="L122" s="74"/>
      <c r="M122" s="74"/>
      <c r="N122" s="74"/>
      <c r="O122" s="75"/>
      <c r="P122" s="73"/>
      <c r="Q122" s="76"/>
      <c r="R122" s="76"/>
      <c r="S122" s="76"/>
      <c r="T122" s="75"/>
      <c r="U122" s="75"/>
      <c r="V122" s="75"/>
      <c r="W122" s="75"/>
      <c r="X122" s="76"/>
      <c r="Y122" s="76"/>
      <c r="Z122" s="76"/>
      <c r="AA122" s="75"/>
      <c r="AB122" s="75"/>
      <c r="AC122" s="77"/>
      <c r="AD122" s="75"/>
      <c r="AE122" s="58"/>
    </row>
    <row r="123" spans="1:31" ht="12.75">
      <c r="A123" s="69" t="e">
        <f ca="1"/>
        <v>#NAME?</v>
      </c>
      <c r="B123" s="70"/>
      <c r="C123" s="71"/>
      <c r="D123" s="71"/>
      <c r="E123" s="71"/>
      <c r="F123" s="72"/>
      <c r="G123" s="73"/>
      <c r="H123" s="73"/>
      <c r="I123" s="73"/>
      <c r="J123" s="73"/>
      <c r="K123" s="73"/>
      <c r="L123" s="74"/>
      <c r="M123" s="74"/>
      <c r="N123" s="74"/>
      <c r="O123" s="74"/>
      <c r="P123" s="73"/>
      <c r="Q123" s="76"/>
      <c r="R123" s="76"/>
      <c r="S123" s="76"/>
      <c r="T123" s="75"/>
      <c r="U123" s="75"/>
      <c r="V123" s="75"/>
      <c r="W123" s="75"/>
      <c r="X123" s="76"/>
      <c r="Y123" s="76"/>
      <c r="Z123" s="76"/>
      <c r="AA123" s="75"/>
      <c r="AB123" s="75"/>
      <c r="AC123" s="77"/>
      <c r="AD123" s="75"/>
      <c r="AE123" s="58"/>
    </row>
    <row r="124" spans="1:31" ht="12.75">
      <c r="A124" s="69" t="e">
        <f ca="1"/>
        <v>#NAME?</v>
      </c>
      <c r="B124" s="70"/>
      <c r="C124" s="71"/>
      <c r="D124" s="71"/>
      <c r="E124" s="71"/>
      <c r="F124" s="72"/>
      <c r="G124" s="73"/>
      <c r="H124" s="73"/>
      <c r="I124" s="73"/>
      <c r="J124" s="73"/>
      <c r="K124" s="73"/>
      <c r="L124" s="74"/>
      <c r="M124" s="74"/>
      <c r="N124" s="74"/>
      <c r="O124" s="75"/>
      <c r="P124" s="76"/>
      <c r="Q124" s="76"/>
      <c r="R124" s="76"/>
      <c r="S124" s="76"/>
      <c r="T124" s="75"/>
      <c r="U124" s="75"/>
      <c r="V124" s="75"/>
      <c r="W124" s="75"/>
      <c r="X124" s="76"/>
      <c r="Y124" s="76"/>
      <c r="Z124" s="76"/>
      <c r="AA124" s="75"/>
      <c r="AB124" s="75"/>
      <c r="AC124" s="77"/>
      <c r="AD124" s="75"/>
      <c r="AE124" s="58"/>
    </row>
    <row r="125" spans="1:31" ht="12.75">
      <c r="A125" s="69" t="e">
        <f ca="1"/>
        <v>#NAME?</v>
      </c>
      <c r="B125" s="70"/>
      <c r="C125" s="71"/>
      <c r="D125" s="71"/>
      <c r="E125" s="71"/>
      <c r="F125" s="72"/>
      <c r="G125" s="73"/>
      <c r="H125" s="73"/>
      <c r="I125" s="73"/>
      <c r="J125" s="73"/>
      <c r="K125" s="73"/>
      <c r="L125" s="74"/>
      <c r="M125" s="74"/>
      <c r="N125" s="74"/>
      <c r="O125" s="75"/>
      <c r="P125" s="76"/>
      <c r="Q125" s="76"/>
      <c r="R125" s="76"/>
      <c r="S125" s="76"/>
      <c r="T125" s="75"/>
      <c r="U125" s="75"/>
      <c r="V125" s="75"/>
      <c r="W125" s="75"/>
      <c r="X125" s="76"/>
      <c r="Y125" s="76"/>
      <c r="Z125" s="76"/>
      <c r="AA125" s="75"/>
      <c r="AB125" s="75"/>
      <c r="AC125" s="77"/>
      <c r="AD125" s="75"/>
      <c r="AE125" s="58"/>
    </row>
    <row r="126" spans="1:31" ht="12.75">
      <c r="A126" s="69" t="e">
        <f ca="1"/>
        <v>#NAME?</v>
      </c>
      <c r="B126" s="70"/>
      <c r="C126" s="71"/>
      <c r="D126" s="71"/>
      <c r="E126" s="71"/>
      <c r="F126" s="72"/>
      <c r="G126" s="73"/>
      <c r="H126" s="73"/>
      <c r="I126" s="73"/>
      <c r="J126" s="73"/>
      <c r="K126" s="73"/>
      <c r="L126" s="74"/>
      <c r="M126" s="74"/>
      <c r="N126" s="74"/>
      <c r="O126" s="75"/>
      <c r="P126" s="76"/>
      <c r="Q126" s="76"/>
      <c r="R126" s="76"/>
      <c r="S126" s="76"/>
      <c r="T126" s="75"/>
      <c r="U126" s="75"/>
      <c r="V126" s="75"/>
      <c r="W126" s="75"/>
      <c r="X126" s="76"/>
      <c r="Y126" s="76"/>
      <c r="Z126" s="76"/>
      <c r="AA126" s="75"/>
      <c r="AB126" s="75"/>
      <c r="AC126" s="77"/>
      <c r="AD126" s="75"/>
      <c r="AE126" s="58"/>
    </row>
    <row r="127" spans="1:31" ht="12.75">
      <c r="A127" s="69" t="e">
        <f ca="1"/>
        <v>#NAME?</v>
      </c>
      <c r="B127" s="70"/>
      <c r="C127" s="71"/>
      <c r="D127" s="71"/>
      <c r="E127" s="71"/>
      <c r="F127" s="72"/>
      <c r="G127" s="73"/>
      <c r="H127" s="73"/>
      <c r="I127" s="73"/>
      <c r="J127" s="73"/>
      <c r="K127" s="73"/>
      <c r="L127" s="74"/>
      <c r="M127" s="74"/>
      <c r="N127" s="74"/>
      <c r="O127" s="75"/>
      <c r="P127" s="76"/>
      <c r="Q127" s="76"/>
      <c r="R127" s="76"/>
      <c r="S127" s="76"/>
      <c r="T127" s="75"/>
      <c r="U127" s="75"/>
      <c r="V127" s="75"/>
      <c r="W127" s="75"/>
      <c r="X127" s="76"/>
      <c r="Y127" s="76"/>
      <c r="Z127" s="76"/>
      <c r="AA127" s="75"/>
      <c r="AB127" s="75"/>
      <c r="AC127" s="77"/>
      <c r="AD127" s="75"/>
      <c r="AE127" s="58"/>
    </row>
    <row r="128" spans="1:31" ht="12.75">
      <c r="A128" s="69" t="e">
        <f ca="1"/>
        <v>#NAME?</v>
      </c>
      <c r="B128" s="70"/>
      <c r="C128" s="71"/>
      <c r="D128" s="71"/>
      <c r="E128" s="71"/>
      <c r="F128" s="72"/>
      <c r="G128" s="73"/>
      <c r="H128" s="73"/>
      <c r="I128" s="73"/>
      <c r="J128" s="73"/>
      <c r="K128" s="73"/>
      <c r="L128" s="74"/>
      <c r="M128" s="74"/>
      <c r="N128" s="74"/>
      <c r="O128" s="75"/>
      <c r="P128" s="76"/>
      <c r="Q128" s="76"/>
      <c r="R128" s="76"/>
      <c r="S128" s="76"/>
      <c r="T128" s="75"/>
      <c r="U128" s="75"/>
      <c r="V128" s="75"/>
      <c r="W128" s="75"/>
      <c r="X128" s="76"/>
      <c r="Y128" s="76"/>
      <c r="Z128" s="76"/>
      <c r="AA128" s="75"/>
      <c r="AB128" s="75"/>
      <c r="AC128" s="77"/>
      <c r="AD128" s="75"/>
      <c r="AE128" s="58"/>
    </row>
    <row r="129" spans="1:31" ht="12.75">
      <c r="A129" s="69" t="e">
        <f ca="1"/>
        <v>#NAME?</v>
      </c>
      <c r="B129" s="70"/>
      <c r="C129" s="71"/>
      <c r="D129" s="71"/>
      <c r="E129" s="71"/>
      <c r="F129" s="72"/>
      <c r="G129" s="73"/>
      <c r="H129" s="73"/>
      <c r="I129" s="73"/>
      <c r="J129" s="73"/>
      <c r="K129" s="73"/>
      <c r="L129" s="74"/>
      <c r="M129" s="74"/>
      <c r="N129" s="74"/>
      <c r="O129" s="75"/>
      <c r="P129" s="76"/>
      <c r="Q129" s="76"/>
      <c r="R129" s="76"/>
      <c r="S129" s="76"/>
      <c r="T129" s="75"/>
      <c r="U129" s="75"/>
      <c r="V129" s="75"/>
      <c r="W129" s="75"/>
      <c r="X129" s="76"/>
      <c r="Y129" s="76"/>
      <c r="Z129" s="76"/>
      <c r="AA129" s="75"/>
      <c r="AB129" s="75"/>
      <c r="AC129" s="77"/>
      <c r="AD129" s="75"/>
      <c r="AE129" s="58"/>
    </row>
    <row r="130" spans="1:31" ht="12.75">
      <c r="A130" s="69" t="e">
        <f ca="1"/>
        <v>#NAME?</v>
      </c>
      <c r="B130" s="70"/>
      <c r="C130" s="71"/>
      <c r="D130" s="71"/>
      <c r="E130" s="71"/>
      <c r="F130" s="72"/>
      <c r="G130" s="73"/>
      <c r="H130" s="73"/>
      <c r="I130" s="73"/>
      <c r="J130" s="73"/>
      <c r="K130" s="73"/>
      <c r="L130" s="74"/>
      <c r="M130" s="74"/>
      <c r="N130" s="74"/>
      <c r="O130" s="75"/>
      <c r="P130" s="76"/>
      <c r="Q130" s="76"/>
      <c r="R130" s="76"/>
      <c r="S130" s="76"/>
      <c r="T130" s="75"/>
      <c r="U130" s="75"/>
      <c r="V130" s="75"/>
      <c r="W130" s="75"/>
      <c r="X130" s="76"/>
      <c r="Y130" s="76"/>
      <c r="Z130" s="76"/>
      <c r="AA130" s="75"/>
      <c r="AB130" s="75"/>
      <c r="AC130" s="77"/>
      <c r="AD130" s="75"/>
      <c r="AE130" s="58"/>
    </row>
    <row r="131" spans="1:31" ht="12.75">
      <c r="A131" s="69"/>
      <c r="B131" s="70"/>
      <c r="C131" s="71"/>
      <c r="D131" s="71"/>
      <c r="E131" s="71"/>
      <c r="F131" s="72"/>
      <c r="G131" s="73"/>
      <c r="H131" s="73"/>
      <c r="I131" s="73"/>
      <c r="J131" s="73"/>
      <c r="K131" s="73"/>
      <c r="L131" s="74"/>
      <c r="M131" s="74"/>
      <c r="N131" s="74"/>
      <c r="O131" s="75"/>
      <c r="P131" s="76"/>
      <c r="Q131" s="76"/>
      <c r="R131" s="76"/>
      <c r="S131" s="76"/>
      <c r="T131" s="75"/>
      <c r="U131" s="75"/>
      <c r="V131" s="75"/>
      <c r="W131" s="75"/>
      <c r="X131" s="76"/>
      <c r="Y131" s="76"/>
      <c r="Z131" s="76"/>
      <c r="AA131" s="75"/>
      <c r="AB131" s="75"/>
      <c r="AC131" s="77"/>
      <c r="AD131" s="75"/>
      <c r="AE131" s="58"/>
    </row>
    <row r="132" spans="1:31" ht="12.75">
      <c r="A132" s="69"/>
      <c r="B132" s="70"/>
      <c r="C132" s="71"/>
      <c r="D132" s="71"/>
      <c r="E132" s="71"/>
      <c r="F132" s="72"/>
      <c r="G132" s="73"/>
      <c r="H132" s="73"/>
      <c r="I132" s="73"/>
      <c r="J132" s="73"/>
      <c r="K132" s="73"/>
      <c r="L132" s="74"/>
      <c r="M132" s="74"/>
      <c r="N132" s="74"/>
      <c r="O132" s="75"/>
      <c r="P132" s="76"/>
      <c r="Q132" s="76"/>
      <c r="R132" s="76"/>
      <c r="S132" s="76"/>
      <c r="T132" s="75"/>
      <c r="U132" s="75"/>
      <c r="V132" s="75"/>
      <c r="W132" s="75"/>
      <c r="X132" s="76"/>
      <c r="Y132" s="76"/>
      <c r="Z132" s="76"/>
      <c r="AA132" s="75"/>
      <c r="AB132" s="75"/>
      <c r="AC132" s="77"/>
      <c r="AD132" s="75"/>
      <c r="AE132" s="58"/>
    </row>
    <row r="133" spans="1:31" ht="12.75">
      <c r="A133" s="69"/>
      <c r="B133" s="70"/>
      <c r="C133" s="71"/>
      <c r="D133" s="71"/>
      <c r="E133" s="71"/>
      <c r="F133" s="72"/>
      <c r="G133" s="73"/>
      <c r="H133" s="73"/>
      <c r="I133" s="73"/>
      <c r="J133" s="73"/>
      <c r="K133" s="73"/>
      <c r="L133" s="74"/>
      <c r="M133" s="74"/>
      <c r="N133" s="74"/>
      <c r="O133" s="75"/>
      <c r="P133" s="76"/>
      <c r="Q133" s="76"/>
      <c r="R133" s="76"/>
      <c r="S133" s="76"/>
      <c r="T133" s="75"/>
      <c r="U133" s="75"/>
      <c r="V133" s="75"/>
      <c r="W133" s="75"/>
      <c r="X133" s="76"/>
      <c r="Y133" s="76"/>
      <c r="Z133" s="76"/>
      <c r="AA133" s="75"/>
      <c r="AB133" s="75"/>
      <c r="AC133" s="77"/>
      <c r="AD133" s="75"/>
      <c r="AE133" s="58"/>
    </row>
    <row r="134" spans="1:31" ht="12.75">
      <c r="A134" s="69"/>
      <c r="B134" s="70"/>
      <c r="C134" s="71"/>
      <c r="D134" s="71"/>
      <c r="E134" s="71"/>
      <c r="F134" s="72"/>
      <c r="G134" s="73"/>
      <c r="H134" s="73"/>
      <c r="I134" s="73"/>
      <c r="J134" s="73"/>
      <c r="K134" s="73"/>
      <c r="L134" s="74"/>
      <c r="M134" s="74"/>
      <c r="N134" s="74"/>
      <c r="O134" s="75"/>
      <c r="P134" s="76"/>
      <c r="Q134" s="76"/>
      <c r="R134" s="76"/>
      <c r="S134" s="76"/>
      <c r="T134" s="75"/>
      <c r="U134" s="75"/>
      <c r="V134" s="75"/>
      <c r="W134" s="75"/>
      <c r="X134" s="76"/>
      <c r="Y134" s="76"/>
      <c r="Z134" s="76"/>
      <c r="AA134" s="75"/>
      <c r="AB134" s="75"/>
      <c r="AC134" s="77"/>
      <c r="AD134" s="75"/>
      <c r="AE134" s="58"/>
    </row>
    <row r="135" spans="1:31" ht="12.75">
      <c r="A135" s="69"/>
      <c r="B135" s="70"/>
      <c r="C135" s="71"/>
      <c r="D135" s="71"/>
      <c r="E135" s="71"/>
      <c r="F135" s="72"/>
      <c r="G135" s="73"/>
      <c r="H135" s="73"/>
      <c r="I135" s="73"/>
      <c r="J135" s="73"/>
      <c r="K135" s="73"/>
      <c r="L135" s="74"/>
      <c r="M135" s="74"/>
      <c r="N135" s="74"/>
      <c r="O135" s="75"/>
      <c r="P135" s="76"/>
      <c r="Q135" s="76"/>
      <c r="R135" s="76"/>
      <c r="S135" s="76"/>
      <c r="T135" s="75"/>
      <c r="U135" s="75"/>
      <c r="V135" s="75"/>
      <c r="W135" s="75"/>
      <c r="X135" s="76"/>
      <c r="Y135" s="76"/>
      <c r="Z135" s="76"/>
      <c r="AA135" s="75"/>
      <c r="AB135" s="75"/>
      <c r="AC135" s="77"/>
      <c r="AD135" s="75"/>
      <c r="AE135" s="58"/>
    </row>
    <row r="136" spans="1:31" ht="12.75">
      <c r="A136" s="69"/>
      <c r="B136" s="70"/>
      <c r="C136" s="71"/>
      <c r="D136" s="71"/>
      <c r="E136" s="71"/>
      <c r="F136" s="72"/>
      <c r="G136" s="73"/>
      <c r="H136" s="73"/>
      <c r="I136" s="73"/>
      <c r="J136" s="73"/>
      <c r="K136" s="73"/>
      <c r="L136" s="74"/>
      <c r="M136" s="74"/>
      <c r="N136" s="74"/>
      <c r="O136" s="75"/>
      <c r="P136" s="76"/>
      <c r="Q136" s="76"/>
      <c r="R136" s="76"/>
      <c r="S136" s="76"/>
      <c r="T136" s="75"/>
      <c r="U136" s="75"/>
      <c r="V136" s="75"/>
      <c r="W136" s="75"/>
      <c r="X136" s="76"/>
      <c r="Y136" s="76"/>
      <c r="Z136" s="76"/>
      <c r="AA136" s="75"/>
      <c r="AB136" s="75"/>
      <c r="AC136" s="77"/>
      <c r="AD136" s="75"/>
      <c r="AE136" s="58"/>
    </row>
    <row r="137" spans="1:31" ht="12.75">
      <c r="A137" s="69"/>
      <c r="B137" s="70"/>
      <c r="C137" s="71"/>
      <c r="D137" s="71"/>
      <c r="E137" s="71"/>
      <c r="F137" s="72"/>
      <c r="G137" s="73"/>
      <c r="H137" s="73"/>
      <c r="I137" s="73"/>
      <c r="J137" s="73"/>
      <c r="K137" s="73"/>
      <c r="L137" s="74"/>
      <c r="M137" s="74"/>
      <c r="N137" s="74"/>
      <c r="O137" s="75"/>
      <c r="P137" s="76"/>
      <c r="Q137" s="76"/>
      <c r="R137" s="76"/>
      <c r="S137" s="76"/>
      <c r="T137" s="75"/>
      <c r="U137" s="75"/>
      <c r="V137" s="75"/>
      <c r="W137" s="75"/>
      <c r="X137" s="76"/>
      <c r="Y137" s="76"/>
      <c r="Z137" s="76"/>
      <c r="AA137" s="75"/>
      <c r="AB137" s="75"/>
      <c r="AC137" s="77"/>
      <c r="AD137" s="75"/>
      <c r="AE137" s="58"/>
    </row>
    <row r="138" spans="1:31" ht="12.75">
      <c r="A138" s="69"/>
      <c r="B138" s="70"/>
      <c r="C138" s="71"/>
      <c r="D138" s="71"/>
      <c r="E138" s="71"/>
      <c r="F138" s="72"/>
      <c r="G138" s="73"/>
      <c r="H138" s="73"/>
      <c r="I138" s="73"/>
      <c r="J138" s="73"/>
      <c r="K138" s="73"/>
      <c r="L138" s="74"/>
      <c r="M138" s="74"/>
      <c r="N138" s="75"/>
      <c r="O138" s="75"/>
      <c r="P138" s="76"/>
      <c r="Q138" s="76"/>
      <c r="R138" s="76"/>
      <c r="S138" s="76"/>
      <c r="T138" s="75"/>
      <c r="U138" s="75"/>
      <c r="V138" s="75"/>
      <c r="W138" s="75"/>
      <c r="X138" s="76"/>
      <c r="Y138" s="76"/>
      <c r="Z138" s="76"/>
      <c r="AA138" s="75"/>
      <c r="AB138" s="75"/>
      <c r="AC138" s="77"/>
      <c r="AD138" s="75"/>
      <c r="AE138" s="58"/>
    </row>
    <row r="139" spans="1:31" ht="12.75">
      <c r="A139" s="69"/>
      <c r="B139" s="70"/>
      <c r="C139" s="71"/>
      <c r="D139" s="71"/>
      <c r="E139" s="71"/>
      <c r="F139" s="72"/>
      <c r="G139" s="73"/>
      <c r="H139" s="73"/>
      <c r="I139" s="73"/>
      <c r="J139" s="73"/>
      <c r="K139" s="73"/>
      <c r="L139" s="74"/>
      <c r="M139" s="74"/>
      <c r="N139" s="75"/>
      <c r="O139" s="75"/>
      <c r="P139" s="76"/>
      <c r="Q139" s="76"/>
      <c r="R139" s="76"/>
      <c r="S139" s="76"/>
      <c r="T139" s="75"/>
      <c r="U139" s="75"/>
      <c r="V139" s="75"/>
      <c r="W139" s="75"/>
      <c r="X139" s="76"/>
      <c r="Y139" s="76"/>
      <c r="Z139" s="76"/>
      <c r="AA139" s="75"/>
      <c r="AB139" s="75"/>
      <c r="AC139" s="77"/>
      <c r="AD139" s="75"/>
      <c r="AE139" s="58"/>
    </row>
    <row r="140" spans="1:31" ht="12.75">
      <c r="A140" s="23"/>
      <c r="B140" s="23"/>
      <c r="C140" s="23"/>
      <c r="D140" s="23"/>
      <c r="E140" s="23"/>
      <c r="F140" s="23"/>
      <c r="G140" s="23"/>
      <c r="H140" s="13"/>
      <c r="I140" s="13"/>
      <c r="J140" s="13"/>
      <c r="K140" s="13"/>
      <c r="L140" s="13"/>
      <c r="M140" s="13"/>
      <c r="N140" s="23"/>
      <c r="O140" s="23"/>
      <c r="P140" s="23"/>
      <c r="Q140" s="23"/>
      <c r="R140" s="23"/>
      <c r="S140" s="23"/>
      <c r="T140" s="23"/>
      <c r="U140" s="23"/>
      <c r="V140" s="23"/>
      <c r="W140" s="23"/>
      <c r="X140" s="23"/>
      <c r="Y140" s="23"/>
      <c r="Z140" s="23"/>
      <c r="AA140" s="23"/>
      <c r="AB140" s="23"/>
      <c r="AC140" s="37"/>
      <c r="AD140" s="23"/>
      <c r="AE140" s="58"/>
    </row>
    <row r="141" spans="1:31" ht="12.7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37"/>
      <c r="AD141" s="23"/>
      <c r="AE141" s="23"/>
    </row>
    <row r="142" spans="1:31" ht="12.7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37"/>
      <c r="AD142" s="23"/>
      <c r="AE142" s="23"/>
    </row>
  </sheetData>
  <mergeCells count="68">
    <mergeCell ref="C104:E104"/>
    <mergeCell ref="F104:H104"/>
    <mergeCell ref="C101:E101"/>
    <mergeCell ref="C102:E102"/>
    <mergeCell ref="F102:H102"/>
    <mergeCell ref="C103:E103"/>
    <mergeCell ref="F103:H103"/>
    <mergeCell ref="C105:E105"/>
    <mergeCell ref="F105:H105"/>
    <mergeCell ref="I105:L105"/>
    <mergeCell ref="M105:O105"/>
    <mergeCell ref="P105:R105"/>
    <mergeCell ref="F101:H101"/>
    <mergeCell ref="P101:R101"/>
    <mergeCell ref="I103:L103"/>
    <mergeCell ref="I104:L104"/>
    <mergeCell ref="M104:O104"/>
    <mergeCell ref="P104:R104"/>
    <mergeCell ref="I101:L101"/>
    <mergeCell ref="M101:O101"/>
    <mergeCell ref="I102:L102"/>
    <mergeCell ref="M102:O102"/>
    <mergeCell ref="P102:R102"/>
    <mergeCell ref="M103:O103"/>
    <mergeCell ref="P103:R103"/>
    <mergeCell ref="C100:E100"/>
    <mergeCell ref="F100:H100"/>
    <mergeCell ref="I100:L100"/>
    <mergeCell ref="M100:O100"/>
    <mergeCell ref="P100:R100"/>
    <mergeCell ref="I97:L97"/>
    <mergeCell ref="M97:O97"/>
    <mergeCell ref="C99:E99"/>
    <mergeCell ref="F99:H99"/>
    <mergeCell ref="I99:L99"/>
    <mergeCell ref="M99:O99"/>
    <mergeCell ref="P99:R99"/>
    <mergeCell ref="V99:X99"/>
    <mergeCell ref="M1:N1"/>
    <mergeCell ref="O1:U1"/>
    <mergeCell ref="AA114:AC114"/>
    <mergeCell ref="I107:L107"/>
    <mergeCell ref="M107:O107"/>
    <mergeCell ref="I108:L108"/>
    <mergeCell ref="M108:O108"/>
    <mergeCell ref="P108:R108"/>
    <mergeCell ref="I109:L109"/>
    <mergeCell ref="M109:O109"/>
    <mergeCell ref="P110:R110"/>
    <mergeCell ref="L114:O114"/>
    <mergeCell ref="P114:S114"/>
    <mergeCell ref="T114:W114"/>
    <mergeCell ref="X114:Z114"/>
    <mergeCell ref="M106:O106"/>
    <mergeCell ref="P106:R106"/>
    <mergeCell ref="F107:H107"/>
    <mergeCell ref="P107:R107"/>
    <mergeCell ref="P109:R109"/>
    <mergeCell ref="C114:F114"/>
    <mergeCell ref="G114:J114"/>
    <mergeCell ref="C106:E106"/>
    <mergeCell ref="F106:H106"/>
    <mergeCell ref="I106:L106"/>
    <mergeCell ref="C107:E107"/>
    <mergeCell ref="C108:E108"/>
    <mergeCell ref="F108:H108"/>
    <mergeCell ref="C109:E109"/>
    <mergeCell ref="F109:H109"/>
  </mergeCells>
  <conditionalFormatting sqref="C116:AD139">
    <cfRule type="notContainsBlanks" dxfId="9" priority="1">
      <formula>LEN(TRIM(C116))&gt;0</formula>
    </cfRule>
  </conditionalFormatting>
  <conditionalFormatting sqref="Y2:Y94">
    <cfRule type="expression" dxfId="8" priority="2">
      <formula>$L2&lt;&gt;""</formula>
    </cfRule>
  </conditionalFormatting>
  <conditionalFormatting sqref="Z1:Z95">
    <cfRule type="notContainsBlanks" dxfId="7" priority="3">
      <formula>LEN(TRIM(Z1))&gt;0</formula>
    </cfRule>
  </conditionalFormatting>
  <conditionalFormatting sqref="AA1:AA95">
    <cfRule type="notContainsBlanks" dxfId="6" priority="4">
      <formula>LEN(TRIM(AA1))&gt;0</formula>
    </cfRule>
  </conditionalFormatting>
  <conditionalFormatting sqref="AB2:AB95">
    <cfRule type="cellIs" dxfId="5" priority="5" operator="equal">
      <formula>FALSE()</formula>
    </cfRule>
  </conditionalFormatting>
  <dataValidations count="1">
    <dataValidation type="decimal" operator="greaterThanOrEqual" allowBlank="1" showDropDown="1" showErrorMessage="1" sqref="B2:K95">
      <formula1>0</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E167"/>
  <sheetViews>
    <sheetView workbookViewId="0">
      <pane ySplit="1" topLeftCell="A2" activePane="bottomLeft" state="frozen"/>
      <selection pane="bottomLeft" activeCell="B3" sqref="B3"/>
    </sheetView>
  </sheetViews>
  <sheetFormatPr baseColWidth="10" defaultColWidth="12.5703125" defaultRowHeight="15.75" customHeight="1"/>
  <cols>
    <col min="1" max="1" width="23.85546875" customWidth="1"/>
    <col min="2" max="8" width="5" customWidth="1"/>
    <col min="9" max="22" width="4.5703125" customWidth="1"/>
    <col min="23" max="23" width="19.140625" customWidth="1"/>
    <col min="24" max="24" width="4.5703125" customWidth="1"/>
    <col min="25" max="25" width="13.28515625" customWidth="1"/>
    <col min="26" max="27" width="6" customWidth="1"/>
    <col min="28" max="28" width="5" customWidth="1"/>
    <col min="29" max="29" width="15" customWidth="1"/>
    <col min="30" max="31" width="4.5703125" customWidth="1"/>
  </cols>
  <sheetData>
    <row r="1" spans="1:31">
      <c r="A1" s="1" t="s">
        <v>0</v>
      </c>
      <c r="B1" s="2" t="s">
        <v>1</v>
      </c>
      <c r="C1" s="2" t="s">
        <v>2</v>
      </c>
      <c r="D1" s="2" t="s">
        <v>3</v>
      </c>
      <c r="E1" s="2" t="s">
        <v>4</v>
      </c>
      <c r="F1" s="2" t="s">
        <v>5</v>
      </c>
      <c r="G1" s="2" t="s">
        <v>6</v>
      </c>
      <c r="H1" s="2" t="s">
        <v>7</v>
      </c>
      <c r="I1" s="2" t="s">
        <v>8</v>
      </c>
      <c r="J1" s="2" t="s">
        <v>9</v>
      </c>
      <c r="K1" s="2" t="s">
        <v>10</v>
      </c>
      <c r="L1" s="3"/>
      <c r="M1" s="128" t="s">
        <v>11</v>
      </c>
      <c r="N1" s="117"/>
      <c r="O1" s="129" t="s">
        <v>12</v>
      </c>
      <c r="P1" s="117"/>
      <c r="Q1" s="117"/>
      <c r="R1" s="117"/>
      <c r="S1" s="117"/>
      <c r="T1" s="117"/>
      <c r="U1" s="117"/>
      <c r="V1" s="3"/>
      <c r="W1" s="4">
        <v>46007</v>
      </c>
      <c r="X1" s="3"/>
      <c r="Y1" s="5">
        <f>SUMIFS(Y2:Y120,L2:L120,"&lt;&gt;"&amp;"")</f>
        <v>17626137.741046835</v>
      </c>
      <c r="Z1" s="6" t="s">
        <v>13</v>
      </c>
      <c r="AA1" s="7" t="s">
        <v>14</v>
      </c>
      <c r="AB1" s="8" t="s">
        <v>15</v>
      </c>
      <c r="AC1" s="9">
        <f>SUM(AC2:AC120)</f>
        <v>17626137.741046835</v>
      </c>
      <c r="AD1" s="3"/>
      <c r="AE1" s="3"/>
    </row>
    <row r="2" spans="1:31" ht="15.75" customHeight="1">
      <c r="A2" s="10">
        <f t="shared" ref="A2:A119" si="0">(B2*$P$125+C2*$P$126+D2*$P$127+E2*$P$128+F2*$P$129+G2*$P$130+H2*$P$131+I2*$P$132+J2*$P$133+K2*$P$134)*$T$123</f>
        <v>0</v>
      </c>
      <c r="B2" s="11"/>
      <c r="C2" s="12"/>
      <c r="D2" s="12"/>
      <c r="E2" s="12"/>
      <c r="F2" s="12"/>
      <c r="G2" s="12"/>
      <c r="H2" s="12"/>
      <c r="I2" s="12"/>
      <c r="J2" s="13"/>
      <c r="K2" s="13"/>
      <c r="L2" s="14" t="s">
        <v>16</v>
      </c>
      <c r="M2" s="15"/>
      <c r="N2" s="16"/>
      <c r="O2" s="17"/>
      <c r="P2" s="17"/>
      <c r="Q2" s="17"/>
      <c r="R2" s="17"/>
      <c r="S2" s="17"/>
      <c r="T2" s="17"/>
      <c r="U2" s="17"/>
      <c r="V2" s="17"/>
      <c r="W2" s="17"/>
      <c r="X2" s="17">
        <f t="shared" ref="X2:X92" si="1">COUNTIF($L$2:L2,"&lt;&gt;"&amp;"")</f>
        <v>1</v>
      </c>
      <c r="Y2" s="18">
        <f t="shared" ref="Y2:Y119" si="2">SUMIF($X$2:$X$120,X2,$A$2:$A$120)</f>
        <v>0</v>
      </c>
      <c r="Z2" s="19"/>
      <c r="AA2" s="20"/>
      <c r="AB2" s="21" t="b">
        <v>1</v>
      </c>
      <c r="AC2" s="22">
        <f t="shared" ref="AC2:AC119" si="3">IF(L2="",0,IF(AB2=FALSE(),0,Y2))</f>
        <v>0</v>
      </c>
      <c r="AD2" s="23"/>
      <c r="AE2" s="23"/>
    </row>
    <row r="3" spans="1:31" ht="15.75" customHeight="1">
      <c r="A3" s="10">
        <f t="shared" si="0"/>
        <v>0</v>
      </c>
      <c r="B3" s="12"/>
      <c r="C3" s="11"/>
      <c r="D3" s="11"/>
      <c r="E3" s="12"/>
      <c r="F3" s="12"/>
      <c r="G3" s="12"/>
      <c r="H3" s="12"/>
      <c r="I3" s="12"/>
      <c r="J3" s="13"/>
      <c r="K3" s="13"/>
      <c r="L3" s="14" t="s">
        <v>17</v>
      </c>
      <c r="M3" s="16"/>
      <c r="N3" s="16"/>
      <c r="O3" s="17"/>
      <c r="P3" s="17"/>
      <c r="Q3" s="17"/>
      <c r="R3" s="17"/>
      <c r="S3" s="17"/>
      <c r="T3" s="17"/>
      <c r="U3" s="17"/>
      <c r="V3" s="17"/>
      <c r="W3" s="17"/>
      <c r="X3" s="17">
        <f t="shared" si="1"/>
        <v>2</v>
      </c>
      <c r="Y3" s="18">
        <f t="shared" si="2"/>
        <v>0</v>
      </c>
      <c r="Z3" s="24"/>
      <c r="AA3" s="20"/>
      <c r="AB3" s="21" t="b">
        <v>1</v>
      </c>
      <c r="AC3" s="22">
        <f t="shared" si="3"/>
        <v>0</v>
      </c>
      <c r="AD3" s="23"/>
      <c r="AE3" s="23"/>
    </row>
    <row r="4" spans="1:31" ht="15.75" customHeight="1">
      <c r="A4" s="10">
        <f t="shared" si="0"/>
        <v>0</v>
      </c>
      <c r="B4" s="12"/>
      <c r="C4" s="12"/>
      <c r="D4" s="12"/>
      <c r="E4" s="12"/>
      <c r="F4" s="12"/>
      <c r="G4" s="12"/>
      <c r="H4" s="11"/>
      <c r="I4" s="12"/>
      <c r="J4" s="13"/>
      <c r="K4" s="13"/>
      <c r="L4" s="14" t="s">
        <v>18</v>
      </c>
      <c r="M4" s="16"/>
      <c r="N4" s="16"/>
      <c r="O4" s="17"/>
      <c r="P4" s="17"/>
      <c r="Q4" s="17"/>
      <c r="R4" s="17"/>
      <c r="S4" s="17"/>
      <c r="T4" s="17"/>
      <c r="U4" s="17"/>
      <c r="V4" s="17"/>
      <c r="W4" s="17"/>
      <c r="X4" s="17">
        <f t="shared" si="1"/>
        <v>3</v>
      </c>
      <c r="Y4" s="18">
        <f t="shared" si="2"/>
        <v>0</v>
      </c>
      <c r="Z4" s="24"/>
      <c r="AA4" s="25"/>
      <c r="AB4" s="21" t="b">
        <v>1</v>
      </c>
      <c r="AC4" s="22">
        <f t="shared" si="3"/>
        <v>0</v>
      </c>
      <c r="AD4" s="23"/>
      <c r="AE4" s="23"/>
    </row>
    <row r="5" spans="1:31" ht="15.75" customHeight="1">
      <c r="A5" s="10">
        <f t="shared" si="0"/>
        <v>0</v>
      </c>
      <c r="B5" s="13"/>
      <c r="C5" s="13"/>
      <c r="D5" s="13"/>
      <c r="E5" s="13"/>
      <c r="F5" s="13"/>
      <c r="G5" s="13"/>
      <c r="H5" s="13"/>
      <c r="I5" s="13"/>
      <c r="J5" s="13"/>
      <c r="K5" s="13"/>
      <c r="L5" s="26" t="s">
        <v>19</v>
      </c>
      <c r="M5" s="16"/>
      <c r="N5" s="16"/>
      <c r="O5" s="17"/>
      <c r="P5" s="17"/>
      <c r="Q5" s="17"/>
      <c r="R5" s="17"/>
      <c r="S5" s="17"/>
      <c r="T5" s="17"/>
      <c r="U5" s="17"/>
      <c r="V5" s="17"/>
      <c r="W5" s="17"/>
      <c r="X5" s="17">
        <f t="shared" si="1"/>
        <v>4</v>
      </c>
      <c r="Y5" s="18">
        <f t="shared" si="2"/>
        <v>0</v>
      </c>
      <c r="Z5" s="24"/>
      <c r="AA5" s="25"/>
      <c r="AB5" s="21" t="b">
        <v>1</v>
      </c>
      <c r="AC5" s="22">
        <f t="shared" si="3"/>
        <v>0</v>
      </c>
      <c r="AD5" s="23"/>
      <c r="AE5" s="23"/>
    </row>
    <row r="6" spans="1:31">
      <c r="A6" s="10">
        <f t="shared" si="0"/>
        <v>0</v>
      </c>
      <c r="B6" s="13"/>
      <c r="C6" s="13"/>
      <c r="D6" s="13"/>
      <c r="E6" s="13"/>
      <c r="F6" s="13"/>
      <c r="G6" s="13"/>
      <c r="H6" s="13"/>
      <c r="I6" s="13"/>
      <c r="J6" s="13"/>
      <c r="K6" s="13"/>
      <c r="L6" s="27"/>
      <c r="M6" s="16"/>
      <c r="N6" s="16"/>
      <c r="O6" s="17"/>
      <c r="P6" s="17"/>
      <c r="Q6" s="17"/>
      <c r="R6" s="17"/>
      <c r="S6" s="17"/>
      <c r="T6" s="17"/>
      <c r="U6" s="17"/>
      <c r="V6" s="17"/>
      <c r="W6" s="17"/>
      <c r="X6" s="17">
        <f t="shared" si="1"/>
        <v>4</v>
      </c>
      <c r="Y6" s="18">
        <f t="shared" si="2"/>
        <v>0</v>
      </c>
      <c r="Z6" s="19"/>
      <c r="AA6" s="20"/>
      <c r="AB6" s="21" t="b">
        <v>1</v>
      </c>
      <c r="AC6" s="22">
        <f t="shared" si="3"/>
        <v>0</v>
      </c>
      <c r="AD6" s="23"/>
      <c r="AE6" s="23"/>
    </row>
    <row r="7" spans="1:31">
      <c r="A7" s="10">
        <f t="shared" si="0"/>
        <v>0</v>
      </c>
      <c r="B7" s="13"/>
      <c r="C7" s="13"/>
      <c r="D7" s="13"/>
      <c r="E7" s="13"/>
      <c r="F7" s="13"/>
      <c r="G7" s="13"/>
      <c r="H7" s="13"/>
      <c r="I7" s="13"/>
      <c r="J7" s="13"/>
      <c r="K7" s="13"/>
      <c r="L7" s="27" t="s">
        <v>892</v>
      </c>
      <c r="M7" s="16"/>
      <c r="N7" s="16"/>
      <c r="O7" s="17"/>
      <c r="P7" s="17"/>
      <c r="Q7" s="17"/>
      <c r="R7" s="17"/>
      <c r="S7" s="17"/>
      <c r="T7" s="17"/>
      <c r="U7" s="17"/>
      <c r="V7" s="17"/>
      <c r="W7" s="17"/>
      <c r="X7" s="17">
        <f t="shared" si="1"/>
        <v>5</v>
      </c>
      <c r="Y7" s="18">
        <f t="shared" si="2"/>
        <v>4406534.4352617078</v>
      </c>
      <c r="Z7" s="24"/>
      <c r="AA7" s="25"/>
      <c r="AB7" s="21" t="b">
        <v>1</v>
      </c>
      <c r="AC7" s="22">
        <f t="shared" si="3"/>
        <v>4406534.4352617078</v>
      </c>
      <c r="AD7" s="23"/>
      <c r="AE7" s="23"/>
    </row>
    <row r="8" spans="1:31">
      <c r="A8" s="10">
        <f t="shared" si="0"/>
        <v>1888514.7579693035</v>
      </c>
      <c r="B8" s="13"/>
      <c r="C8" s="13"/>
      <c r="D8" s="13"/>
      <c r="E8" s="13"/>
      <c r="F8" s="13"/>
      <c r="G8" s="13"/>
      <c r="H8" s="13"/>
      <c r="I8" s="13"/>
      <c r="J8" s="13"/>
      <c r="K8" s="13">
        <v>6</v>
      </c>
      <c r="L8" s="16"/>
      <c r="M8" s="16" t="s">
        <v>893</v>
      </c>
      <c r="N8" s="16"/>
      <c r="O8" s="16"/>
      <c r="P8" s="16"/>
      <c r="Q8" s="16"/>
      <c r="R8" s="17"/>
      <c r="S8" s="17"/>
      <c r="T8" s="17"/>
      <c r="U8" s="17"/>
      <c r="V8" s="17"/>
      <c r="W8" s="17"/>
      <c r="X8" s="17">
        <f t="shared" si="1"/>
        <v>5</v>
      </c>
      <c r="Y8" s="18">
        <f t="shared" si="2"/>
        <v>4406534.4352617078</v>
      </c>
      <c r="Z8" s="24"/>
      <c r="AA8" s="20"/>
      <c r="AB8" s="21" t="b">
        <v>1</v>
      </c>
      <c r="AC8" s="22">
        <f t="shared" si="3"/>
        <v>0</v>
      </c>
      <c r="AD8" s="28"/>
      <c r="AE8" s="28"/>
    </row>
    <row r="9" spans="1:31">
      <c r="A9" s="10">
        <f t="shared" si="0"/>
        <v>1259009.8386462023</v>
      </c>
      <c r="B9" s="13"/>
      <c r="C9" s="13"/>
      <c r="D9" s="13"/>
      <c r="E9" s="13"/>
      <c r="F9" s="13"/>
      <c r="G9" s="13"/>
      <c r="H9" s="13"/>
      <c r="I9" s="13"/>
      <c r="J9" s="13"/>
      <c r="K9" s="13">
        <v>4</v>
      </c>
      <c r="L9" s="16"/>
      <c r="M9" s="16" t="s">
        <v>894</v>
      </c>
      <c r="N9" s="16"/>
      <c r="O9" s="16"/>
      <c r="P9" s="16"/>
      <c r="Q9" s="16"/>
      <c r="R9" s="17"/>
      <c r="S9" s="17"/>
      <c r="T9" s="17"/>
      <c r="U9" s="17"/>
      <c r="V9" s="17"/>
      <c r="W9" s="17"/>
      <c r="X9" s="17">
        <f t="shared" si="1"/>
        <v>5</v>
      </c>
      <c r="Y9" s="18">
        <f t="shared" si="2"/>
        <v>4406534.4352617078</v>
      </c>
      <c r="Z9" s="24"/>
      <c r="AA9" s="20"/>
      <c r="AB9" s="21" t="b">
        <v>1</v>
      </c>
      <c r="AC9" s="22">
        <f t="shared" si="3"/>
        <v>0</v>
      </c>
      <c r="AD9" s="28"/>
      <c r="AE9" s="28"/>
    </row>
    <row r="10" spans="1:31">
      <c r="A10" s="10">
        <f t="shared" si="0"/>
        <v>1259009.8386462023</v>
      </c>
      <c r="B10" s="13"/>
      <c r="C10" s="13"/>
      <c r="D10" s="13"/>
      <c r="E10" s="13"/>
      <c r="F10" s="13"/>
      <c r="G10" s="13"/>
      <c r="H10" s="13"/>
      <c r="I10" s="13"/>
      <c r="J10" s="13"/>
      <c r="K10" s="13">
        <v>4</v>
      </c>
      <c r="L10" s="16"/>
      <c r="M10" s="16" t="s">
        <v>895</v>
      </c>
      <c r="N10" s="16"/>
      <c r="O10" s="16"/>
      <c r="P10" s="16"/>
      <c r="Q10" s="16"/>
      <c r="R10" s="17"/>
      <c r="S10" s="17"/>
      <c r="T10" s="17"/>
      <c r="U10" s="17"/>
      <c r="V10" s="17"/>
      <c r="W10" s="17"/>
      <c r="X10" s="17">
        <f t="shared" si="1"/>
        <v>5</v>
      </c>
      <c r="Y10" s="18">
        <f t="shared" si="2"/>
        <v>4406534.4352617078</v>
      </c>
      <c r="Z10" s="24"/>
      <c r="AA10" s="20"/>
      <c r="AB10" s="21" t="b">
        <v>1</v>
      </c>
      <c r="AC10" s="22">
        <f t="shared" si="3"/>
        <v>0</v>
      </c>
      <c r="AD10" s="28"/>
      <c r="AE10" s="28"/>
    </row>
    <row r="11" spans="1:31">
      <c r="A11" s="10">
        <f t="shared" si="0"/>
        <v>0</v>
      </c>
      <c r="B11" s="13"/>
      <c r="C11" s="13"/>
      <c r="D11" s="13"/>
      <c r="E11" s="13"/>
      <c r="F11" s="13"/>
      <c r="G11" s="13"/>
      <c r="H11" s="13"/>
      <c r="I11" s="13"/>
      <c r="J11" s="13"/>
      <c r="K11" s="13"/>
      <c r="L11" s="27" t="s">
        <v>896</v>
      </c>
      <c r="M11" s="16"/>
      <c r="N11" s="16"/>
      <c r="O11" s="16"/>
      <c r="P11" s="16"/>
      <c r="Q11" s="16"/>
      <c r="R11" s="17"/>
      <c r="S11" s="17"/>
      <c r="T11" s="17"/>
      <c r="U11" s="17"/>
      <c r="V11" s="17"/>
      <c r="W11" s="17"/>
      <c r="X11" s="17">
        <f t="shared" si="1"/>
        <v>6</v>
      </c>
      <c r="Y11" s="18">
        <f t="shared" si="2"/>
        <v>13219603.305785127</v>
      </c>
      <c r="Z11" s="24"/>
      <c r="AA11" s="20"/>
      <c r="AB11" s="21" t="b">
        <v>1</v>
      </c>
      <c r="AC11" s="22">
        <f t="shared" si="3"/>
        <v>13219603.305785127</v>
      </c>
      <c r="AD11" s="28"/>
      <c r="AE11" s="28"/>
    </row>
    <row r="12" spans="1:31">
      <c r="A12" s="10">
        <f t="shared" si="0"/>
        <v>944257.37898465176</v>
      </c>
      <c r="B12" s="13"/>
      <c r="C12" s="13"/>
      <c r="D12" s="13"/>
      <c r="E12" s="13"/>
      <c r="F12" s="13"/>
      <c r="G12" s="13"/>
      <c r="H12" s="13"/>
      <c r="I12" s="13"/>
      <c r="J12" s="13"/>
      <c r="K12" s="13">
        <v>3</v>
      </c>
      <c r="L12" s="27"/>
      <c r="M12" s="16" t="s">
        <v>897</v>
      </c>
      <c r="N12" s="16"/>
      <c r="O12" s="16"/>
      <c r="P12" s="16"/>
      <c r="Q12" s="16"/>
      <c r="R12" s="17"/>
      <c r="S12" s="17"/>
      <c r="T12" s="17"/>
      <c r="U12" s="17"/>
      <c r="V12" s="17"/>
      <c r="W12" s="17"/>
      <c r="X12" s="17">
        <f t="shared" si="1"/>
        <v>6</v>
      </c>
      <c r="Y12" s="18">
        <f t="shared" si="2"/>
        <v>13219603.305785127</v>
      </c>
      <c r="Z12" s="24"/>
      <c r="AA12" s="20"/>
      <c r="AB12" s="21" t="b">
        <v>1</v>
      </c>
      <c r="AC12" s="22">
        <f t="shared" si="3"/>
        <v>0</v>
      </c>
      <c r="AD12" s="28"/>
      <c r="AE12" s="28"/>
    </row>
    <row r="13" spans="1:31">
      <c r="A13" s="10">
        <f t="shared" si="0"/>
        <v>0</v>
      </c>
      <c r="B13" s="13"/>
      <c r="C13" s="13"/>
      <c r="D13" s="13"/>
      <c r="E13" s="13"/>
      <c r="F13" s="13"/>
      <c r="G13" s="13"/>
      <c r="H13" s="13"/>
      <c r="I13" s="13"/>
      <c r="J13" s="13"/>
      <c r="K13" s="13"/>
      <c r="L13" s="16"/>
      <c r="M13" s="16"/>
      <c r="N13" s="16" t="s">
        <v>898</v>
      </c>
      <c r="O13" s="16"/>
      <c r="P13" s="16"/>
      <c r="Q13" s="16"/>
      <c r="R13" s="17"/>
      <c r="S13" s="17"/>
      <c r="T13" s="17"/>
      <c r="U13" s="17"/>
      <c r="V13" s="17"/>
      <c r="W13" s="17"/>
      <c r="X13" s="17">
        <f t="shared" si="1"/>
        <v>6</v>
      </c>
      <c r="Y13" s="18">
        <f t="shared" si="2"/>
        <v>13219603.305785127</v>
      </c>
      <c r="Z13" s="24"/>
      <c r="AA13" s="20"/>
      <c r="AB13" s="21" t="b">
        <v>1</v>
      </c>
      <c r="AC13" s="22">
        <f t="shared" si="3"/>
        <v>0</v>
      </c>
      <c r="AD13" s="28"/>
      <c r="AE13" s="28"/>
    </row>
    <row r="14" spans="1:31">
      <c r="A14" s="10">
        <f t="shared" si="0"/>
        <v>0</v>
      </c>
      <c r="B14" s="13"/>
      <c r="C14" s="13"/>
      <c r="D14" s="13"/>
      <c r="E14" s="13"/>
      <c r="F14" s="13"/>
      <c r="G14" s="13"/>
      <c r="H14" s="13"/>
      <c r="I14" s="13"/>
      <c r="J14" s="13"/>
      <c r="K14" s="13"/>
      <c r="L14" s="27"/>
      <c r="M14" s="16"/>
      <c r="N14" s="16" t="s">
        <v>899</v>
      </c>
      <c r="O14" s="16"/>
      <c r="P14" s="16"/>
      <c r="Q14" s="16"/>
      <c r="R14" s="17"/>
      <c r="S14" s="17"/>
      <c r="T14" s="17"/>
      <c r="U14" s="17"/>
      <c r="V14" s="17"/>
      <c r="W14" s="17"/>
      <c r="X14" s="17">
        <f t="shared" si="1"/>
        <v>6</v>
      </c>
      <c r="Y14" s="18">
        <f t="shared" si="2"/>
        <v>13219603.305785127</v>
      </c>
      <c r="Z14" s="24"/>
      <c r="AA14" s="20"/>
      <c r="AB14" s="21" t="b">
        <v>1</v>
      </c>
      <c r="AC14" s="22">
        <f t="shared" si="3"/>
        <v>0</v>
      </c>
      <c r="AD14" s="28"/>
      <c r="AE14" s="28"/>
    </row>
    <row r="15" spans="1:31">
      <c r="A15" s="10">
        <f t="shared" si="0"/>
        <v>0</v>
      </c>
      <c r="B15" s="13"/>
      <c r="C15" s="13"/>
      <c r="D15" s="13"/>
      <c r="E15" s="13"/>
      <c r="F15" s="13"/>
      <c r="G15" s="13"/>
      <c r="H15" s="13"/>
      <c r="I15" s="13"/>
      <c r="J15" s="13"/>
      <c r="K15" s="13"/>
      <c r="L15" s="16"/>
      <c r="M15" s="16"/>
      <c r="N15" s="79" t="s">
        <v>900</v>
      </c>
      <c r="O15" s="16"/>
      <c r="P15" s="16"/>
      <c r="Q15" s="16"/>
      <c r="R15" s="17"/>
      <c r="S15" s="17"/>
      <c r="T15" s="17"/>
      <c r="U15" s="17"/>
      <c r="V15" s="17"/>
      <c r="W15" s="17"/>
      <c r="X15" s="17">
        <f t="shared" si="1"/>
        <v>6</v>
      </c>
      <c r="Y15" s="18">
        <f t="shared" si="2"/>
        <v>13219603.305785127</v>
      </c>
      <c r="Z15" s="24"/>
      <c r="AA15" s="20"/>
      <c r="AB15" s="21" t="b">
        <v>1</v>
      </c>
      <c r="AC15" s="22">
        <f t="shared" si="3"/>
        <v>0</v>
      </c>
      <c r="AD15" s="28"/>
      <c r="AE15" s="28"/>
    </row>
    <row r="16" spans="1:31">
      <c r="A16" s="10">
        <f t="shared" si="0"/>
        <v>0</v>
      </c>
      <c r="B16" s="13"/>
      <c r="C16" s="13"/>
      <c r="D16" s="13"/>
      <c r="E16" s="13"/>
      <c r="F16" s="13"/>
      <c r="G16" s="13"/>
      <c r="H16" s="13"/>
      <c r="I16" s="13"/>
      <c r="J16" s="13"/>
      <c r="K16" s="13"/>
      <c r="L16" s="16"/>
      <c r="M16" s="17"/>
      <c r="N16" s="17" t="s">
        <v>901</v>
      </c>
      <c r="O16" s="17"/>
      <c r="P16" s="17"/>
      <c r="Q16" s="17"/>
      <c r="R16" s="17"/>
      <c r="S16" s="17"/>
      <c r="T16" s="17"/>
      <c r="U16" s="17"/>
      <c r="V16" s="17"/>
      <c r="W16" s="17"/>
      <c r="X16" s="17">
        <f t="shared" si="1"/>
        <v>6</v>
      </c>
      <c r="Y16" s="18">
        <f t="shared" si="2"/>
        <v>13219603.305785127</v>
      </c>
      <c r="Z16" s="24"/>
      <c r="AA16" s="20"/>
      <c r="AB16" s="21" t="b">
        <v>1</v>
      </c>
      <c r="AC16" s="22">
        <f t="shared" si="3"/>
        <v>0</v>
      </c>
      <c r="AD16" s="28"/>
      <c r="AE16" s="28"/>
    </row>
    <row r="17" spans="1:31">
      <c r="A17" s="10">
        <f t="shared" si="0"/>
        <v>0</v>
      </c>
      <c r="B17" s="13"/>
      <c r="C17" s="13"/>
      <c r="D17" s="13"/>
      <c r="E17" s="13"/>
      <c r="F17" s="13"/>
      <c r="G17" s="13"/>
      <c r="H17" s="13"/>
      <c r="I17" s="13"/>
      <c r="J17" s="13"/>
      <c r="K17" s="13"/>
      <c r="L17" s="16"/>
      <c r="M17" s="16"/>
      <c r="N17" s="16" t="s">
        <v>902</v>
      </c>
      <c r="O17" s="16"/>
      <c r="P17" s="17"/>
      <c r="Q17" s="17"/>
      <c r="R17" s="17"/>
      <c r="S17" s="17"/>
      <c r="T17" s="17"/>
      <c r="U17" s="17"/>
      <c r="V17" s="17"/>
      <c r="W17" s="17"/>
      <c r="X17" s="17">
        <f t="shared" si="1"/>
        <v>6</v>
      </c>
      <c r="Y17" s="18">
        <f t="shared" si="2"/>
        <v>13219603.305785127</v>
      </c>
      <c r="Z17" s="24"/>
      <c r="AA17" s="20"/>
      <c r="AB17" s="21" t="b">
        <v>1</v>
      </c>
      <c r="AC17" s="22">
        <f t="shared" si="3"/>
        <v>0</v>
      </c>
      <c r="AD17" s="28"/>
      <c r="AE17" s="28"/>
    </row>
    <row r="18" spans="1:31">
      <c r="A18" s="10">
        <f t="shared" si="0"/>
        <v>0</v>
      </c>
      <c r="B18" s="13"/>
      <c r="C18" s="13"/>
      <c r="D18" s="13"/>
      <c r="E18" s="13"/>
      <c r="F18" s="13"/>
      <c r="G18" s="13"/>
      <c r="H18" s="13"/>
      <c r="I18" s="13"/>
      <c r="J18" s="13"/>
      <c r="K18" s="13"/>
      <c r="L18" s="16"/>
      <c r="M18" s="16"/>
      <c r="N18" s="16" t="s">
        <v>903</v>
      </c>
      <c r="O18" s="16"/>
      <c r="P18" s="17"/>
      <c r="Q18" s="17"/>
      <c r="R18" s="17"/>
      <c r="S18" s="17"/>
      <c r="T18" s="17"/>
      <c r="U18" s="17"/>
      <c r="V18" s="17"/>
      <c r="W18" s="17"/>
      <c r="X18" s="17">
        <f t="shared" si="1"/>
        <v>6</v>
      </c>
      <c r="Y18" s="18">
        <f t="shared" si="2"/>
        <v>13219603.305785127</v>
      </c>
      <c r="Z18" s="24"/>
      <c r="AA18" s="20"/>
      <c r="AB18" s="21" t="b">
        <v>1</v>
      </c>
      <c r="AC18" s="22">
        <f t="shared" si="3"/>
        <v>0</v>
      </c>
      <c r="AD18" s="28"/>
      <c r="AE18" s="28"/>
    </row>
    <row r="19" spans="1:31">
      <c r="A19" s="10">
        <f t="shared" si="0"/>
        <v>944257.37898465176</v>
      </c>
      <c r="B19" s="13"/>
      <c r="C19" s="13"/>
      <c r="D19" s="13"/>
      <c r="E19" s="13"/>
      <c r="F19" s="13"/>
      <c r="G19" s="13"/>
      <c r="H19" s="13"/>
      <c r="I19" s="13"/>
      <c r="J19" s="13"/>
      <c r="K19" s="13">
        <v>3</v>
      </c>
      <c r="L19" s="16"/>
      <c r="M19" s="16" t="s">
        <v>904</v>
      </c>
      <c r="N19" s="16"/>
      <c r="O19" s="16"/>
      <c r="P19" s="17"/>
      <c r="Q19" s="17"/>
      <c r="R19" s="17"/>
      <c r="S19" s="17"/>
      <c r="T19" s="17"/>
      <c r="U19" s="17"/>
      <c r="V19" s="17"/>
      <c r="W19" s="17"/>
      <c r="X19" s="17">
        <f t="shared" si="1"/>
        <v>6</v>
      </c>
      <c r="Y19" s="18">
        <f t="shared" si="2"/>
        <v>13219603.305785127</v>
      </c>
      <c r="Z19" s="24"/>
      <c r="AA19" s="20"/>
      <c r="AB19" s="21" t="b">
        <v>1</v>
      </c>
      <c r="AC19" s="22">
        <f t="shared" si="3"/>
        <v>0</v>
      </c>
      <c r="AD19" s="28"/>
      <c r="AE19" s="28"/>
    </row>
    <row r="20" spans="1:31">
      <c r="A20" s="10">
        <f t="shared" si="0"/>
        <v>629504.91932310117</v>
      </c>
      <c r="B20" s="13"/>
      <c r="C20" s="13"/>
      <c r="D20" s="13"/>
      <c r="E20" s="13"/>
      <c r="F20" s="13"/>
      <c r="G20" s="13"/>
      <c r="H20" s="13"/>
      <c r="I20" s="13"/>
      <c r="J20" s="13"/>
      <c r="K20" s="13">
        <v>2</v>
      </c>
      <c r="L20" s="16"/>
      <c r="M20" s="16"/>
      <c r="N20" s="16" t="s">
        <v>905</v>
      </c>
      <c r="O20" s="16"/>
      <c r="P20" s="17"/>
      <c r="Q20" s="17"/>
      <c r="R20" s="17"/>
      <c r="S20" s="17"/>
      <c r="T20" s="17"/>
      <c r="U20" s="17"/>
      <c r="V20" s="17"/>
      <c r="W20" s="17"/>
      <c r="X20" s="17">
        <f t="shared" si="1"/>
        <v>6</v>
      </c>
      <c r="Y20" s="18">
        <f t="shared" si="2"/>
        <v>13219603.305785127</v>
      </c>
      <c r="Z20" s="19"/>
      <c r="AA20" s="20"/>
      <c r="AB20" s="21" t="b">
        <v>1</v>
      </c>
      <c r="AC20" s="22">
        <f t="shared" si="3"/>
        <v>0</v>
      </c>
      <c r="AD20" s="28"/>
      <c r="AE20" s="28"/>
    </row>
    <row r="21" spans="1:31">
      <c r="A21" s="10">
        <f t="shared" si="0"/>
        <v>629504.91932310117</v>
      </c>
      <c r="B21" s="13"/>
      <c r="C21" s="13"/>
      <c r="D21" s="13"/>
      <c r="E21" s="13"/>
      <c r="F21" s="13"/>
      <c r="G21" s="13"/>
      <c r="H21" s="13"/>
      <c r="I21" s="13"/>
      <c r="J21" s="13"/>
      <c r="K21" s="13">
        <v>2</v>
      </c>
      <c r="L21" s="16"/>
      <c r="M21" s="16"/>
      <c r="N21" s="16" t="s">
        <v>906</v>
      </c>
      <c r="O21" s="17"/>
      <c r="P21" s="17"/>
      <c r="Q21" s="17"/>
      <c r="R21" s="17"/>
      <c r="S21" s="17"/>
      <c r="T21" s="17"/>
      <c r="U21" s="17"/>
      <c r="V21" s="17"/>
      <c r="W21" s="17"/>
      <c r="X21" s="17">
        <f t="shared" si="1"/>
        <v>6</v>
      </c>
      <c r="Y21" s="18">
        <f t="shared" si="2"/>
        <v>13219603.305785127</v>
      </c>
      <c r="Z21" s="24"/>
      <c r="AA21" s="20"/>
      <c r="AB21" s="21" t="b">
        <v>1</v>
      </c>
      <c r="AC21" s="22">
        <f t="shared" si="3"/>
        <v>0</v>
      </c>
      <c r="AD21" s="28"/>
      <c r="AE21" s="28"/>
    </row>
    <row r="22" spans="1:31">
      <c r="A22" s="10">
        <f t="shared" si="0"/>
        <v>0</v>
      </c>
      <c r="B22" s="13"/>
      <c r="C22" s="13"/>
      <c r="D22" s="13"/>
      <c r="E22" s="13"/>
      <c r="F22" s="13"/>
      <c r="G22" s="13"/>
      <c r="H22" s="13"/>
      <c r="I22" s="13"/>
      <c r="J22" s="13"/>
      <c r="K22" s="13"/>
      <c r="L22" s="16"/>
      <c r="M22" s="17"/>
      <c r="N22" s="17" t="s">
        <v>907</v>
      </c>
      <c r="O22" s="17"/>
      <c r="P22" s="17"/>
      <c r="Q22" s="17"/>
      <c r="R22" s="17"/>
      <c r="S22" s="17"/>
      <c r="T22" s="17"/>
      <c r="U22" s="17"/>
      <c r="V22" s="17"/>
      <c r="W22" s="17"/>
      <c r="X22" s="17">
        <f t="shared" si="1"/>
        <v>6</v>
      </c>
      <c r="Y22" s="18">
        <f t="shared" si="2"/>
        <v>13219603.305785127</v>
      </c>
      <c r="Z22" s="24"/>
      <c r="AA22" s="20"/>
      <c r="AB22" s="21" t="b">
        <v>1</v>
      </c>
      <c r="AC22" s="22">
        <f t="shared" si="3"/>
        <v>0</v>
      </c>
      <c r="AD22" s="28"/>
      <c r="AE22" s="28"/>
    </row>
    <row r="23" spans="1:31">
      <c r="A23" s="10">
        <f t="shared" si="0"/>
        <v>1259009.8386462023</v>
      </c>
      <c r="B23" s="13"/>
      <c r="C23" s="13"/>
      <c r="D23" s="13"/>
      <c r="E23" s="13"/>
      <c r="F23" s="13"/>
      <c r="G23" s="13"/>
      <c r="H23" s="13"/>
      <c r="I23" s="13"/>
      <c r="J23" s="13"/>
      <c r="K23" s="13">
        <v>4</v>
      </c>
      <c r="L23" s="16"/>
      <c r="M23" s="16" t="s">
        <v>908</v>
      </c>
      <c r="N23" s="16"/>
      <c r="O23" s="16"/>
      <c r="P23" s="17"/>
      <c r="Q23" s="17"/>
      <c r="R23" s="17"/>
      <c r="S23" s="17"/>
      <c r="T23" s="17"/>
      <c r="U23" s="17"/>
      <c r="V23" s="17"/>
      <c r="W23" s="17"/>
      <c r="X23" s="17">
        <f t="shared" si="1"/>
        <v>6</v>
      </c>
      <c r="Y23" s="18">
        <f t="shared" si="2"/>
        <v>13219603.305785127</v>
      </c>
      <c r="Z23" s="24"/>
      <c r="AA23" s="20"/>
      <c r="AB23" s="21" t="b">
        <v>1</v>
      </c>
      <c r="AC23" s="22">
        <f t="shared" si="3"/>
        <v>0</v>
      </c>
      <c r="AD23" s="28"/>
      <c r="AE23" s="28"/>
    </row>
    <row r="24" spans="1:31">
      <c r="A24" s="10">
        <f t="shared" si="0"/>
        <v>629504.91932310117</v>
      </c>
      <c r="B24" s="13"/>
      <c r="C24" s="13"/>
      <c r="D24" s="13"/>
      <c r="E24" s="13"/>
      <c r="F24" s="13"/>
      <c r="G24" s="13"/>
      <c r="H24" s="13"/>
      <c r="I24" s="13"/>
      <c r="J24" s="13"/>
      <c r="K24" s="13">
        <v>2</v>
      </c>
      <c r="L24" s="16"/>
      <c r="M24" s="16"/>
      <c r="N24" s="16" t="s">
        <v>909</v>
      </c>
      <c r="O24" s="16"/>
      <c r="P24" s="17"/>
      <c r="Q24" s="17"/>
      <c r="R24" s="17"/>
      <c r="S24" s="17"/>
      <c r="T24" s="17"/>
      <c r="U24" s="17"/>
      <c r="V24" s="17"/>
      <c r="W24" s="17"/>
      <c r="X24" s="17">
        <f t="shared" si="1"/>
        <v>6</v>
      </c>
      <c r="Y24" s="18">
        <f t="shared" si="2"/>
        <v>13219603.305785127</v>
      </c>
      <c r="Z24" s="19"/>
      <c r="AA24" s="30"/>
      <c r="AB24" s="21" t="b">
        <v>1</v>
      </c>
      <c r="AC24" s="22">
        <f t="shared" si="3"/>
        <v>0</v>
      </c>
      <c r="AD24" s="28"/>
      <c r="AE24" s="28"/>
    </row>
    <row r="25" spans="1:31">
      <c r="A25" s="10">
        <f t="shared" si="0"/>
        <v>629504.91932310117</v>
      </c>
      <c r="B25" s="13"/>
      <c r="C25" s="13"/>
      <c r="D25" s="13"/>
      <c r="E25" s="13"/>
      <c r="F25" s="13"/>
      <c r="G25" s="13"/>
      <c r="H25" s="13"/>
      <c r="I25" s="13"/>
      <c r="J25" s="13"/>
      <c r="K25" s="13">
        <v>2</v>
      </c>
      <c r="L25" s="16"/>
      <c r="M25" s="16"/>
      <c r="N25" s="16" t="s">
        <v>910</v>
      </c>
      <c r="O25" s="16"/>
      <c r="P25" s="17"/>
      <c r="Q25" s="17"/>
      <c r="R25" s="17"/>
      <c r="S25" s="17"/>
      <c r="T25" s="17"/>
      <c r="U25" s="17"/>
      <c r="V25" s="17"/>
      <c r="W25" s="17"/>
      <c r="X25" s="17">
        <f t="shared" si="1"/>
        <v>6</v>
      </c>
      <c r="Y25" s="18">
        <f t="shared" si="2"/>
        <v>13219603.305785127</v>
      </c>
      <c r="Z25" s="24"/>
      <c r="AA25" s="20"/>
      <c r="AB25" s="21" t="b">
        <v>1</v>
      </c>
      <c r="AC25" s="22">
        <f t="shared" si="3"/>
        <v>0</v>
      </c>
      <c r="AD25" s="28"/>
      <c r="AE25" s="28"/>
    </row>
    <row r="26" spans="1:31">
      <c r="A26" s="10">
        <f t="shared" si="0"/>
        <v>629504.91932310117</v>
      </c>
      <c r="B26" s="13"/>
      <c r="C26" s="13"/>
      <c r="D26" s="13"/>
      <c r="E26" s="13"/>
      <c r="F26" s="13"/>
      <c r="G26" s="13"/>
      <c r="H26" s="13"/>
      <c r="I26" s="13"/>
      <c r="J26" s="13"/>
      <c r="K26" s="13">
        <v>2</v>
      </c>
      <c r="L26" s="16"/>
      <c r="M26" s="16"/>
      <c r="N26" s="16" t="s">
        <v>911</v>
      </c>
      <c r="O26" s="16"/>
      <c r="P26" s="17"/>
      <c r="Q26" s="17"/>
      <c r="R26" s="17"/>
      <c r="S26" s="17"/>
      <c r="T26" s="17"/>
      <c r="U26" s="17"/>
      <c r="V26" s="17"/>
      <c r="W26" s="17"/>
      <c r="X26" s="17">
        <f t="shared" si="1"/>
        <v>6</v>
      </c>
      <c r="Y26" s="18">
        <f t="shared" si="2"/>
        <v>13219603.305785127</v>
      </c>
      <c r="Z26" s="24"/>
      <c r="AA26" s="20"/>
      <c r="AB26" s="21" t="b">
        <v>1</v>
      </c>
      <c r="AC26" s="22">
        <f t="shared" si="3"/>
        <v>0</v>
      </c>
      <c r="AD26" s="28"/>
      <c r="AE26" s="28"/>
    </row>
    <row r="27" spans="1:31">
      <c r="A27" s="10">
        <f t="shared" si="0"/>
        <v>0</v>
      </c>
      <c r="B27" s="13"/>
      <c r="C27" s="13"/>
      <c r="D27" s="13"/>
      <c r="E27" s="13"/>
      <c r="F27" s="13"/>
      <c r="G27" s="13"/>
      <c r="H27" s="13"/>
      <c r="I27" s="13"/>
      <c r="J27" s="13"/>
      <c r="K27" s="13"/>
      <c r="L27" s="16"/>
      <c r="M27" s="16"/>
      <c r="N27" s="16" t="s">
        <v>912</v>
      </c>
      <c r="O27" s="17"/>
      <c r="P27" s="17"/>
      <c r="Q27" s="17"/>
      <c r="R27" s="17"/>
      <c r="S27" s="17"/>
      <c r="T27" s="17"/>
      <c r="U27" s="17"/>
      <c r="V27" s="17"/>
      <c r="W27" s="17"/>
      <c r="X27" s="17">
        <f t="shared" si="1"/>
        <v>6</v>
      </c>
      <c r="Y27" s="18">
        <f t="shared" si="2"/>
        <v>13219603.305785127</v>
      </c>
      <c r="Z27" s="24"/>
      <c r="AA27" s="20"/>
      <c r="AB27" s="21" t="b">
        <v>1</v>
      </c>
      <c r="AC27" s="22">
        <f t="shared" si="3"/>
        <v>0</v>
      </c>
      <c r="AD27" s="28"/>
      <c r="AE27" s="28"/>
    </row>
    <row r="28" spans="1:31">
      <c r="A28" s="10">
        <f t="shared" si="0"/>
        <v>1888514.7579693035</v>
      </c>
      <c r="B28" s="13"/>
      <c r="C28" s="13"/>
      <c r="D28" s="13"/>
      <c r="E28" s="13"/>
      <c r="F28" s="13"/>
      <c r="G28" s="13"/>
      <c r="H28" s="13"/>
      <c r="I28" s="13"/>
      <c r="J28" s="13"/>
      <c r="K28" s="13">
        <v>6</v>
      </c>
      <c r="L28" s="16"/>
      <c r="M28" s="16" t="s">
        <v>913</v>
      </c>
      <c r="N28" s="16"/>
      <c r="O28" s="16"/>
      <c r="P28" s="16"/>
      <c r="Q28" s="17"/>
      <c r="R28" s="17"/>
      <c r="S28" s="17"/>
      <c r="T28" s="17"/>
      <c r="U28" s="17"/>
      <c r="V28" s="17"/>
      <c r="W28" s="17"/>
      <c r="X28" s="17">
        <f t="shared" si="1"/>
        <v>6</v>
      </c>
      <c r="Y28" s="18">
        <f t="shared" si="2"/>
        <v>13219603.305785127</v>
      </c>
      <c r="Z28" s="24"/>
      <c r="AA28" s="20"/>
      <c r="AB28" s="21" t="b">
        <v>1</v>
      </c>
      <c r="AC28" s="22">
        <f t="shared" si="3"/>
        <v>0</v>
      </c>
      <c r="AD28" s="28"/>
      <c r="AE28" s="28"/>
    </row>
    <row r="29" spans="1:31">
      <c r="A29" s="10">
        <f t="shared" si="0"/>
        <v>629504.91932310117</v>
      </c>
      <c r="B29" s="13"/>
      <c r="C29" s="13"/>
      <c r="D29" s="13"/>
      <c r="E29" s="13"/>
      <c r="F29" s="13"/>
      <c r="G29" s="13"/>
      <c r="H29" s="13"/>
      <c r="I29" s="13"/>
      <c r="J29" s="13"/>
      <c r="K29" s="13">
        <v>2</v>
      </c>
      <c r="L29" s="16"/>
      <c r="M29" s="16"/>
      <c r="N29" s="16" t="s">
        <v>914</v>
      </c>
      <c r="O29" s="16"/>
      <c r="P29" s="16"/>
      <c r="Q29" s="17"/>
      <c r="R29" s="17"/>
      <c r="S29" s="17"/>
      <c r="T29" s="17"/>
      <c r="U29" s="17"/>
      <c r="V29" s="17"/>
      <c r="W29" s="17"/>
      <c r="X29" s="17">
        <f t="shared" si="1"/>
        <v>6</v>
      </c>
      <c r="Y29" s="18">
        <f t="shared" si="2"/>
        <v>13219603.305785127</v>
      </c>
      <c r="Z29" s="24"/>
      <c r="AA29" s="20"/>
      <c r="AB29" s="21" t="b">
        <v>1</v>
      </c>
      <c r="AC29" s="22">
        <f t="shared" si="3"/>
        <v>0</v>
      </c>
      <c r="AD29" s="28"/>
      <c r="AE29" s="28"/>
    </row>
    <row r="30" spans="1:31">
      <c r="A30" s="10">
        <f t="shared" si="0"/>
        <v>629504.91932310117</v>
      </c>
      <c r="B30" s="13"/>
      <c r="C30" s="13"/>
      <c r="D30" s="13"/>
      <c r="E30" s="13"/>
      <c r="F30" s="13"/>
      <c r="G30" s="13"/>
      <c r="H30" s="13"/>
      <c r="I30" s="13"/>
      <c r="J30" s="13"/>
      <c r="K30" s="13">
        <v>2</v>
      </c>
      <c r="L30" s="29"/>
      <c r="M30" s="16"/>
      <c r="N30" s="16" t="s">
        <v>915</v>
      </c>
      <c r="O30" s="16"/>
      <c r="P30" s="16"/>
      <c r="Q30" s="17"/>
      <c r="R30" s="17"/>
      <c r="S30" s="17"/>
      <c r="T30" s="17"/>
      <c r="U30" s="17"/>
      <c r="V30" s="17"/>
      <c r="W30" s="17"/>
      <c r="X30" s="17">
        <f t="shared" si="1"/>
        <v>6</v>
      </c>
      <c r="Y30" s="18">
        <f t="shared" si="2"/>
        <v>13219603.305785127</v>
      </c>
      <c r="Z30" s="24"/>
      <c r="AA30" s="20"/>
      <c r="AB30" s="21" t="b">
        <v>1</v>
      </c>
      <c r="AC30" s="22">
        <f t="shared" si="3"/>
        <v>0</v>
      </c>
      <c r="AD30" s="28"/>
      <c r="AE30" s="28"/>
    </row>
    <row r="31" spans="1:31">
      <c r="A31" s="10">
        <f t="shared" si="0"/>
        <v>314752.45966155059</v>
      </c>
      <c r="B31" s="13"/>
      <c r="C31" s="13"/>
      <c r="D31" s="13"/>
      <c r="E31" s="13"/>
      <c r="F31" s="13"/>
      <c r="G31" s="13"/>
      <c r="H31" s="13"/>
      <c r="I31" s="13"/>
      <c r="J31" s="13"/>
      <c r="K31" s="13">
        <v>1</v>
      </c>
      <c r="L31" s="16"/>
      <c r="M31" s="16"/>
      <c r="N31" s="16" t="s">
        <v>916</v>
      </c>
      <c r="O31" s="16"/>
      <c r="P31" s="17"/>
      <c r="Q31" s="17"/>
      <c r="R31" s="17"/>
      <c r="S31" s="17"/>
      <c r="T31" s="17"/>
      <c r="U31" s="17"/>
      <c r="V31" s="17"/>
      <c r="W31" s="17"/>
      <c r="X31" s="17">
        <f t="shared" si="1"/>
        <v>6</v>
      </c>
      <c r="Y31" s="18">
        <f t="shared" si="2"/>
        <v>13219603.305785127</v>
      </c>
      <c r="Z31" s="24"/>
      <c r="AA31" s="20"/>
      <c r="AB31" s="21" t="b">
        <v>1</v>
      </c>
      <c r="AC31" s="22">
        <f t="shared" si="3"/>
        <v>0</v>
      </c>
      <c r="AD31" s="28"/>
      <c r="AE31" s="28"/>
    </row>
    <row r="32" spans="1:31">
      <c r="A32" s="10">
        <f t="shared" si="0"/>
        <v>1259009.8386462023</v>
      </c>
      <c r="B32" s="13"/>
      <c r="C32" s="13"/>
      <c r="D32" s="13"/>
      <c r="E32" s="13"/>
      <c r="F32" s="13"/>
      <c r="G32" s="13"/>
      <c r="H32" s="13"/>
      <c r="I32" s="13"/>
      <c r="J32" s="13"/>
      <c r="K32" s="13">
        <v>4</v>
      </c>
      <c r="L32" s="16"/>
      <c r="M32" s="17" t="s">
        <v>917</v>
      </c>
      <c r="N32" s="17"/>
      <c r="O32" s="17"/>
      <c r="P32" s="17"/>
      <c r="Q32" s="17"/>
      <c r="R32" s="17"/>
      <c r="S32" s="17"/>
      <c r="T32" s="17"/>
      <c r="U32" s="17"/>
      <c r="V32" s="17"/>
      <c r="W32" s="17"/>
      <c r="X32" s="17">
        <f t="shared" si="1"/>
        <v>6</v>
      </c>
      <c r="Y32" s="18">
        <f t="shared" si="2"/>
        <v>13219603.305785127</v>
      </c>
      <c r="Z32" s="24"/>
      <c r="AA32" s="20"/>
      <c r="AB32" s="21" t="b">
        <v>1</v>
      </c>
      <c r="AC32" s="22">
        <f t="shared" si="3"/>
        <v>0</v>
      </c>
      <c r="AD32" s="28"/>
      <c r="AE32" s="28"/>
    </row>
    <row r="33" spans="1:31">
      <c r="A33" s="10">
        <f t="shared" si="0"/>
        <v>0</v>
      </c>
      <c r="B33" s="13"/>
      <c r="C33" s="13"/>
      <c r="D33" s="13"/>
      <c r="E33" s="13"/>
      <c r="F33" s="13"/>
      <c r="G33" s="13"/>
      <c r="H33" s="13"/>
      <c r="I33" s="13"/>
      <c r="J33" s="13"/>
      <c r="K33" s="13"/>
      <c r="L33" s="16"/>
      <c r="M33" s="16"/>
      <c r="N33" s="16" t="s">
        <v>918</v>
      </c>
      <c r="O33" s="16"/>
      <c r="P33" s="17"/>
      <c r="Q33" s="17"/>
      <c r="R33" s="17"/>
      <c r="S33" s="17"/>
      <c r="T33" s="17"/>
      <c r="U33" s="17"/>
      <c r="V33" s="17"/>
      <c r="W33" s="17"/>
      <c r="X33" s="17">
        <f t="shared" si="1"/>
        <v>6</v>
      </c>
      <c r="Y33" s="18">
        <f t="shared" si="2"/>
        <v>13219603.305785127</v>
      </c>
      <c r="Z33" s="24"/>
      <c r="AA33" s="20"/>
      <c r="AB33" s="21" t="b">
        <v>1</v>
      </c>
      <c r="AC33" s="22">
        <f t="shared" si="3"/>
        <v>0</v>
      </c>
      <c r="AD33" s="28"/>
      <c r="AE33" s="28"/>
    </row>
    <row r="34" spans="1:31">
      <c r="A34" s="10">
        <f t="shared" si="0"/>
        <v>944257.37898465176</v>
      </c>
      <c r="B34" s="13"/>
      <c r="C34" s="13"/>
      <c r="D34" s="13"/>
      <c r="E34" s="13"/>
      <c r="F34" s="13"/>
      <c r="G34" s="13"/>
      <c r="H34" s="13"/>
      <c r="I34" s="13"/>
      <c r="J34" s="13"/>
      <c r="K34" s="13">
        <v>3</v>
      </c>
      <c r="L34" s="16"/>
      <c r="M34" s="16"/>
      <c r="N34" s="16"/>
      <c r="O34" s="16" t="s">
        <v>919</v>
      </c>
      <c r="P34" s="17"/>
      <c r="Q34" s="17"/>
      <c r="R34" s="17"/>
      <c r="S34" s="17"/>
      <c r="T34" s="17"/>
      <c r="U34" s="17"/>
      <c r="V34" s="17"/>
      <c r="W34" s="17"/>
      <c r="X34" s="17">
        <f t="shared" si="1"/>
        <v>6</v>
      </c>
      <c r="Y34" s="18">
        <f t="shared" si="2"/>
        <v>13219603.305785127</v>
      </c>
      <c r="Z34" s="24"/>
      <c r="AA34" s="20"/>
      <c r="AB34" s="21" t="b">
        <v>1</v>
      </c>
      <c r="AC34" s="22">
        <f t="shared" si="3"/>
        <v>0</v>
      </c>
      <c r="AD34" s="28"/>
      <c r="AE34" s="28"/>
    </row>
    <row r="35" spans="1:31">
      <c r="A35" s="10">
        <f t="shared" si="0"/>
        <v>1259009.8386462023</v>
      </c>
      <c r="B35" s="13"/>
      <c r="C35" s="13"/>
      <c r="D35" s="13"/>
      <c r="E35" s="13"/>
      <c r="F35" s="13"/>
      <c r="G35" s="13"/>
      <c r="H35" s="13"/>
      <c r="I35" s="13"/>
      <c r="J35" s="13"/>
      <c r="K35" s="13">
        <v>4</v>
      </c>
      <c r="L35" s="16"/>
      <c r="M35" s="16"/>
      <c r="N35" s="16"/>
      <c r="O35" s="16" t="s">
        <v>920</v>
      </c>
      <c r="P35" s="17"/>
      <c r="Q35" s="17"/>
      <c r="R35" s="17"/>
      <c r="S35" s="17"/>
      <c r="T35" s="17"/>
      <c r="U35" s="17"/>
      <c r="V35" s="17"/>
      <c r="W35" s="17"/>
      <c r="X35" s="17">
        <f t="shared" si="1"/>
        <v>6</v>
      </c>
      <c r="Y35" s="18">
        <f t="shared" si="2"/>
        <v>13219603.305785127</v>
      </c>
      <c r="Z35" s="24"/>
      <c r="AA35" s="20"/>
      <c r="AB35" s="21" t="b">
        <v>1</v>
      </c>
      <c r="AC35" s="22">
        <f t="shared" si="3"/>
        <v>0</v>
      </c>
      <c r="AD35" s="28"/>
      <c r="AE35" s="28"/>
    </row>
    <row r="36" spans="1:31">
      <c r="A36" s="10">
        <f t="shared" si="0"/>
        <v>0</v>
      </c>
      <c r="B36" s="13"/>
      <c r="C36" s="13"/>
      <c r="D36" s="13"/>
      <c r="E36" s="13"/>
      <c r="F36" s="13"/>
      <c r="G36" s="13"/>
      <c r="H36" s="13"/>
      <c r="I36" s="13"/>
      <c r="J36" s="13"/>
      <c r="K36" s="13"/>
      <c r="L36" s="16"/>
      <c r="M36" s="16"/>
      <c r="N36" s="16"/>
      <c r="O36" s="16"/>
      <c r="P36" s="17"/>
      <c r="Q36" s="17"/>
      <c r="R36" s="17"/>
      <c r="S36" s="17"/>
      <c r="T36" s="17"/>
      <c r="U36" s="17"/>
      <c r="V36" s="17"/>
      <c r="W36" s="17"/>
      <c r="X36" s="17">
        <f t="shared" si="1"/>
        <v>6</v>
      </c>
      <c r="Y36" s="18">
        <f t="shared" si="2"/>
        <v>13219603.305785127</v>
      </c>
      <c r="Z36" s="19"/>
      <c r="AA36" s="30"/>
      <c r="AB36" s="21" t="b">
        <v>1</v>
      </c>
      <c r="AC36" s="22">
        <f t="shared" si="3"/>
        <v>0</v>
      </c>
      <c r="AD36" s="28"/>
      <c r="AE36" s="28"/>
    </row>
    <row r="37" spans="1:31">
      <c r="A37" s="10">
        <f t="shared" si="0"/>
        <v>0</v>
      </c>
      <c r="B37" s="13"/>
      <c r="C37" s="13"/>
      <c r="D37" s="13"/>
      <c r="E37" s="13"/>
      <c r="F37" s="13"/>
      <c r="G37" s="13"/>
      <c r="H37" s="13"/>
      <c r="I37" s="13"/>
      <c r="J37" s="13"/>
      <c r="K37" s="13"/>
      <c r="L37" s="16"/>
      <c r="M37" s="16"/>
      <c r="N37" s="16"/>
      <c r="O37" s="16"/>
      <c r="P37" s="17"/>
      <c r="Q37" s="17"/>
      <c r="R37" s="17"/>
      <c r="S37" s="17"/>
      <c r="T37" s="17"/>
      <c r="U37" s="17"/>
      <c r="V37" s="17"/>
      <c r="W37" s="17"/>
      <c r="X37" s="17">
        <f t="shared" si="1"/>
        <v>6</v>
      </c>
      <c r="Y37" s="18">
        <f t="shared" si="2"/>
        <v>13219603.305785127</v>
      </c>
      <c r="Z37" s="19"/>
      <c r="AA37" s="30"/>
      <c r="AB37" s="21" t="b">
        <v>1</v>
      </c>
      <c r="AC37" s="22">
        <f t="shared" si="3"/>
        <v>0</v>
      </c>
      <c r="AD37" s="28"/>
      <c r="AE37" s="28"/>
    </row>
    <row r="38" spans="1:31">
      <c r="A38" s="10">
        <f t="shared" si="0"/>
        <v>0</v>
      </c>
      <c r="B38" s="13"/>
      <c r="C38" s="13"/>
      <c r="D38" s="13"/>
      <c r="E38" s="13"/>
      <c r="F38" s="13"/>
      <c r="G38" s="13"/>
      <c r="H38" s="13"/>
      <c r="I38" s="13"/>
      <c r="J38" s="13"/>
      <c r="K38" s="13"/>
      <c r="L38" s="27"/>
      <c r="M38" s="16"/>
      <c r="N38" s="16"/>
      <c r="O38" s="16"/>
      <c r="P38" s="17"/>
      <c r="Q38" s="17"/>
      <c r="R38" s="17"/>
      <c r="S38" s="17"/>
      <c r="T38" s="17"/>
      <c r="U38" s="17"/>
      <c r="V38" s="17"/>
      <c r="W38" s="17"/>
      <c r="X38" s="17">
        <f t="shared" si="1"/>
        <v>6</v>
      </c>
      <c r="Y38" s="18">
        <f t="shared" si="2"/>
        <v>13219603.305785127</v>
      </c>
      <c r="Z38" s="24"/>
      <c r="AA38" s="20"/>
      <c r="AB38" s="21" t="b">
        <v>1</v>
      </c>
      <c r="AC38" s="22">
        <f t="shared" si="3"/>
        <v>0</v>
      </c>
      <c r="AD38" s="32"/>
      <c r="AE38" s="32"/>
    </row>
    <row r="39" spans="1:31">
      <c r="A39" s="10">
        <f t="shared" si="0"/>
        <v>0</v>
      </c>
      <c r="B39" s="13"/>
      <c r="C39" s="13"/>
      <c r="D39" s="13"/>
      <c r="E39" s="13"/>
      <c r="F39" s="13"/>
      <c r="G39" s="13"/>
      <c r="H39" s="13"/>
      <c r="I39" s="13"/>
      <c r="J39" s="13"/>
      <c r="K39" s="13"/>
      <c r="L39" s="27"/>
      <c r="M39" s="16"/>
      <c r="N39" s="16"/>
      <c r="O39" s="16"/>
      <c r="P39" s="16"/>
      <c r="Q39" s="16"/>
      <c r="R39" s="16"/>
      <c r="S39" s="17"/>
      <c r="T39" s="17"/>
      <c r="U39" s="17"/>
      <c r="V39" s="17"/>
      <c r="W39" s="17"/>
      <c r="X39" s="17">
        <f t="shared" si="1"/>
        <v>6</v>
      </c>
      <c r="Y39" s="18">
        <f t="shared" si="2"/>
        <v>13219603.305785127</v>
      </c>
      <c r="Z39" s="19"/>
      <c r="AA39" s="20"/>
      <c r="AB39" s="21" t="b">
        <v>1</v>
      </c>
      <c r="AC39" s="22">
        <f t="shared" si="3"/>
        <v>0</v>
      </c>
      <c r="AD39" s="28"/>
      <c r="AE39" s="28"/>
    </row>
    <row r="40" spans="1:31">
      <c r="A40" s="10">
        <f t="shared" si="0"/>
        <v>0</v>
      </c>
      <c r="B40" s="13"/>
      <c r="C40" s="13"/>
      <c r="D40" s="13"/>
      <c r="E40" s="13"/>
      <c r="F40" s="13"/>
      <c r="G40" s="13"/>
      <c r="H40" s="13"/>
      <c r="I40" s="13"/>
      <c r="J40" s="13"/>
      <c r="K40" s="13"/>
      <c r="L40" s="27"/>
      <c r="M40" s="16"/>
      <c r="N40" s="16"/>
      <c r="O40" s="16"/>
      <c r="P40" s="16"/>
      <c r="Q40" s="16"/>
      <c r="R40" s="16"/>
      <c r="S40" s="17"/>
      <c r="T40" s="17"/>
      <c r="U40" s="17"/>
      <c r="V40" s="17"/>
      <c r="W40" s="17"/>
      <c r="X40" s="17">
        <f t="shared" si="1"/>
        <v>6</v>
      </c>
      <c r="Y40" s="18">
        <f t="shared" si="2"/>
        <v>13219603.305785127</v>
      </c>
      <c r="Z40" s="24"/>
      <c r="AA40" s="20"/>
      <c r="AB40" s="21" t="b">
        <v>1</v>
      </c>
      <c r="AC40" s="22">
        <f t="shared" si="3"/>
        <v>0</v>
      </c>
      <c r="AD40" s="32"/>
      <c r="AE40" s="32"/>
    </row>
    <row r="41" spans="1:31">
      <c r="A41" s="10">
        <f t="shared" si="0"/>
        <v>0</v>
      </c>
      <c r="B41" s="13"/>
      <c r="C41" s="13"/>
      <c r="D41" s="13"/>
      <c r="E41" s="13"/>
      <c r="F41" s="13"/>
      <c r="G41" s="13"/>
      <c r="H41" s="13"/>
      <c r="I41" s="13"/>
      <c r="J41" s="13"/>
      <c r="K41" s="13"/>
      <c r="L41" s="27"/>
      <c r="M41" s="16"/>
      <c r="N41" s="16"/>
      <c r="O41" s="16"/>
      <c r="P41" s="16"/>
      <c r="Q41" s="16"/>
      <c r="R41" s="16"/>
      <c r="S41" s="17"/>
      <c r="T41" s="17"/>
      <c r="U41" s="17"/>
      <c r="V41" s="17"/>
      <c r="W41" s="17"/>
      <c r="X41" s="17">
        <f t="shared" si="1"/>
        <v>6</v>
      </c>
      <c r="Y41" s="18">
        <f t="shared" si="2"/>
        <v>13219603.305785127</v>
      </c>
      <c r="Z41" s="24"/>
      <c r="AA41" s="20"/>
      <c r="AB41" s="21" t="b">
        <v>1</v>
      </c>
      <c r="AC41" s="22">
        <f t="shared" si="3"/>
        <v>0</v>
      </c>
      <c r="AD41" s="32"/>
      <c r="AE41" s="32"/>
    </row>
    <row r="42" spans="1:31" ht="15">
      <c r="A42" s="10">
        <f t="shared" si="0"/>
        <v>0</v>
      </c>
      <c r="B42" s="13"/>
      <c r="C42" s="13"/>
      <c r="D42" s="13"/>
      <c r="E42" s="13"/>
      <c r="F42" s="13"/>
      <c r="G42" s="13"/>
      <c r="H42" s="13"/>
      <c r="I42" s="13"/>
      <c r="J42" s="13"/>
      <c r="K42" s="13"/>
      <c r="L42" s="27"/>
      <c r="M42" s="16"/>
      <c r="N42" s="29"/>
      <c r="O42" s="16"/>
      <c r="P42" s="16"/>
      <c r="Q42" s="16"/>
      <c r="R42" s="16"/>
      <c r="S42" s="17"/>
      <c r="T42" s="17"/>
      <c r="U42" s="17"/>
      <c r="V42" s="17"/>
      <c r="W42" s="17"/>
      <c r="X42" s="17">
        <f t="shared" si="1"/>
        <v>6</v>
      </c>
      <c r="Y42" s="18">
        <f t="shared" si="2"/>
        <v>13219603.305785127</v>
      </c>
      <c r="Z42" s="24"/>
      <c r="AA42" s="20"/>
      <c r="AB42" s="21" t="b">
        <v>1</v>
      </c>
      <c r="AC42" s="22">
        <f t="shared" si="3"/>
        <v>0</v>
      </c>
      <c r="AD42" s="28"/>
      <c r="AE42" s="28"/>
    </row>
    <row r="43" spans="1:31" ht="15">
      <c r="A43" s="10">
        <f t="shared" si="0"/>
        <v>0</v>
      </c>
      <c r="B43" s="13"/>
      <c r="C43" s="13"/>
      <c r="D43" s="13"/>
      <c r="E43" s="13"/>
      <c r="F43" s="13"/>
      <c r="G43" s="13"/>
      <c r="H43" s="13"/>
      <c r="I43" s="13"/>
      <c r="J43" s="13"/>
      <c r="K43" s="13"/>
      <c r="L43" s="27"/>
      <c r="M43" s="27"/>
      <c r="N43" s="16"/>
      <c r="O43" s="16"/>
      <c r="P43" s="16"/>
      <c r="Q43" s="16"/>
      <c r="R43" s="16"/>
      <c r="S43" s="17"/>
      <c r="T43" s="17"/>
      <c r="U43" s="17"/>
      <c r="V43" s="17"/>
      <c r="W43" s="17"/>
      <c r="X43" s="17">
        <f t="shared" si="1"/>
        <v>6</v>
      </c>
      <c r="Y43" s="18">
        <f t="shared" si="2"/>
        <v>13219603.305785127</v>
      </c>
      <c r="Z43" s="24"/>
      <c r="AA43" s="20"/>
      <c r="AB43" s="21" t="b">
        <v>1</v>
      </c>
      <c r="AC43" s="22">
        <f t="shared" si="3"/>
        <v>0</v>
      </c>
      <c r="AD43" s="28"/>
      <c r="AE43" s="28"/>
    </row>
    <row r="44" spans="1:31" ht="15">
      <c r="A44" s="10">
        <f t="shared" si="0"/>
        <v>0</v>
      </c>
      <c r="B44" s="13"/>
      <c r="C44" s="13"/>
      <c r="D44" s="13"/>
      <c r="E44" s="13"/>
      <c r="F44" s="13"/>
      <c r="G44" s="13"/>
      <c r="H44" s="13"/>
      <c r="I44" s="13"/>
      <c r="J44" s="13"/>
      <c r="K44" s="13"/>
      <c r="L44" s="27"/>
      <c r="M44" s="16"/>
      <c r="N44" s="16"/>
      <c r="O44" s="16"/>
      <c r="P44" s="16"/>
      <c r="Q44" s="16"/>
      <c r="R44" s="16"/>
      <c r="S44" s="17"/>
      <c r="T44" s="17"/>
      <c r="U44" s="17"/>
      <c r="V44" s="17"/>
      <c r="W44" s="17"/>
      <c r="X44" s="17">
        <f t="shared" si="1"/>
        <v>6</v>
      </c>
      <c r="Y44" s="18">
        <f t="shared" si="2"/>
        <v>13219603.305785127</v>
      </c>
      <c r="Z44" s="24"/>
      <c r="AA44" s="20"/>
      <c r="AB44" s="21" t="b">
        <v>1</v>
      </c>
      <c r="AC44" s="22">
        <f t="shared" si="3"/>
        <v>0</v>
      </c>
      <c r="AD44" s="28"/>
      <c r="AE44" s="28"/>
    </row>
    <row r="45" spans="1:31" ht="15">
      <c r="A45" s="10">
        <f t="shared" si="0"/>
        <v>0</v>
      </c>
      <c r="B45" s="13"/>
      <c r="C45" s="13"/>
      <c r="D45" s="13"/>
      <c r="E45" s="13"/>
      <c r="F45" s="13"/>
      <c r="G45" s="13"/>
      <c r="H45" s="13"/>
      <c r="I45" s="13"/>
      <c r="J45" s="13"/>
      <c r="K45" s="13"/>
      <c r="L45" s="27"/>
      <c r="M45" s="16"/>
      <c r="N45" s="16"/>
      <c r="O45" s="16"/>
      <c r="P45" s="16"/>
      <c r="Q45" s="16"/>
      <c r="R45" s="16"/>
      <c r="S45" s="17"/>
      <c r="T45" s="17"/>
      <c r="U45" s="17"/>
      <c r="V45" s="17"/>
      <c r="W45" s="17"/>
      <c r="X45" s="17">
        <f t="shared" si="1"/>
        <v>6</v>
      </c>
      <c r="Y45" s="18">
        <f t="shared" si="2"/>
        <v>13219603.305785127</v>
      </c>
      <c r="Z45" s="24"/>
      <c r="AA45" s="20"/>
      <c r="AB45" s="21" t="b">
        <v>1</v>
      </c>
      <c r="AC45" s="22">
        <f t="shared" si="3"/>
        <v>0</v>
      </c>
      <c r="AD45" s="28"/>
      <c r="AE45" s="28"/>
    </row>
    <row r="46" spans="1:31" ht="15">
      <c r="A46" s="10">
        <f t="shared" si="0"/>
        <v>0</v>
      </c>
      <c r="B46" s="13"/>
      <c r="C46" s="13"/>
      <c r="D46" s="13"/>
      <c r="E46" s="13"/>
      <c r="F46" s="13"/>
      <c r="G46" s="13"/>
      <c r="H46" s="13"/>
      <c r="I46" s="13"/>
      <c r="J46" s="13"/>
      <c r="K46" s="13"/>
      <c r="L46" s="27"/>
      <c r="M46" s="16"/>
      <c r="N46" s="16"/>
      <c r="O46" s="16"/>
      <c r="P46" s="16"/>
      <c r="Q46" s="16"/>
      <c r="R46" s="16"/>
      <c r="S46" s="17"/>
      <c r="T46" s="17"/>
      <c r="U46" s="17"/>
      <c r="V46" s="17"/>
      <c r="W46" s="17"/>
      <c r="X46" s="17">
        <f t="shared" si="1"/>
        <v>6</v>
      </c>
      <c r="Y46" s="18">
        <f t="shared" si="2"/>
        <v>13219603.305785127</v>
      </c>
      <c r="Z46" s="24"/>
      <c r="AA46" s="20"/>
      <c r="AB46" s="21" t="b">
        <v>1</v>
      </c>
      <c r="AC46" s="22">
        <f t="shared" si="3"/>
        <v>0</v>
      </c>
      <c r="AD46" s="28"/>
      <c r="AE46" s="28"/>
    </row>
    <row r="47" spans="1:31" ht="15">
      <c r="A47" s="10">
        <f t="shared" si="0"/>
        <v>0</v>
      </c>
      <c r="B47" s="13"/>
      <c r="C47" s="13"/>
      <c r="D47" s="13"/>
      <c r="E47" s="13"/>
      <c r="F47" s="13"/>
      <c r="G47" s="13"/>
      <c r="H47" s="13"/>
      <c r="I47" s="13"/>
      <c r="J47" s="13"/>
      <c r="K47" s="13"/>
      <c r="L47" s="27"/>
      <c r="M47" s="16"/>
      <c r="N47" s="16"/>
      <c r="O47" s="16"/>
      <c r="P47" s="16"/>
      <c r="Q47" s="16"/>
      <c r="R47" s="16"/>
      <c r="S47" s="17"/>
      <c r="T47" s="17"/>
      <c r="U47" s="17"/>
      <c r="V47" s="17"/>
      <c r="W47" s="17"/>
      <c r="X47" s="17">
        <f t="shared" si="1"/>
        <v>6</v>
      </c>
      <c r="Y47" s="18">
        <f t="shared" si="2"/>
        <v>13219603.305785127</v>
      </c>
      <c r="Z47" s="24"/>
      <c r="AA47" s="20"/>
      <c r="AB47" s="21" t="b">
        <v>1</v>
      </c>
      <c r="AC47" s="22">
        <f t="shared" si="3"/>
        <v>0</v>
      </c>
      <c r="AD47" s="28"/>
      <c r="AE47" s="28"/>
    </row>
    <row r="48" spans="1:31" ht="15">
      <c r="A48" s="10">
        <f t="shared" si="0"/>
        <v>0</v>
      </c>
      <c r="B48" s="13"/>
      <c r="C48" s="13"/>
      <c r="D48" s="13"/>
      <c r="E48" s="13"/>
      <c r="F48" s="13"/>
      <c r="G48" s="13"/>
      <c r="H48" s="13"/>
      <c r="I48" s="13"/>
      <c r="J48" s="13"/>
      <c r="K48" s="13"/>
      <c r="L48" s="27"/>
      <c r="M48" s="16"/>
      <c r="N48" s="16"/>
      <c r="O48" s="16"/>
      <c r="P48" s="16"/>
      <c r="Q48" s="16"/>
      <c r="R48" s="16"/>
      <c r="S48" s="17"/>
      <c r="T48" s="17"/>
      <c r="U48" s="17"/>
      <c r="V48" s="17"/>
      <c r="W48" s="17"/>
      <c r="X48" s="17">
        <f t="shared" si="1"/>
        <v>6</v>
      </c>
      <c r="Y48" s="18">
        <f t="shared" si="2"/>
        <v>13219603.305785127</v>
      </c>
      <c r="Z48" s="24"/>
      <c r="AA48" s="20"/>
      <c r="AB48" s="21" t="b">
        <v>1</v>
      </c>
      <c r="AC48" s="22">
        <f t="shared" si="3"/>
        <v>0</v>
      </c>
      <c r="AD48" s="32"/>
      <c r="AE48" s="32"/>
    </row>
    <row r="49" spans="1:31" ht="15">
      <c r="A49" s="10">
        <f t="shared" si="0"/>
        <v>0</v>
      </c>
      <c r="B49" s="13"/>
      <c r="C49" s="13"/>
      <c r="D49" s="13"/>
      <c r="E49" s="13"/>
      <c r="F49" s="13"/>
      <c r="G49" s="13"/>
      <c r="H49" s="13"/>
      <c r="I49" s="13"/>
      <c r="J49" s="13"/>
      <c r="K49" s="13"/>
      <c r="L49" s="27"/>
      <c r="M49" s="16"/>
      <c r="N49" s="16"/>
      <c r="O49" s="16"/>
      <c r="P49" s="16"/>
      <c r="Q49" s="16"/>
      <c r="R49" s="16"/>
      <c r="S49" s="17"/>
      <c r="T49" s="17"/>
      <c r="U49" s="17"/>
      <c r="V49" s="17"/>
      <c r="W49" s="17"/>
      <c r="X49" s="17">
        <f t="shared" si="1"/>
        <v>6</v>
      </c>
      <c r="Y49" s="18">
        <f t="shared" si="2"/>
        <v>13219603.305785127</v>
      </c>
      <c r="Z49" s="24"/>
      <c r="AA49" s="20"/>
      <c r="AB49" s="21" t="b">
        <v>1</v>
      </c>
      <c r="AC49" s="22">
        <f t="shared" si="3"/>
        <v>0</v>
      </c>
      <c r="AD49" s="32"/>
      <c r="AE49" s="32"/>
    </row>
    <row r="50" spans="1:31" ht="15">
      <c r="A50" s="10">
        <f t="shared" si="0"/>
        <v>0</v>
      </c>
      <c r="B50" s="13"/>
      <c r="C50" s="13"/>
      <c r="D50" s="13"/>
      <c r="E50" s="13"/>
      <c r="F50" s="13"/>
      <c r="G50" s="13"/>
      <c r="H50" s="13"/>
      <c r="I50" s="13"/>
      <c r="J50" s="13"/>
      <c r="K50" s="13"/>
      <c r="L50" s="27"/>
      <c r="M50" s="27"/>
      <c r="N50" s="16"/>
      <c r="O50" s="16"/>
      <c r="P50" s="16"/>
      <c r="Q50" s="16"/>
      <c r="R50" s="16"/>
      <c r="S50" s="17"/>
      <c r="T50" s="17"/>
      <c r="U50" s="17"/>
      <c r="V50" s="17"/>
      <c r="W50" s="17"/>
      <c r="X50" s="17">
        <f t="shared" si="1"/>
        <v>6</v>
      </c>
      <c r="Y50" s="18">
        <f t="shared" si="2"/>
        <v>13219603.305785127</v>
      </c>
      <c r="Z50" s="24"/>
      <c r="AA50" s="20"/>
      <c r="AB50" s="21" t="b">
        <v>1</v>
      </c>
      <c r="AC50" s="22">
        <f t="shared" si="3"/>
        <v>0</v>
      </c>
      <c r="AD50" s="32"/>
      <c r="AE50" s="32"/>
    </row>
    <row r="51" spans="1:31" ht="15">
      <c r="A51" s="10">
        <f t="shared" si="0"/>
        <v>0</v>
      </c>
      <c r="B51" s="13"/>
      <c r="C51" s="13"/>
      <c r="D51" s="13"/>
      <c r="E51" s="13"/>
      <c r="F51" s="13"/>
      <c r="G51" s="13"/>
      <c r="H51" s="13"/>
      <c r="I51" s="13"/>
      <c r="J51" s="13"/>
      <c r="K51" s="13"/>
      <c r="L51" s="27"/>
      <c r="M51" s="16"/>
      <c r="N51" s="16"/>
      <c r="O51" s="16"/>
      <c r="P51" s="16"/>
      <c r="Q51" s="16"/>
      <c r="R51" s="16"/>
      <c r="S51" s="17"/>
      <c r="T51" s="17"/>
      <c r="U51" s="17"/>
      <c r="V51" s="17"/>
      <c r="W51" s="17"/>
      <c r="X51" s="17">
        <f t="shared" si="1"/>
        <v>6</v>
      </c>
      <c r="Y51" s="18">
        <f t="shared" si="2"/>
        <v>13219603.305785127</v>
      </c>
      <c r="Z51" s="24"/>
      <c r="AA51" s="20"/>
      <c r="AB51" s="21" t="b">
        <v>1</v>
      </c>
      <c r="AC51" s="22">
        <f t="shared" si="3"/>
        <v>0</v>
      </c>
      <c r="AD51" s="32"/>
      <c r="AE51" s="32"/>
    </row>
    <row r="52" spans="1:31" ht="15">
      <c r="A52" s="10">
        <f t="shared" si="0"/>
        <v>0</v>
      </c>
      <c r="B52" s="13"/>
      <c r="C52" s="13"/>
      <c r="D52" s="13"/>
      <c r="E52" s="13"/>
      <c r="F52" s="13"/>
      <c r="G52" s="13"/>
      <c r="H52" s="13"/>
      <c r="I52" s="13"/>
      <c r="J52" s="13"/>
      <c r="K52" s="13"/>
      <c r="L52" s="27"/>
      <c r="M52" s="16"/>
      <c r="N52" s="16"/>
      <c r="O52" s="16"/>
      <c r="P52" s="16"/>
      <c r="Q52" s="16"/>
      <c r="R52" s="16"/>
      <c r="S52" s="17"/>
      <c r="T52" s="17"/>
      <c r="U52" s="17"/>
      <c r="V52" s="17"/>
      <c r="W52" s="17"/>
      <c r="X52" s="17">
        <f t="shared" si="1"/>
        <v>6</v>
      </c>
      <c r="Y52" s="18">
        <f t="shared" si="2"/>
        <v>13219603.305785127</v>
      </c>
      <c r="Z52" s="24"/>
      <c r="AA52" s="20"/>
      <c r="AB52" s="21" t="b">
        <v>1</v>
      </c>
      <c r="AC52" s="22">
        <f t="shared" si="3"/>
        <v>0</v>
      </c>
      <c r="AD52" s="32"/>
      <c r="AE52" s="32"/>
    </row>
    <row r="53" spans="1:31" ht="15">
      <c r="A53" s="10">
        <f t="shared" si="0"/>
        <v>0</v>
      </c>
      <c r="B53" s="13"/>
      <c r="C53" s="13"/>
      <c r="D53" s="13"/>
      <c r="E53" s="13"/>
      <c r="F53" s="13"/>
      <c r="G53" s="13"/>
      <c r="H53" s="13"/>
      <c r="I53" s="13"/>
      <c r="J53" s="13"/>
      <c r="K53" s="13"/>
      <c r="L53" s="27"/>
      <c r="M53" s="27"/>
      <c r="N53" s="16"/>
      <c r="O53" s="16"/>
      <c r="P53" s="16"/>
      <c r="Q53" s="16"/>
      <c r="R53" s="16"/>
      <c r="S53" s="17"/>
      <c r="T53" s="17"/>
      <c r="U53" s="17"/>
      <c r="V53" s="17"/>
      <c r="W53" s="17"/>
      <c r="X53" s="17">
        <f t="shared" si="1"/>
        <v>6</v>
      </c>
      <c r="Y53" s="18">
        <f t="shared" si="2"/>
        <v>13219603.305785127</v>
      </c>
      <c r="Z53" s="24"/>
      <c r="AA53" s="20"/>
      <c r="AB53" s="21" t="b">
        <v>1</v>
      </c>
      <c r="AC53" s="22">
        <f t="shared" si="3"/>
        <v>0</v>
      </c>
      <c r="AD53" s="32"/>
      <c r="AE53" s="32"/>
    </row>
    <row r="54" spans="1:31" ht="15">
      <c r="A54" s="10">
        <f t="shared" si="0"/>
        <v>0</v>
      </c>
      <c r="B54" s="13"/>
      <c r="C54" s="13"/>
      <c r="D54" s="13"/>
      <c r="E54" s="13"/>
      <c r="F54" s="13"/>
      <c r="G54" s="13"/>
      <c r="H54" s="13"/>
      <c r="I54" s="13"/>
      <c r="J54" s="13"/>
      <c r="K54" s="13"/>
      <c r="L54" s="27"/>
      <c r="M54" s="16"/>
      <c r="N54" s="16"/>
      <c r="O54" s="16"/>
      <c r="P54" s="16"/>
      <c r="Q54" s="16"/>
      <c r="R54" s="16"/>
      <c r="S54" s="17"/>
      <c r="T54" s="17"/>
      <c r="U54" s="17"/>
      <c r="V54" s="17"/>
      <c r="W54" s="17"/>
      <c r="X54" s="17">
        <f t="shared" si="1"/>
        <v>6</v>
      </c>
      <c r="Y54" s="18">
        <f t="shared" si="2"/>
        <v>13219603.305785127</v>
      </c>
      <c r="Z54" s="24"/>
      <c r="AA54" s="20"/>
      <c r="AB54" s="21" t="b">
        <v>1</v>
      </c>
      <c r="AC54" s="22">
        <f t="shared" si="3"/>
        <v>0</v>
      </c>
      <c r="AD54" s="32"/>
      <c r="AE54" s="32"/>
    </row>
    <row r="55" spans="1:31" ht="15">
      <c r="A55" s="10">
        <f t="shared" si="0"/>
        <v>0</v>
      </c>
      <c r="B55" s="13"/>
      <c r="C55" s="13"/>
      <c r="D55" s="13"/>
      <c r="E55" s="13"/>
      <c r="F55" s="13"/>
      <c r="G55" s="13"/>
      <c r="H55" s="13"/>
      <c r="I55" s="13"/>
      <c r="J55" s="13"/>
      <c r="K55" s="13"/>
      <c r="L55" s="27"/>
      <c r="M55" s="16"/>
      <c r="N55" s="16"/>
      <c r="O55" s="16"/>
      <c r="P55" s="16"/>
      <c r="Q55" s="16"/>
      <c r="R55" s="16"/>
      <c r="S55" s="17"/>
      <c r="T55" s="17"/>
      <c r="U55" s="17"/>
      <c r="V55" s="17"/>
      <c r="W55" s="17"/>
      <c r="X55" s="17">
        <f t="shared" si="1"/>
        <v>6</v>
      </c>
      <c r="Y55" s="18">
        <f t="shared" si="2"/>
        <v>13219603.305785127</v>
      </c>
      <c r="Z55" s="24"/>
      <c r="AA55" s="20"/>
      <c r="AB55" s="21" t="b">
        <v>1</v>
      </c>
      <c r="AC55" s="22">
        <f t="shared" si="3"/>
        <v>0</v>
      </c>
      <c r="AD55" s="32"/>
      <c r="AE55" s="32"/>
    </row>
    <row r="56" spans="1:31" ht="15">
      <c r="A56" s="10">
        <f t="shared" si="0"/>
        <v>0</v>
      </c>
      <c r="B56" s="13"/>
      <c r="C56" s="13"/>
      <c r="D56" s="13"/>
      <c r="E56" s="13"/>
      <c r="F56" s="13"/>
      <c r="G56" s="13"/>
      <c r="H56" s="13"/>
      <c r="I56" s="13"/>
      <c r="J56" s="13"/>
      <c r="K56" s="13"/>
      <c r="L56" s="27"/>
      <c r="M56" s="16"/>
      <c r="N56" s="16"/>
      <c r="O56" s="16"/>
      <c r="P56" s="16"/>
      <c r="Q56" s="16"/>
      <c r="R56" s="16"/>
      <c r="S56" s="17"/>
      <c r="T56" s="17"/>
      <c r="U56" s="17"/>
      <c r="V56" s="17"/>
      <c r="W56" s="17"/>
      <c r="X56" s="17">
        <f t="shared" si="1"/>
        <v>6</v>
      </c>
      <c r="Y56" s="18">
        <f t="shared" si="2"/>
        <v>13219603.305785127</v>
      </c>
      <c r="Z56" s="24"/>
      <c r="AA56" s="20"/>
      <c r="AB56" s="21" t="b">
        <v>1</v>
      </c>
      <c r="AC56" s="22">
        <f t="shared" si="3"/>
        <v>0</v>
      </c>
      <c r="AD56" s="32"/>
      <c r="AE56" s="32"/>
    </row>
    <row r="57" spans="1:31" ht="15">
      <c r="A57" s="10">
        <f t="shared" si="0"/>
        <v>0</v>
      </c>
      <c r="B57" s="13"/>
      <c r="C57" s="13"/>
      <c r="D57" s="13"/>
      <c r="E57" s="13"/>
      <c r="F57" s="13"/>
      <c r="G57" s="13"/>
      <c r="H57" s="13"/>
      <c r="I57" s="13"/>
      <c r="J57" s="13"/>
      <c r="K57" s="13"/>
      <c r="L57" s="27"/>
      <c r="M57" s="16"/>
      <c r="N57" s="16"/>
      <c r="O57" s="16"/>
      <c r="P57" s="16"/>
      <c r="Q57" s="16"/>
      <c r="R57" s="16"/>
      <c r="S57" s="17"/>
      <c r="T57" s="17"/>
      <c r="U57" s="17"/>
      <c r="V57" s="17"/>
      <c r="W57" s="17"/>
      <c r="X57" s="17">
        <f t="shared" si="1"/>
        <v>6</v>
      </c>
      <c r="Y57" s="18">
        <f t="shared" si="2"/>
        <v>13219603.305785127</v>
      </c>
      <c r="Z57" s="24"/>
      <c r="AA57" s="20"/>
      <c r="AB57" s="21" t="b">
        <v>1</v>
      </c>
      <c r="AC57" s="22">
        <f t="shared" si="3"/>
        <v>0</v>
      </c>
      <c r="AD57" s="32"/>
      <c r="AE57" s="32"/>
    </row>
    <row r="58" spans="1:31" ht="15">
      <c r="A58" s="10">
        <f t="shared" si="0"/>
        <v>0</v>
      </c>
      <c r="B58" s="13"/>
      <c r="C58" s="13"/>
      <c r="D58" s="13"/>
      <c r="E58" s="13"/>
      <c r="F58" s="13"/>
      <c r="G58" s="13"/>
      <c r="H58" s="13"/>
      <c r="I58" s="13"/>
      <c r="J58" s="13"/>
      <c r="K58" s="13"/>
      <c r="L58" s="27"/>
      <c r="M58" s="16"/>
      <c r="N58" s="16"/>
      <c r="O58" s="16"/>
      <c r="P58" s="16"/>
      <c r="Q58" s="16"/>
      <c r="R58" s="16"/>
      <c r="S58" s="17"/>
      <c r="T58" s="17"/>
      <c r="U58" s="17"/>
      <c r="V58" s="17"/>
      <c r="W58" s="17"/>
      <c r="X58" s="17">
        <f t="shared" si="1"/>
        <v>6</v>
      </c>
      <c r="Y58" s="18">
        <f t="shared" si="2"/>
        <v>13219603.305785127</v>
      </c>
      <c r="Z58" s="24"/>
      <c r="AA58" s="20"/>
      <c r="AB58" s="21" t="b">
        <v>1</v>
      </c>
      <c r="AC58" s="22">
        <f t="shared" si="3"/>
        <v>0</v>
      </c>
      <c r="AD58" s="32"/>
      <c r="AE58" s="32"/>
    </row>
    <row r="59" spans="1:31" ht="15">
      <c r="A59" s="10">
        <f t="shared" si="0"/>
        <v>0</v>
      </c>
      <c r="B59" s="13"/>
      <c r="C59" s="13"/>
      <c r="D59" s="13"/>
      <c r="E59" s="13"/>
      <c r="F59" s="13"/>
      <c r="G59" s="13"/>
      <c r="H59" s="13"/>
      <c r="I59" s="13"/>
      <c r="J59" s="13"/>
      <c r="K59" s="13"/>
      <c r="L59" s="27"/>
      <c r="M59" s="16"/>
      <c r="N59" s="16"/>
      <c r="O59" s="16"/>
      <c r="P59" s="16"/>
      <c r="Q59" s="16"/>
      <c r="R59" s="16"/>
      <c r="S59" s="17"/>
      <c r="T59" s="17"/>
      <c r="U59" s="17"/>
      <c r="V59" s="17"/>
      <c r="W59" s="17"/>
      <c r="X59" s="17">
        <f t="shared" si="1"/>
        <v>6</v>
      </c>
      <c r="Y59" s="18">
        <f t="shared" si="2"/>
        <v>13219603.305785127</v>
      </c>
      <c r="Z59" s="24"/>
      <c r="AA59" s="20"/>
      <c r="AB59" s="21" t="b">
        <v>1</v>
      </c>
      <c r="AC59" s="22">
        <f t="shared" si="3"/>
        <v>0</v>
      </c>
      <c r="AD59" s="32"/>
      <c r="AE59" s="32"/>
    </row>
    <row r="60" spans="1:31" ht="15">
      <c r="A60" s="10">
        <f t="shared" si="0"/>
        <v>0</v>
      </c>
      <c r="B60" s="13"/>
      <c r="C60" s="13"/>
      <c r="D60" s="13"/>
      <c r="E60" s="13"/>
      <c r="F60" s="13"/>
      <c r="G60" s="13"/>
      <c r="H60" s="13"/>
      <c r="I60" s="13"/>
      <c r="J60" s="13"/>
      <c r="K60" s="13"/>
      <c r="L60" s="27"/>
      <c r="M60" s="16"/>
      <c r="N60" s="16"/>
      <c r="O60" s="16"/>
      <c r="P60" s="16"/>
      <c r="Q60" s="16"/>
      <c r="R60" s="16"/>
      <c r="S60" s="17"/>
      <c r="T60" s="17"/>
      <c r="U60" s="17"/>
      <c r="V60" s="17"/>
      <c r="W60" s="17"/>
      <c r="X60" s="17">
        <f t="shared" si="1"/>
        <v>6</v>
      </c>
      <c r="Y60" s="18">
        <f t="shared" si="2"/>
        <v>13219603.305785127</v>
      </c>
      <c r="Z60" s="24"/>
      <c r="AA60" s="20"/>
      <c r="AB60" s="21" t="b">
        <v>1</v>
      </c>
      <c r="AC60" s="22">
        <f t="shared" si="3"/>
        <v>0</v>
      </c>
      <c r="AD60" s="32"/>
      <c r="AE60" s="32"/>
    </row>
    <row r="61" spans="1:31" ht="15">
      <c r="A61" s="10">
        <f t="shared" si="0"/>
        <v>0</v>
      </c>
      <c r="B61" s="13"/>
      <c r="C61" s="13"/>
      <c r="D61" s="13"/>
      <c r="E61" s="13"/>
      <c r="F61" s="13"/>
      <c r="G61" s="13"/>
      <c r="H61" s="13"/>
      <c r="I61" s="13"/>
      <c r="J61" s="13"/>
      <c r="K61" s="13"/>
      <c r="L61" s="27"/>
      <c r="M61" s="16"/>
      <c r="N61" s="16"/>
      <c r="O61" s="16"/>
      <c r="P61" s="16"/>
      <c r="Q61" s="16"/>
      <c r="R61" s="16"/>
      <c r="S61" s="17"/>
      <c r="T61" s="17"/>
      <c r="U61" s="17"/>
      <c r="V61" s="17"/>
      <c r="W61" s="17"/>
      <c r="X61" s="17">
        <f t="shared" si="1"/>
        <v>6</v>
      </c>
      <c r="Y61" s="18">
        <f t="shared" si="2"/>
        <v>13219603.305785127</v>
      </c>
      <c r="Z61" s="24"/>
      <c r="AA61" s="20"/>
      <c r="AB61" s="21" t="b">
        <v>1</v>
      </c>
      <c r="AC61" s="22">
        <f t="shared" si="3"/>
        <v>0</v>
      </c>
      <c r="AD61" s="32"/>
      <c r="AE61" s="32"/>
    </row>
    <row r="62" spans="1:31" ht="15">
      <c r="A62" s="10">
        <f t="shared" si="0"/>
        <v>0</v>
      </c>
      <c r="B62" s="13"/>
      <c r="C62" s="13"/>
      <c r="D62" s="13"/>
      <c r="E62" s="13"/>
      <c r="F62" s="13"/>
      <c r="G62" s="13"/>
      <c r="H62" s="13"/>
      <c r="I62" s="13"/>
      <c r="J62" s="13"/>
      <c r="K62" s="13"/>
      <c r="L62" s="27"/>
      <c r="M62" s="16"/>
      <c r="N62" s="16"/>
      <c r="O62" s="16"/>
      <c r="P62" s="16"/>
      <c r="Q62" s="16"/>
      <c r="R62" s="16"/>
      <c r="S62" s="17"/>
      <c r="T62" s="17"/>
      <c r="U62" s="17"/>
      <c r="V62" s="17"/>
      <c r="W62" s="17"/>
      <c r="X62" s="17">
        <f t="shared" si="1"/>
        <v>6</v>
      </c>
      <c r="Y62" s="18">
        <f t="shared" si="2"/>
        <v>13219603.305785127</v>
      </c>
      <c r="Z62" s="24"/>
      <c r="AA62" s="20"/>
      <c r="AB62" s="21" t="b">
        <v>1</v>
      </c>
      <c r="AC62" s="22">
        <f t="shared" si="3"/>
        <v>0</v>
      </c>
      <c r="AD62" s="32"/>
      <c r="AE62" s="32"/>
    </row>
    <row r="63" spans="1:31" ht="15">
      <c r="A63" s="10">
        <f t="shared" si="0"/>
        <v>0</v>
      </c>
      <c r="B63" s="13"/>
      <c r="C63" s="13"/>
      <c r="D63" s="13"/>
      <c r="E63" s="13"/>
      <c r="F63" s="13"/>
      <c r="G63" s="13"/>
      <c r="H63" s="13"/>
      <c r="I63" s="13"/>
      <c r="J63" s="13"/>
      <c r="K63" s="13"/>
      <c r="L63" s="27"/>
      <c r="M63" s="16"/>
      <c r="N63" s="16"/>
      <c r="O63" s="16"/>
      <c r="P63" s="16"/>
      <c r="Q63" s="16"/>
      <c r="R63" s="16"/>
      <c r="S63" s="17"/>
      <c r="T63" s="17"/>
      <c r="U63" s="17"/>
      <c r="V63" s="17"/>
      <c r="W63" s="17"/>
      <c r="X63" s="17">
        <f t="shared" si="1"/>
        <v>6</v>
      </c>
      <c r="Y63" s="18">
        <f t="shared" si="2"/>
        <v>13219603.305785127</v>
      </c>
      <c r="Z63" s="24"/>
      <c r="AA63" s="20"/>
      <c r="AB63" s="21" t="b">
        <v>1</v>
      </c>
      <c r="AC63" s="22">
        <f t="shared" si="3"/>
        <v>0</v>
      </c>
      <c r="AD63" s="32"/>
      <c r="AE63" s="32"/>
    </row>
    <row r="64" spans="1:31" ht="15">
      <c r="A64" s="10">
        <f t="shared" si="0"/>
        <v>0</v>
      </c>
      <c r="B64" s="13"/>
      <c r="C64" s="13"/>
      <c r="D64" s="13"/>
      <c r="E64" s="13"/>
      <c r="F64" s="13"/>
      <c r="G64" s="13"/>
      <c r="H64" s="13"/>
      <c r="I64" s="13"/>
      <c r="J64" s="13"/>
      <c r="K64" s="13"/>
      <c r="L64" s="27"/>
      <c r="M64" s="16"/>
      <c r="N64" s="16"/>
      <c r="O64" s="16"/>
      <c r="P64" s="16"/>
      <c r="Q64" s="16"/>
      <c r="R64" s="16"/>
      <c r="S64" s="17"/>
      <c r="T64" s="17"/>
      <c r="U64" s="17"/>
      <c r="V64" s="17"/>
      <c r="W64" s="17"/>
      <c r="X64" s="17">
        <f t="shared" si="1"/>
        <v>6</v>
      </c>
      <c r="Y64" s="18">
        <f t="shared" si="2"/>
        <v>13219603.305785127</v>
      </c>
      <c r="Z64" s="24"/>
      <c r="AA64" s="20"/>
      <c r="AB64" s="21" t="b">
        <v>1</v>
      </c>
      <c r="AC64" s="22">
        <f t="shared" si="3"/>
        <v>0</v>
      </c>
      <c r="AD64" s="28"/>
      <c r="AE64" s="28"/>
    </row>
    <row r="65" spans="1:31" ht="15">
      <c r="A65" s="10">
        <f t="shared" si="0"/>
        <v>0</v>
      </c>
      <c r="B65" s="13"/>
      <c r="C65" s="13"/>
      <c r="D65" s="13"/>
      <c r="E65" s="13"/>
      <c r="F65" s="13"/>
      <c r="G65" s="13"/>
      <c r="H65" s="13"/>
      <c r="I65" s="13"/>
      <c r="J65" s="13"/>
      <c r="K65" s="13"/>
      <c r="L65" s="27"/>
      <c r="M65" s="16"/>
      <c r="N65" s="16"/>
      <c r="O65" s="16"/>
      <c r="P65" s="16"/>
      <c r="Q65" s="16"/>
      <c r="R65" s="16"/>
      <c r="S65" s="17"/>
      <c r="T65" s="17"/>
      <c r="U65" s="17"/>
      <c r="V65" s="17"/>
      <c r="W65" s="17"/>
      <c r="X65" s="17">
        <f t="shared" si="1"/>
        <v>6</v>
      </c>
      <c r="Y65" s="18">
        <f t="shared" si="2"/>
        <v>13219603.305785127</v>
      </c>
      <c r="Z65" s="24"/>
      <c r="AA65" s="20"/>
      <c r="AB65" s="21" t="b">
        <v>1</v>
      </c>
      <c r="AC65" s="22">
        <f t="shared" si="3"/>
        <v>0</v>
      </c>
      <c r="AD65" s="32"/>
      <c r="AE65" s="32"/>
    </row>
    <row r="66" spans="1:31" ht="15">
      <c r="A66" s="10">
        <f t="shared" si="0"/>
        <v>0</v>
      </c>
      <c r="B66" s="13"/>
      <c r="C66" s="13"/>
      <c r="D66" s="13"/>
      <c r="E66" s="13"/>
      <c r="F66" s="13"/>
      <c r="G66" s="13"/>
      <c r="H66" s="13"/>
      <c r="I66" s="13"/>
      <c r="J66" s="13"/>
      <c r="K66" s="13"/>
      <c r="L66" s="27"/>
      <c r="M66" s="27"/>
      <c r="N66" s="16"/>
      <c r="O66" s="16"/>
      <c r="P66" s="16"/>
      <c r="Q66" s="16"/>
      <c r="R66" s="16"/>
      <c r="S66" s="17"/>
      <c r="T66" s="17"/>
      <c r="U66" s="17"/>
      <c r="V66" s="17"/>
      <c r="W66" s="17"/>
      <c r="X66" s="17">
        <f t="shared" si="1"/>
        <v>6</v>
      </c>
      <c r="Y66" s="18">
        <f t="shared" si="2"/>
        <v>13219603.305785127</v>
      </c>
      <c r="Z66" s="24"/>
      <c r="AA66" s="20"/>
      <c r="AB66" s="21" t="b">
        <v>1</v>
      </c>
      <c r="AC66" s="22">
        <f t="shared" si="3"/>
        <v>0</v>
      </c>
      <c r="AD66" s="32"/>
      <c r="AE66" s="32"/>
    </row>
    <row r="67" spans="1:31" ht="15">
      <c r="A67" s="10">
        <f t="shared" si="0"/>
        <v>0</v>
      </c>
      <c r="B67" s="13"/>
      <c r="C67" s="13"/>
      <c r="D67" s="13"/>
      <c r="E67" s="13"/>
      <c r="F67" s="13"/>
      <c r="G67" s="13"/>
      <c r="H67" s="13"/>
      <c r="I67" s="13"/>
      <c r="J67" s="13"/>
      <c r="K67" s="13"/>
      <c r="L67" s="27"/>
      <c r="M67" s="16"/>
      <c r="N67" s="27"/>
      <c r="O67" s="16"/>
      <c r="P67" s="16"/>
      <c r="Q67" s="16"/>
      <c r="R67" s="16"/>
      <c r="S67" s="17"/>
      <c r="T67" s="17"/>
      <c r="U67" s="17"/>
      <c r="V67" s="17"/>
      <c r="W67" s="17"/>
      <c r="X67" s="17">
        <f t="shared" si="1"/>
        <v>6</v>
      </c>
      <c r="Y67" s="18">
        <f t="shared" si="2"/>
        <v>13219603.305785127</v>
      </c>
      <c r="Z67" s="24"/>
      <c r="AA67" s="20"/>
      <c r="AB67" s="21" t="b">
        <v>1</v>
      </c>
      <c r="AC67" s="22">
        <f t="shared" si="3"/>
        <v>0</v>
      </c>
      <c r="AD67" s="32"/>
      <c r="AE67" s="32"/>
    </row>
    <row r="68" spans="1:31" ht="15">
      <c r="A68" s="10">
        <f t="shared" si="0"/>
        <v>0</v>
      </c>
      <c r="B68" s="13"/>
      <c r="C68" s="13"/>
      <c r="D68" s="13"/>
      <c r="E68" s="13"/>
      <c r="F68" s="13"/>
      <c r="G68" s="13"/>
      <c r="H68" s="13"/>
      <c r="I68" s="13"/>
      <c r="J68" s="13"/>
      <c r="K68" s="13"/>
      <c r="L68" s="27"/>
      <c r="M68" s="16"/>
      <c r="N68" s="16"/>
      <c r="O68" s="16"/>
      <c r="P68" s="16"/>
      <c r="Q68" s="16"/>
      <c r="R68" s="16"/>
      <c r="S68" s="17"/>
      <c r="T68" s="17"/>
      <c r="U68" s="17"/>
      <c r="V68" s="17"/>
      <c r="W68" s="17"/>
      <c r="X68" s="17">
        <f t="shared" si="1"/>
        <v>6</v>
      </c>
      <c r="Y68" s="18">
        <f t="shared" si="2"/>
        <v>13219603.305785127</v>
      </c>
      <c r="Z68" s="24"/>
      <c r="AA68" s="20"/>
      <c r="AB68" s="21" t="b">
        <v>1</v>
      </c>
      <c r="AC68" s="22">
        <f t="shared" si="3"/>
        <v>0</v>
      </c>
      <c r="AD68" s="32"/>
      <c r="AE68" s="32"/>
    </row>
    <row r="69" spans="1:31" ht="15">
      <c r="A69" s="10">
        <f t="shared" si="0"/>
        <v>0</v>
      </c>
      <c r="B69" s="13"/>
      <c r="C69" s="13"/>
      <c r="D69" s="13"/>
      <c r="E69" s="13"/>
      <c r="F69" s="13"/>
      <c r="G69" s="13"/>
      <c r="H69" s="13"/>
      <c r="I69" s="13"/>
      <c r="J69" s="13"/>
      <c r="K69" s="13"/>
      <c r="L69" s="27"/>
      <c r="M69" s="16"/>
      <c r="N69" s="16"/>
      <c r="O69" s="16"/>
      <c r="P69" s="16"/>
      <c r="Q69" s="16"/>
      <c r="R69" s="16"/>
      <c r="S69" s="17"/>
      <c r="T69" s="17"/>
      <c r="U69" s="17"/>
      <c r="V69" s="17"/>
      <c r="W69" s="17"/>
      <c r="X69" s="17">
        <f t="shared" si="1"/>
        <v>6</v>
      </c>
      <c r="Y69" s="18">
        <f t="shared" si="2"/>
        <v>13219603.305785127</v>
      </c>
      <c r="Z69" s="24"/>
      <c r="AA69" s="20"/>
      <c r="AB69" s="21" t="b">
        <v>1</v>
      </c>
      <c r="AC69" s="22">
        <f t="shared" si="3"/>
        <v>0</v>
      </c>
      <c r="AD69" s="32"/>
      <c r="AE69" s="32"/>
    </row>
    <row r="70" spans="1:31" ht="15">
      <c r="A70" s="10">
        <f t="shared" si="0"/>
        <v>0</v>
      </c>
      <c r="B70" s="13"/>
      <c r="C70" s="13"/>
      <c r="D70" s="13"/>
      <c r="E70" s="13"/>
      <c r="F70" s="13"/>
      <c r="G70" s="13"/>
      <c r="H70" s="13"/>
      <c r="I70" s="13"/>
      <c r="J70" s="13"/>
      <c r="K70" s="13"/>
      <c r="L70" s="27"/>
      <c r="M70" s="16"/>
      <c r="N70" s="16"/>
      <c r="O70" s="16"/>
      <c r="P70" s="16"/>
      <c r="Q70" s="16"/>
      <c r="R70" s="16"/>
      <c r="S70" s="17"/>
      <c r="T70" s="17"/>
      <c r="U70" s="17"/>
      <c r="V70" s="17"/>
      <c r="W70" s="17"/>
      <c r="X70" s="17">
        <f t="shared" si="1"/>
        <v>6</v>
      </c>
      <c r="Y70" s="18">
        <f t="shared" si="2"/>
        <v>13219603.305785127</v>
      </c>
      <c r="Z70" s="24"/>
      <c r="AA70" s="20"/>
      <c r="AB70" s="21" t="b">
        <v>1</v>
      </c>
      <c r="AC70" s="22">
        <f t="shared" si="3"/>
        <v>0</v>
      </c>
      <c r="AD70" s="32"/>
      <c r="AE70" s="32"/>
    </row>
    <row r="71" spans="1:31" ht="15">
      <c r="A71" s="10">
        <f t="shared" si="0"/>
        <v>0</v>
      </c>
      <c r="B71" s="13"/>
      <c r="C71" s="13"/>
      <c r="D71" s="13"/>
      <c r="E71" s="13"/>
      <c r="F71" s="13"/>
      <c r="G71" s="13"/>
      <c r="H71" s="13"/>
      <c r="I71" s="13"/>
      <c r="J71" s="13"/>
      <c r="K71" s="13"/>
      <c r="L71" s="27"/>
      <c r="M71" s="16"/>
      <c r="N71" s="16"/>
      <c r="O71" s="16"/>
      <c r="P71" s="16"/>
      <c r="Q71" s="16"/>
      <c r="R71" s="16"/>
      <c r="S71" s="17"/>
      <c r="T71" s="17"/>
      <c r="U71" s="17"/>
      <c r="V71" s="17"/>
      <c r="W71" s="17"/>
      <c r="X71" s="17">
        <f t="shared" si="1"/>
        <v>6</v>
      </c>
      <c r="Y71" s="18">
        <f t="shared" si="2"/>
        <v>13219603.305785127</v>
      </c>
      <c r="Z71" s="24"/>
      <c r="AA71" s="20"/>
      <c r="AB71" s="21" t="b">
        <v>1</v>
      </c>
      <c r="AC71" s="22">
        <f t="shared" si="3"/>
        <v>0</v>
      </c>
      <c r="AD71" s="32"/>
      <c r="AE71" s="32"/>
    </row>
    <row r="72" spans="1:31" ht="15">
      <c r="A72" s="10">
        <f t="shared" si="0"/>
        <v>0</v>
      </c>
      <c r="B72" s="13"/>
      <c r="C72" s="13"/>
      <c r="D72" s="13"/>
      <c r="E72" s="13"/>
      <c r="F72" s="13"/>
      <c r="G72" s="13"/>
      <c r="H72" s="13"/>
      <c r="I72" s="13"/>
      <c r="J72" s="13"/>
      <c r="K72" s="13"/>
      <c r="L72" s="27"/>
      <c r="M72" s="16"/>
      <c r="N72" s="16"/>
      <c r="O72" s="16"/>
      <c r="P72" s="16"/>
      <c r="Q72" s="16"/>
      <c r="R72" s="16"/>
      <c r="S72" s="17"/>
      <c r="T72" s="17"/>
      <c r="U72" s="17"/>
      <c r="V72" s="17"/>
      <c r="W72" s="17"/>
      <c r="X72" s="17">
        <f t="shared" si="1"/>
        <v>6</v>
      </c>
      <c r="Y72" s="18">
        <f t="shared" si="2"/>
        <v>13219603.305785127</v>
      </c>
      <c r="Z72" s="24"/>
      <c r="AA72" s="20"/>
      <c r="AB72" s="21" t="b">
        <v>1</v>
      </c>
      <c r="AC72" s="22">
        <f t="shared" si="3"/>
        <v>0</v>
      </c>
      <c r="AD72" s="32"/>
      <c r="AE72" s="32"/>
    </row>
    <row r="73" spans="1:31" ht="15">
      <c r="A73" s="10">
        <f t="shared" si="0"/>
        <v>0</v>
      </c>
      <c r="B73" s="13"/>
      <c r="C73" s="13"/>
      <c r="D73" s="13"/>
      <c r="E73" s="13"/>
      <c r="F73" s="13"/>
      <c r="G73" s="13"/>
      <c r="H73" s="13"/>
      <c r="I73" s="13"/>
      <c r="J73" s="13"/>
      <c r="K73" s="13"/>
      <c r="L73" s="27"/>
      <c r="M73" s="16"/>
      <c r="N73" s="16"/>
      <c r="O73" s="16"/>
      <c r="P73" s="16"/>
      <c r="Q73" s="16"/>
      <c r="R73" s="16"/>
      <c r="S73" s="17"/>
      <c r="T73" s="17"/>
      <c r="U73" s="17"/>
      <c r="V73" s="17"/>
      <c r="W73" s="17"/>
      <c r="X73" s="17">
        <f t="shared" si="1"/>
        <v>6</v>
      </c>
      <c r="Y73" s="18">
        <f t="shared" si="2"/>
        <v>13219603.305785127</v>
      </c>
      <c r="Z73" s="24"/>
      <c r="AA73" s="20"/>
      <c r="AB73" s="21" t="b">
        <v>1</v>
      </c>
      <c r="AC73" s="22">
        <f t="shared" si="3"/>
        <v>0</v>
      </c>
      <c r="AD73" s="32"/>
      <c r="AE73" s="32"/>
    </row>
    <row r="74" spans="1:31" ht="15">
      <c r="A74" s="10">
        <f t="shared" si="0"/>
        <v>0</v>
      </c>
      <c r="B74" s="13"/>
      <c r="C74" s="13"/>
      <c r="D74" s="13"/>
      <c r="E74" s="13"/>
      <c r="F74" s="13"/>
      <c r="G74" s="13"/>
      <c r="H74" s="13"/>
      <c r="I74" s="13"/>
      <c r="J74" s="13"/>
      <c r="K74" s="13"/>
      <c r="L74" s="27"/>
      <c r="M74" s="27"/>
      <c r="N74" s="16"/>
      <c r="O74" s="16"/>
      <c r="P74" s="16"/>
      <c r="Q74" s="16"/>
      <c r="R74" s="16"/>
      <c r="S74" s="17"/>
      <c r="T74" s="17"/>
      <c r="U74" s="17"/>
      <c r="V74" s="17"/>
      <c r="W74" s="17"/>
      <c r="X74" s="17">
        <f t="shared" si="1"/>
        <v>6</v>
      </c>
      <c r="Y74" s="18">
        <f t="shared" si="2"/>
        <v>13219603.305785127</v>
      </c>
      <c r="Z74" s="24"/>
      <c r="AA74" s="20"/>
      <c r="AB74" s="21" t="b">
        <v>1</v>
      </c>
      <c r="AC74" s="22">
        <f t="shared" si="3"/>
        <v>0</v>
      </c>
      <c r="AD74" s="32"/>
      <c r="AE74" s="32"/>
    </row>
    <row r="75" spans="1:31" ht="15">
      <c r="A75" s="10">
        <f t="shared" si="0"/>
        <v>0</v>
      </c>
      <c r="B75" s="13"/>
      <c r="C75" s="13"/>
      <c r="D75" s="13"/>
      <c r="E75" s="13"/>
      <c r="F75" s="13"/>
      <c r="G75" s="13"/>
      <c r="H75" s="13"/>
      <c r="I75" s="13"/>
      <c r="J75" s="13"/>
      <c r="K75" s="13"/>
      <c r="L75" s="27"/>
      <c r="M75" s="16"/>
      <c r="N75" s="16"/>
      <c r="O75" s="16"/>
      <c r="P75" s="16"/>
      <c r="Q75" s="16"/>
      <c r="R75" s="16"/>
      <c r="S75" s="17"/>
      <c r="T75" s="17"/>
      <c r="U75" s="17"/>
      <c r="V75" s="17"/>
      <c r="W75" s="17"/>
      <c r="X75" s="17">
        <f t="shared" si="1"/>
        <v>6</v>
      </c>
      <c r="Y75" s="18">
        <f t="shared" si="2"/>
        <v>13219603.305785127</v>
      </c>
      <c r="Z75" s="24"/>
      <c r="AA75" s="20"/>
      <c r="AB75" s="21" t="b">
        <v>1</v>
      </c>
      <c r="AC75" s="22">
        <f t="shared" si="3"/>
        <v>0</v>
      </c>
      <c r="AD75" s="28"/>
      <c r="AE75" s="28"/>
    </row>
    <row r="76" spans="1:31" ht="15">
      <c r="A76" s="10">
        <f t="shared" si="0"/>
        <v>0</v>
      </c>
      <c r="B76" s="13"/>
      <c r="C76" s="13"/>
      <c r="D76" s="13"/>
      <c r="E76" s="13"/>
      <c r="F76" s="13"/>
      <c r="G76" s="13"/>
      <c r="H76" s="13"/>
      <c r="I76" s="13"/>
      <c r="J76" s="13"/>
      <c r="K76" s="13"/>
      <c r="L76" s="27"/>
      <c r="M76" s="16"/>
      <c r="N76" s="16"/>
      <c r="O76" s="16"/>
      <c r="P76" s="16"/>
      <c r="Q76" s="16"/>
      <c r="R76" s="16"/>
      <c r="S76" s="17"/>
      <c r="T76" s="17"/>
      <c r="U76" s="17"/>
      <c r="V76" s="17"/>
      <c r="W76" s="17"/>
      <c r="X76" s="17">
        <f t="shared" si="1"/>
        <v>6</v>
      </c>
      <c r="Y76" s="18">
        <f t="shared" si="2"/>
        <v>13219603.305785127</v>
      </c>
      <c r="Z76" s="24"/>
      <c r="AA76" s="20"/>
      <c r="AB76" s="21" t="b">
        <v>1</v>
      </c>
      <c r="AC76" s="22">
        <f t="shared" si="3"/>
        <v>0</v>
      </c>
      <c r="AD76" s="28"/>
      <c r="AE76" s="28"/>
    </row>
    <row r="77" spans="1:31" ht="15">
      <c r="A77" s="10">
        <f t="shared" si="0"/>
        <v>0</v>
      </c>
      <c r="B77" s="13"/>
      <c r="C77" s="13"/>
      <c r="D77" s="13"/>
      <c r="E77" s="13"/>
      <c r="F77" s="13"/>
      <c r="G77" s="13"/>
      <c r="H77" s="13"/>
      <c r="I77" s="13"/>
      <c r="J77" s="13"/>
      <c r="K77" s="13"/>
      <c r="L77" s="27"/>
      <c r="M77" s="16"/>
      <c r="N77" s="16"/>
      <c r="O77" s="16"/>
      <c r="P77" s="16"/>
      <c r="Q77" s="16"/>
      <c r="R77" s="16"/>
      <c r="S77" s="17"/>
      <c r="T77" s="17"/>
      <c r="U77" s="17"/>
      <c r="V77" s="17"/>
      <c r="W77" s="17"/>
      <c r="X77" s="17">
        <f t="shared" si="1"/>
        <v>6</v>
      </c>
      <c r="Y77" s="18">
        <f t="shared" si="2"/>
        <v>13219603.305785127</v>
      </c>
      <c r="Z77" s="24"/>
      <c r="AA77" s="20"/>
      <c r="AB77" s="21" t="b">
        <v>1</v>
      </c>
      <c r="AC77" s="22">
        <f t="shared" si="3"/>
        <v>0</v>
      </c>
      <c r="AD77" s="28"/>
      <c r="AE77" s="28"/>
    </row>
    <row r="78" spans="1:31" ht="15">
      <c r="A78" s="10">
        <f t="shared" si="0"/>
        <v>0</v>
      </c>
      <c r="B78" s="13"/>
      <c r="C78" s="13"/>
      <c r="D78" s="13"/>
      <c r="E78" s="13"/>
      <c r="F78" s="13"/>
      <c r="G78" s="13"/>
      <c r="H78" s="13"/>
      <c r="I78" s="13"/>
      <c r="J78" s="13"/>
      <c r="K78" s="13"/>
      <c r="L78" s="27"/>
      <c r="M78" s="16"/>
      <c r="N78" s="16"/>
      <c r="O78" s="16"/>
      <c r="P78" s="16"/>
      <c r="Q78" s="16"/>
      <c r="R78" s="16"/>
      <c r="S78" s="17"/>
      <c r="T78" s="17"/>
      <c r="U78" s="17"/>
      <c r="V78" s="17"/>
      <c r="W78" s="17"/>
      <c r="X78" s="17">
        <f t="shared" si="1"/>
        <v>6</v>
      </c>
      <c r="Y78" s="18">
        <f t="shared" si="2"/>
        <v>13219603.305785127</v>
      </c>
      <c r="Z78" s="24"/>
      <c r="AA78" s="20"/>
      <c r="AB78" s="21" t="b">
        <v>1</v>
      </c>
      <c r="AC78" s="22">
        <f t="shared" si="3"/>
        <v>0</v>
      </c>
      <c r="AD78" s="28"/>
      <c r="AE78" s="28"/>
    </row>
    <row r="79" spans="1:31" ht="15">
      <c r="A79" s="10">
        <f t="shared" si="0"/>
        <v>0</v>
      </c>
      <c r="B79" s="13"/>
      <c r="C79" s="13"/>
      <c r="D79" s="13"/>
      <c r="E79" s="13"/>
      <c r="F79" s="13"/>
      <c r="G79" s="13"/>
      <c r="H79" s="13"/>
      <c r="I79" s="13"/>
      <c r="J79" s="13"/>
      <c r="K79" s="13"/>
      <c r="L79" s="27"/>
      <c r="M79" s="16"/>
      <c r="N79" s="16"/>
      <c r="O79" s="16"/>
      <c r="P79" s="16"/>
      <c r="Q79" s="16"/>
      <c r="R79" s="16"/>
      <c r="S79" s="17"/>
      <c r="T79" s="17"/>
      <c r="U79" s="17"/>
      <c r="V79" s="17"/>
      <c r="W79" s="17"/>
      <c r="X79" s="17">
        <f t="shared" si="1"/>
        <v>6</v>
      </c>
      <c r="Y79" s="18">
        <f t="shared" si="2"/>
        <v>13219603.305785127</v>
      </c>
      <c r="Z79" s="24"/>
      <c r="AA79" s="20"/>
      <c r="AB79" s="21" t="b">
        <v>1</v>
      </c>
      <c r="AC79" s="22">
        <f t="shared" si="3"/>
        <v>0</v>
      </c>
      <c r="AD79" s="28"/>
      <c r="AE79" s="28"/>
    </row>
    <row r="80" spans="1:31" ht="15">
      <c r="A80" s="10">
        <f t="shared" si="0"/>
        <v>0</v>
      </c>
      <c r="B80" s="13"/>
      <c r="C80" s="23"/>
      <c r="D80" s="13"/>
      <c r="E80" s="23"/>
      <c r="F80" s="13"/>
      <c r="G80" s="23"/>
      <c r="H80" s="23"/>
      <c r="I80" s="23"/>
      <c r="J80" s="23"/>
      <c r="K80" s="23"/>
      <c r="L80" s="27"/>
      <c r="M80" s="16"/>
      <c r="N80" s="16"/>
      <c r="O80" s="16"/>
      <c r="P80" s="16"/>
      <c r="Q80" s="16"/>
      <c r="R80" s="17"/>
      <c r="S80" s="17"/>
      <c r="T80" s="17"/>
      <c r="U80" s="17"/>
      <c r="V80" s="17"/>
      <c r="W80" s="17"/>
      <c r="X80" s="17">
        <f t="shared" si="1"/>
        <v>6</v>
      </c>
      <c r="Y80" s="18">
        <f t="shared" si="2"/>
        <v>13219603.305785127</v>
      </c>
      <c r="Z80" s="24"/>
      <c r="AA80" s="20"/>
      <c r="AB80" s="21" t="b">
        <v>1</v>
      </c>
      <c r="AC80" s="22">
        <f t="shared" si="3"/>
        <v>0</v>
      </c>
      <c r="AD80" s="23"/>
      <c r="AE80" s="23"/>
    </row>
    <row r="81" spans="1:31" ht="15">
      <c r="A81" s="10">
        <f t="shared" si="0"/>
        <v>0</v>
      </c>
      <c r="B81" s="23"/>
      <c r="C81" s="23"/>
      <c r="D81" s="23"/>
      <c r="E81" s="23"/>
      <c r="F81" s="23"/>
      <c r="G81" s="23"/>
      <c r="H81" s="23"/>
      <c r="I81" s="23"/>
      <c r="J81" s="23"/>
      <c r="K81" s="23"/>
      <c r="L81" s="27"/>
      <c r="M81" s="16"/>
      <c r="N81" s="16"/>
      <c r="O81" s="16"/>
      <c r="P81" s="16"/>
      <c r="Q81" s="16"/>
      <c r="R81" s="17"/>
      <c r="S81" s="17"/>
      <c r="T81" s="17"/>
      <c r="U81" s="17"/>
      <c r="V81" s="17"/>
      <c r="W81" s="17"/>
      <c r="X81" s="17">
        <f t="shared" si="1"/>
        <v>6</v>
      </c>
      <c r="Y81" s="18">
        <f t="shared" si="2"/>
        <v>13219603.305785127</v>
      </c>
      <c r="Z81" s="24"/>
      <c r="AA81" s="20"/>
      <c r="AB81" s="21" t="b">
        <v>1</v>
      </c>
      <c r="AC81" s="22">
        <f t="shared" si="3"/>
        <v>0</v>
      </c>
      <c r="AD81" s="23"/>
      <c r="AE81" s="23"/>
    </row>
    <row r="82" spans="1:31" ht="15">
      <c r="A82" s="10">
        <f t="shared" si="0"/>
        <v>0</v>
      </c>
      <c r="B82" s="23"/>
      <c r="C82" s="23"/>
      <c r="D82" s="23"/>
      <c r="E82" s="23"/>
      <c r="F82" s="23"/>
      <c r="G82" s="23"/>
      <c r="H82" s="23"/>
      <c r="I82" s="23"/>
      <c r="J82" s="23"/>
      <c r="K82" s="23"/>
      <c r="L82" s="27"/>
      <c r="M82" s="16"/>
      <c r="N82" s="16"/>
      <c r="O82" s="16"/>
      <c r="P82" s="16"/>
      <c r="Q82" s="16"/>
      <c r="R82" s="17"/>
      <c r="S82" s="17"/>
      <c r="T82" s="17"/>
      <c r="U82" s="17"/>
      <c r="V82" s="17"/>
      <c r="W82" s="17"/>
      <c r="X82" s="17">
        <f t="shared" si="1"/>
        <v>6</v>
      </c>
      <c r="Y82" s="18">
        <f t="shared" si="2"/>
        <v>13219603.305785127</v>
      </c>
      <c r="Z82" s="24"/>
      <c r="AA82" s="20"/>
      <c r="AB82" s="21" t="b">
        <v>1</v>
      </c>
      <c r="AC82" s="22">
        <f t="shared" si="3"/>
        <v>0</v>
      </c>
      <c r="AD82" s="23"/>
      <c r="AE82" s="23"/>
    </row>
    <row r="83" spans="1:31" ht="15">
      <c r="A83" s="10">
        <f t="shared" si="0"/>
        <v>0</v>
      </c>
      <c r="B83" s="23"/>
      <c r="C83" s="23"/>
      <c r="D83" s="13"/>
      <c r="E83" s="23"/>
      <c r="F83" s="13"/>
      <c r="G83" s="23"/>
      <c r="H83" s="23"/>
      <c r="I83" s="23"/>
      <c r="J83" s="23"/>
      <c r="K83" s="23"/>
      <c r="L83" s="27"/>
      <c r="M83" s="16"/>
      <c r="N83" s="16"/>
      <c r="O83" s="16"/>
      <c r="P83" s="16"/>
      <c r="Q83" s="16"/>
      <c r="R83" s="17"/>
      <c r="S83" s="17"/>
      <c r="T83" s="17"/>
      <c r="U83" s="17"/>
      <c r="V83" s="17"/>
      <c r="W83" s="17"/>
      <c r="X83" s="17">
        <f t="shared" si="1"/>
        <v>6</v>
      </c>
      <c r="Y83" s="18">
        <f t="shared" si="2"/>
        <v>13219603.305785127</v>
      </c>
      <c r="Z83" s="24"/>
      <c r="AA83" s="20"/>
      <c r="AB83" s="21" t="b">
        <v>1</v>
      </c>
      <c r="AC83" s="22">
        <f t="shared" si="3"/>
        <v>0</v>
      </c>
      <c r="AD83" s="23"/>
      <c r="AE83" s="23"/>
    </row>
    <row r="84" spans="1:31" ht="15">
      <c r="A84" s="10">
        <f t="shared" si="0"/>
        <v>0</v>
      </c>
      <c r="B84" s="23"/>
      <c r="C84" s="23"/>
      <c r="D84" s="23"/>
      <c r="E84" s="23"/>
      <c r="F84" s="23"/>
      <c r="G84" s="23"/>
      <c r="H84" s="23"/>
      <c r="I84" s="23"/>
      <c r="J84" s="23"/>
      <c r="K84" s="23"/>
      <c r="L84" s="27"/>
      <c r="M84" s="16"/>
      <c r="N84" s="16"/>
      <c r="O84" s="16"/>
      <c r="P84" s="16"/>
      <c r="Q84" s="16"/>
      <c r="R84" s="17"/>
      <c r="S84" s="17"/>
      <c r="T84" s="17"/>
      <c r="U84" s="17"/>
      <c r="V84" s="17"/>
      <c r="W84" s="17"/>
      <c r="X84" s="17">
        <f t="shared" si="1"/>
        <v>6</v>
      </c>
      <c r="Y84" s="18">
        <f t="shared" si="2"/>
        <v>13219603.305785127</v>
      </c>
      <c r="Z84" s="24"/>
      <c r="AA84" s="20"/>
      <c r="AB84" s="21" t="b">
        <v>1</v>
      </c>
      <c r="AC84" s="22">
        <f t="shared" si="3"/>
        <v>0</v>
      </c>
      <c r="AD84" s="23"/>
      <c r="AE84" s="23"/>
    </row>
    <row r="85" spans="1:31" ht="15">
      <c r="A85" s="10">
        <f t="shared" si="0"/>
        <v>0</v>
      </c>
      <c r="B85" s="13"/>
      <c r="C85" s="13"/>
      <c r="D85" s="13"/>
      <c r="E85" s="13"/>
      <c r="F85" s="13"/>
      <c r="G85" s="13"/>
      <c r="H85" s="13"/>
      <c r="I85" s="13"/>
      <c r="J85" s="13"/>
      <c r="K85" s="13"/>
      <c r="L85" s="27"/>
      <c r="M85" s="16"/>
      <c r="N85" s="16"/>
      <c r="O85" s="16"/>
      <c r="P85" s="16"/>
      <c r="Q85" s="16"/>
      <c r="R85" s="16"/>
      <c r="S85" s="17"/>
      <c r="T85" s="17"/>
      <c r="U85" s="17"/>
      <c r="V85" s="17"/>
      <c r="W85" s="17"/>
      <c r="X85" s="17">
        <f t="shared" si="1"/>
        <v>6</v>
      </c>
      <c r="Y85" s="18">
        <f t="shared" si="2"/>
        <v>13219603.305785127</v>
      </c>
      <c r="Z85" s="24"/>
      <c r="AA85" s="20"/>
      <c r="AB85" s="21" t="b">
        <v>1</v>
      </c>
      <c r="AC85" s="22">
        <f t="shared" si="3"/>
        <v>0</v>
      </c>
      <c r="AD85" s="32"/>
      <c r="AE85" s="32"/>
    </row>
    <row r="86" spans="1:31" ht="15">
      <c r="A86" s="10">
        <f t="shared" si="0"/>
        <v>0</v>
      </c>
      <c r="B86" s="13"/>
      <c r="C86" s="13"/>
      <c r="D86" s="13"/>
      <c r="E86" s="13"/>
      <c r="F86" s="13"/>
      <c r="G86" s="13"/>
      <c r="H86" s="13"/>
      <c r="I86" s="13"/>
      <c r="J86" s="13"/>
      <c r="K86" s="13"/>
      <c r="L86" s="27"/>
      <c r="M86" s="16"/>
      <c r="N86" s="16"/>
      <c r="O86" s="16"/>
      <c r="P86" s="16"/>
      <c r="Q86" s="16"/>
      <c r="R86" s="16"/>
      <c r="S86" s="17"/>
      <c r="T86" s="17"/>
      <c r="U86" s="17"/>
      <c r="V86" s="17"/>
      <c r="W86" s="17"/>
      <c r="X86" s="17">
        <f t="shared" si="1"/>
        <v>6</v>
      </c>
      <c r="Y86" s="18">
        <f t="shared" si="2"/>
        <v>13219603.305785127</v>
      </c>
      <c r="Z86" s="19"/>
      <c r="AA86" s="30"/>
      <c r="AB86" s="21" t="b">
        <v>1</v>
      </c>
      <c r="AC86" s="22">
        <f t="shared" si="3"/>
        <v>0</v>
      </c>
      <c r="AD86" s="32"/>
      <c r="AE86" s="32"/>
    </row>
    <row r="87" spans="1:31" ht="15">
      <c r="A87" s="10">
        <f t="shared" si="0"/>
        <v>0</v>
      </c>
      <c r="B87" s="13"/>
      <c r="C87" s="13"/>
      <c r="D87" s="13"/>
      <c r="E87" s="13"/>
      <c r="F87" s="13"/>
      <c r="G87" s="13"/>
      <c r="H87" s="13"/>
      <c r="I87" s="13"/>
      <c r="J87" s="13"/>
      <c r="K87" s="13"/>
      <c r="L87" s="27"/>
      <c r="M87" s="16"/>
      <c r="N87" s="16"/>
      <c r="O87" s="16"/>
      <c r="P87" s="16"/>
      <c r="Q87" s="16"/>
      <c r="R87" s="16"/>
      <c r="S87" s="17"/>
      <c r="T87" s="17"/>
      <c r="U87" s="17"/>
      <c r="V87" s="17"/>
      <c r="W87" s="17"/>
      <c r="X87" s="17">
        <f t="shared" si="1"/>
        <v>6</v>
      </c>
      <c r="Y87" s="18">
        <f t="shared" si="2"/>
        <v>13219603.305785127</v>
      </c>
      <c r="Z87" s="19"/>
      <c r="AA87" s="30"/>
      <c r="AB87" s="21" t="b">
        <v>1</v>
      </c>
      <c r="AC87" s="22">
        <f t="shared" si="3"/>
        <v>0</v>
      </c>
      <c r="AD87" s="32"/>
      <c r="AE87" s="32"/>
    </row>
    <row r="88" spans="1:31" ht="15">
      <c r="A88" s="10">
        <f t="shared" si="0"/>
        <v>0</v>
      </c>
      <c r="B88" s="13"/>
      <c r="C88" s="13"/>
      <c r="D88" s="13"/>
      <c r="E88" s="13"/>
      <c r="F88" s="13"/>
      <c r="G88" s="13"/>
      <c r="H88" s="13"/>
      <c r="I88" s="13"/>
      <c r="J88" s="13"/>
      <c r="K88" s="13"/>
      <c r="L88" s="27"/>
      <c r="M88" s="16"/>
      <c r="N88" s="16"/>
      <c r="O88" s="16"/>
      <c r="P88" s="16"/>
      <c r="Q88" s="16"/>
      <c r="R88" s="16"/>
      <c r="S88" s="17"/>
      <c r="T88" s="17"/>
      <c r="U88" s="17"/>
      <c r="V88" s="17"/>
      <c r="W88" s="17"/>
      <c r="X88" s="17">
        <f t="shared" si="1"/>
        <v>6</v>
      </c>
      <c r="Y88" s="18">
        <f t="shared" si="2"/>
        <v>13219603.305785127</v>
      </c>
      <c r="Z88" s="19"/>
      <c r="AA88" s="30"/>
      <c r="AB88" s="21" t="b">
        <v>1</v>
      </c>
      <c r="AC88" s="22">
        <f t="shared" si="3"/>
        <v>0</v>
      </c>
      <c r="AD88" s="32"/>
      <c r="AE88" s="32"/>
    </row>
    <row r="89" spans="1:31" ht="15">
      <c r="A89" s="10">
        <f t="shared" si="0"/>
        <v>0</v>
      </c>
      <c r="B89" s="13"/>
      <c r="C89" s="13"/>
      <c r="D89" s="13"/>
      <c r="E89" s="13"/>
      <c r="F89" s="13"/>
      <c r="G89" s="13"/>
      <c r="H89" s="13"/>
      <c r="I89" s="13"/>
      <c r="J89" s="13"/>
      <c r="K89" s="13"/>
      <c r="L89" s="27"/>
      <c r="M89" s="16"/>
      <c r="N89" s="16"/>
      <c r="O89" s="16"/>
      <c r="P89" s="16"/>
      <c r="Q89" s="16"/>
      <c r="R89" s="16"/>
      <c r="S89" s="17"/>
      <c r="T89" s="17"/>
      <c r="U89" s="17"/>
      <c r="V89" s="17"/>
      <c r="W89" s="17"/>
      <c r="X89" s="17">
        <f t="shared" si="1"/>
        <v>6</v>
      </c>
      <c r="Y89" s="18">
        <f t="shared" si="2"/>
        <v>13219603.305785127</v>
      </c>
      <c r="Z89" s="19"/>
      <c r="AA89" s="30"/>
      <c r="AB89" s="21" t="b">
        <v>1</v>
      </c>
      <c r="AC89" s="22">
        <f t="shared" si="3"/>
        <v>0</v>
      </c>
      <c r="AD89" s="32"/>
      <c r="AE89" s="32"/>
    </row>
    <row r="90" spans="1:31" ht="15">
      <c r="A90" s="10">
        <f t="shared" si="0"/>
        <v>0</v>
      </c>
      <c r="B90" s="13"/>
      <c r="C90" s="13"/>
      <c r="D90" s="13"/>
      <c r="E90" s="13"/>
      <c r="F90" s="13"/>
      <c r="G90" s="13"/>
      <c r="H90" s="13"/>
      <c r="I90" s="13"/>
      <c r="J90" s="13"/>
      <c r="K90" s="13"/>
      <c r="L90" s="27"/>
      <c r="M90" s="16"/>
      <c r="N90" s="16"/>
      <c r="O90" s="16"/>
      <c r="P90" s="16"/>
      <c r="Q90" s="16"/>
      <c r="R90" s="16"/>
      <c r="S90" s="17"/>
      <c r="T90" s="17"/>
      <c r="U90" s="17"/>
      <c r="V90" s="17"/>
      <c r="W90" s="17"/>
      <c r="X90" s="17">
        <f t="shared" si="1"/>
        <v>6</v>
      </c>
      <c r="Y90" s="18">
        <f t="shared" si="2"/>
        <v>13219603.305785127</v>
      </c>
      <c r="Z90" s="19"/>
      <c r="AA90" s="30"/>
      <c r="AB90" s="21" t="b">
        <v>1</v>
      </c>
      <c r="AC90" s="22">
        <f t="shared" si="3"/>
        <v>0</v>
      </c>
      <c r="AD90" s="32"/>
      <c r="AE90" s="32"/>
    </row>
    <row r="91" spans="1:31" ht="15">
      <c r="A91" s="10">
        <f t="shared" si="0"/>
        <v>0</v>
      </c>
      <c r="B91" s="13"/>
      <c r="C91" s="13"/>
      <c r="D91" s="13"/>
      <c r="E91" s="13"/>
      <c r="F91" s="13"/>
      <c r="G91" s="13"/>
      <c r="H91" s="13"/>
      <c r="I91" s="13"/>
      <c r="J91" s="13"/>
      <c r="K91" s="13"/>
      <c r="L91" s="27"/>
      <c r="M91" s="16"/>
      <c r="N91" s="16"/>
      <c r="O91" s="16"/>
      <c r="P91" s="16"/>
      <c r="Q91" s="16"/>
      <c r="R91" s="16"/>
      <c r="S91" s="17"/>
      <c r="T91" s="17"/>
      <c r="U91" s="17"/>
      <c r="V91" s="17"/>
      <c r="W91" s="17"/>
      <c r="X91" s="17">
        <f t="shared" si="1"/>
        <v>6</v>
      </c>
      <c r="Y91" s="18">
        <f t="shared" si="2"/>
        <v>13219603.305785127</v>
      </c>
      <c r="Z91" s="19"/>
      <c r="AA91" s="30"/>
      <c r="AB91" s="21" t="b">
        <v>1</v>
      </c>
      <c r="AC91" s="22">
        <f t="shared" si="3"/>
        <v>0</v>
      </c>
      <c r="AD91" s="32"/>
      <c r="AE91" s="32"/>
    </row>
    <row r="92" spans="1:31" ht="15">
      <c r="A92" s="10">
        <f t="shared" si="0"/>
        <v>0</v>
      </c>
      <c r="B92" s="13"/>
      <c r="C92" s="13"/>
      <c r="D92" s="13"/>
      <c r="E92" s="13"/>
      <c r="F92" s="13"/>
      <c r="G92" s="13"/>
      <c r="H92" s="13"/>
      <c r="I92" s="13"/>
      <c r="J92" s="13"/>
      <c r="K92" s="13"/>
      <c r="L92" s="27"/>
      <c r="M92" s="16"/>
      <c r="N92" s="16"/>
      <c r="O92" s="16"/>
      <c r="P92" s="16"/>
      <c r="Q92" s="16"/>
      <c r="R92" s="16"/>
      <c r="S92" s="17"/>
      <c r="T92" s="17"/>
      <c r="U92" s="17"/>
      <c r="V92" s="17"/>
      <c r="W92" s="17"/>
      <c r="X92" s="17">
        <f t="shared" si="1"/>
        <v>6</v>
      </c>
      <c r="Y92" s="18">
        <f t="shared" si="2"/>
        <v>13219603.305785127</v>
      </c>
      <c r="Z92" s="19"/>
      <c r="AA92" s="30"/>
      <c r="AB92" s="21" t="b">
        <v>1</v>
      </c>
      <c r="AC92" s="22">
        <f t="shared" si="3"/>
        <v>0</v>
      </c>
      <c r="AD92" s="32"/>
      <c r="AE92" s="32"/>
    </row>
    <row r="93" spans="1:31" ht="15">
      <c r="A93" s="10">
        <f t="shared" si="0"/>
        <v>0</v>
      </c>
      <c r="B93" s="13"/>
      <c r="C93" s="13"/>
      <c r="D93" s="13"/>
      <c r="E93" s="13"/>
      <c r="F93" s="13"/>
      <c r="G93" s="13"/>
      <c r="H93" s="13"/>
      <c r="I93" s="13"/>
      <c r="J93" s="13"/>
      <c r="K93" s="13"/>
      <c r="L93" s="27"/>
      <c r="M93" s="16"/>
      <c r="N93" s="16"/>
      <c r="O93" s="16"/>
      <c r="P93" s="16"/>
      <c r="Q93" s="16"/>
      <c r="R93" s="16"/>
      <c r="S93" s="17"/>
      <c r="T93" s="17"/>
      <c r="U93" s="17"/>
      <c r="V93" s="17"/>
      <c r="W93" s="17"/>
      <c r="X93" s="17">
        <f>COUNTIF($L$2:L95,"&lt;&gt;"&amp;"")</f>
        <v>6</v>
      </c>
      <c r="Y93" s="18">
        <f t="shared" si="2"/>
        <v>13219603.305785127</v>
      </c>
      <c r="Z93" s="19"/>
      <c r="AA93" s="30"/>
      <c r="AB93" s="21" t="b">
        <v>1</v>
      </c>
      <c r="AC93" s="22">
        <f t="shared" si="3"/>
        <v>0</v>
      </c>
      <c r="AD93" s="32"/>
      <c r="AE93" s="32"/>
    </row>
    <row r="94" spans="1:31" ht="15">
      <c r="A94" s="10">
        <f t="shared" si="0"/>
        <v>0</v>
      </c>
      <c r="B94" s="13"/>
      <c r="C94" s="13"/>
      <c r="D94" s="13"/>
      <c r="E94" s="13"/>
      <c r="F94" s="13"/>
      <c r="G94" s="13"/>
      <c r="H94" s="13"/>
      <c r="I94" s="13"/>
      <c r="J94" s="13"/>
      <c r="K94" s="13"/>
      <c r="L94" s="27"/>
      <c r="M94" s="16"/>
      <c r="N94" s="16"/>
      <c r="O94" s="16"/>
      <c r="P94" s="16"/>
      <c r="Q94" s="16"/>
      <c r="R94" s="16"/>
      <c r="S94" s="17"/>
      <c r="T94" s="17"/>
      <c r="U94" s="17"/>
      <c r="V94" s="17"/>
      <c r="W94" s="17"/>
      <c r="X94" s="17">
        <f t="shared" ref="X94:X101" si="4">COUNTIF($L$2:L94,"&lt;&gt;"&amp;"")</f>
        <v>6</v>
      </c>
      <c r="Y94" s="18">
        <f t="shared" si="2"/>
        <v>13219603.305785127</v>
      </c>
      <c r="Z94" s="19"/>
      <c r="AA94" s="30"/>
      <c r="AB94" s="21" t="b">
        <v>1</v>
      </c>
      <c r="AC94" s="22">
        <f t="shared" si="3"/>
        <v>0</v>
      </c>
      <c r="AD94" s="32"/>
      <c r="AE94" s="32"/>
    </row>
    <row r="95" spans="1:31" ht="15">
      <c r="A95" s="10">
        <f t="shared" si="0"/>
        <v>0</v>
      </c>
      <c r="B95" s="13"/>
      <c r="C95" s="13"/>
      <c r="D95" s="13"/>
      <c r="E95" s="13"/>
      <c r="F95" s="13"/>
      <c r="G95" s="13"/>
      <c r="H95" s="13"/>
      <c r="I95" s="13"/>
      <c r="J95" s="13"/>
      <c r="K95" s="13"/>
      <c r="L95" s="27"/>
      <c r="M95" s="16"/>
      <c r="N95" s="16"/>
      <c r="O95" s="16"/>
      <c r="P95" s="16"/>
      <c r="Q95" s="16"/>
      <c r="R95" s="16"/>
      <c r="S95" s="17"/>
      <c r="T95" s="17"/>
      <c r="U95" s="17"/>
      <c r="V95" s="17"/>
      <c r="W95" s="17"/>
      <c r="X95" s="17">
        <f t="shared" si="4"/>
        <v>6</v>
      </c>
      <c r="Y95" s="18">
        <f t="shared" si="2"/>
        <v>13219603.305785127</v>
      </c>
      <c r="Z95" s="19"/>
      <c r="AA95" s="30"/>
      <c r="AB95" s="21" t="b">
        <v>1</v>
      </c>
      <c r="AC95" s="22">
        <f t="shared" si="3"/>
        <v>0</v>
      </c>
      <c r="AD95" s="32"/>
      <c r="AE95" s="32"/>
    </row>
    <row r="96" spans="1:31" ht="15">
      <c r="A96" s="10">
        <f t="shared" si="0"/>
        <v>0</v>
      </c>
      <c r="B96" s="13"/>
      <c r="C96" s="13"/>
      <c r="D96" s="13"/>
      <c r="E96" s="13"/>
      <c r="F96" s="13"/>
      <c r="G96" s="13"/>
      <c r="H96" s="13"/>
      <c r="I96" s="13"/>
      <c r="J96" s="13"/>
      <c r="K96" s="13"/>
      <c r="L96" s="27"/>
      <c r="M96" s="16"/>
      <c r="N96" s="16"/>
      <c r="O96" s="16"/>
      <c r="P96" s="16"/>
      <c r="Q96" s="16"/>
      <c r="R96" s="16"/>
      <c r="S96" s="17"/>
      <c r="T96" s="17"/>
      <c r="U96" s="17"/>
      <c r="V96" s="17"/>
      <c r="W96" s="17"/>
      <c r="X96" s="17">
        <f t="shared" si="4"/>
        <v>6</v>
      </c>
      <c r="Y96" s="18">
        <f t="shared" si="2"/>
        <v>13219603.305785127</v>
      </c>
      <c r="Z96" s="19"/>
      <c r="AA96" s="30"/>
      <c r="AB96" s="21" t="b">
        <v>1</v>
      </c>
      <c r="AC96" s="22">
        <f t="shared" si="3"/>
        <v>0</v>
      </c>
      <c r="AD96" s="32"/>
      <c r="AE96" s="32"/>
    </row>
    <row r="97" spans="1:31" ht="15">
      <c r="A97" s="10">
        <f t="shared" si="0"/>
        <v>0</v>
      </c>
      <c r="B97" s="13"/>
      <c r="C97" s="13"/>
      <c r="D97" s="13"/>
      <c r="E97" s="13"/>
      <c r="F97" s="13"/>
      <c r="G97" s="13"/>
      <c r="H97" s="13"/>
      <c r="I97" s="13"/>
      <c r="J97" s="13"/>
      <c r="K97" s="13"/>
      <c r="L97" s="27"/>
      <c r="M97" s="16"/>
      <c r="N97" s="16"/>
      <c r="O97" s="16"/>
      <c r="P97" s="16"/>
      <c r="Q97" s="16"/>
      <c r="R97" s="16"/>
      <c r="S97" s="17"/>
      <c r="T97" s="17"/>
      <c r="U97" s="17"/>
      <c r="V97" s="17"/>
      <c r="W97" s="17"/>
      <c r="X97" s="17">
        <f t="shared" si="4"/>
        <v>6</v>
      </c>
      <c r="Y97" s="18">
        <f t="shared" si="2"/>
        <v>13219603.305785127</v>
      </c>
      <c r="Z97" s="19"/>
      <c r="AA97" s="30"/>
      <c r="AB97" s="21" t="b">
        <v>1</v>
      </c>
      <c r="AC97" s="22">
        <f t="shared" si="3"/>
        <v>0</v>
      </c>
      <c r="AD97" s="32"/>
      <c r="AE97" s="32"/>
    </row>
    <row r="98" spans="1:31" ht="15">
      <c r="A98" s="10">
        <f t="shared" si="0"/>
        <v>0</v>
      </c>
      <c r="B98" s="13"/>
      <c r="C98" s="13"/>
      <c r="D98" s="13"/>
      <c r="E98" s="13"/>
      <c r="F98" s="13"/>
      <c r="G98" s="13"/>
      <c r="H98" s="13"/>
      <c r="I98" s="13"/>
      <c r="J98" s="13"/>
      <c r="K98" s="13"/>
      <c r="L98" s="27"/>
      <c r="M98" s="16"/>
      <c r="N98" s="16"/>
      <c r="O98" s="16"/>
      <c r="P98" s="16"/>
      <c r="Q98" s="16"/>
      <c r="R98" s="16"/>
      <c r="S98" s="17"/>
      <c r="T98" s="17"/>
      <c r="U98" s="17"/>
      <c r="V98" s="17"/>
      <c r="W98" s="17"/>
      <c r="X98" s="17">
        <f t="shared" si="4"/>
        <v>6</v>
      </c>
      <c r="Y98" s="18">
        <f t="shared" si="2"/>
        <v>13219603.305785127</v>
      </c>
      <c r="Z98" s="19"/>
      <c r="AA98" s="30"/>
      <c r="AB98" s="21" t="b">
        <v>1</v>
      </c>
      <c r="AC98" s="22">
        <f t="shared" si="3"/>
        <v>0</v>
      </c>
      <c r="AD98" s="32"/>
      <c r="AE98" s="32"/>
    </row>
    <row r="99" spans="1:31" ht="15">
      <c r="A99" s="10">
        <f t="shared" si="0"/>
        <v>0</v>
      </c>
      <c r="B99" s="13"/>
      <c r="C99" s="13"/>
      <c r="D99" s="13"/>
      <c r="E99" s="13"/>
      <c r="F99" s="13"/>
      <c r="G99" s="13"/>
      <c r="H99" s="13"/>
      <c r="I99" s="13"/>
      <c r="J99" s="13"/>
      <c r="K99" s="13"/>
      <c r="L99" s="27"/>
      <c r="M99" s="16"/>
      <c r="N99" s="16"/>
      <c r="O99" s="16"/>
      <c r="P99" s="16"/>
      <c r="Q99" s="16"/>
      <c r="R99" s="16"/>
      <c r="S99" s="17"/>
      <c r="T99" s="17"/>
      <c r="U99" s="17"/>
      <c r="V99" s="17"/>
      <c r="W99" s="17"/>
      <c r="X99" s="17">
        <f t="shared" si="4"/>
        <v>6</v>
      </c>
      <c r="Y99" s="18">
        <f t="shared" si="2"/>
        <v>13219603.305785127</v>
      </c>
      <c r="Z99" s="19"/>
      <c r="AA99" s="30"/>
      <c r="AB99" s="21" t="b">
        <v>1</v>
      </c>
      <c r="AC99" s="22">
        <f t="shared" si="3"/>
        <v>0</v>
      </c>
      <c r="AD99" s="32"/>
      <c r="AE99" s="32"/>
    </row>
    <row r="100" spans="1:31" ht="15">
      <c r="A100" s="10">
        <f t="shared" si="0"/>
        <v>0</v>
      </c>
      <c r="B100" s="13"/>
      <c r="C100" s="13"/>
      <c r="D100" s="13"/>
      <c r="E100" s="13"/>
      <c r="F100" s="13"/>
      <c r="G100" s="13"/>
      <c r="H100" s="13"/>
      <c r="I100" s="13"/>
      <c r="J100" s="13"/>
      <c r="K100" s="13"/>
      <c r="L100" s="27"/>
      <c r="M100" s="16"/>
      <c r="N100" s="16"/>
      <c r="O100" s="16"/>
      <c r="P100" s="16"/>
      <c r="Q100" s="16"/>
      <c r="R100" s="16"/>
      <c r="S100" s="17"/>
      <c r="T100" s="17"/>
      <c r="U100" s="17"/>
      <c r="V100" s="17"/>
      <c r="W100" s="17"/>
      <c r="X100" s="17">
        <f t="shared" si="4"/>
        <v>6</v>
      </c>
      <c r="Y100" s="18">
        <f t="shared" si="2"/>
        <v>13219603.305785127</v>
      </c>
      <c r="Z100" s="19"/>
      <c r="AA100" s="30"/>
      <c r="AB100" s="21" t="b">
        <v>1</v>
      </c>
      <c r="AC100" s="22">
        <f t="shared" si="3"/>
        <v>0</v>
      </c>
      <c r="AD100" s="32"/>
      <c r="AE100" s="32"/>
    </row>
    <row r="101" spans="1:31" ht="15">
      <c r="A101" s="10">
        <f t="shared" si="0"/>
        <v>0</v>
      </c>
      <c r="B101" s="13"/>
      <c r="C101" s="13"/>
      <c r="D101" s="13"/>
      <c r="E101" s="13"/>
      <c r="F101" s="13"/>
      <c r="G101" s="13"/>
      <c r="H101" s="13"/>
      <c r="I101" s="13"/>
      <c r="J101" s="13"/>
      <c r="K101" s="13"/>
      <c r="L101" s="27"/>
      <c r="M101" s="16"/>
      <c r="N101" s="16"/>
      <c r="O101" s="16"/>
      <c r="P101" s="16"/>
      <c r="Q101" s="16"/>
      <c r="R101" s="16"/>
      <c r="S101" s="17"/>
      <c r="T101" s="17"/>
      <c r="U101" s="17"/>
      <c r="V101" s="17"/>
      <c r="W101" s="17"/>
      <c r="X101" s="17">
        <f t="shared" si="4"/>
        <v>6</v>
      </c>
      <c r="Y101" s="18">
        <f t="shared" si="2"/>
        <v>13219603.305785127</v>
      </c>
      <c r="Z101" s="19"/>
      <c r="AA101" s="30"/>
      <c r="AB101" s="21" t="b">
        <v>1</v>
      </c>
      <c r="AC101" s="22">
        <f t="shared" si="3"/>
        <v>0</v>
      </c>
      <c r="AD101" s="23"/>
      <c r="AE101" s="23"/>
    </row>
    <row r="102" spans="1:31" ht="15">
      <c r="A102" s="10">
        <f t="shared" si="0"/>
        <v>0</v>
      </c>
      <c r="B102" s="13"/>
      <c r="C102" s="13"/>
      <c r="D102" s="13"/>
      <c r="E102" s="13"/>
      <c r="F102" s="13"/>
      <c r="G102" s="13"/>
      <c r="H102" s="13"/>
      <c r="I102" s="13"/>
      <c r="J102" s="13"/>
      <c r="K102" s="13"/>
      <c r="L102" s="27"/>
      <c r="M102" s="16"/>
      <c r="N102" s="16"/>
      <c r="O102" s="16"/>
      <c r="P102" s="16"/>
      <c r="Q102" s="16"/>
      <c r="R102" s="16"/>
      <c r="S102" s="17"/>
      <c r="T102" s="17"/>
      <c r="U102" s="17"/>
      <c r="V102" s="17"/>
      <c r="W102" s="17"/>
      <c r="X102" s="17">
        <f>COUNTIF($L$2:L106,"&lt;&gt;"&amp;"")</f>
        <v>6</v>
      </c>
      <c r="Y102" s="18">
        <f t="shared" si="2"/>
        <v>13219603.305785127</v>
      </c>
      <c r="Z102" s="19"/>
      <c r="AA102" s="30"/>
      <c r="AB102" s="21" t="b">
        <v>1</v>
      </c>
      <c r="AC102" s="22">
        <f t="shared" si="3"/>
        <v>0</v>
      </c>
      <c r="AD102" s="23"/>
      <c r="AE102" s="23"/>
    </row>
    <row r="103" spans="1:31" ht="15">
      <c r="A103" s="10">
        <f t="shared" si="0"/>
        <v>0</v>
      </c>
      <c r="B103" s="13"/>
      <c r="C103" s="13"/>
      <c r="D103" s="13"/>
      <c r="E103" s="13"/>
      <c r="F103" s="13"/>
      <c r="G103" s="13"/>
      <c r="H103" s="13"/>
      <c r="I103" s="13"/>
      <c r="J103" s="13"/>
      <c r="K103" s="13"/>
      <c r="L103" s="27"/>
      <c r="M103" s="16"/>
      <c r="N103" s="16"/>
      <c r="O103" s="16"/>
      <c r="P103" s="16"/>
      <c r="Q103" s="16"/>
      <c r="R103" s="16"/>
      <c r="S103" s="17"/>
      <c r="T103" s="17"/>
      <c r="U103" s="17"/>
      <c r="V103" s="17"/>
      <c r="W103" s="17"/>
      <c r="X103" s="17">
        <f t="shared" ref="X103:X119" si="5">COUNTIF($L$2:L103,"&lt;&gt;"&amp;"")</f>
        <v>6</v>
      </c>
      <c r="Y103" s="18">
        <f t="shared" si="2"/>
        <v>13219603.305785127</v>
      </c>
      <c r="Z103" s="24"/>
      <c r="AA103" s="20"/>
      <c r="AB103" s="21" t="b">
        <v>1</v>
      </c>
      <c r="AC103" s="22">
        <f t="shared" si="3"/>
        <v>0</v>
      </c>
      <c r="AD103" s="32"/>
      <c r="AE103" s="32"/>
    </row>
    <row r="104" spans="1:31" ht="15">
      <c r="A104" s="10">
        <f t="shared" si="0"/>
        <v>0</v>
      </c>
      <c r="B104" s="13"/>
      <c r="C104" s="13"/>
      <c r="D104" s="13"/>
      <c r="E104" s="13"/>
      <c r="F104" s="13"/>
      <c r="G104" s="13"/>
      <c r="H104" s="13"/>
      <c r="I104" s="13"/>
      <c r="J104" s="13"/>
      <c r="K104" s="13"/>
      <c r="L104" s="27"/>
      <c r="M104" s="16"/>
      <c r="N104" s="16"/>
      <c r="O104" s="16"/>
      <c r="P104" s="16"/>
      <c r="Q104" s="16"/>
      <c r="R104" s="16"/>
      <c r="S104" s="17"/>
      <c r="T104" s="17"/>
      <c r="U104" s="17"/>
      <c r="V104" s="17"/>
      <c r="W104" s="17"/>
      <c r="X104" s="17">
        <f t="shared" si="5"/>
        <v>6</v>
      </c>
      <c r="Y104" s="18">
        <f t="shared" si="2"/>
        <v>13219603.305785127</v>
      </c>
      <c r="Z104" s="24"/>
      <c r="AA104" s="20"/>
      <c r="AB104" s="21" t="b">
        <v>1</v>
      </c>
      <c r="AC104" s="22">
        <f t="shared" si="3"/>
        <v>0</v>
      </c>
      <c r="AD104" s="32"/>
      <c r="AE104" s="32"/>
    </row>
    <row r="105" spans="1:31" ht="15">
      <c r="A105" s="10">
        <f t="shared" si="0"/>
        <v>0</v>
      </c>
      <c r="B105" s="13"/>
      <c r="C105" s="13"/>
      <c r="D105" s="13"/>
      <c r="E105" s="13"/>
      <c r="F105" s="13"/>
      <c r="G105" s="13"/>
      <c r="H105" s="13"/>
      <c r="I105" s="13"/>
      <c r="J105" s="13"/>
      <c r="K105" s="13"/>
      <c r="L105" s="27"/>
      <c r="M105" s="16"/>
      <c r="N105" s="16"/>
      <c r="O105" s="16"/>
      <c r="P105" s="16"/>
      <c r="Q105" s="16"/>
      <c r="R105" s="16"/>
      <c r="S105" s="17"/>
      <c r="T105" s="17"/>
      <c r="U105" s="17"/>
      <c r="V105" s="17"/>
      <c r="W105" s="17"/>
      <c r="X105" s="17">
        <f t="shared" si="5"/>
        <v>6</v>
      </c>
      <c r="Y105" s="18">
        <f t="shared" si="2"/>
        <v>13219603.305785127</v>
      </c>
      <c r="Z105" s="24"/>
      <c r="AA105" s="20"/>
      <c r="AB105" s="21" t="b">
        <v>1</v>
      </c>
      <c r="AC105" s="22">
        <f t="shared" si="3"/>
        <v>0</v>
      </c>
      <c r="AD105" s="32"/>
      <c r="AE105" s="32"/>
    </row>
    <row r="106" spans="1:31" ht="15">
      <c r="A106" s="10">
        <f t="shared" si="0"/>
        <v>0</v>
      </c>
      <c r="B106" s="13"/>
      <c r="C106" s="13"/>
      <c r="D106" s="13"/>
      <c r="E106" s="13"/>
      <c r="F106" s="13"/>
      <c r="G106" s="13"/>
      <c r="H106" s="13"/>
      <c r="I106" s="13"/>
      <c r="J106" s="13"/>
      <c r="K106" s="13"/>
      <c r="L106" s="27"/>
      <c r="M106" s="16"/>
      <c r="N106" s="16"/>
      <c r="O106" s="16"/>
      <c r="P106" s="16"/>
      <c r="Q106" s="16"/>
      <c r="R106" s="16"/>
      <c r="S106" s="17"/>
      <c r="T106" s="17"/>
      <c r="U106" s="17"/>
      <c r="V106" s="17"/>
      <c r="W106" s="17"/>
      <c r="X106" s="17">
        <f t="shared" si="5"/>
        <v>6</v>
      </c>
      <c r="Y106" s="18">
        <f t="shared" si="2"/>
        <v>13219603.305785127</v>
      </c>
      <c r="Z106" s="24"/>
      <c r="AA106" s="20"/>
      <c r="AB106" s="21" t="b">
        <v>1</v>
      </c>
      <c r="AC106" s="22">
        <f t="shared" si="3"/>
        <v>0</v>
      </c>
      <c r="AD106" s="32"/>
      <c r="AE106" s="32"/>
    </row>
    <row r="107" spans="1:31" ht="15">
      <c r="A107" s="10">
        <f t="shared" si="0"/>
        <v>0</v>
      </c>
      <c r="B107" s="13"/>
      <c r="C107" s="13"/>
      <c r="D107" s="13"/>
      <c r="E107" s="13"/>
      <c r="F107" s="13"/>
      <c r="G107" s="13"/>
      <c r="H107" s="13"/>
      <c r="I107" s="13"/>
      <c r="J107" s="13"/>
      <c r="K107" s="13"/>
      <c r="L107" s="27"/>
      <c r="M107" s="16"/>
      <c r="N107" s="16"/>
      <c r="O107" s="16"/>
      <c r="P107" s="16"/>
      <c r="Q107" s="16"/>
      <c r="R107" s="16"/>
      <c r="S107" s="17"/>
      <c r="T107" s="17"/>
      <c r="U107" s="17"/>
      <c r="V107" s="17"/>
      <c r="W107" s="17"/>
      <c r="X107" s="17">
        <f t="shared" si="5"/>
        <v>6</v>
      </c>
      <c r="Y107" s="18">
        <f t="shared" si="2"/>
        <v>13219603.305785127</v>
      </c>
      <c r="Z107" s="24"/>
      <c r="AA107" s="20"/>
      <c r="AB107" s="21" t="b">
        <v>1</v>
      </c>
      <c r="AC107" s="22">
        <f t="shared" si="3"/>
        <v>0</v>
      </c>
      <c r="AD107" s="23"/>
      <c r="AE107" s="23"/>
    </row>
    <row r="108" spans="1:31" ht="15">
      <c r="A108" s="10">
        <f t="shared" si="0"/>
        <v>0</v>
      </c>
      <c r="B108" s="13"/>
      <c r="C108" s="13"/>
      <c r="D108" s="13"/>
      <c r="E108" s="13"/>
      <c r="F108" s="13"/>
      <c r="G108" s="13"/>
      <c r="H108" s="13"/>
      <c r="I108" s="13"/>
      <c r="J108" s="13"/>
      <c r="K108" s="13"/>
      <c r="L108" s="27"/>
      <c r="M108" s="16"/>
      <c r="N108" s="16"/>
      <c r="O108" s="16"/>
      <c r="P108" s="16"/>
      <c r="Q108" s="16"/>
      <c r="R108" s="16"/>
      <c r="S108" s="17"/>
      <c r="T108" s="17"/>
      <c r="U108" s="17"/>
      <c r="V108" s="17"/>
      <c r="W108" s="17"/>
      <c r="X108" s="17">
        <f t="shared" si="5"/>
        <v>6</v>
      </c>
      <c r="Y108" s="18">
        <f t="shared" si="2"/>
        <v>13219603.305785127</v>
      </c>
      <c r="Z108" s="24"/>
      <c r="AA108" s="20"/>
      <c r="AB108" s="21" t="b">
        <v>1</v>
      </c>
      <c r="AC108" s="22">
        <f t="shared" si="3"/>
        <v>0</v>
      </c>
      <c r="AD108" s="23"/>
      <c r="AE108" s="23"/>
    </row>
    <row r="109" spans="1:31" ht="15">
      <c r="A109" s="10">
        <f t="shared" si="0"/>
        <v>0</v>
      </c>
      <c r="B109" s="13"/>
      <c r="C109" s="13"/>
      <c r="D109" s="13"/>
      <c r="E109" s="13"/>
      <c r="F109" s="13"/>
      <c r="G109" s="13"/>
      <c r="H109" s="13"/>
      <c r="I109" s="13"/>
      <c r="J109" s="13"/>
      <c r="K109" s="13"/>
      <c r="L109" s="27"/>
      <c r="M109" s="16"/>
      <c r="N109" s="16"/>
      <c r="O109" s="16"/>
      <c r="P109" s="16"/>
      <c r="Q109" s="16"/>
      <c r="R109" s="16"/>
      <c r="S109" s="17"/>
      <c r="T109" s="17"/>
      <c r="U109" s="17"/>
      <c r="V109" s="17"/>
      <c r="W109" s="17"/>
      <c r="X109" s="17">
        <f t="shared" si="5"/>
        <v>6</v>
      </c>
      <c r="Y109" s="18">
        <f t="shared" si="2"/>
        <v>13219603.305785127</v>
      </c>
      <c r="Z109" s="24"/>
      <c r="AA109" s="20"/>
      <c r="AB109" s="21" t="b">
        <v>1</v>
      </c>
      <c r="AC109" s="22">
        <f t="shared" si="3"/>
        <v>0</v>
      </c>
      <c r="AD109" s="23"/>
      <c r="AE109" s="23"/>
    </row>
    <row r="110" spans="1:31" ht="15">
      <c r="A110" s="10">
        <f t="shared" si="0"/>
        <v>0</v>
      </c>
      <c r="B110" s="13"/>
      <c r="C110" s="13"/>
      <c r="D110" s="13"/>
      <c r="E110" s="13"/>
      <c r="F110" s="13"/>
      <c r="G110" s="13"/>
      <c r="H110" s="13"/>
      <c r="I110" s="13"/>
      <c r="J110" s="13"/>
      <c r="K110" s="13"/>
      <c r="L110" s="27"/>
      <c r="M110" s="16"/>
      <c r="N110" s="16"/>
      <c r="O110" s="16"/>
      <c r="P110" s="16"/>
      <c r="Q110" s="16"/>
      <c r="R110" s="16"/>
      <c r="S110" s="17"/>
      <c r="T110" s="17"/>
      <c r="U110" s="17"/>
      <c r="V110" s="17"/>
      <c r="W110" s="17"/>
      <c r="X110" s="17">
        <f t="shared" si="5"/>
        <v>6</v>
      </c>
      <c r="Y110" s="18">
        <f t="shared" si="2"/>
        <v>13219603.305785127</v>
      </c>
      <c r="Z110" s="24"/>
      <c r="AA110" s="20"/>
      <c r="AB110" s="21" t="b">
        <v>1</v>
      </c>
      <c r="AC110" s="22">
        <f t="shared" si="3"/>
        <v>0</v>
      </c>
      <c r="AD110" s="23"/>
      <c r="AE110" s="23"/>
    </row>
    <row r="111" spans="1:31" ht="15">
      <c r="A111" s="10">
        <f t="shared" si="0"/>
        <v>0</v>
      </c>
      <c r="B111" s="13"/>
      <c r="C111" s="13"/>
      <c r="D111" s="13"/>
      <c r="E111" s="13"/>
      <c r="F111" s="13"/>
      <c r="G111" s="13"/>
      <c r="H111" s="13"/>
      <c r="I111" s="13"/>
      <c r="J111" s="13"/>
      <c r="K111" s="13"/>
      <c r="L111" s="27"/>
      <c r="M111" s="16"/>
      <c r="N111" s="16"/>
      <c r="O111" s="16"/>
      <c r="P111" s="16"/>
      <c r="Q111" s="16"/>
      <c r="R111" s="17"/>
      <c r="S111" s="17"/>
      <c r="T111" s="17"/>
      <c r="U111" s="17"/>
      <c r="V111" s="17"/>
      <c r="W111" s="17"/>
      <c r="X111" s="17">
        <f t="shared" si="5"/>
        <v>6</v>
      </c>
      <c r="Y111" s="18">
        <f t="shared" si="2"/>
        <v>13219603.305785127</v>
      </c>
      <c r="Z111" s="24"/>
      <c r="AA111" s="20"/>
      <c r="AB111" s="21" t="b">
        <v>1</v>
      </c>
      <c r="AC111" s="22">
        <f t="shared" si="3"/>
        <v>0</v>
      </c>
      <c r="AD111" s="23"/>
      <c r="AE111" s="23"/>
    </row>
    <row r="112" spans="1:31" ht="15">
      <c r="A112" s="10">
        <f t="shared" si="0"/>
        <v>0</v>
      </c>
      <c r="B112" s="23"/>
      <c r="C112" s="23"/>
      <c r="D112" s="23"/>
      <c r="E112" s="23"/>
      <c r="F112" s="23"/>
      <c r="G112" s="23"/>
      <c r="H112" s="23"/>
      <c r="I112" s="23"/>
      <c r="J112" s="23"/>
      <c r="K112" s="23"/>
      <c r="L112" s="27"/>
      <c r="M112" s="16"/>
      <c r="N112" s="16"/>
      <c r="O112" s="16"/>
      <c r="P112" s="16"/>
      <c r="Q112" s="16"/>
      <c r="R112" s="17"/>
      <c r="S112" s="17"/>
      <c r="T112" s="17"/>
      <c r="U112" s="17"/>
      <c r="V112" s="17"/>
      <c r="W112" s="17"/>
      <c r="X112" s="17">
        <f t="shared" si="5"/>
        <v>6</v>
      </c>
      <c r="Y112" s="18">
        <f t="shared" si="2"/>
        <v>13219603.305785127</v>
      </c>
      <c r="Z112" s="24"/>
      <c r="AA112" s="20"/>
      <c r="AB112" s="21" t="b">
        <v>1</v>
      </c>
      <c r="AC112" s="22">
        <f t="shared" si="3"/>
        <v>0</v>
      </c>
      <c r="AD112" s="23"/>
      <c r="AE112" s="23"/>
    </row>
    <row r="113" spans="1:31" ht="15">
      <c r="A113" s="10">
        <f t="shared" si="0"/>
        <v>0</v>
      </c>
      <c r="B113" s="23"/>
      <c r="C113" s="23"/>
      <c r="D113" s="23"/>
      <c r="E113" s="23"/>
      <c r="F113" s="23"/>
      <c r="G113" s="23"/>
      <c r="H113" s="23"/>
      <c r="I113" s="23"/>
      <c r="J113" s="23"/>
      <c r="K113" s="23"/>
      <c r="L113" s="27"/>
      <c r="M113" s="16"/>
      <c r="N113" s="16"/>
      <c r="O113" s="16"/>
      <c r="P113" s="16"/>
      <c r="Q113" s="16"/>
      <c r="R113" s="17"/>
      <c r="S113" s="17"/>
      <c r="T113" s="17"/>
      <c r="U113" s="17"/>
      <c r="V113" s="17"/>
      <c r="W113" s="17"/>
      <c r="X113" s="17">
        <f t="shared" si="5"/>
        <v>6</v>
      </c>
      <c r="Y113" s="18">
        <f t="shared" si="2"/>
        <v>13219603.305785127</v>
      </c>
      <c r="Z113" s="24"/>
      <c r="AA113" s="20"/>
      <c r="AB113" s="21" t="b">
        <v>1</v>
      </c>
      <c r="AC113" s="22">
        <f t="shared" si="3"/>
        <v>0</v>
      </c>
      <c r="AD113" s="23"/>
      <c r="AE113" s="23"/>
    </row>
    <row r="114" spans="1:31" ht="15">
      <c r="A114" s="10">
        <f t="shared" si="0"/>
        <v>0</v>
      </c>
      <c r="B114" s="13"/>
      <c r="C114" s="13"/>
      <c r="D114" s="13"/>
      <c r="E114" s="13"/>
      <c r="F114" s="13"/>
      <c r="G114" s="13"/>
      <c r="H114" s="13"/>
      <c r="I114" s="13"/>
      <c r="J114" s="13"/>
      <c r="K114" s="13"/>
      <c r="L114" s="27"/>
      <c r="M114" s="16"/>
      <c r="N114" s="16"/>
      <c r="O114" s="16"/>
      <c r="P114" s="16"/>
      <c r="Q114" s="16"/>
      <c r="R114" s="17"/>
      <c r="S114" s="17"/>
      <c r="T114" s="17"/>
      <c r="U114" s="17"/>
      <c r="V114" s="17"/>
      <c r="W114" s="17"/>
      <c r="X114" s="17">
        <f t="shared" si="5"/>
        <v>6</v>
      </c>
      <c r="Y114" s="18">
        <f t="shared" si="2"/>
        <v>13219603.305785127</v>
      </c>
      <c r="Z114" s="24"/>
      <c r="AA114" s="20"/>
      <c r="AB114" s="21" t="b">
        <v>1</v>
      </c>
      <c r="AC114" s="22">
        <f t="shared" si="3"/>
        <v>0</v>
      </c>
      <c r="AD114" s="23"/>
      <c r="AE114" s="23"/>
    </row>
    <row r="115" spans="1:31" ht="15">
      <c r="A115" s="10">
        <f t="shared" si="0"/>
        <v>0</v>
      </c>
      <c r="B115" s="23"/>
      <c r="C115" s="23"/>
      <c r="D115" s="23"/>
      <c r="E115" s="23"/>
      <c r="F115" s="23"/>
      <c r="G115" s="23"/>
      <c r="H115" s="23"/>
      <c r="I115" s="23"/>
      <c r="J115" s="23"/>
      <c r="K115" s="23"/>
      <c r="L115" s="27"/>
      <c r="M115" s="16"/>
      <c r="N115" s="16"/>
      <c r="O115" s="16"/>
      <c r="P115" s="16"/>
      <c r="Q115" s="16"/>
      <c r="R115" s="17"/>
      <c r="S115" s="17"/>
      <c r="T115" s="17"/>
      <c r="U115" s="17"/>
      <c r="V115" s="17"/>
      <c r="W115" s="17"/>
      <c r="X115" s="17">
        <f t="shared" si="5"/>
        <v>6</v>
      </c>
      <c r="Y115" s="18">
        <f t="shared" si="2"/>
        <v>13219603.305785127</v>
      </c>
      <c r="Z115" s="24"/>
      <c r="AA115" s="20"/>
      <c r="AB115" s="21" t="b">
        <v>1</v>
      </c>
      <c r="AC115" s="22">
        <f t="shared" si="3"/>
        <v>0</v>
      </c>
      <c r="AD115" s="23"/>
      <c r="AE115" s="23"/>
    </row>
    <row r="116" spans="1:31" ht="15">
      <c r="A116" s="10">
        <f t="shared" si="0"/>
        <v>0</v>
      </c>
      <c r="B116" s="23"/>
      <c r="C116" s="23"/>
      <c r="D116" s="23"/>
      <c r="E116" s="23"/>
      <c r="F116" s="23"/>
      <c r="G116" s="23"/>
      <c r="H116" s="23"/>
      <c r="I116" s="23"/>
      <c r="J116" s="23"/>
      <c r="K116" s="23"/>
      <c r="L116" s="27"/>
      <c r="M116" s="16"/>
      <c r="N116" s="16"/>
      <c r="O116" s="16"/>
      <c r="P116" s="16"/>
      <c r="Q116" s="16"/>
      <c r="R116" s="17"/>
      <c r="S116" s="17"/>
      <c r="T116" s="17"/>
      <c r="U116" s="17"/>
      <c r="V116" s="17"/>
      <c r="W116" s="17"/>
      <c r="X116" s="17">
        <f t="shared" si="5"/>
        <v>6</v>
      </c>
      <c r="Y116" s="18">
        <f t="shared" si="2"/>
        <v>13219603.305785127</v>
      </c>
      <c r="Z116" s="24"/>
      <c r="AA116" s="20"/>
      <c r="AB116" s="21" t="b">
        <v>1</v>
      </c>
      <c r="AC116" s="22">
        <f t="shared" si="3"/>
        <v>0</v>
      </c>
      <c r="AD116" s="23"/>
      <c r="AE116" s="23"/>
    </row>
    <row r="117" spans="1:31" ht="15">
      <c r="A117" s="10">
        <f t="shared" si="0"/>
        <v>0</v>
      </c>
      <c r="B117" s="23"/>
      <c r="C117" s="23"/>
      <c r="D117" s="23"/>
      <c r="E117" s="23"/>
      <c r="F117" s="23"/>
      <c r="G117" s="23"/>
      <c r="H117" s="23"/>
      <c r="I117" s="23"/>
      <c r="J117" s="23"/>
      <c r="K117" s="23"/>
      <c r="L117" s="27"/>
      <c r="M117" s="16"/>
      <c r="N117" s="16"/>
      <c r="O117" s="16"/>
      <c r="P117" s="16"/>
      <c r="Q117" s="16"/>
      <c r="R117" s="17"/>
      <c r="S117" s="17"/>
      <c r="T117" s="17"/>
      <c r="U117" s="17"/>
      <c r="V117" s="17"/>
      <c r="W117" s="17"/>
      <c r="X117" s="17">
        <f t="shared" si="5"/>
        <v>6</v>
      </c>
      <c r="Y117" s="18">
        <f t="shared" si="2"/>
        <v>13219603.305785127</v>
      </c>
      <c r="Z117" s="24"/>
      <c r="AA117" s="20"/>
      <c r="AB117" s="21" t="b">
        <v>1</v>
      </c>
      <c r="AC117" s="22">
        <f t="shared" si="3"/>
        <v>0</v>
      </c>
      <c r="AD117" s="23"/>
      <c r="AE117" s="23"/>
    </row>
    <row r="118" spans="1:31" ht="15">
      <c r="A118" s="10">
        <f t="shared" si="0"/>
        <v>0</v>
      </c>
      <c r="B118" s="23"/>
      <c r="C118" s="23"/>
      <c r="D118" s="23"/>
      <c r="E118" s="23"/>
      <c r="F118" s="23"/>
      <c r="G118" s="23"/>
      <c r="H118" s="23"/>
      <c r="I118" s="23"/>
      <c r="J118" s="23"/>
      <c r="K118" s="23"/>
      <c r="L118" s="27"/>
      <c r="M118" s="16"/>
      <c r="N118" s="16"/>
      <c r="O118" s="17"/>
      <c r="P118" s="17"/>
      <c r="Q118" s="17"/>
      <c r="R118" s="17"/>
      <c r="S118" s="17"/>
      <c r="T118" s="17"/>
      <c r="U118" s="17"/>
      <c r="V118" s="17"/>
      <c r="W118" s="17"/>
      <c r="X118" s="17">
        <f t="shared" si="5"/>
        <v>6</v>
      </c>
      <c r="Y118" s="18">
        <f t="shared" si="2"/>
        <v>13219603.305785127</v>
      </c>
      <c r="Z118" s="24"/>
      <c r="AA118" s="20"/>
      <c r="AB118" s="21" t="b">
        <v>1</v>
      </c>
      <c r="AC118" s="22">
        <f t="shared" si="3"/>
        <v>0</v>
      </c>
      <c r="AD118" s="23"/>
      <c r="AE118" s="23"/>
    </row>
    <row r="119" spans="1:31" ht="15">
      <c r="A119" s="10">
        <f t="shared" si="0"/>
        <v>0</v>
      </c>
      <c r="B119" s="23"/>
      <c r="C119" s="23"/>
      <c r="D119" s="23"/>
      <c r="E119" s="23"/>
      <c r="F119" s="23"/>
      <c r="G119" s="23"/>
      <c r="H119" s="23"/>
      <c r="I119" s="23"/>
      <c r="J119" s="23"/>
      <c r="K119" s="23"/>
      <c r="L119" s="27"/>
      <c r="M119" s="16"/>
      <c r="N119" s="16"/>
      <c r="O119" s="17"/>
      <c r="P119" s="17"/>
      <c r="Q119" s="17"/>
      <c r="R119" s="17"/>
      <c r="S119" s="17"/>
      <c r="T119" s="17"/>
      <c r="U119" s="17"/>
      <c r="V119" s="17"/>
      <c r="W119" s="17"/>
      <c r="X119" s="17">
        <f t="shared" si="5"/>
        <v>6</v>
      </c>
      <c r="Y119" s="18">
        <f t="shared" si="2"/>
        <v>13219603.305785127</v>
      </c>
      <c r="Z119" s="24"/>
      <c r="AA119" s="20"/>
      <c r="AB119" s="21" t="b">
        <v>1</v>
      </c>
      <c r="AC119" s="22">
        <f t="shared" si="3"/>
        <v>0</v>
      </c>
      <c r="AD119" s="23"/>
      <c r="AE119" s="23"/>
    </row>
    <row r="120" spans="1:31" ht="12.75">
      <c r="A120" s="33"/>
      <c r="B120" s="33"/>
      <c r="C120" s="33"/>
      <c r="D120" s="33"/>
      <c r="E120" s="33"/>
      <c r="F120" s="33"/>
      <c r="G120" s="33"/>
      <c r="H120" s="33"/>
      <c r="I120" s="33"/>
      <c r="J120" s="33"/>
      <c r="K120" s="33"/>
      <c r="L120" s="34"/>
      <c r="M120" s="34"/>
      <c r="N120" s="35"/>
      <c r="O120" s="35" t="s">
        <v>20</v>
      </c>
      <c r="P120" s="34"/>
      <c r="Q120" s="34"/>
      <c r="R120" s="34"/>
      <c r="S120" s="34"/>
      <c r="T120" s="34"/>
      <c r="U120" s="34"/>
      <c r="V120" s="34"/>
      <c r="W120" s="34"/>
      <c r="X120" s="34"/>
      <c r="Y120" s="96"/>
      <c r="Z120" s="97"/>
      <c r="AA120" s="20"/>
      <c r="AB120" s="21" t="b">
        <v>1</v>
      </c>
      <c r="AC120" s="98"/>
      <c r="AD120" s="23"/>
      <c r="AE120" s="23"/>
    </row>
    <row r="121" spans="1:31" ht="15">
      <c r="A121" s="36">
        <f>ROW()</f>
        <v>121</v>
      </c>
      <c r="B121" s="23">
        <f t="shared" ref="B121:K121" si="6">SUM(B2:B120)</f>
        <v>0</v>
      </c>
      <c r="C121" s="23">
        <f t="shared" si="6"/>
        <v>0</v>
      </c>
      <c r="D121" s="23">
        <f t="shared" si="6"/>
        <v>0</v>
      </c>
      <c r="E121" s="23">
        <f t="shared" si="6"/>
        <v>0</v>
      </c>
      <c r="F121" s="23">
        <f t="shared" si="6"/>
        <v>0</v>
      </c>
      <c r="G121" s="23">
        <f t="shared" si="6"/>
        <v>0</v>
      </c>
      <c r="H121" s="23">
        <f t="shared" si="6"/>
        <v>0</v>
      </c>
      <c r="I121" s="23">
        <f t="shared" si="6"/>
        <v>0</v>
      </c>
      <c r="J121" s="23">
        <f t="shared" si="6"/>
        <v>0</v>
      </c>
      <c r="K121" s="23">
        <f t="shared" si="6"/>
        <v>56</v>
      </c>
      <c r="L121" s="27"/>
      <c r="M121" s="16"/>
      <c r="N121" s="16"/>
      <c r="O121" s="17"/>
      <c r="P121" s="23"/>
      <c r="Q121" s="23"/>
      <c r="R121" s="23"/>
      <c r="S121" s="23"/>
      <c r="T121" s="23"/>
      <c r="U121" s="23"/>
      <c r="V121" s="23"/>
      <c r="W121" s="13"/>
      <c r="X121" s="23"/>
      <c r="Y121" s="23"/>
      <c r="Z121" s="23"/>
      <c r="AA121" s="23"/>
      <c r="AB121" s="23"/>
      <c r="AC121" s="37"/>
      <c r="AD121" s="23"/>
      <c r="AE121" s="23"/>
    </row>
    <row r="122" spans="1:31" ht="12.75">
      <c r="A122" s="23"/>
      <c r="B122" s="23"/>
      <c r="C122" s="38"/>
      <c r="D122" s="38"/>
      <c r="E122" s="38"/>
      <c r="F122" s="38"/>
      <c r="G122" s="38"/>
      <c r="H122" s="38"/>
      <c r="I122" s="130" t="s">
        <v>21</v>
      </c>
      <c r="J122" s="117"/>
      <c r="K122" s="117"/>
      <c r="L122" s="117"/>
      <c r="M122" s="131">
        <f>400000+120000</f>
        <v>520000</v>
      </c>
      <c r="N122" s="117"/>
      <c r="O122" s="117"/>
      <c r="P122" s="23"/>
      <c r="Q122" s="23"/>
      <c r="R122" s="23"/>
      <c r="S122" s="38"/>
      <c r="T122" s="38"/>
      <c r="U122" s="38"/>
      <c r="V122" s="23"/>
      <c r="W122" s="23"/>
      <c r="X122" s="23"/>
      <c r="Y122" s="23"/>
      <c r="Z122" s="23"/>
      <c r="AA122" s="23"/>
      <c r="AB122" s="23"/>
      <c r="AC122" s="37"/>
      <c r="AD122" s="23"/>
      <c r="AE122" s="23"/>
    </row>
    <row r="123" spans="1:31" ht="15">
      <c r="A123" s="23"/>
      <c r="B123" s="23"/>
      <c r="C123" s="38"/>
      <c r="D123" s="39" t="s">
        <v>22</v>
      </c>
      <c r="E123" s="40">
        <v>1423000</v>
      </c>
      <c r="F123" s="41" t="s">
        <v>23</v>
      </c>
      <c r="G123" s="42">
        <v>200000</v>
      </c>
      <c r="H123" s="38"/>
      <c r="I123" s="43" t="s">
        <v>24</v>
      </c>
      <c r="J123" s="44">
        <v>0.18</v>
      </c>
      <c r="K123" s="44"/>
      <c r="L123" s="45" t="s">
        <v>25</v>
      </c>
      <c r="M123" s="46">
        <f>2.7/12</f>
        <v>0.22500000000000001</v>
      </c>
      <c r="N123" s="47" t="s">
        <v>26</v>
      </c>
      <c r="O123" s="48">
        <f>40*4.2*((244-2)/260)</f>
        <v>156.36923076923077</v>
      </c>
      <c r="P123" s="38"/>
      <c r="Q123" s="43" t="s">
        <v>27</v>
      </c>
      <c r="R123" s="49"/>
      <c r="S123" s="38"/>
      <c r="T123" s="50">
        <v>8</v>
      </c>
      <c r="U123" s="51" t="s">
        <v>28</v>
      </c>
      <c r="V123" s="52"/>
      <c r="W123" s="23"/>
      <c r="X123" s="23"/>
      <c r="Y123" s="23"/>
      <c r="Z123" s="23"/>
      <c r="AA123" s="23"/>
      <c r="AB123" s="23"/>
      <c r="AC123" s="37"/>
      <c r="AD123" s="23"/>
      <c r="AE123" s="23"/>
    </row>
    <row r="124" spans="1:31" ht="12.75">
      <c r="A124" s="23"/>
      <c r="B124" s="23"/>
      <c r="C124" s="127" t="s">
        <v>29</v>
      </c>
      <c r="D124" s="117"/>
      <c r="E124" s="117"/>
      <c r="F124" s="127" t="s">
        <v>30</v>
      </c>
      <c r="G124" s="117"/>
      <c r="H124" s="117"/>
      <c r="I124" s="127" t="s">
        <v>31</v>
      </c>
      <c r="J124" s="117"/>
      <c r="K124" s="117"/>
      <c r="L124" s="117"/>
      <c r="M124" s="127" t="s">
        <v>32</v>
      </c>
      <c r="N124" s="117"/>
      <c r="O124" s="117"/>
      <c r="P124" s="127" t="s">
        <v>33</v>
      </c>
      <c r="Q124" s="117"/>
      <c r="R124" s="117"/>
      <c r="S124" s="38"/>
      <c r="T124" s="38"/>
      <c r="U124" s="53" t="s">
        <v>26</v>
      </c>
      <c r="V124" s="127" t="s">
        <v>34</v>
      </c>
      <c r="W124" s="117"/>
      <c r="X124" s="117"/>
      <c r="Y124" s="23"/>
      <c r="Z124" s="23"/>
      <c r="AA124" s="23"/>
      <c r="AB124" s="23"/>
      <c r="AC124" s="37"/>
      <c r="AD124" s="23"/>
      <c r="AE124" s="23"/>
    </row>
    <row r="125" spans="1:31" ht="12.75">
      <c r="A125" s="54" t="s">
        <v>35</v>
      </c>
      <c r="B125" s="53" t="str">
        <f>B1</f>
        <v>DB</v>
      </c>
      <c r="C125" s="116">
        <v>6480000</v>
      </c>
      <c r="D125" s="117"/>
      <c r="E125" s="117"/>
      <c r="F125" s="116">
        <v>1080000</v>
      </c>
      <c r="G125" s="117"/>
      <c r="H125" s="117"/>
      <c r="I125" s="116">
        <v>0</v>
      </c>
      <c r="J125" s="117"/>
      <c r="K125" s="117"/>
      <c r="L125" s="117"/>
      <c r="M125" s="116">
        <f t="shared" ref="M125:M134" si="7">C125*(1+$J$123+$M$123)+F125+I125+$M$122+IF(($E$123*2)&gt;=C125,$G$123,0)</f>
        <v>10704400</v>
      </c>
      <c r="N125" s="117"/>
      <c r="O125" s="117"/>
      <c r="P125" s="124">
        <f t="shared" ref="P125:P134" si="8">M125/$O$123*(1+$R$123)</f>
        <v>68455.922865013781</v>
      </c>
      <c r="Q125" s="117"/>
      <c r="R125" s="117"/>
      <c r="S125" s="38"/>
      <c r="T125" s="38"/>
      <c r="U125" s="23">
        <f t="shared" ref="U125:U134" si="9">HLOOKUP(B125,$B$1:$K$121,$A$121,0)*$T$123</f>
        <v>0</v>
      </c>
      <c r="W125" s="55">
        <f t="shared" ref="W125:W134" si="10">P125*U125</f>
        <v>0</v>
      </c>
      <c r="Y125" s="23"/>
      <c r="Z125" s="23"/>
      <c r="AA125" s="23"/>
      <c r="AB125" s="23"/>
      <c r="AC125" s="37"/>
      <c r="AD125" s="23"/>
      <c r="AE125" s="23"/>
    </row>
    <row r="126" spans="1:31" ht="12.75">
      <c r="A126" s="54" t="s">
        <v>36</v>
      </c>
      <c r="B126" s="53" t="str">
        <f>C1</f>
        <v>UX</v>
      </c>
      <c r="C126" s="116">
        <v>3240000</v>
      </c>
      <c r="D126" s="117"/>
      <c r="E126" s="117"/>
      <c r="F126" s="116">
        <v>540000</v>
      </c>
      <c r="G126" s="117"/>
      <c r="H126" s="117"/>
      <c r="I126" s="116">
        <v>0</v>
      </c>
      <c r="J126" s="117"/>
      <c r="K126" s="117"/>
      <c r="L126" s="117"/>
      <c r="M126" s="116">
        <f t="shared" si="7"/>
        <v>5612200</v>
      </c>
      <c r="N126" s="117"/>
      <c r="O126" s="117"/>
      <c r="P126" s="124">
        <f t="shared" si="8"/>
        <v>35890.692640692643</v>
      </c>
      <c r="Q126" s="117"/>
      <c r="R126" s="117"/>
      <c r="S126" s="38"/>
      <c r="T126" s="38"/>
      <c r="U126" s="23">
        <f t="shared" si="9"/>
        <v>0</v>
      </c>
      <c r="W126" s="55">
        <f t="shared" si="10"/>
        <v>0</v>
      </c>
      <c r="Y126" s="23"/>
      <c r="Z126" s="23"/>
      <c r="AA126" s="23"/>
      <c r="AB126" s="23"/>
      <c r="AC126" s="37"/>
      <c r="AD126" s="23"/>
      <c r="AE126" s="23"/>
    </row>
    <row r="127" spans="1:31" ht="12.75">
      <c r="A127" s="54" t="s">
        <v>37</v>
      </c>
      <c r="B127" s="53" t="str">
        <f>D1</f>
        <v>FM</v>
      </c>
      <c r="C127" s="116">
        <v>3240000</v>
      </c>
      <c r="D127" s="117"/>
      <c r="E127" s="117"/>
      <c r="F127" s="116">
        <v>540000</v>
      </c>
      <c r="G127" s="117"/>
      <c r="H127" s="117"/>
      <c r="I127" s="116">
        <v>0</v>
      </c>
      <c r="J127" s="117"/>
      <c r="K127" s="117"/>
      <c r="L127" s="117"/>
      <c r="M127" s="116">
        <f t="shared" si="7"/>
        <v>5612200</v>
      </c>
      <c r="N127" s="117"/>
      <c r="O127" s="117"/>
      <c r="P127" s="124">
        <f t="shared" si="8"/>
        <v>35890.692640692643</v>
      </c>
      <c r="Q127" s="117"/>
      <c r="R127" s="117"/>
      <c r="S127" s="38"/>
      <c r="T127" s="38"/>
      <c r="U127" s="23">
        <f t="shared" si="9"/>
        <v>0</v>
      </c>
      <c r="W127" s="55">
        <f t="shared" si="10"/>
        <v>0</v>
      </c>
      <c r="Y127" s="23"/>
      <c r="Z127" s="23"/>
      <c r="AA127" s="23"/>
      <c r="AB127" s="23"/>
      <c r="AC127" s="37"/>
      <c r="AD127" s="23"/>
      <c r="AE127" s="23"/>
    </row>
    <row r="128" spans="1:31" ht="12.75">
      <c r="A128" s="54" t="s">
        <v>38</v>
      </c>
      <c r="B128" s="53" t="str">
        <f>E1</f>
        <v>BS</v>
      </c>
      <c r="C128" s="116">
        <v>4320000</v>
      </c>
      <c r="D128" s="117"/>
      <c r="E128" s="117"/>
      <c r="F128" s="116">
        <v>1620000</v>
      </c>
      <c r="G128" s="117"/>
      <c r="H128" s="117"/>
      <c r="I128" s="116">
        <v>0</v>
      </c>
      <c r="J128" s="117"/>
      <c r="K128" s="117"/>
      <c r="L128" s="117"/>
      <c r="M128" s="116">
        <f t="shared" si="7"/>
        <v>8209600</v>
      </c>
      <c r="N128" s="117"/>
      <c r="O128" s="117"/>
      <c r="P128" s="124">
        <f t="shared" si="8"/>
        <v>52501.377410468318</v>
      </c>
      <c r="Q128" s="117"/>
      <c r="R128" s="117"/>
      <c r="S128" s="38"/>
      <c r="T128" s="38"/>
      <c r="U128" s="23">
        <f t="shared" si="9"/>
        <v>0</v>
      </c>
      <c r="W128" s="55">
        <f t="shared" si="10"/>
        <v>0</v>
      </c>
      <c r="Y128" s="23"/>
      <c r="Z128" s="23"/>
      <c r="AA128" s="23"/>
      <c r="AB128" s="23"/>
      <c r="AC128" s="37"/>
      <c r="AD128" s="23"/>
      <c r="AE128" s="23"/>
    </row>
    <row r="129" spans="1:31" ht="12.75">
      <c r="A129" s="54" t="s">
        <v>39</v>
      </c>
      <c r="B129" s="53" t="str">
        <f>F1</f>
        <v>BM</v>
      </c>
      <c r="C129" s="116">
        <v>3780000</v>
      </c>
      <c r="D129" s="117"/>
      <c r="E129" s="117"/>
      <c r="F129" s="116">
        <v>1080000</v>
      </c>
      <c r="G129" s="117"/>
      <c r="H129" s="117"/>
      <c r="I129" s="116">
        <v>0</v>
      </c>
      <c r="J129" s="117"/>
      <c r="K129" s="117"/>
      <c r="L129" s="117"/>
      <c r="M129" s="116">
        <f t="shared" si="7"/>
        <v>6910900</v>
      </c>
      <c r="N129" s="117"/>
      <c r="O129" s="117"/>
      <c r="P129" s="124">
        <f t="shared" si="8"/>
        <v>44196.035025580481</v>
      </c>
      <c r="Q129" s="117"/>
      <c r="R129" s="117"/>
      <c r="S129" s="38"/>
      <c r="T129" s="38"/>
      <c r="U129" s="23">
        <f t="shared" si="9"/>
        <v>0</v>
      </c>
      <c r="W129" s="55">
        <f t="shared" si="10"/>
        <v>0</v>
      </c>
      <c r="Y129" s="23"/>
      <c r="Z129" s="23"/>
      <c r="AA129" s="23"/>
      <c r="AB129" s="23"/>
      <c r="AC129" s="37"/>
      <c r="AD129" s="23"/>
      <c r="AE129" s="23"/>
    </row>
    <row r="130" spans="1:31" ht="12.75">
      <c r="A130" s="54" t="s">
        <v>40</v>
      </c>
      <c r="B130" s="53" t="str">
        <f>G1</f>
        <v>QA</v>
      </c>
      <c r="C130" s="116">
        <v>2700000</v>
      </c>
      <c r="D130" s="117"/>
      <c r="E130" s="117"/>
      <c r="F130" s="116">
        <v>1080000</v>
      </c>
      <c r="G130" s="117"/>
      <c r="H130" s="117"/>
      <c r="I130" s="116">
        <v>54000</v>
      </c>
      <c r="J130" s="117"/>
      <c r="K130" s="117"/>
      <c r="L130" s="117"/>
      <c r="M130" s="116">
        <f t="shared" si="7"/>
        <v>5647500</v>
      </c>
      <c r="N130" s="117"/>
      <c r="O130" s="117"/>
      <c r="P130" s="124">
        <f t="shared" si="8"/>
        <v>36116.440377804014</v>
      </c>
      <c r="Q130" s="117"/>
      <c r="R130" s="117"/>
      <c r="S130" s="38"/>
      <c r="T130" s="38"/>
      <c r="U130" s="23">
        <f t="shared" si="9"/>
        <v>0</v>
      </c>
      <c r="W130" s="55">
        <f t="shared" si="10"/>
        <v>0</v>
      </c>
      <c r="Y130" s="23"/>
      <c r="Z130" s="23"/>
      <c r="AA130" s="23"/>
      <c r="AB130" s="23"/>
      <c r="AC130" s="37"/>
      <c r="AD130" s="23"/>
      <c r="AE130" s="23"/>
    </row>
    <row r="131" spans="1:31" ht="12.75">
      <c r="A131" s="54" t="s">
        <v>41</v>
      </c>
      <c r="B131" s="53" t="str">
        <f>H1</f>
        <v>IM</v>
      </c>
      <c r="C131" s="116">
        <v>2700000</v>
      </c>
      <c r="D131" s="117"/>
      <c r="E131" s="117"/>
      <c r="F131" s="116">
        <v>1080000</v>
      </c>
      <c r="G131" s="117"/>
      <c r="H131" s="117"/>
      <c r="I131" s="116">
        <v>0</v>
      </c>
      <c r="J131" s="117"/>
      <c r="K131" s="117"/>
      <c r="L131" s="117"/>
      <c r="M131" s="116">
        <f t="shared" si="7"/>
        <v>5593500</v>
      </c>
      <c r="N131" s="117"/>
      <c r="O131" s="117"/>
      <c r="P131" s="124">
        <f t="shared" si="8"/>
        <v>35771.103896103894</v>
      </c>
      <c r="Q131" s="117"/>
      <c r="R131" s="117"/>
      <c r="S131" s="38"/>
      <c r="T131" s="38"/>
      <c r="U131" s="23">
        <f t="shared" si="9"/>
        <v>0</v>
      </c>
      <c r="W131" s="55">
        <f t="shared" si="10"/>
        <v>0</v>
      </c>
      <c r="Y131" s="23"/>
      <c r="Z131" s="23"/>
      <c r="AA131" s="23"/>
      <c r="AB131" s="23"/>
      <c r="AC131" s="37"/>
      <c r="AD131" s="23"/>
      <c r="AE131" s="23"/>
    </row>
    <row r="132" spans="1:31" ht="12.75">
      <c r="A132" s="54" t="s">
        <v>42</v>
      </c>
      <c r="B132" s="53" t="str">
        <f>I1</f>
        <v>MS</v>
      </c>
      <c r="C132" s="116">
        <v>8100000</v>
      </c>
      <c r="D132" s="117"/>
      <c r="E132" s="117"/>
      <c r="F132" s="116">
        <v>2160000</v>
      </c>
      <c r="G132" s="117"/>
      <c r="H132" s="117"/>
      <c r="I132" s="116">
        <v>132000</v>
      </c>
      <c r="J132" s="117"/>
      <c r="K132" s="117"/>
      <c r="L132" s="117"/>
      <c r="M132" s="116">
        <f t="shared" si="7"/>
        <v>14192500</v>
      </c>
      <c r="N132" s="117"/>
      <c r="O132" s="117"/>
      <c r="P132" s="124">
        <f t="shared" si="8"/>
        <v>90762.741046831958</v>
      </c>
      <c r="Q132" s="117"/>
      <c r="R132" s="117"/>
      <c r="S132" s="38"/>
      <c r="T132" s="38"/>
      <c r="U132" s="23">
        <f t="shared" si="9"/>
        <v>0</v>
      </c>
      <c r="W132" s="55">
        <f t="shared" si="10"/>
        <v>0</v>
      </c>
      <c r="Y132" s="23"/>
      <c r="Z132" s="23"/>
      <c r="AA132" s="23"/>
      <c r="AB132" s="23"/>
      <c r="AC132" s="37"/>
      <c r="AD132" s="23"/>
      <c r="AE132" s="23"/>
    </row>
    <row r="133" spans="1:31" ht="12.75">
      <c r="A133" s="54" t="s">
        <v>43</v>
      </c>
      <c r="B133" s="53" t="str">
        <f>J1</f>
        <v>MM</v>
      </c>
      <c r="C133" s="116">
        <v>3240000</v>
      </c>
      <c r="D133" s="117"/>
      <c r="E133" s="117"/>
      <c r="F133" s="116">
        <v>1080000</v>
      </c>
      <c r="G133" s="117"/>
      <c r="H133" s="117"/>
      <c r="I133" s="116">
        <v>132000</v>
      </c>
      <c r="J133" s="117"/>
      <c r="K133" s="117"/>
      <c r="L133" s="117"/>
      <c r="M133" s="116">
        <f t="shared" si="7"/>
        <v>6284200</v>
      </c>
      <c r="N133" s="117"/>
      <c r="O133" s="117"/>
      <c r="P133" s="124">
        <f t="shared" si="8"/>
        <v>40188.213301849668</v>
      </c>
      <c r="Q133" s="117"/>
      <c r="R133" s="117"/>
      <c r="S133" s="38"/>
      <c r="T133" s="38"/>
      <c r="U133" s="23">
        <f t="shared" si="9"/>
        <v>0</v>
      </c>
      <c r="W133" s="55">
        <f t="shared" si="10"/>
        <v>0</v>
      </c>
      <c r="Y133" s="23"/>
      <c r="Z133" s="23"/>
      <c r="AA133" s="23"/>
      <c r="AB133" s="23"/>
      <c r="AC133" s="37"/>
      <c r="AD133" s="23"/>
      <c r="AE133" s="23"/>
    </row>
    <row r="134" spans="1:31" ht="12.75">
      <c r="A134" s="54" t="s">
        <v>44</v>
      </c>
      <c r="B134" s="53" t="s">
        <v>10</v>
      </c>
      <c r="C134" s="116">
        <v>3240000</v>
      </c>
      <c r="D134" s="117"/>
      <c r="E134" s="117"/>
      <c r="F134" s="116">
        <v>1080000</v>
      </c>
      <c r="G134" s="117"/>
      <c r="H134" s="117"/>
      <c r="I134" s="116"/>
      <c r="J134" s="117"/>
      <c r="K134" s="117"/>
      <c r="L134" s="117"/>
      <c r="M134" s="116">
        <f t="shared" si="7"/>
        <v>6152200</v>
      </c>
      <c r="N134" s="117"/>
      <c r="O134" s="117"/>
      <c r="P134" s="124">
        <f t="shared" si="8"/>
        <v>39344.057457693823</v>
      </c>
      <c r="Q134" s="117"/>
      <c r="R134" s="117"/>
      <c r="S134" s="38"/>
      <c r="T134" s="38"/>
      <c r="U134" s="23">
        <f t="shared" si="9"/>
        <v>448</v>
      </c>
      <c r="W134" s="55">
        <f t="shared" si="10"/>
        <v>17626137.741046831</v>
      </c>
      <c r="Y134" s="23"/>
      <c r="Z134" s="23"/>
      <c r="AA134" s="23"/>
      <c r="AB134" s="23"/>
      <c r="AC134" s="37"/>
      <c r="AD134" s="23"/>
      <c r="AE134" s="23"/>
    </row>
    <row r="135" spans="1:31" ht="12.75">
      <c r="A135" s="54"/>
      <c r="B135" s="53"/>
      <c r="C135" s="38"/>
      <c r="D135" s="38"/>
      <c r="E135" s="38"/>
      <c r="F135" s="38"/>
      <c r="G135" s="38"/>
      <c r="H135" s="38"/>
      <c r="I135" s="23"/>
      <c r="J135" s="23"/>
      <c r="K135" s="23"/>
      <c r="L135" s="23"/>
      <c r="M135" s="23"/>
      <c r="N135" s="23"/>
      <c r="O135" s="23"/>
      <c r="P135" s="125">
        <f>SUM(P125:P134)</f>
        <v>479117.27666273131</v>
      </c>
      <c r="Q135" s="117"/>
      <c r="R135" s="117"/>
      <c r="S135" s="38"/>
      <c r="T135" s="38"/>
      <c r="U135" s="38"/>
      <c r="W135" s="56">
        <f>SUM(W125:W134)</f>
        <v>17626137.741046831</v>
      </c>
      <c r="Y135" s="23"/>
      <c r="Z135" s="23"/>
      <c r="AA135" s="23"/>
      <c r="AB135" s="23"/>
      <c r="AC135" s="37"/>
      <c r="AD135" s="23"/>
      <c r="AE135" s="23"/>
    </row>
    <row r="136" spans="1:31" ht="12.75">
      <c r="A136" s="23"/>
      <c r="B136" s="23"/>
      <c r="C136" s="57"/>
      <c r="D136" s="57"/>
      <c r="E136" s="23"/>
      <c r="F136" s="23"/>
      <c r="G136" s="23"/>
      <c r="H136" s="38"/>
      <c r="I136" s="23"/>
      <c r="J136" s="23"/>
      <c r="K136" s="23"/>
      <c r="L136" s="38"/>
      <c r="M136" s="23"/>
      <c r="N136" s="23"/>
      <c r="O136" s="23"/>
      <c r="P136" s="23"/>
      <c r="Q136" s="23"/>
      <c r="R136" s="23"/>
      <c r="S136" s="23"/>
      <c r="T136" s="23"/>
      <c r="U136" s="23"/>
      <c r="V136" s="23"/>
      <c r="W136" s="23"/>
      <c r="X136" s="23"/>
      <c r="Y136" s="23"/>
      <c r="Z136" s="23"/>
      <c r="AA136" s="23"/>
      <c r="AB136" s="23"/>
      <c r="AC136" s="37"/>
      <c r="AD136" s="23"/>
      <c r="AE136" s="23"/>
    </row>
    <row r="137" spans="1:31" ht="12.7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37"/>
      <c r="AD137" s="23"/>
      <c r="AE137" s="23"/>
    </row>
    <row r="138" spans="1:31" ht="12.75">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9"/>
      <c r="AD138" s="58"/>
      <c r="AE138" s="58"/>
    </row>
    <row r="139" spans="1:31" ht="15">
      <c r="A139" s="58"/>
      <c r="B139" s="58"/>
      <c r="C139" s="118"/>
      <c r="D139" s="119"/>
      <c r="E139" s="119"/>
      <c r="F139" s="120"/>
      <c r="G139" s="121"/>
      <c r="H139" s="122"/>
      <c r="I139" s="122"/>
      <c r="J139" s="123"/>
      <c r="K139" s="60"/>
      <c r="L139" s="126"/>
      <c r="M139" s="122"/>
      <c r="N139" s="122"/>
      <c r="O139" s="123"/>
      <c r="P139" s="121"/>
      <c r="Q139" s="122"/>
      <c r="R139" s="122"/>
      <c r="S139" s="123"/>
      <c r="T139" s="126"/>
      <c r="U139" s="122"/>
      <c r="V139" s="122"/>
      <c r="W139" s="123"/>
      <c r="X139" s="121"/>
      <c r="Y139" s="122"/>
      <c r="Z139" s="123"/>
      <c r="AA139" s="126"/>
      <c r="AB139" s="122"/>
      <c r="AC139" s="123"/>
      <c r="AD139" s="61"/>
      <c r="AE139" s="58"/>
    </row>
    <row r="140" spans="1:31" ht="12.75">
      <c r="A140" s="62" t="e">
        <f t="array" aca="1" ref="A140:A146" ca="1">unique(L1:L120)</f>
        <v>#NAME?</v>
      </c>
      <c r="B140" s="63"/>
      <c r="C140" s="64"/>
      <c r="D140" s="64"/>
      <c r="E140" s="64"/>
      <c r="F140" s="65"/>
      <c r="G140" s="66" t="s">
        <v>45</v>
      </c>
      <c r="H140" s="66" t="s">
        <v>46</v>
      </c>
      <c r="I140" s="66" t="s">
        <v>47</v>
      </c>
      <c r="J140" s="66" t="s">
        <v>48</v>
      </c>
      <c r="K140" s="66" t="s">
        <v>49</v>
      </c>
      <c r="L140" s="67" t="s">
        <v>50</v>
      </c>
      <c r="M140" s="67" t="s">
        <v>51</v>
      </c>
      <c r="N140" s="67" t="s">
        <v>52</v>
      </c>
      <c r="O140" s="67" t="s">
        <v>53</v>
      </c>
      <c r="P140" s="66" t="s">
        <v>54</v>
      </c>
      <c r="Q140" s="66"/>
      <c r="R140" s="66"/>
      <c r="S140" s="66"/>
      <c r="T140" s="67"/>
      <c r="U140" s="67"/>
      <c r="V140" s="67"/>
      <c r="W140" s="67"/>
      <c r="X140" s="66"/>
      <c r="Y140" s="66"/>
      <c r="Z140" s="66"/>
      <c r="AA140" s="67"/>
      <c r="AB140" s="67"/>
      <c r="AC140" s="68"/>
      <c r="AD140" s="67"/>
      <c r="AE140" s="58"/>
    </row>
    <row r="141" spans="1:31" ht="12.75">
      <c r="A141" s="69" t="e">
        <f ca="1"/>
        <v>#NAME?</v>
      </c>
      <c r="B141" s="70"/>
      <c r="C141" s="71"/>
      <c r="D141" s="71" t="s">
        <v>55</v>
      </c>
      <c r="E141" s="71"/>
      <c r="F141" s="72"/>
      <c r="G141" s="73" t="s">
        <v>213</v>
      </c>
      <c r="H141" s="73"/>
      <c r="I141" s="73"/>
      <c r="J141" s="73"/>
      <c r="K141" s="73"/>
      <c r="L141" s="74"/>
      <c r="M141" s="74"/>
      <c r="N141" s="74"/>
      <c r="O141" s="75"/>
      <c r="P141" s="76"/>
      <c r="Q141" s="76"/>
      <c r="R141" s="76"/>
      <c r="S141" s="76"/>
      <c r="T141" s="75"/>
      <c r="U141" s="75"/>
      <c r="V141" s="75"/>
      <c r="W141" s="75"/>
      <c r="X141" s="76"/>
      <c r="Y141" s="76"/>
      <c r="Z141" s="76"/>
      <c r="AA141" s="75"/>
      <c r="AB141" s="75"/>
      <c r="AC141" s="77"/>
      <c r="AD141" s="75"/>
      <c r="AE141" s="58"/>
    </row>
    <row r="142" spans="1:31" ht="12.75">
      <c r="A142" s="69" t="e">
        <f ca="1"/>
        <v>#NAME?</v>
      </c>
      <c r="B142" s="70"/>
      <c r="C142" s="71"/>
      <c r="D142" s="71"/>
      <c r="E142" s="71"/>
      <c r="F142" s="72"/>
      <c r="G142" s="73"/>
      <c r="H142" s="73"/>
      <c r="I142" s="73"/>
      <c r="J142" s="73"/>
      <c r="K142" s="73"/>
      <c r="L142" s="74"/>
      <c r="M142" s="75"/>
      <c r="N142" s="75"/>
      <c r="O142" s="75"/>
      <c r="P142" s="76"/>
      <c r="Q142" s="76"/>
      <c r="R142" s="76"/>
      <c r="S142" s="76"/>
      <c r="T142" s="75"/>
      <c r="U142" s="75"/>
      <c r="V142" s="75"/>
      <c r="W142" s="75"/>
      <c r="X142" s="76"/>
      <c r="Y142" s="76"/>
      <c r="Z142" s="76"/>
      <c r="AA142" s="75"/>
      <c r="AB142" s="75"/>
      <c r="AC142" s="77"/>
      <c r="AD142" s="75"/>
      <c r="AE142" s="58"/>
    </row>
    <row r="143" spans="1:31" ht="12.75">
      <c r="A143" s="69" t="e">
        <f ca="1"/>
        <v>#NAME?</v>
      </c>
      <c r="B143" s="70"/>
      <c r="C143" s="71"/>
      <c r="D143" s="71"/>
      <c r="E143" s="71"/>
      <c r="F143" s="72"/>
      <c r="G143" s="73"/>
      <c r="H143" s="73"/>
      <c r="I143" s="73"/>
      <c r="J143" s="73"/>
      <c r="K143" s="73"/>
      <c r="L143" s="74"/>
      <c r="M143" s="74"/>
      <c r="N143" s="74"/>
      <c r="O143" s="74"/>
      <c r="P143" s="76"/>
      <c r="Q143" s="76"/>
      <c r="R143" s="76"/>
      <c r="S143" s="76"/>
      <c r="T143" s="75"/>
      <c r="U143" s="75"/>
      <c r="V143" s="75"/>
      <c r="W143" s="75"/>
      <c r="X143" s="76"/>
      <c r="Y143" s="76"/>
      <c r="Z143" s="76"/>
      <c r="AA143" s="75"/>
      <c r="AB143" s="75"/>
      <c r="AC143" s="77"/>
      <c r="AD143" s="75"/>
      <c r="AE143" s="58"/>
    </row>
    <row r="144" spans="1:31" ht="12.75">
      <c r="A144" s="69" t="e">
        <f ca="1"/>
        <v>#NAME?</v>
      </c>
      <c r="B144" s="70"/>
      <c r="C144" s="71"/>
      <c r="D144" s="71"/>
      <c r="E144" s="71"/>
      <c r="F144" s="72"/>
      <c r="G144" s="73"/>
      <c r="H144" s="73"/>
      <c r="I144" s="73"/>
      <c r="J144" s="73"/>
      <c r="K144" s="73"/>
      <c r="L144" s="74"/>
      <c r="M144" s="74"/>
      <c r="N144" s="74"/>
      <c r="O144" s="75"/>
      <c r="P144" s="76"/>
      <c r="Q144" s="76"/>
      <c r="R144" s="76"/>
      <c r="S144" s="76"/>
      <c r="T144" s="75"/>
      <c r="U144" s="75"/>
      <c r="V144" s="75"/>
      <c r="W144" s="75"/>
      <c r="X144" s="76"/>
      <c r="Y144" s="76"/>
      <c r="Z144" s="76"/>
      <c r="AA144" s="75"/>
      <c r="AB144" s="75"/>
      <c r="AC144" s="77"/>
      <c r="AD144" s="75"/>
      <c r="AE144" s="58"/>
    </row>
    <row r="145" spans="1:31" ht="12.75">
      <c r="A145" s="69" t="e">
        <f ca="1"/>
        <v>#NAME?</v>
      </c>
      <c r="B145" s="70"/>
      <c r="C145" s="71"/>
      <c r="D145" s="71"/>
      <c r="E145" s="71"/>
      <c r="F145" s="72"/>
      <c r="G145" s="73" t="s">
        <v>213</v>
      </c>
      <c r="H145" s="73"/>
      <c r="I145" s="73"/>
      <c r="J145" s="73"/>
      <c r="K145" s="73"/>
      <c r="L145" s="74"/>
      <c r="M145" s="74"/>
      <c r="N145" s="74"/>
      <c r="O145" s="74"/>
      <c r="P145" s="76"/>
      <c r="Q145" s="76"/>
      <c r="R145" s="76"/>
      <c r="S145" s="76"/>
      <c r="T145" s="75"/>
      <c r="U145" s="75"/>
      <c r="V145" s="75"/>
      <c r="W145" s="75"/>
      <c r="X145" s="76"/>
      <c r="Y145" s="76"/>
      <c r="Z145" s="76"/>
      <c r="AA145" s="75"/>
      <c r="AB145" s="75"/>
      <c r="AC145" s="77"/>
      <c r="AD145" s="75"/>
      <c r="AE145" s="58"/>
    </row>
    <row r="146" spans="1:31" ht="12.75">
      <c r="A146" s="69" t="e">
        <f ca="1"/>
        <v>#NAME?</v>
      </c>
      <c r="B146" s="70"/>
      <c r="C146" s="71"/>
      <c r="D146" s="71"/>
      <c r="E146" s="71"/>
      <c r="F146" s="72"/>
      <c r="G146" s="73"/>
      <c r="H146" s="73"/>
      <c r="I146" s="73"/>
      <c r="J146" s="73"/>
      <c r="K146" s="73"/>
      <c r="L146" s="74"/>
      <c r="M146" s="74"/>
      <c r="N146" s="74"/>
      <c r="O146" s="75"/>
      <c r="P146" s="73"/>
      <c r="Q146" s="76"/>
      <c r="R146" s="76"/>
      <c r="S146" s="76"/>
      <c r="T146" s="75"/>
      <c r="U146" s="75"/>
      <c r="V146" s="75"/>
      <c r="W146" s="75"/>
      <c r="X146" s="76"/>
      <c r="Y146" s="76"/>
      <c r="Z146" s="76"/>
      <c r="AA146" s="75"/>
      <c r="AB146" s="75"/>
      <c r="AC146" s="77"/>
      <c r="AD146" s="75"/>
      <c r="AE146" s="58"/>
    </row>
    <row r="147" spans="1:31" ht="12.75">
      <c r="A147" s="69"/>
      <c r="B147" s="70"/>
      <c r="C147" s="71"/>
      <c r="D147" s="71"/>
      <c r="E147" s="71"/>
      <c r="F147" s="72"/>
      <c r="G147" s="73"/>
      <c r="H147" s="73"/>
      <c r="I147" s="73"/>
      <c r="J147" s="73"/>
      <c r="K147" s="73"/>
      <c r="L147" s="74"/>
      <c r="M147" s="74"/>
      <c r="N147" s="74"/>
      <c r="O147" s="75"/>
      <c r="P147" s="73"/>
      <c r="Q147" s="76"/>
      <c r="R147" s="76"/>
      <c r="S147" s="76"/>
      <c r="T147" s="75"/>
      <c r="U147" s="75"/>
      <c r="V147" s="75"/>
      <c r="W147" s="75"/>
      <c r="X147" s="76"/>
      <c r="Y147" s="76"/>
      <c r="Z147" s="76"/>
      <c r="AA147" s="75"/>
      <c r="AB147" s="75"/>
      <c r="AC147" s="77"/>
      <c r="AD147" s="75"/>
      <c r="AE147" s="58"/>
    </row>
    <row r="148" spans="1:31" ht="12.75">
      <c r="A148" s="69"/>
      <c r="B148" s="70"/>
      <c r="C148" s="71"/>
      <c r="D148" s="71"/>
      <c r="E148" s="71"/>
      <c r="F148" s="72"/>
      <c r="G148" s="73"/>
      <c r="H148" s="73"/>
      <c r="I148" s="73"/>
      <c r="J148" s="73"/>
      <c r="K148" s="73"/>
      <c r="L148" s="74"/>
      <c r="M148" s="74"/>
      <c r="N148" s="74"/>
      <c r="O148" s="74"/>
      <c r="P148" s="73"/>
      <c r="Q148" s="76"/>
      <c r="R148" s="76"/>
      <c r="S148" s="76"/>
      <c r="T148" s="75"/>
      <c r="U148" s="75"/>
      <c r="V148" s="75"/>
      <c r="W148" s="75"/>
      <c r="X148" s="76"/>
      <c r="Y148" s="76"/>
      <c r="Z148" s="76"/>
      <c r="AA148" s="75"/>
      <c r="AB148" s="75"/>
      <c r="AC148" s="77"/>
      <c r="AD148" s="75"/>
      <c r="AE148" s="58"/>
    </row>
    <row r="149" spans="1:31" ht="12.75">
      <c r="A149" s="69"/>
      <c r="B149" s="70"/>
      <c r="C149" s="71"/>
      <c r="D149" s="71"/>
      <c r="E149" s="71"/>
      <c r="F149" s="72"/>
      <c r="G149" s="73"/>
      <c r="H149" s="73"/>
      <c r="I149" s="73"/>
      <c r="J149" s="73"/>
      <c r="K149" s="73"/>
      <c r="L149" s="74"/>
      <c r="M149" s="74"/>
      <c r="N149" s="74"/>
      <c r="O149" s="75"/>
      <c r="P149" s="76"/>
      <c r="Q149" s="76"/>
      <c r="R149" s="76"/>
      <c r="S149" s="76"/>
      <c r="T149" s="75"/>
      <c r="U149" s="75"/>
      <c r="V149" s="75"/>
      <c r="W149" s="75"/>
      <c r="X149" s="76"/>
      <c r="Y149" s="76"/>
      <c r="Z149" s="76"/>
      <c r="AA149" s="75"/>
      <c r="AB149" s="75"/>
      <c r="AC149" s="77"/>
      <c r="AD149" s="75"/>
      <c r="AE149" s="58"/>
    </row>
    <row r="150" spans="1:31" ht="12.75">
      <c r="A150" s="69"/>
      <c r="B150" s="70"/>
      <c r="C150" s="71"/>
      <c r="D150" s="71"/>
      <c r="E150" s="71"/>
      <c r="F150" s="72"/>
      <c r="G150" s="73"/>
      <c r="H150" s="73"/>
      <c r="I150" s="73"/>
      <c r="J150" s="73"/>
      <c r="K150" s="73"/>
      <c r="L150" s="74"/>
      <c r="M150" s="74"/>
      <c r="N150" s="74"/>
      <c r="O150" s="75"/>
      <c r="P150" s="76"/>
      <c r="Q150" s="76"/>
      <c r="R150" s="76"/>
      <c r="S150" s="76"/>
      <c r="T150" s="75"/>
      <c r="U150" s="75"/>
      <c r="V150" s="75"/>
      <c r="W150" s="75"/>
      <c r="X150" s="76"/>
      <c r="Y150" s="76"/>
      <c r="Z150" s="76"/>
      <c r="AA150" s="75"/>
      <c r="AB150" s="75"/>
      <c r="AC150" s="77"/>
      <c r="AD150" s="75"/>
      <c r="AE150" s="58"/>
    </row>
    <row r="151" spans="1:31" ht="12.75">
      <c r="A151" s="69"/>
      <c r="B151" s="70"/>
      <c r="C151" s="71"/>
      <c r="D151" s="71"/>
      <c r="E151" s="71"/>
      <c r="F151" s="72"/>
      <c r="G151" s="73"/>
      <c r="H151" s="73"/>
      <c r="I151" s="73"/>
      <c r="J151" s="73"/>
      <c r="K151" s="73"/>
      <c r="L151" s="74"/>
      <c r="M151" s="74"/>
      <c r="N151" s="74"/>
      <c r="O151" s="75"/>
      <c r="P151" s="76"/>
      <c r="Q151" s="76"/>
      <c r="R151" s="76"/>
      <c r="S151" s="76"/>
      <c r="T151" s="75"/>
      <c r="U151" s="75"/>
      <c r="V151" s="75"/>
      <c r="W151" s="75"/>
      <c r="X151" s="76"/>
      <c r="Y151" s="76"/>
      <c r="Z151" s="76"/>
      <c r="AA151" s="75"/>
      <c r="AB151" s="75"/>
      <c r="AC151" s="77"/>
      <c r="AD151" s="75"/>
      <c r="AE151" s="58"/>
    </row>
    <row r="152" spans="1:31" ht="12.75">
      <c r="A152" s="69"/>
      <c r="B152" s="70"/>
      <c r="C152" s="71"/>
      <c r="D152" s="71"/>
      <c r="E152" s="71"/>
      <c r="F152" s="72"/>
      <c r="G152" s="73"/>
      <c r="H152" s="73"/>
      <c r="I152" s="73"/>
      <c r="J152" s="73"/>
      <c r="K152" s="73"/>
      <c r="L152" s="74"/>
      <c r="M152" s="74"/>
      <c r="N152" s="74"/>
      <c r="O152" s="75"/>
      <c r="P152" s="76"/>
      <c r="Q152" s="76"/>
      <c r="R152" s="76"/>
      <c r="S152" s="76"/>
      <c r="T152" s="75"/>
      <c r="U152" s="75"/>
      <c r="V152" s="75"/>
      <c r="W152" s="75"/>
      <c r="X152" s="76"/>
      <c r="Y152" s="76"/>
      <c r="Z152" s="76"/>
      <c r="AA152" s="75"/>
      <c r="AB152" s="75"/>
      <c r="AC152" s="77"/>
      <c r="AD152" s="75"/>
      <c r="AE152" s="58"/>
    </row>
    <row r="153" spans="1:31" ht="12.75">
      <c r="A153" s="69"/>
      <c r="B153" s="70"/>
      <c r="C153" s="71"/>
      <c r="D153" s="71"/>
      <c r="E153" s="71"/>
      <c r="F153" s="72"/>
      <c r="G153" s="73"/>
      <c r="H153" s="73"/>
      <c r="I153" s="73"/>
      <c r="J153" s="73"/>
      <c r="K153" s="73"/>
      <c r="L153" s="74"/>
      <c r="M153" s="74"/>
      <c r="N153" s="74"/>
      <c r="O153" s="75"/>
      <c r="P153" s="76"/>
      <c r="Q153" s="76"/>
      <c r="R153" s="76"/>
      <c r="S153" s="76"/>
      <c r="T153" s="75"/>
      <c r="U153" s="75"/>
      <c r="V153" s="75"/>
      <c r="W153" s="75"/>
      <c r="X153" s="76"/>
      <c r="Y153" s="76"/>
      <c r="Z153" s="76"/>
      <c r="AA153" s="75"/>
      <c r="AB153" s="75"/>
      <c r="AC153" s="77"/>
      <c r="AD153" s="75"/>
      <c r="AE153" s="58"/>
    </row>
    <row r="154" spans="1:31" ht="12.75">
      <c r="A154" s="69"/>
      <c r="B154" s="70"/>
      <c r="C154" s="71"/>
      <c r="D154" s="71"/>
      <c r="E154" s="71"/>
      <c r="F154" s="72"/>
      <c r="G154" s="73"/>
      <c r="H154" s="73"/>
      <c r="I154" s="73"/>
      <c r="J154" s="73"/>
      <c r="K154" s="73"/>
      <c r="L154" s="74"/>
      <c r="M154" s="74"/>
      <c r="N154" s="74"/>
      <c r="O154" s="75"/>
      <c r="P154" s="76"/>
      <c r="Q154" s="76"/>
      <c r="R154" s="76"/>
      <c r="S154" s="76"/>
      <c r="T154" s="75"/>
      <c r="U154" s="75"/>
      <c r="V154" s="75"/>
      <c r="W154" s="75"/>
      <c r="X154" s="76"/>
      <c r="Y154" s="76"/>
      <c r="Z154" s="76"/>
      <c r="AA154" s="75"/>
      <c r="AB154" s="75"/>
      <c r="AC154" s="77"/>
      <c r="AD154" s="75"/>
      <c r="AE154" s="58"/>
    </row>
    <row r="155" spans="1:31" ht="12.75">
      <c r="A155" s="69"/>
      <c r="B155" s="70"/>
      <c r="C155" s="71"/>
      <c r="D155" s="71"/>
      <c r="E155" s="71"/>
      <c r="F155" s="72"/>
      <c r="G155" s="73"/>
      <c r="H155" s="73"/>
      <c r="I155" s="73"/>
      <c r="J155" s="73"/>
      <c r="K155" s="73"/>
      <c r="L155" s="74"/>
      <c r="M155" s="74"/>
      <c r="N155" s="74"/>
      <c r="O155" s="75"/>
      <c r="P155" s="76"/>
      <c r="Q155" s="76"/>
      <c r="R155" s="76"/>
      <c r="S155" s="76"/>
      <c r="T155" s="75"/>
      <c r="U155" s="75"/>
      <c r="V155" s="75"/>
      <c r="W155" s="75"/>
      <c r="X155" s="76"/>
      <c r="Y155" s="76"/>
      <c r="Z155" s="76"/>
      <c r="AA155" s="75"/>
      <c r="AB155" s="75"/>
      <c r="AC155" s="77"/>
      <c r="AD155" s="75"/>
      <c r="AE155" s="58"/>
    </row>
    <row r="156" spans="1:31" ht="12.75">
      <c r="A156" s="69"/>
      <c r="B156" s="70"/>
      <c r="C156" s="71"/>
      <c r="D156" s="71"/>
      <c r="E156" s="71"/>
      <c r="F156" s="72"/>
      <c r="G156" s="73"/>
      <c r="H156" s="73"/>
      <c r="I156" s="73"/>
      <c r="J156" s="73"/>
      <c r="K156" s="73"/>
      <c r="L156" s="74"/>
      <c r="M156" s="74"/>
      <c r="N156" s="74"/>
      <c r="O156" s="75"/>
      <c r="P156" s="76"/>
      <c r="Q156" s="76"/>
      <c r="R156" s="76"/>
      <c r="S156" s="76"/>
      <c r="T156" s="75"/>
      <c r="U156" s="75"/>
      <c r="V156" s="75"/>
      <c r="W156" s="75"/>
      <c r="X156" s="76"/>
      <c r="Y156" s="76"/>
      <c r="Z156" s="76"/>
      <c r="AA156" s="75"/>
      <c r="AB156" s="75"/>
      <c r="AC156" s="77"/>
      <c r="AD156" s="75"/>
      <c r="AE156" s="58"/>
    </row>
    <row r="157" spans="1:31" ht="12.75">
      <c r="A157" s="69"/>
      <c r="B157" s="70"/>
      <c r="C157" s="71"/>
      <c r="D157" s="71"/>
      <c r="E157" s="71"/>
      <c r="F157" s="72"/>
      <c r="G157" s="73"/>
      <c r="H157" s="73"/>
      <c r="I157" s="73"/>
      <c r="J157" s="73"/>
      <c r="K157" s="73"/>
      <c r="L157" s="74"/>
      <c r="M157" s="74"/>
      <c r="N157" s="74"/>
      <c r="O157" s="75"/>
      <c r="P157" s="76"/>
      <c r="Q157" s="76"/>
      <c r="R157" s="76"/>
      <c r="S157" s="76"/>
      <c r="T157" s="75"/>
      <c r="U157" s="75"/>
      <c r="V157" s="75"/>
      <c r="W157" s="75"/>
      <c r="X157" s="76"/>
      <c r="Y157" s="76"/>
      <c r="Z157" s="76"/>
      <c r="AA157" s="75"/>
      <c r="AB157" s="75"/>
      <c r="AC157" s="77"/>
      <c r="AD157" s="75"/>
      <c r="AE157" s="58"/>
    </row>
    <row r="158" spans="1:31" ht="12.75">
      <c r="A158" s="69"/>
      <c r="B158" s="70"/>
      <c r="C158" s="71"/>
      <c r="D158" s="71"/>
      <c r="E158" s="71"/>
      <c r="F158" s="72"/>
      <c r="G158" s="73"/>
      <c r="H158" s="73"/>
      <c r="I158" s="73"/>
      <c r="J158" s="73"/>
      <c r="K158" s="73"/>
      <c r="L158" s="74"/>
      <c r="M158" s="74"/>
      <c r="N158" s="74"/>
      <c r="O158" s="75"/>
      <c r="P158" s="76"/>
      <c r="Q158" s="76"/>
      <c r="R158" s="76"/>
      <c r="S158" s="76"/>
      <c r="T158" s="75"/>
      <c r="U158" s="75"/>
      <c r="V158" s="75"/>
      <c r="W158" s="75"/>
      <c r="X158" s="76"/>
      <c r="Y158" s="76"/>
      <c r="Z158" s="76"/>
      <c r="AA158" s="75"/>
      <c r="AB158" s="75"/>
      <c r="AC158" s="77"/>
      <c r="AD158" s="75"/>
      <c r="AE158" s="58"/>
    </row>
    <row r="159" spans="1:31" ht="12.75">
      <c r="A159" s="69"/>
      <c r="B159" s="70"/>
      <c r="C159" s="71"/>
      <c r="D159" s="71"/>
      <c r="E159" s="71"/>
      <c r="F159" s="72"/>
      <c r="G159" s="73"/>
      <c r="H159" s="73"/>
      <c r="I159" s="73"/>
      <c r="J159" s="73"/>
      <c r="K159" s="73"/>
      <c r="L159" s="74"/>
      <c r="M159" s="74"/>
      <c r="N159" s="74"/>
      <c r="O159" s="75"/>
      <c r="P159" s="76"/>
      <c r="Q159" s="76"/>
      <c r="R159" s="76"/>
      <c r="S159" s="76"/>
      <c r="T159" s="75"/>
      <c r="U159" s="75"/>
      <c r="V159" s="75"/>
      <c r="W159" s="75"/>
      <c r="X159" s="76"/>
      <c r="Y159" s="76"/>
      <c r="Z159" s="76"/>
      <c r="AA159" s="75"/>
      <c r="AB159" s="75"/>
      <c r="AC159" s="77"/>
      <c r="AD159" s="75"/>
      <c r="AE159" s="58"/>
    </row>
    <row r="160" spans="1:31" ht="12.75">
      <c r="A160" s="69"/>
      <c r="B160" s="70"/>
      <c r="C160" s="71"/>
      <c r="D160" s="71"/>
      <c r="E160" s="71"/>
      <c r="F160" s="72"/>
      <c r="G160" s="73"/>
      <c r="H160" s="73"/>
      <c r="I160" s="73"/>
      <c r="J160" s="73"/>
      <c r="K160" s="73"/>
      <c r="L160" s="74"/>
      <c r="M160" s="74"/>
      <c r="N160" s="74"/>
      <c r="O160" s="75"/>
      <c r="P160" s="76"/>
      <c r="Q160" s="76"/>
      <c r="R160" s="76"/>
      <c r="S160" s="76"/>
      <c r="T160" s="75"/>
      <c r="U160" s="75"/>
      <c r="V160" s="75"/>
      <c r="W160" s="75"/>
      <c r="X160" s="76"/>
      <c r="Y160" s="76"/>
      <c r="Z160" s="76"/>
      <c r="AA160" s="75"/>
      <c r="AB160" s="75"/>
      <c r="AC160" s="77"/>
      <c r="AD160" s="75"/>
      <c r="AE160" s="58"/>
    </row>
    <row r="161" spans="1:31" ht="12.75">
      <c r="A161" s="69"/>
      <c r="B161" s="70"/>
      <c r="C161" s="71"/>
      <c r="D161" s="71"/>
      <c r="E161" s="71"/>
      <c r="F161" s="72"/>
      <c r="G161" s="73"/>
      <c r="H161" s="73"/>
      <c r="I161" s="73"/>
      <c r="J161" s="73"/>
      <c r="K161" s="73"/>
      <c r="L161" s="74"/>
      <c r="M161" s="74"/>
      <c r="N161" s="74"/>
      <c r="O161" s="75"/>
      <c r="P161" s="76"/>
      <c r="Q161" s="76"/>
      <c r="R161" s="76"/>
      <c r="S161" s="76"/>
      <c r="T161" s="75"/>
      <c r="U161" s="75"/>
      <c r="V161" s="75"/>
      <c r="W161" s="75"/>
      <c r="X161" s="76"/>
      <c r="Y161" s="76"/>
      <c r="Z161" s="76"/>
      <c r="AA161" s="75"/>
      <c r="AB161" s="75"/>
      <c r="AC161" s="77"/>
      <c r="AD161" s="75"/>
      <c r="AE161" s="58"/>
    </row>
    <row r="162" spans="1:31" ht="12.75">
      <c r="A162" s="69"/>
      <c r="B162" s="70"/>
      <c r="C162" s="71"/>
      <c r="D162" s="71"/>
      <c r="E162" s="71"/>
      <c r="F162" s="72"/>
      <c r="G162" s="73"/>
      <c r="H162" s="73"/>
      <c r="I162" s="73"/>
      <c r="J162" s="73"/>
      <c r="K162" s="73"/>
      <c r="L162" s="74"/>
      <c r="M162" s="74"/>
      <c r="N162" s="74"/>
      <c r="O162" s="75"/>
      <c r="P162" s="76"/>
      <c r="Q162" s="76"/>
      <c r="R162" s="76"/>
      <c r="S162" s="76"/>
      <c r="T162" s="75"/>
      <c r="U162" s="75"/>
      <c r="V162" s="75"/>
      <c r="W162" s="75"/>
      <c r="X162" s="76"/>
      <c r="Y162" s="76"/>
      <c r="Z162" s="76"/>
      <c r="AA162" s="75"/>
      <c r="AB162" s="75"/>
      <c r="AC162" s="77"/>
      <c r="AD162" s="75"/>
      <c r="AE162" s="58"/>
    </row>
    <row r="163" spans="1:31" ht="12.75">
      <c r="A163" s="69"/>
      <c r="B163" s="70"/>
      <c r="C163" s="71"/>
      <c r="D163" s="71"/>
      <c r="E163" s="71"/>
      <c r="F163" s="72"/>
      <c r="G163" s="73"/>
      <c r="H163" s="73"/>
      <c r="I163" s="73"/>
      <c r="J163" s="73"/>
      <c r="K163" s="73"/>
      <c r="L163" s="74"/>
      <c r="M163" s="74"/>
      <c r="N163" s="75"/>
      <c r="O163" s="75"/>
      <c r="P163" s="76"/>
      <c r="Q163" s="76"/>
      <c r="R163" s="76"/>
      <c r="S163" s="76"/>
      <c r="T163" s="75"/>
      <c r="U163" s="75"/>
      <c r="V163" s="75"/>
      <c r="W163" s="75"/>
      <c r="X163" s="76"/>
      <c r="Y163" s="76"/>
      <c r="Z163" s="76"/>
      <c r="AA163" s="75"/>
      <c r="AB163" s="75"/>
      <c r="AC163" s="77"/>
      <c r="AD163" s="75"/>
      <c r="AE163" s="58"/>
    </row>
    <row r="164" spans="1:31" ht="12.75">
      <c r="A164" s="69"/>
      <c r="B164" s="70"/>
      <c r="C164" s="71"/>
      <c r="D164" s="71"/>
      <c r="E164" s="71"/>
      <c r="F164" s="72"/>
      <c r="G164" s="73"/>
      <c r="H164" s="73"/>
      <c r="I164" s="73"/>
      <c r="J164" s="73"/>
      <c r="K164" s="73"/>
      <c r="L164" s="74"/>
      <c r="M164" s="74"/>
      <c r="N164" s="75"/>
      <c r="O164" s="75"/>
      <c r="P164" s="76"/>
      <c r="Q164" s="76"/>
      <c r="R164" s="76"/>
      <c r="S164" s="76"/>
      <c r="T164" s="75"/>
      <c r="U164" s="75"/>
      <c r="V164" s="75"/>
      <c r="W164" s="75"/>
      <c r="X164" s="76"/>
      <c r="Y164" s="76"/>
      <c r="Z164" s="76"/>
      <c r="AA164" s="75"/>
      <c r="AB164" s="75"/>
      <c r="AC164" s="77"/>
      <c r="AD164" s="75"/>
      <c r="AE164" s="58"/>
    </row>
    <row r="165" spans="1:31" ht="12.75">
      <c r="A165" s="23"/>
      <c r="B165" s="23"/>
      <c r="C165" s="23"/>
      <c r="D165" s="23"/>
      <c r="E165" s="23"/>
      <c r="F165" s="23"/>
      <c r="G165" s="23"/>
      <c r="H165" s="13"/>
      <c r="I165" s="13"/>
      <c r="J165" s="13"/>
      <c r="K165" s="13"/>
      <c r="L165" s="13"/>
      <c r="M165" s="13"/>
      <c r="N165" s="23"/>
      <c r="O165" s="23"/>
      <c r="P165" s="23"/>
      <c r="Q165" s="23"/>
      <c r="R165" s="23"/>
      <c r="S165" s="23"/>
      <c r="T165" s="23"/>
      <c r="U165" s="23"/>
      <c r="V165" s="23"/>
      <c r="W165" s="23"/>
      <c r="X165" s="23"/>
      <c r="Y165" s="23"/>
      <c r="Z165" s="23"/>
      <c r="AA165" s="23"/>
      <c r="AB165" s="23"/>
      <c r="AC165" s="37"/>
      <c r="AD165" s="23"/>
      <c r="AE165" s="58"/>
    </row>
    <row r="166" spans="1:31" ht="12.7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37"/>
      <c r="AD166" s="23"/>
      <c r="AE166" s="23"/>
    </row>
    <row r="167" spans="1:31" ht="12.7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37"/>
      <c r="AD167" s="23"/>
      <c r="AE167" s="23"/>
    </row>
  </sheetData>
  <mergeCells count="68">
    <mergeCell ref="C129:E129"/>
    <mergeCell ref="F129:H129"/>
    <mergeCell ref="C126:E126"/>
    <mergeCell ref="C127:E127"/>
    <mergeCell ref="F127:H127"/>
    <mergeCell ref="C128:E128"/>
    <mergeCell ref="F128:H128"/>
    <mergeCell ref="C130:E130"/>
    <mergeCell ref="F130:H130"/>
    <mergeCell ref="I130:L130"/>
    <mergeCell ref="M130:O130"/>
    <mergeCell ref="P130:R130"/>
    <mergeCell ref="F126:H126"/>
    <mergeCell ref="P126:R126"/>
    <mergeCell ref="I128:L128"/>
    <mergeCell ref="I129:L129"/>
    <mergeCell ref="M129:O129"/>
    <mergeCell ref="P129:R129"/>
    <mergeCell ref="I126:L126"/>
    <mergeCell ref="M126:O126"/>
    <mergeCell ref="I127:L127"/>
    <mergeCell ref="M127:O127"/>
    <mergeCell ref="P127:R127"/>
    <mergeCell ref="M128:O128"/>
    <mergeCell ref="P128:R128"/>
    <mergeCell ref="C125:E125"/>
    <mergeCell ref="F125:H125"/>
    <mergeCell ref="I125:L125"/>
    <mergeCell ref="M125:O125"/>
    <mergeCell ref="P125:R125"/>
    <mergeCell ref="I122:L122"/>
    <mergeCell ref="M122:O122"/>
    <mergeCell ref="C124:E124"/>
    <mergeCell ref="F124:H124"/>
    <mergeCell ref="I124:L124"/>
    <mergeCell ref="M124:O124"/>
    <mergeCell ref="P124:R124"/>
    <mergeCell ref="V124:X124"/>
    <mergeCell ref="M1:N1"/>
    <mergeCell ref="O1:U1"/>
    <mergeCell ref="AA139:AC139"/>
    <mergeCell ref="I132:L132"/>
    <mergeCell ref="M132:O132"/>
    <mergeCell ref="I133:L133"/>
    <mergeCell ref="M133:O133"/>
    <mergeCell ref="P133:R133"/>
    <mergeCell ref="I134:L134"/>
    <mergeCell ref="M134:O134"/>
    <mergeCell ref="P135:R135"/>
    <mergeCell ref="L139:O139"/>
    <mergeCell ref="P139:S139"/>
    <mergeCell ref="T139:W139"/>
    <mergeCell ref="X139:Z139"/>
    <mergeCell ref="M131:O131"/>
    <mergeCell ref="P131:R131"/>
    <mergeCell ref="F132:H132"/>
    <mergeCell ref="P132:R132"/>
    <mergeCell ref="P134:R134"/>
    <mergeCell ref="C139:F139"/>
    <mergeCell ref="G139:J139"/>
    <mergeCell ref="C131:E131"/>
    <mergeCell ref="F131:H131"/>
    <mergeCell ref="I131:L131"/>
    <mergeCell ref="C132:E132"/>
    <mergeCell ref="C133:E133"/>
    <mergeCell ref="F133:H133"/>
    <mergeCell ref="C134:E134"/>
    <mergeCell ref="F134:H134"/>
  </mergeCells>
  <conditionalFormatting sqref="C141:AD164">
    <cfRule type="notContainsBlanks" dxfId="4" priority="1">
      <formula>LEN(TRIM(C141))&gt;0</formula>
    </cfRule>
  </conditionalFormatting>
  <conditionalFormatting sqref="Y2:Y119">
    <cfRule type="expression" dxfId="3" priority="2">
      <formula>$L2&lt;&gt;""</formula>
    </cfRule>
  </conditionalFormatting>
  <conditionalFormatting sqref="Z1:Z120">
    <cfRule type="notContainsBlanks" dxfId="2" priority="3">
      <formula>LEN(TRIM(Z1))&gt;0</formula>
    </cfRule>
  </conditionalFormatting>
  <conditionalFormatting sqref="AA1:AA120">
    <cfRule type="notContainsBlanks" dxfId="1" priority="4">
      <formula>LEN(TRIM(AA1))&gt;0</formula>
    </cfRule>
  </conditionalFormatting>
  <conditionalFormatting sqref="AB2:AB120">
    <cfRule type="cellIs" dxfId="0" priority="5" operator="equal">
      <formula>FALSE()</formula>
    </cfRule>
  </conditionalFormatting>
  <dataValidations count="1">
    <dataValidation type="decimal" operator="greaterThanOrEqual" allowBlank="1" showDropDown="1" showErrorMessage="1" sqref="B2:K120">
      <formula1>0</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🔴Colbeef agente IA</vt:lpstr>
      <vt:lpstr>🟢BAIRÓS (CAÑAS)</vt:lpstr>
      <vt:lpstr>Aleja Hooy </vt:lpstr>
      <vt:lpstr>🔴 Rapido San Pedro (Stiven)</vt:lpstr>
      <vt:lpstr>🟢Cajasan </vt:lpstr>
      <vt:lpstr>🟢BAIRÓS (CAÑAS) 2</vt:lpstr>
      <vt:lpstr>🟢El Guamito</vt:lpstr>
      <vt:lpstr>🟢​Vet(IA)</vt:lpstr>
      <vt:lpstr>🔴Kupocell</vt:lpstr>
      <vt:lpstr>🔴Lavco Ajustad</vt:lpstr>
      <vt:lpstr>🟢Marval - Ajustado</vt:lpstr>
      <vt:lpstr>🟢Marval Alcance Com</vt:lpstr>
      <vt:lpstr>🟢Andrés Radiologo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Full Service</dc:creator>
  <cp:lastModifiedBy>Full Service</cp:lastModifiedBy>
  <dcterms:created xsi:type="dcterms:W3CDTF">2026-07-09T14:56:41Z</dcterms:created>
  <dcterms:modified xsi:type="dcterms:W3CDTF">2026-07-09T14:56:41Z</dcterms:modified>
</cp:coreProperties>
</file>