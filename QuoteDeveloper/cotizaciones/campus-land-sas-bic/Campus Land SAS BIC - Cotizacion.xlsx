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us Land SAS BI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<sst xmlns="http://schemas.openxmlformats.org/spreadsheetml/2006/main" count="128" uniqueCount="126">
  <si>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</si>
  <si>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</si>
  <si>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</si>
  <si>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</si>
  <si>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</si>
  <si>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</si>
  <si>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</si>
  <si>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</si>
  <si>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</si>
  <si>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</si>
  <si>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</si>
  <si>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</si>
  <si>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</si>
  <si>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</si>
  <si>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</si>
  <si>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</si>
  <si>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</si>
  <si>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</si>
  <si>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</si>
  <si>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</si>
  <si>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ARQUITECTURA, POC Y SETUP - Infraestructura base, cuentas en proveedores, número activo en Twilio y primera llamada end-to-end (sin LLM). Semanas 1–3.</t>
  </si>
  <si>
    <t xml:space="preserve">Infraestructura base y entornos</t>
  </si>
  <si>
    <t xml:space="preserve">Provisión de instancias en AWS/GCP/Digital Ocean (mínimo 2), entornos dev/staging/prod, repositorio y metodología Scrum de 2 semanas.</t>
  </si>
  <si>
    <t xml:space="preserve">Alta de cuentas en proveedores</t>
  </si>
  <si>
    <t xml:space="preserve">Creación de cuentas en Twilio, Deepgram, ElevenLabs y proveedor de LLM (Anthropic / OpenAI).</t>
  </si>
  <si>
    <t xml:space="preserve">Número telefónico activo en Twilio</t>
  </si>
  <si>
    <t xml:space="preserve">Provisión de número local +57 en Twilio, configuración de SIP Trunk y Media Streams (WebSocket) para el canal PSTN.</t>
  </si>
  <si>
    <t xml:space="preserve">Webhook de llamadas</t>
  </si>
  <si>
    <t xml:space="preserve">Servicio Python/FastAPI que recibe eventos de Twilio/Telnyx (inicio, fin, estado) y gestiona el ciclo de vida de la llamada.</t>
  </si>
  <si>
    <t xml:space="preserve">Primera llamada end-to-end (sin LLM)</t>
  </si>
  <si>
    <t xml:space="preserve">Validación del flujo llamante → Twilio/Telnyx → orquestador → retransmisión de audio, sin integración de STT/LLM/TTS aún.</t>
  </si>
  <si>
    <t xml:space="preserve">PIPELINE DE VOZ BÁSICO - STT con Deepgram, TTS con ElevenLabs y flujo completo STT→TTS sin LLM, con latencia medida. Semanas 4–7.</t>
  </si>
  <si>
    <t xml:space="preserve">Media Stream Handler</t>
  </si>
  <si>
    <t xml:space="preserve">Servicio Python/asyncio + WebSocket que recibe el stream de audio en tiempo real desde el proveedor de telefonía y reenvía los chunks al STT.</t>
  </si>
  <si>
    <t xml:space="preserve">STT Service — Deepgram Nova 2</t>
  </si>
  <si>
    <t xml:space="preserve">Integración con el SDK de Deepgram, streaming por WebSocket, idioma es-419, endpointing automático; latencia objetivo ~200ms.</t>
  </si>
  <si>
    <t xml:space="preserve">TTS Service — ElevenLabs</t>
  </si>
  <si>
    <t xml:space="preserve">Integración con SDK de ElevenLabs + WebSocket, streaming de audio PCM chunk a chunk con voz personalizada; latencia de primera respuesta 200–400ms.</t>
  </si>
  <si>
    <t xml:space="preserve">Medición de latencia end-to-end</t>
  </si>
  <si>
    <t xml:space="preserve">Instrumentación del pipeline STT→TTS para validar el objetivo de latencia extremo-a-extremo menor a 1.5 segundos por turno conversacional.</t>
  </si>
  <si>
    <t xml:space="preserve">INTEGRACIÓN LLM Y CONTEXTO - LLM integrado, manejo de contexto conversacional, prompts base por tipo de agente y detección de barge-in. Semanas 8–12.</t>
  </si>
  <si>
    <t xml:space="preserve">LLM Service</t>
  </si>
  <si>
    <t xml:space="preserve">Integración con Anthropic SDK / OpenAI SDK (Claude Sonnet / GPT-4o); mantiene el historial de conversación, construye el prompt con contexto y retorna la respuesta en streaming (SSE).</t>
  </si>
  <si>
    <t xml:space="preserve">Coordinación del pipeline STT → LLM → TTS</t>
  </si>
  <si>
    <t xml:space="preserve">Buffering inteligente en el orquestador para minimizar la latencia total acumulada entre las tres capas.</t>
  </si>
  <si>
    <t xml:space="preserve">Barge-in detection</t>
  </si>
  <si>
    <t xml:space="preserve">Detección de cuando el usuario interrumpe la respuesta del agente, deteniendo el TTS en curso de forma inmediata.</t>
  </si>
  <si>
    <t xml:space="preserve">End-of-turn detection</t>
  </si>
  <si>
    <t xml:space="preserve">Determinación de cuándo el usuario terminó de hablar, combinando silencio y endpointing de Deepgram.</t>
  </si>
  <si>
    <t xml:space="preserve">Prompts base por tipo de agente</t>
  </si>
  <si>
    <t xml:space="preserve">System prompt configurable por agente dentro del LLM Service, según el caso de uso (atención, cobranza, reservas, etc.).</t>
  </si>
  <si>
    <t xml:space="preserve">ORQUESTADOR ROBUSTO - Manejo de errores, reconexiones, timeouts, logging estructurado, gestión de estado en Redis y pruebas de carga. Semanas 13–16.</t>
  </si>
  <si>
    <t xml:space="preserve">Call Orchestrator (FastAPI + asyncio)</t>
  </si>
  <si>
    <t xml:space="preserve">Servicio central que coordina el flujo completo de la llamada: apertura y cierre de conexiones WebSocket, reconexiones, silencio, timeouts y errores de cada capa.</t>
  </si>
  <si>
    <t xml:space="preserve">Manejo de errores y recuperación</t>
  </si>
  <si>
    <t xml:space="preserve">Los fallos de red en cualquier capa no deben colapsar la llamada; el sistema debe recuperarse o escalar a un agente humano.</t>
  </si>
  <si>
    <t xml:space="preserve">Conversation State Manager (Redis)</t>
  </si>
  <si>
    <t xml:space="preserve">Almacenamiento en Redis del estado de cada llamada activa (turno actual, historial, variables de contexto, timeouts) con TTL ligado a la duración de la llamada.</t>
  </si>
  <si>
    <t xml:space="preserve">Logging estructurado</t>
  </si>
  <si>
    <t xml:space="preserve">Registro de cada evento relevante (transcripción, respuesta del LLM, latencias) para análisis posterior.</t>
  </si>
  <si>
    <t xml:space="preserve">Pruebas de carga y resiliencia</t>
  </si>
  <si>
    <t xml:space="preserve">Validación del orquestador bajo condiciones de fallo parcial, asegurando que el sistema no presente caída total.</t>
  </si>
  <si>
    <t xml:space="preserve">FEATURES AVANZADOS - Llamadas salientes, transferencia a humano, voz clonada, configuración multi-agente y dashboard de métricas. Semanas 17–20.</t>
  </si>
  <si>
    <t xml:space="preserve">Outbound Call Service</t>
  </si>
  <si>
    <t xml:space="preserve">Integración con la API REST de Twilio/Telnyx para iniciar llamadas salientes programáticamente (campañas, recordatorios, cobranzas).</t>
  </si>
  <si>
    <t xml:space="preserve">Transferencia a humano (modo híbrido)</t>
  </si>
  <si>
    <t xml:space="preserve">El agente IA maneja el inicio de la conversación y transfiere la llamada a un humano cuando el caso lo requiere (escalamiento).</t>
  </si>
  <si>
    <t xml:space="preserve">Voz clonada</t>
  </si>
  <si>
    <t xml:space="preserve">Uso del tier Professional de ElevenLabs para generar una voz personalizada del agente.</t>
  </si>
  <si>
    <t xml:space="preserve">Configuración de agente por cliente</t>
  </si>
  <si>
    <t xml:space="preserve">Cada cliente puede configurar su propio agente (voz, prompt, comportamiento) de acuerdo con su necesidad específica.</t>
  </si>
  <si>
    <t xml:space="preserve">Admin &amp; Monitoring API</t>
  </si>
  <si>
    <t xml:space="preserve">Servicio FastAPI + PostgreSQL con endpoints para gestionar configuraciones de agentes, voces y prompts, y ver métricas por llamada.</t>
  </si>
  <si>
    <t xml:space="preserve">Dashboard de métricas</t>
  </si>
  <si>
    <t xml:space="preserve">Panel en React + Recharts para visualizar llamadas activas, duración promedio, tasas de éxito, transcripciones y logs.</t>
  </si>
  <si>
    <t xml:space="preserve">Almacenamiento de llamadas en base de datos</t>
  </si>
  <si>
    <t xml:space="preserve">Historial de llamadas y transcripciones persistido en PostgreSQL.</t>
  </si>
  <si>
    <t xml:space="preserve">Identificación de palabras clave</t>
  </si>
  <si>
    <t xml:space="preserve">Extracción de palabras clave por llamada a partir de las transcripciones almacenadas, disponible en el dashboard.</t>
  </si>
  <si>
    <t xml:space="preserve">PROTOTIPO FINAL Y QA - Pruebas end-to-end, optimización de latencia, demo funcional con caso de uso real y documentación técnica. Semanas 21–24.</t>
  </si>
  <si>
    <t xml:space="preserve">Pruebas E2E</t>
  </si>
  <si>
    <t xml:space="preserve">Validación end-to-end del flujo completo de llamada bajo el caso de uso piloto definido (cobranza, atención al cliente, PQRS, reservas, etc.).</t>
  </si>
  <si>
    <t xml:space="preserve">Optimización de latencia</t>
  </si>
  <si>
    <t xml:space="preserve">Ajuste de buffers y pre-warm de conexiones para sostener el objetivo de latencia menor a 1.5 segundos por turno en escenarios reales.</t>
  </si>
  <si>
    <t xml:space="preserve">Demo funcional entregable</t>
  </si>
  <si>
    <t xml:space="preserve">Demostración con caso de uso real y métricas de desempeño documentadas para el cliente final.</t>
  </si>
  <si>
    <t xml:space="preserve">Documentación técnica</t>
  </si>
  <si>
    <t xml:space="preserve">Documentación de la arquitectura, integraciones y decisiones técnicas tomadas durante el proyecto.</t>
  </si>
  <si>
    <t xml:space="preserve">Consentimiento de grabación</t>
  </si>
  <si>
    <t xml:space="preserve">Inclusión de aviso de consentimiento de grabación al inicio de la llamada, conforme a la Ley 1581 y regulación SIC en Colombia.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</si>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</sst>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\ %"/>
    <numFmt numFmtId="168" formatCode="#,##0"/>
    <numFmt numFmtId="169" formatCode="#,##0_);[RED]#,##0"/>
    <numFmt numFmtId="170" formatCode="0"/>
    <numFmt numFmtId="171" formatCode="\ 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00"/>
      <name val="&quot;Calibri&quot;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47165719.1873278</v>
      </c>
      <c r="Z1" s="3" t="s">
        <v>13</v>
      </c>
      <c r="AA1" s="8" t="s">
        <v>14</v>
      </c>
      <c r="AB1" s="9" t="s">
        <v>15</v>
      </c>
      <c r="AC1" s="10" t="n">
        <f aca="false">SUM(AC2:AC120)</f>
        <v>47165719.1873278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6133650.68870524</v>
      </c>
      <c r="B2" s="12" t="n">
        <v>8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6133650.68870524</v>
      </c>
      <c r="Z2" s="19"/>
      <c r="AA2" s="20"/>
      <c r="AB2" s="21" t="b">
        <f aca="false">TRUE()</f>
        <v>1</v>
      </c>
      <c r="AC2" s="22" t="n">
        <f aca="false">IF(L2="",0,IF(AB2=FALSE(),0,Y2))</f>
        <v>6133650.68870524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1259451.81818182</v>
      </c>
      <c r="B3" s="13"/>
      <c r="C3" s="12" t="n">
        <v>3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1259451.81818182</v>
      </c>
      <c r="Z3" s="19"/>
      <c r="AA3" s="20"/>
      <c r="AB3" s="21" t="b">
        <f aca="false">TRUE()</f>
        <v>1</v>
      </c>
      <c r="AC3" s="22" t="n">
        <f aca="false">IF(L3="",0,IF(AB3=FALSE(),0,Y3))</f>
        <v>1259451.81818182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2020764.04958678</v>
      </c>
      <c r="B4" s="13"/>
      <c r="C4" s="13"/>
      <c r="D4" s="13"/>
      <c r="E4" s="13"/>
      <c r="F4" s="13"/>
      <c r="G4" s="13"/>
      <c r="H4" s="12" t="n">
        <v>5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2020764.04958678</v>
      </c>
      <c r="Z4" s="19"/>
      <c r="AA4" s="23"/>
      <c r="AB4" s="21" t="b">
        <f aca="false">TRUE()</f>
        <v>1</v>
      </c>
      <c r="AC4" s="22" t="n">
        <f aca="false">IF(L4="",0,IF(AB4=FALSE(),0,Y4))</f>
        <v>2020764.04958678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1833979.83471074</v>
      </c>
      <c r="B5" s="14"/>
      <c r="C5" s="14"/>
      <c r="D5" s="14"/>
      <c r="E5" s="14"/>
      <c r="F5" s="14"/>
      <c r="G5" s="14"/>
      <c r="H5" s="14"/>
      <c r="I5" s="14"/>
      <c r="J5" s="14"/>
      <c r="K5" s="14" t="n">
        <v>4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1833979.83471074</v>
      </c>
      <c r="Z5" s="19"/>
      <c r="AA5" s="23"/>
      <c r="AB5" s="21" t="b">
        <f aca="false">TRUE()</f>
        <v>1</v>
      </c>
      <c r="AC5" s="22" t="n">
        <f aca="false">IF(L5="",0,IF(AB5=FALSE(),0,Y5))</f>
        <v>1833979.83471074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1833979.83471074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1833979.83471074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5283729.31129477</v>
      </c>
      <c r="Z8" s="19"/>
      <c r="AA8" s="20"/>
      <c r="AB8" s="21" t="b">
        <f aca="false">TRUE()</f>
        <v>1</v>
      </c>
      <c r="AC8" s="22" t="n">
        <f aca="false">IF(L8="",0,IF(AB8=FALSE(),0,Y8))</f>
        <v>5283729.31129477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1937565.48209366</v>
      </c>
      <c r="B9" s="14" t="n">
        <v>2</v>
      </c>
      <c r="C9" s="14"/>
      <c r="D9" s="14"/>
      <c r="E9" s="14"/>
      <c r="F9" s="14"/>
      <c r="G9" s="14"/>
      <c r="H9" s="14" t="n">
        <v>1</v>
      </c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5283729.31129477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5283729.31129477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202076.404958678</v>
      </c>
      <c r="B11" s="14"/>
      <c r="C11" s="14"/>
      <c r="D11" s="14"/>
      <c r="E11" s="14"/>
      <c r="F11" s="14"/>
      <c r="G11" s="14"/>
      <c r="H11" s="14" t="n">
        <v>0.5</v>
      </c>
      <c r="I11" s="14"/>
      <c r="J11" s="14"/>
      <c r="K11" s="14"/>
      <c r="L11" s="17"/>
      <c r="M11" s="27" t="s">
        <v>23</v>
      </c>
      <c r="N11" s="29"/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5283729.31129477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7"/>
      <c r="M12" s="30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5283729.31129477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882023.140495868</v>
      </c>
      <c r="B13" s="14"/>
      <c r="C13" s="14"/>
      <c r="D13" s="14"/>
      <c r="E13" s="14" t="n">
        <v>1.5</v>
      </c>
      <c r="F13" s="14"/>
      <c r="G13" s="14"/>
      <c r="H13" s="14"/>
      <c r="I13" s="14"/>
      <c r="J13" s="14"/>
      <c r="K13" s="14"/>
      <c r="L13" s="17"/>
      <c r="M13" s="27" t="s">
        <v>25</v>
      </c>
      <c r="N13" s="29"/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5283729.31129477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4"/>
      <c r="M14" s="17"/>
      <c r="N14" s="28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5283729.31129477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1176030.85399449</v>
      </c>
      <c r="B15" s="14"/>
      <c r="C15" s="14"/>
      <c r="D15" s="14"/>
      <c r="E15" s="14" t="n">
        <v>2</v>
      </c>
      <c r="F15" s="14"/>
      <c r="G15" s="14"/>
      <c r="H15" s="14"/>
      <c r="I15" s="14"/>
      <c r="J15" s="14"/>
      <c r="K15" s="14"/>
      <c r="L15" s="17"/>
      <c r="M15" s="27" t="s">
        <v>27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5283729.31129477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17"/>
      <c r="N16" s="28" t="s">
        <v>28</v>
      </c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5283729.31129477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1086033.42975207</v>
      </c>
      <c r="B17" s="14"/>
      <c r="C17" s="14"/>
      <c r="D17" s="14"/>
      <c r="E17" s="14" t="n">
        <v>1.5</v>
      </c>
      <c r="F17" s="14"/>
      <c r="G17" s="14" t="n">
        <v>0.5</v>
      </c>
      <c r="H17" s="14"/>
      <c r="I17" s="14"/>
      <c r="J17" s="14"/>
      <c r="K17" s="14"/>
      <c r="L17" s="17"/>
      <c r="M17" s="27" t="s">
        <v>29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5283729.31129477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5283729.31129477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31" t="s">
        <v>31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6</v>
      </c>
      <c r="Y19" s="18" t="n">
        <f aca="false">SUMIF($X$2:$X$120,X19,$A$2:$A$120)</f>
        <v>5147110.77134986</v>
      </c>
      <c r="Z19" s="19"/>
      <c r="AA19" s="20"/>
      <c r="AB19" s="21" t="b">
        <f aca="false">TRUE()</f>
        <v>1</v>
      </c>
      <c r="AC19" s="22" t="n">
        <f aca="false">IF(L19="",0,IF(AB19=FALSE(),0,Y19))</f>
        <v>5147110.77134986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1470038.56749311</v>
      </c>
      <c r="B20" s="14"/>
      <c r="C20" s="14"/>
      <c r="D20" s="14"/>
      <c r="E20" s="14" t="n">
        <v>2.5</v>
      </c>
      <c r="F20" s="14"/>
      <c r="G20" s="14"/>
      <c r="H20" s="14"/>
      <c r="I20" s="14"/>
      <c r="J20" s="14"/>
      <c r="K20" s="14"/>
      <c r="L20" s="17"/>
      <c r="M20" s="27" t="s">
        <v>32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6</v>
      </c>
      <c r="Y20" s="18" t="n">
        <f aca="false">SUMIF($X$2:$X$120,X20,$A$2:$A$120)</f>
        <v>5147110.77134986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7"/>
      <c r="M21" s="17"/>
      <c r="N21" s="28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6</v>
      </c>
      <c r="Y21" s="18" t="n">
        <f aca="false">SUMIF($X$2:$X$120,X21,$A$2:$A$120)</f>
        <v>5147110.77134986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1634525.81267218</v>
      </c>
      <c r="B22" s="14"/>
      <c r="C22" s="14"/>
      <c r="D22" s="14"/>
      <c r="E22" s="14" t="n">
        <v>2</v>
      </c>
      <c r="F22" s="14"/>
      <c r="G22" s="14"/>
      <c r="H22" s="14"/>
      <c r="I22" s="14"/>
      <c r="J22" s="14"/>
      <c r="K22" s="14" t="n">
        <v>1</v>
      </c>
      <c r="L22" s="17"/>
      <c r="M22" s="27" t="s">
        <v>34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6</v>
      </c>
      <c r="Y22" s="18" t="n">
        <f aca="false">SUMIF($X$2:$X$120,X22,$A$2:$A$120)</f>
        <v>5147110.77134986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7"/>
      <c r="M23" s="17"/>
      <c r="N23" s="28" t="s">
        <v>35</v>
      </c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6</v>
      </c>
      <c r="Y23" s="18" t="n">
        <f aca="false">SUMIF($X$2:$X$120,X23,$A$2:$A$120)</f>
        <v>5147110.77134986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1634525.81267218</v>
      </c>
      <c r="B24" s="14"/>
      <c r="C24" s="14"/>
      <c r="D24" s="14"/>
      <c r="E24" s="14" t="n">
        <v>2</v>
      </c>
      <c r="F24" s="14"/>
      <c r="G24" s="14"/>
      <c r="H24" s="14"/>
      <c r="I24" s="14"/>
      <c r="J24" s="14"/>
      <c r="K24" s="14" t="n">
        <v>1</v>
      </c>
      <c r="L24" s="17"/>
      <c r="M24" s="32" t="s">
        <v>36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6</v>
      </c>
      <c r="Y24" s="18" t="n">
        <f aca="false">SUMIF($X$2:$X$120,X24,$A$2:$A$120)</f>
        <v>5147110.77134986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24"/>
      <c r="M25" s="17"/>
      <c r="N25" s="28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6</v>
      </c>
      <c r="Y25" s="18" t="n">
        <f aca="false">SUMIF($X$2:$X$120,X25,$A$2:$A$120)</f>
        <v>5147110.77134986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408020.578512397</v>
      </c>
      <c r="B26" s="14"/>
      <c r="C26" s="14"/>
      <c r="D26" s="14"/>
      <c r="E26" s="14"/>
      <c r="F26" s="14"/>
      <c r="G26" s="14" t="n">
        <v>1</v>
      </c>
      <c r="H26" s="14"/>
      <c r="I26" s="14"/>
      <c r="J26" s="14"/>
      <c r="K26" s="14"/>
      <c r="L26" s="24"/>
      <c r="M26" s="27" t="s">
        <v>38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6</v>
      </c>
      <c r="Y26" s="18" t="n">
        <f aca="false">SUMIF($X$2:$X$120,X26,$A$2:$A$120)</f>
        <v>5147110.77134986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24"/>
      <c r="M27" s="17"/>
      <c r="N27" s="28" t="s">
        <v>39</v>
      </c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6</v>
      </c>
      <c r="Y27" s="18" t="n">
        <f aca="false">SUMIF($X$2:$X$120,X27,$A$2:$A$120)</f>
        <v>5147110.77134986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31" t="s">
        <v>40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7</v>
      </c>
      <c r="Y28" s="18" t="n">
        <f aca="false">SUMIF($X$2:$X$120,X28,$A$2:$A$120)</f>
        <v>6573070.02754821</v>
      </c>
      <c r="Z28" s="19"/>
      <c r="AA28" s="20"/>
      <c r="AB28" s="21" t="b">
        <f aca="false">TRUE()</f>
        <v>1</v>
      </c>
      <c r="AC28" s="22" t="n">
        <f aca="false">IF(L28="",0,IF(AB28=FALSE(),0,Y28))</f>
        <v>6573070.02754821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1963500.3030303</v>
      </c>
      <c r="B29" s="14"/>
      <c r="C29" s="14"/>
      <c r="D29" s="14"/>
      <c r="E29" s="14" t="n">
        <v>1</v>
      </c>
      <c r="F29" s="14"/>
      <c r="G29" s="14"/>
      <c r="H29" s="14"/>
      <c r="I29" s="14"/>
      <c r="J29" s="14"/>
      <c r="K29" s="14" t="n">
        <v>3</v>
      </c>
      <c r="L29" s="24"/>
      <c r="M29" s="27" t="s">
        <v>41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7</v>
      </c>
      <c r="Y29" s="18" t="n">
        <f aca="false">SUMIF($X$2:$X$120,X29,$A$2:$A$120)</f>
        <v>6573070.02754821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4"/>
      <c r="M30" s="17"/>
      <c r="N30" s="28" t="s">
        <v>42</v>
      </c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7</v>
      </c>
      <c r="Y30" s="18" t="n">
        <f aca="false">SUMIF($X$2:$X$120,X30,$A$2:$A$120)</f>
        <v>6573070.02754821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1634525.81267218</v>
      </c>
      <c r="B31" s="14"/>
      <c r="C31" s="14"/>
      <c r="D31" s="14"/>
      <c r="E31" s="14" t="n">
        <v>2</v>
      </c>
      <c r="F31" s="14"/>
      <c r="G31" s="14"/>
      <c r="H31" s="14"/>
      <c r="I31" s="14"/>
      <c r="J31" s="14"/>
      <c r="K31" s="14" t="n">
        <v>1</v>
      </c>
      <c r="L31" s="24"/>
      <c r="M31" s="27" t="s">
        <v>43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7</v>
      </c>
      <c r="Y31" s="18" t="n">
        <f aca="false">SUMIF($X$2:$X$120,X31,$A$2:$A$120)</f>
        <v>6573070.02754821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/>
      <c r="M32" s="17"/>
      <c r="N32" s="28" t="s">
        <v>44</v>
      </c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7</v>
      </c>
      <c r="Y32" s="18" t="n">
        <f aca="false">SUMIF($X$2:$X$120,X32,$A$2:$A$120)</f>
        <v>6573070.02754821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1176030.85399449</v>
      </c>
      <c r="B33" s="14"/>
      <c r="C33" s="14"/>
      <c r="D33" s="14"/>
      <c r="E33" s="14" t="n">
        <v>2</v>
      </c>
      <c r="F33" s="14"/>
      <c r="G33" s="14"/>
      <c r="H33" s="14"/>
      <c r="I33" s="14"/>
      <c r="J33" s="14"/>
      <c r="K33" s="14"/>
      <c r="L33" s="24"/>
      <c r="M33" s="27" t="s">
        <v>45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7</v>
      </c>
      <c r="Y33" s="18" t="n">
        <f aca="false">SUMIF($X$2:$X$120,X33,$A$2:$A$120)</f>
        <v>6573070.02754821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28" t="s">
        <v>46</v>
      </c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7</v>
      </c>
      <c r="Y34" s="18" t="n">
        <f aca="false">SUMIF($X$2:$X$120,X34,$A$2:$A$120)</f>
        <v>6573070.02754821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882023.140495868</v>
      </c>
      <c r="B35" s="14"/>
      <c r="C35" s="14"/>
      <c r="D35" s="14"/>
      <c r="E35" s="14" t="n">
        <v>1.5</v>
      </c>
      <c r="F35" s="14"/>
      <c r="G35" s="14"/>
      <c r="H35" s="14"/>
      <c r="I35" s="14"/>
      <c r="J35" s="14"/>
      <c r="K35" s="14"/>
      <c r="L35" s="24"/>
      <c r="M35" s="27" t="s">
        <v>47</v>
      </c>
      <c r="N35" s="33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7</v>
      </c>
      <c r="Y35" s="18" t="n">
        <f aca="false">SUMIF($X$2:$X$120,X35,$A$2:$A$120)</f>
        <v>6573070.02754821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28" t="s">
        <v>48</v>
      </c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7</v>
      </c>
      <c r="Y36" s="18" t="n">
        <f aca="false">SUMIF($X$2:$X$120,X36,$A$2:$A$120)</f>
        <v>6573070.02754821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916989.917355372</v>
      </c>
      <c r="B37" s="14"/>
      <c r="C37" s="14"/>
      <c r="D37" s="14"/>
      <c r="E37" s="14"/>
      <c r="F37" s="14"/>
      <c r="G37" s="14"/>
      <c r="H37" s="14"/>
      <c r="I37" s="14"/>
      <c r="J37" s="14"/>
      <c r="K37" s="14" t="n">
        <v>2</v>
      </c>
      <c r="L37" s="24"/>
      <c r="M37" s="27" t="s">
        <v>49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7</v>
      </c>
      <c r="Y37" s="18" t="n">
        <f aca="false">SUMIF($X$2:$X$120,X37,$A$2:$A$120)</f>
        <v>6573070.02754821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28" t="s">
        <v>50</v>
      </c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7</v>
      </c>
      <c r="Y38" s="18" t="n">
        <f aca="false">SUMIF($X$2:$X$120,X38,$A$2:$A$120)</f>
        <v>6573070.02754821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4"/>
      <c r="AE38" s="34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31" t="s">
        <v>51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8</v>
      </c>
      <c r="Y39" s="18" t="n">
        <f aca="false">SUMIF($X$2:$X$120,X39,$A$2:$A$120)</f>
        <v>5649125.64738292</v>
      </c>
      <c r="Z39" s="19"/>
      <c r="AA39" s="20"/>
      <c r="AB39" s="21" t="b">
        <f aca="false">TRUE()</f>
        <v>1</v>
      </c>
      <c r="AC39" s="22" t="n">
        <f aca="false">IF(L39="",0,IF(AB39=FALSE(),0,Y39))</f>
        <v>5649125.64738292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1764046.28099174</v>
      </c>
      <c r="B40" s="14"/>
      <c r="C40" s="14"/>
      <c r="D40" s="14"/>
      <c r="E40" s="14" t="n">
        <v>3</v>
      </c>
      <c r="F40" s="14"/>
      <c r="G40" s="14"/>
      <c r="H40" s="14"/>
      <c r="I40" s="14"/>
      <c r="J40" s="14"/>
      <c r="K40" s="14"/>
      <c r="L40" s="24"/>
      <c r="M40" s="27" t="s">
        <v>52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8</v>
      </c>
      <c r="Y40" s="18" t="n">
        <f aca="false">SUMIF($X$2:$X$120,X40,$A$2:$A$120)</f>
        <v>5649125.64738292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4"/>
      <c r="AE40" s="34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28" t="s">
        <v>53</v>
      </c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8</v>
      </c>
      <c r="Y41" s="18" t="n">
        <f aca="false">SUMIF($X$2:$X$120,X41,$A$2:$A$120)</f>
        <v>5649125.64738292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4"/>
      <c r="AE41" s="34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1584051.43250689</v>
      </c>
      <c r="B42" s="14"/>
      <c r="C42" s="14"/>
      <c r="D42" s="14"/>
      <c r="E42" s="14" t="n">
        <v>2</v>
      </c>
      <c r="F42" s="14"/>
      <c r="G42" s="14" t="n">
        <v>1</v>
      </c>
      <c r="H42" s="14"/>
      <c r="I42" s="14"/>
      <c r="J42" s="14"/>
      <c r="K42" s="14"/>
      <c r="L42" s="24"/>
      <c r="M42" s="27" t="s">
        <v>54</v>
      </c>
      <c r="N42" s="35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8</v>
      </c>
      <c r="Y42" s="18" t="n">
        <f aca="false">SUMIF($X$2:$X$120,X42,$A$2:$A$120)</f>
        <v>5649125.64738292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28" t="s">
        <v>55</v>
      </c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8</v>
      </c>
      <c r="Y43" s="18" t="n">
        <f aca="false">SUMIF($X$2:$X$120,X43,$A$2:$A$120)</f>
        <v>5649125.64738292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989991.184573003</v>
      </c>
      <c r="B44" s="14"/>
      <c r="C44" s="14"/>
      <c r="D44" s="14"/>
      <c r="E44" s="14"/>
      <c r="F44" s="14" t="n">
        <v>2</v>
      </c>
      <c r="G44" s="14"/>
      <c r="H44" s="14"/>
      <c r="I44" s="14"/>
      <c r="J44" s="14"/>
      <c r="K44" s="14"/>
      <c r="L44" s="24"/>
      <c r="M44" s="27" t="s">
        <v>56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8</v>
      </c>
      <c r="Y44" s="18" t="n">
        <f aca="false">SUMIF($X$2:$X$120,X44,$A$2:$A$120)</f>
        <v>5649125.64738292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28" t="s">
        <v>57</v>
      </c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8</v>
      </c>
      <c r="Y45" s="18" t="n">
        <f aca="false">SUMIF($X$2:$X$120,X45,$A$2:$A$120)</f>
        <v>5649125.64738292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494995.592286501</v>
      </c>
      <c r="B46" s="14"/>
      <c r="C46" s="14"/>
      <c r="D46" s="14"/>
      <c r="E46" s="14"/>
      <c r="F46" s="14" t="n">
        <v>1</v>
      </c>
      <c r="G46" s="14"/>
      <c r="H46" s="14"/>
      <c r="I46" s="14"/>
      <c r="J46" s="14"/>
      <c r="K46" s="14"/>
      <c r="L46" s="24"/>
      <c r="M46" s="27" t="s">
        <v>58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8</v>
      </c>
      <c r="Y46" s="18" t="n">
        <f aca="false">SUMIF($X$2:$X$120,X46,$A$2:$A$120)</f>
        <v>5649125.64738292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28" t="s">
        <v>59</v>
      </c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8</v>
      </c>
      <c r="Y47" s="18" t="n">
        <f aca="false">SUMIF($X$2:$X$120,X47,$A$2:$A$120)</f>
        <v>5649125.64738292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816041.157024793</v>
      </c>
      <c r="B48" s="14"/>
      <c r="C48" s="14"/>
      <c r="D48" s="14"/>
      <c r="E48" s="14"/>
      <c r="F48" s="14"/>
      <c r="G48" s="14" t="n">
        <v>2</v>
      </c>
      <c r="H48" s="14"/>
      <c r="I48" s="14"/>
      <c r="J48" s="14"/>
      <c r="K48" s="14"/>
      <c r="L48" s="24"/>
      <c r="M48" s="27" t="s">
        <v>60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8</v>
      </c>
      <c r="Y48" s="18" t="n">
        <f aca="false">SUMIF($X$2:$X$120,X48,$A$2:$A$120)</f>
        <v>5649125.64738292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4"/>
      <c r="AE48" s="34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28" t="s">
        <v>61</v>
      </c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8</v>
      </c>
      <c r="Y49" s="18" t="n">
        <f aca="false">SUMIF($X$2:$X$120,X49,$A$2:$A$120)</f>
        <v>5649125.64738292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4"/>
      <c r="AE49" s="34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31" t="s">
        <v>62</v>
      </c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9</v>
      </c>
      <c r="Y50" s="18" t="n">
        <f aca="false">SUMIF($X$2:$X$120,X50,$A$2:$A$120)</f>
        <v>9310532.13498623</v>
      </c>
      <c r="Z50" s="19"/>
      <c r="AA50" s="20"/>
      <c r="AB50" s="21" t="b">
        <f aca="false">TRUE()</f>
        <v>1</v>
      </c>
      <c r="AC50" s="22" t="n">
        <f aca="false">IF(L50="",0,IF(AB50=FALSE(),0,Y50))</f>
        <v>9310532.13498623</v>
      </c>
      <c r="AD50" s="34"/>
      <c r="AE50" s="34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882023.140495868</v>
      </c>
      <c r="B51" s="14"/>
      <c r="C51" s="14"/>
      <c r="D51" s="14"/>
      <c r="E51" s="14" t="n">
        <v>1.5</v>
      </c>
      <c r="F51" s="14"/>
      <c r="G51" s="14"/>
      <c r="H51" s="14"/>
      <c r="I51" s="14"/>
      <c r="J51" s="14"/>
      <c r="K51" s="14"/>
      <c r="L51" s="24"/>
      <c r="M51" s="27" t="s">
        <v>63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9</v>
      </c>
      <c r="Y51" s="18" t="n">
        <f aca="false">SUMIF($X$2:$X$120,X51,$A$2:$A$120)</f>
        <v>9310532.13498623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4"/>
      <c r="AE51" s="34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28" t="s">
        <v>64</v>
      </c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9</v>
      </c>
      <c r="Y52" s="18" t="n">
        <f aca="false">SUMIF($X$2:$X$120,X52,$A$2:$A$120)</f>
        <v>9310532.13498623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4"/>
      <c r="AE52" s="34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1176030.85399449</v>
      </c>
      <c r="B53" s="14"/>
      <c r="C53" s="14"/>
      <c r="D53" s="14"/>
      <c r="E53" s="14" t="n">
        <v>2</v>
      </c>
      <c r="F53" s="14"/>
      <c r="G53" s="14"/>
      <c r="H53" s="14"/>
      <c r="I53" s="14"/>
      <c r="J53" s="14"/>
      <c r="K53" s="14"/>
      <c r="L53" s="24"/>
      <c r="M53" s="27" t="s">
        <v>65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9</v>
      </c>
      <c r="Y53" s="18" t="n">
        <f aca="false">SUMIF($X$2:$X$120,X53,$A$2:$A$120)</f>
        <v>9310532.13498623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4"/>
      <c r="AE53" s="34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28" t="s">
        <v>66</v>
      </c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9</v>
      </c>
      <c r="Y54" s="18" t="n">
        <f aca="false">SUMIF($X$2:$X$120,X54,$A$2:$A$120)</f>
        <v>9310532.13498623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4"/>
      <c r="AE54" s="34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458494.958677686</v>
      </c>
      <c r="B55" s="14"/>
      <c r="C55" s="14"/>
      <c r="D55" s="14"/>
      <c r="E55" s="14"/>
      <c r="F55" s="14"/>
      <c r="G55" s="14"/>
      <c r="H55" s="14"/>
      <c r="I55" s="14"/>
      <c r="J55" s="14"/>
      <c r="K55" s="14" t="n">
        <v>1</v>
      </c>
      <c r="L55" s="24"/>
      <c r="M55" s="27" t="s">
        <v>67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9</v>
      </c>
      <c r="Y55" s="18" t="n">
        <f aca="false">SUMIF($X$2:$X$120,X55,$A$2:$A$120)</f>
        <v>9310532.13498623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4"/>
      <c r="AE55" s="34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28" t="s">
        <v>68</v>
      </c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9</v>
      </c>
      <c r="Y56" s="18" t="n">
        <f aca="false">SUMIF($X$2:$X$120,X56,$A$2:$A$120)</f>
        <v>9310532.13498623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4"/>
      <c r="AE56" s="34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1340518.09917355</v>
      </c>
      <c r="B57" s="14"/>
      <c r="C57" s="14"/>
      <c r="D57" s="14"/>
      <c r="E57" s="14" t="n">
        <v>1.5</v>
      </c>
      <c r="F57" s="14"/>
      <c r="G57" s="14"/>
      <c r="H57" s="14"/>
      <c r="I57" s="14"/>
      <c r="J57" s="14"/>
      <c r="K57" s="14" t="n">
        <v>1</v>
      </c>
      <c r="L57" s="24"/>
      <c r="M57" s="27" t="s">
        <v>69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9</v>
      </c>
      <c r="Y57" s="18" t="n">
        <f aca="false">SUMIF($X$2:$X$120,X57,$A$2:$A$120)</f>
        <v>9310532.13498623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4"/>
      <c r="AE57" s="34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28" t="s">
        <v>70</v>
      </c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9</v>
      </c>
      <c r="Y58" s="18" t="n">
        <f aca="false">SUMIF($X$2:$X$120,X58,$A$2:$A$120)</f>
        <v>9310532.13498623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4"/>
      <c r="AE58" s="34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1484986.7768595</v>
      </c>
      <c r="B59" s="14"/>
      <c r="C59" s="14"/>
      <c r="D59" s="14"/>
      <c r="E59" s="14"/>
      <c r="F59" s="14" t="n">
        <v>3</v>
      </c>
      <c r="G59" s="14"/>
      <c r="H59" s="14"/>
      <c r="I59" s="14"/>
      <c r="J59" s="14"/>
      <c r="K59" s="14"/>
      <c r="L59" s="24"/>
      <c r="M59" s="27" t="s">
        <v>71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9</v>
      </c>
      <c r="Y59" s="18" t="n">
        <f aca="false">SUMIF($X$2:$X$120,X59,$A$2:$A$120)</f>
        <v>9310532.13498623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4"/>
      <c r="AE59" s="34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28" t="s">
        <v>72</v>
      </c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9</v>
      </c>
      <c r="Y60" s="18" t="n">
        <f aca="false">SUMIF($X$2:$X$120,X60,$A$2:$A$120)</f>
        <v>9310532.13498623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4"/>
      <c r="AE60" s="34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2308995</v>
      </c>
      <c r="B61" s="14"/>
      <c r="C61" s="14" t="n">
        <v>1.5</v>
      </c>
      <c r="D61" s="14" t="n">
        <v>4</v>
      </c>
      <c r="E61" s="14"/>
      <c r="F61" s="14"/>
      <c r="G61" s="14"/>
      <c r="H61" s="14"/>
      <c r="I61" s="14"/>
      <c r="J61" s="14"/>
      <c r="K61" s="14"/>
      <c r="L61" s="24"/>
      <c r="M61" s="27" t="s">
        <v>73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9</v>
      </c>
      <c r="Y61" s="18" t="n">
        <f aca="false">SUMIF($X$2:$X$120,X61,$A$2:$A$120)</f>
        <v>9310532.13498623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4"/>
      <c r="AE61" s="34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28" t="s">
        <v>74</v>
      </c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9</v>
      </c>
      <c r="Y62" s="18" t="n">
        <f aca="false">SUMIF($X$2:$X$120,X62,$A$2:$A$120)</f>
        <v>9310532.13498623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4"/>
      <c r="AE62" s="34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742493.388429752</v>
      </c>
      <c r="B63" s="14"/>
      <c r="C63" s="14"/>
      <c r="D63" s="14"/>
      <c r="E63" s="14"/>
      <c r="F63" s="14" t="n">
        <v>1.5</v>
      </c>
      <c r="G63" s="14"/>
      <c r="H63" s="14"/>
      <c r="I63" s="14"/>
      <c r="J63" s="14"/>
      <c r="K63" s="14"/>
      <c r="L63" s="24"/>
      <c r="M63" s="27" t="s">
        <v>75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9</v>
      </c>
      <c r="Y63" s="18" t="n">
        <f aca="false">SUMIF($X$2:$X$120,X63,$A$2:$A$120)</f>
        <v>9310532.13498623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4"/>
      <c r="AE63" s="34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28" t="s">
        <v>76</v>
      </c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9</v>
      </c>
      <c r="Y64" s="18" t="n">
        <f aca="false">SUMIF($X$2:$X$120,X64,$A$2:$A$120)</f>
        <v>9310532.13498623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916989.917355372</v>
      </c>
      <c r="B65" s="14"/>
      <c r="C65" s="14"/>
      <c r="D65" s="14"/>
      <c r="E65" s="14"/>
      <c r="F65" s="14"/>
      <c r="G65" s="14"/>
      <c r="H65" s="14"/>
      <c r="I65" s="14"/>
      <c r="J65" s="14"/>
      <c r="K65" s="14" t="n">
        <v>2</v>
      </c>
      <c r="L65" s="24"/>
      <c r="M65" s="27" t="s">
        <v>77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9</v>
      </c>
      <c r="Y65" s="18" t="n">
        <f aca="false">SUMIF($X$2:$X$120,X65,$A$2:$A$120)</f>
        <v>9310532.13498623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4"/>
      <c r="AE65" s="34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28" t="s">
        <v>78</v>
      </c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9</v>
      </c>
      <c r="Y66" s="18" t="n">
        <f aca="false">SUMIF($X$2:$X$120,X66,$A$2:$A$120)</f>
        <v>9310532.13498623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4"/>
      <c r="AE66" s="34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31" t="s">
        <v>79</v>
      </c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10</v>
      </c>
      <c r="Y67" s="18" t="n">
        <f aca="false">SUMIF($X$2:$X$120,X67,$A$2:$A$120)</f>
        <v>3954304.90358127</v>
      </c>
      <c r="Z67" s="19"/>
      <c r="AA67" s="20"/>
      <c r="AB67" s="21" t="b">
        <f aca="false">TRUE()</f>
        <v>1</v>
      </c>
      <c r="AC67" s="22" t="n">
        <f aca="false">IF(L67="",0,IF(AB67=FALSE(),0,Y67))</f>
        <v>3954304.90358127</v>
      </c>
      <c r="AD67" s="34"/>
      <c r="AE67" s="34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1224061.73553719</v>
      </c>
      <c r="B68" s="14"/>
      <c r="C68" s="14"/>
      <c r="D68" s="14"/>
      <c r="E68" s="14"/>
      <c r="F68" s="14"/>
      <c r="G68" s="14" t="n">
        <v>3</v>
      </c>
      <c r="H68" s="14"/>
      <c r="I68" s="14"/>
      <c r="J68" s="14"/>
      <c r="K68" s="14"/>
      <c r="L68" s="24"/>
      <c r="M68" s="27" t="s">
        <v>80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10</v>
      </c>
      <c r="Y68" s="18" t="n">
        <f aca="false">SUMIF($X$2:$X$120,X68,$A$2:$A$120)</f>
        <v>3954304.90358127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4"/>
      <c r="AE68" s="34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28" t="s">
        <v>81</v>
      </c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10</v>
      </c>
      <c r="Y69" s="18" t="n">
        <f aca="false">SUMIF($X$2:$X$120,X69,$A$2:$A$120)</f>
        <v>3954304.90358127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4"/>
      <c r="AE69" s="34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882023.140495868</v>
      </c>
      <c r="B70" s="14"/>
      <c r="C70" s="14"/>
      <c r="D70" s="14"/>
      <c r="E70" s="14" t="n">
        <v>1.5</v>
      </c>
      <c r="F70" s="14"/>
      <c r="G70" s="14"/>
      <c r="H70" s="14"/>
      <c r="I70" s="14"/>
      <c r="J70" s="14"/>
      <c r="K70" s="14"/>
      <c r="L70" s="24"/>
      <c r="M70" s="27" t="s">
        <v>82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10</v>
      </c>
      <c r="Y70" s="18" t="n">
        <f aca="false">SUMIF($X$2:$X$120,X70,$A$2:$A$120)</f>
        <v>3954304.90358127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4"/>
      <c r="AE70" s="34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28" t="s">
        <v>83</v>
      </c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10</v>
      </c>
      <c r="Y71" s="18" t="n">
        <f aca="false">SUMIF($X$2:$X$120,X71,$A$2:$A$120)</f>
        <v>3954304.90358127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4"/>
      <c r="AE71" s="34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404152.809917355</v>
      </c>
      <c r="B72" s="14"/>
      <c r="C72" s="14"/>
      <c r="D72" s="14"/>
      <c r="E72" s="14"/>
      <c r="F72" s="14"/>
      <c r="G72" s="14"/>
      <c r="H72" s="14" t="n">
        <v>1</v>
      </c>
      <c r="I72" s="14"/>
      <c r="J72" s="14"/>
      <c r="K72" s="14"/>
      <c r="L72" s="24"/>
      <c r="M72" s="27" t="s">
        <v>84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10</v>
      </c>
      <c r="Y72" s="18" t="n">
        <f aca="false">SUMIF($X$2:$X$120,X72,$A$2:$A$120)</f>
        <v>3954304.90358127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4"/>
      <c r="AE72" s="34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28" t="s">
        <v>85</v>
      </c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10</v>
      </c>
      <c r="Y73" s="18" t="n">
        <f aca="false">SUMIF($X$2:$X$120,X73,$A$2:$A$120)</f>
        <v>3954304.90358127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4"/>
      <c r="AE73" s="34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1150059.50413223</v>
      </c>
      <c r="B74" s="14" t="n">
        <v>1.5</v>
      </c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7" t="s">
        <v>86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10</v>
      </c>
      <c r="Y74" s="18" t="n">
        <f aca="false">SUMIF($X$2:$X$120,X74,$A$2:$A$120)</f>
        <v>3954304.90358127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4"/>
      <c r="AE74" s="34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28" t="s">
        <v>87</v>
      </c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10</v>
      </c>
      <c r="Y75" s="18" t="n">
        <f aca="false">SUMIF($X$2:$X$120,X75,$A$2:$A$120)</f>
        <v>3954304.90358127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294007.713498623</v>
      </c>
      <c r="B76" s="14"/>
      <c r="C76" s="14"/>
      <c r="D76" s="14"/>
      <c r="E76" s="14" t="n">
        <v>0.5</v>
      </c>
      <c r="F76" s="14"/>
      <c r="G76" s="14"/>
      <c r="H76" s="14"/>
      <c r="I76" s="14"/>
      <c r="J76" s="14"/>
      <c r="K76" s="14"/>
      <c r="L76" s="24"/>
      <c r="M76" s="27" t="s">
        <v>88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10</v>
      </c>
      <c r="Y76" s="18" t="n">
        <f aca="false">SUMIF($X$2:$X$120,X76,$A$2:$A$120)</f>
        <v>3954304.90358127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28" t="s">
        <v>89</v>
      </c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10</v>
      </c>
      <c r="Y77" s="18" t="n">
        <f aca="false">SUMIF($X$2:$X$120,X77,$A$2:$A$120)</f>
        <v>3954304.90358127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10</v>
      </c>
      <c r="Y78" s="18" t="n">
        <f aca="false">SUMIF($X$2:$X$120,X78,$A$2:$A$120)</f>
        <v>3954304.90358127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10</v>
      </c>
      <c r="Y79" s="18" t="n">
        <f aca="false">SUMIF($X$2:$X$120,X79,$A$2:$A$120)</f>
        <v>3954304.90358127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10</v>
      </c>
      <c r="Y80" s="18" t="n">
        <f aca="false">SUMIF($X$2:$X$120,X80,$A$2:$A$120)</f>
        <v>3954304.90358127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10</v>
      </c>
      <c r="Y81" s="18" t="n">
        <f aca="false">SUMIF($X$2:$X$120,X81,$A$2:$A$120)</f>
        <v>3954304.90358127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10</v>
      </c>
      <c r="Y82" s="18" t="n">
        <f aca="false">SUMIF($X$2:$X$120,X82,$A$2:$A$120)</f>
        <v>3954304.90358127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10</v>
      </c>
      <c r="Y83" s="18" t="n">
        <f aca="false">SUMIF($X$2:$X$120,X83,$A$2:$A$120)</f>
        <v>3954304.90358127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10</v>
      </c>
      <c r="Y84" s="18" t="n">
        <f aca="false">SUMIF($X$2:$X$120,X84,$A$2:$A$120)</f>
        <v>3954304.90358127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10</v>
      </c>
      <c r="Y85" s="18" t="n">
        <f aca="false">SUMIF($X$2:$X$120,X85,$A$2:$A$120)</f>
        <v>3954304.90358127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4"/>
      <c r="AE85" s="34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10</v>
      </c>
      <c r="Y86" s="18" t="n">
        <f aca="false">SUMIF($X$2:$X$120,X86,$A$2:$A$120)</f>
        <v>3954304.90358127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4"/>
      <c r="AE86" s="34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10</v>
      </c>
      <c r="Y87" s="18" t="n">
        <f aca="false">SUMIF($X$2:$X$120,X87,$A$2:$A$120)</f>
        <v>3954304.90358127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4"/>
      <c r="AE87" s="34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10</v>
      </c>
      <c r="Y88" s="18" t="n">
        <f aca="false">SUMIF($X$2:$X$120,X88,$A$2:$A$120)</f>
        <v>3954304.90358127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4"/>
      <c r="AE88" s="34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10</v>
      </c>
      <c r="Y89" s="18" t="n">
        <f aca="false">SUMIF($X$2:$X$120,X89,$A$2:$A$120)</f>
        <v>3954304.90358127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4"/>
      <c r="AE89" s="34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10</v>
      </c>
      <c r="Y90" s="18" t="n">
        <f aca="false">SUMIF($X$2:$X$120,X90,$A$2:$A$120)</f>
        <v>3954304.90358127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4"/>
      <c r="AE90" s="34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10</v>
      </c>
      <c r="Y91" s="18" t="n">
        <f aca="false">SUMIF($X$2:$X$120,X91,$A$2:$A$120)</f>
        <v>3954304.90358127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4"/>
      <c r="AE91" s="34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10</v>
      </c>
      <c r="Y92" s="18" t="n">
        <f aca="false">SUMIF($X$2:$X$120,X92,$A$2:$A$120)</f>
        <v>3954304.90358127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4"/>
      <c r="AE92" s="34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10</v>
      </c>
      <c r="Y93" s="18" t="n">
        <f aca="false">SUMIF($X$2:$X$120,X93,$A$2:$A$120)</f>
        <v>3954304.90358127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4"/>
      <c r="AE93" s="34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10</v>
      </c>
      <c r="Y94" s="18" t="n">
        <f aca="false">SUMIF($X$2:$X$120,X94,$A$2:$A$120)</f>
        <v>3954304.90358127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4"/>
      <c r="AE94" s="34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10</v>
      </c>
      <c r="Y95" s="18" t="n">
        <f aca="false">SUMIF($X$2:$X$120,X95,$A$2:$A$120)</f>
        <v>3954304.90358127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4"/>
      <c r="AE95" s="34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10</v>
      </c>
      <c r="Y96" s="18" t="n">
        <f aca="false">SUMIF($X$2:$X$120,X96,$A$2:$A$120)</f>
        <v>3954304.90358127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4"/>
      <c r="AE96" s="34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10</v>
      </c>
      <c r="Y97" s="18" t="n">
        <f aca="false">SUMIF($X$2:$X$120,X97,$A$2:$A$120)</f>
        <v>3954304.90358127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4"/>
      <c r="AE97" s="34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10</v>
      </c>
      <c r="Y98" s="18" t="n">
        <f aca="false">SUMIF($X$2:$X$120,X98,$A$2:$A$120)</f>
        <v>3954304.90358127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4"/>
      <c r="AE98" s="34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10</v>
      </c>
      <c r="Y99" s="18" t="n">
        <f aca="false">SUMIF($X$2:$X$120,X99,$A$2:$A$120)</f>
        <v>3954304.90358127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4"/>
      <c r="AE99" s="34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10</v>
      </c>
      <c r="Y100" s="18" t="n">
        <f aca="false">SUMIF($X$2:$X$120,X100,$A$2:$A$120)</f>
        <v>3954304.90358127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4"/>
      <c r="AE100" s="34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10</v>
      </c>
      <c r="Y101" s="18" t="n">
        <f aca="false">SUMIF($X$2:$X$120,X101,$A$2:$A$120)</f>
        <v>3954304.90358127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10</v>
      </c>
      <c r="Y102" s="18" t="n">
        <f aca="false">SUMIF($X$2:$X$120,X102,$A$2:$A$120)</f>
        <v>3954304.90358127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10</v>
      </c>
      <c r="Y103" s="18" t="n">
        <f aca="false">SUMIF($X$2:$X$120,X103,$A$2:$A$120)</f>
        <v>3954304.90358127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4"/>
      <c r="AE103" s="34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10</v>
      </c>
      <c r="Y104" s="18" t="n">
        <f aca="false">SUMIF($X$2:$X$120,X104,$A$2:$A$120)</f>
        <v>3954304.90358127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4"/>
      <c r="AE104" s="34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10</v>
      </c>
      <c r="Y105" s="18" t="n">
        <f aca="false">SUMIF($X$2:$X$120,X105,$A$2:$A$120)</f>
        <v>3954304.90358127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4"/>
      <c r="AE105" s="34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10</v>
      </c>
      <c r="Y106" s="18" t="n">
        <f aca="false">SUMIF($X$2:$X$120,X106,$A$2:$A$120)</f>
        <v>3954304.90358127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4"/>
      <c r="AE106" s="34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10</v>
      </c>
      <c r="Y107" s="18" t="n">
        <f aca="false">SUMIF($X$2:$X$120,X107,$A$2:$A$120)</f>
        <v>3954304.90358127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10</v>
      </c>
      <c r="Y108" s="18" t="n">
        <f aca="false">SUMIF($X$2:$X$120,X108,$A$2:$A$120)</f>
        <v>3954304.90358127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10</v>
      </c>
      <c r="Y109" s="18" t="n">
        <f aca="false">SUMIF($X$2:$X$120,X109,$A$2:$A$120)</f>
        <v>3954304.90358127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10</v>
      </c>
      <c r="Y110" s="18" t="n">
        <f aca="false">SUMIF($X$2:$X$120,X110,$A$2:$A$120)</f>
        <v>3954304.90358127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10</v>
      </c>
      <c r="Y111" s="18" t="n">
        <f aca="false">SUMIF($X$2:$X$120,X111,$A$2:$A$120)</f>
        <v>3954304.90358127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10</v>
      </c>
      <c r="Y112" s="18" t="n">
        <f aca="false">SUMIF($X$2:$X$120,X112,$A$2:$A$120)</f>
        <v>3954304.90358127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10</v>
      </c>
      <c r="Y113" s="18" t="n">
        <f aca="false">SUMIF($X$2:$X$120,X113,$A$2:$A$120)</f>
        <v>3954304.90358127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10</v>
      </c>
      <c r="Y114" s="18" t="n">
        <f aca="false">SUMIF($X$2:$X$120,X114,$A$2:$A$120)</f>
        <v>3954304.90358127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10</v>
      </c>
      <c r="Y115" s="18" t="n">
        <f aca="false">SUMIF($X$2:$X$120,X115,$A$2:$A$120)</f>
        <v>3954304.90358127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10</v>
      </c>
      <c r="Y116" s="18" t="n">
        <f aca="false">SUMIF($X$2:$X$120,X116,$A$2:$A$120)</f>
        <v>3954304.90358127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10</v>
      </c>
      <c r="Y117" s="18" t="n">
        <f aca="false">SUMIF($X$2:$X$120,X117,$A$2:$A$120)</f>
        <v>3954304.90358127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10</v>
      </c>
      <c r="Y118" s="18" t="n">
        <f aca="false">SUMIF($X$2:$X$120,X118,$A$2:$A$120)</f>
        <v>3954304.90358127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10</v>
      </c>
      <c r="Y119" s="18" t="n">
        <f aca="false">SUMIF($X$2:$X$120,X119,$A$2:$A$120)</f>
        <v>3954304.90358127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7"/>
      <c r="M120" s="37"/>
      <c r="N120" s="38"/>
      <c r="O120" s="38" t="s">
        <v>90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14"/>
      <c r="AE120" s="14"/>
    </row>
    <row r="121" customFormat="false" ht="15" hidden="false" customHeight="true" outlineLevel="0" collapsed="false">
      <c r="A121" s="39" t="n">
        <f aca="false">ROW()</f>
        <v>121</v>
      </c>
      <c r="B121" s="14" t="n">
        <f aca="false">SUM(B2:B120)</f>
        <v>11.5</v>
      </c>
      <c r="C121" s="14" t="n">
        <f aca="false">SUM(C2:C120)</f>
        <v>4.5</v>
      </c>
      <c r="D121" s="14" t="n">
        <f aca="false">SUM(D2:D120)</f>
        <v>4</v>
      </c>
      <c r="E121" s="14" t="n">
        <f aca="false">SUM(E2:E120)</f>
        <v>30</v>
      </c>
      <c r="F121" s="14" t="n">
        <f aca="false">SUM(F2:F120)</f>
        <v>7.5</v>
      </c>
      <c r="G121" s="14" t="n">
        <f aca="false">SUM(G2:G120)</f>
        <v>7.5</v>
      </c>
      <c r="H121" s="14" t="n">
        <f aca="false">SUM(H2:H120)</f>
        <v>7.5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16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40"/>
      <c r="AD121" s="14"/>
      <c r="AE121" s="14"/>
    </row>
    <row r="122" customFormat="false" ht="12.75" hidden="false" customHeight="true" outlineLevel="0" collapsed="false">
      <c r="A122" s="14"/>
      <c r="B122" s="14"/>
      <c r="C122" s="41"/>
      <c r="D122" s="41"/>
      <c r="E122" s="41"/>
      <c r="F122" s="41"/>
      <c r="G122" s="41"/>
      <c r="H122" s="41"/>
      <c r="I122" s="42" t="s">
        <v>91</v>
      </c>
      <c r="J122" s="42"/>
      <c r="K122" s="42"/>
      <c r="L122" s="42"/>
      <c r="M122" s="43" t="n">
        <f aca="false">400000+120000</f>
        <v>520000</v>
      </c>
      <c r="N122" s="43"/>
      <c r="O122" s="43"/>
      <c r="P122" s="14"/>
      <c r="Q122" s="14"/>
      <c r="R122" s="14"/>
      <c r="S122" s="41"/>
      <c r="T122" s="41"/>
      <c r="U122" s="41"/>
      <c r="V122" s="14"/>
      <c r="W122" s="14"/>
      <c r="X122" s="14"/>
      <c r="Y122" s="14"/>
      <c r="Z122" s="14"/>
      <c r="AA122" s="14"/>
      <c r="AB122" s="14"/>
      <c r="AC122" s="40"/>
      <c r="AD122" s="14"/>
      <c r="AE122" s="14"/>
    </row>
    <row r="123" customFormat="false" ht="15" hidden="false" customHeight="true" outlineLevel="0" collapsed="false">
      <c r="A123" s="14"/>
      <c r="B123" s="14"/>
      <c r="C123" s="41"/>
      <c r="D123" s="44" t="s">
        <v>92</v>
      </c>
      <c r="E123" s="45" t="n">
        <v>1750905</v>
      </c>
      <c r="F123" s="46" t="s">
        <v>93</v>
      </c>
      <c r="G123" s="47" t="n">
        <v>249095</v>
      </c>
      <c r="H123" s="41"/>
      <c r="I123" s="48" t="s">
        <v>94</v>
      </c>
      <c r="J123" s="49" t="n">
        <v>0.18</v>
      </c>
      <c r="K123" s="49"/>
      <c r="L123" s="50" t="s">
        <v>95</v>
      </c>
      <c r="M123" s="51" t="n">
        <f aca="false">2.7/12</f>
        <v>0.225</v>
      </c>
      <c r="N123" s="52" t="s">
        <v>96</v>
      </c>
      <c r="O123" s="53" t="n">
        <f aca="false">40*4.2*((244-2)/260)</f>
        <v>156.369230769231</v>
      </c>
      <c r="P123" s="41"/>
      <c r="Q123" s="48" t="s">
        <v>97</v>
      </c>
      <c r="R123" s="54" t="n">
        <v>0.4</v>
      </c>
      <c r="S123" s="41"/>
      <c r="T123" s="55" t="n">
        <v>8</v>
      </c>
      <c r="U123" s="56" t="s">
        <v>98</v>
      </c>
      <c r="V123" s="57"/>
      <c r="W123" s="14"/>
      <c r="X123" s="14"/>
      <c r="Y123" s="14"/>
      <c r="Z123" s="14"/>
      <c r="AA123" s="14"/>
      <c r="AB123" s="14"/>
      <c r="AC123" s="40"/>
      <c r="AD123" s="14"/>
      <c r="AE123" s="14"/>
    </row>
    <row r="124" customFormat="false" ht="12.75" hidden="false" customHeight="true" outlineLevel="0" collapsed="false">
      <c r="A124" s="14"/>
      <c r="B124" s="14"/>
      <c r="C124" s="58" t="s">
        <v>99</v>
      </c>
      <c r="D124" s="58"/>
      <c r="E124" s="58"/>
      <c r="F124" s="58" t="s">
        <v>100</v>
      </c>
      <c r="G124" s="58"/>
      <c r="H124" s="58"/>
      <c r="I124" s="58" t="s">
        <v>101</v>
      </c>
      <c r="J124" s="58"/>
      <c r="K124" s="58"/>
      <c r="L124" s="58"/>
      <c r="M124" s="58" t="s">
        <v>102</v>
      </c>
      <c r="N124" s="58"/>
      <c r="O124" s="58"/>
      <c r="P124" s="58" t="s">
        <v>103</v>
      </c>
      <c r="Q124" s="58"/>
      <c r="R124" s="58"/>
      <c r="S124" s="41"/>
      <c r="T124" s="41"/>
      <c r="U124" s="59" t="s">
        <v>96</v>
      </c>
      <c r="V124" s="58" t="s">
        <v>104</v>
      </c>
      <c r="W124" s="58"/>
      <c r="X124" s="58"/>
      <c r="Y124" s="14"/>
      <c r="Z124" s="14"/>
      <c r="AA124" s="14"/>
      <c r="AB124" s="14"/>
      <c r="AC124" s="40"/>
      <c r="AD124" s="14"/>
      <c r="AE124" s="14"/>
    </row>
    <row r="125" customFormat="false" ht="12.75" hidden="false" customHeight="true" outlineLevel="0" collapsed="false">
      <c r="A125" s="26" t="s">
        <v>105</v>
      </c>
      <c r="B125" s="59" t="str">
        <f aca="false">B1</f>
        <v>DB</v>
      </c>
      <c r="C125" s="60" t="n">
        <v>6480000</v>
      </c>
      <c r="D125" s="60"/>
      <c r="E125" s="60"/>
      <c r="F125" s="60" t="n">
        <v>1080000</v>
      </c>
      <c r="G125" s="60"/>
      <c r="H125" s="60"/>
      <c r="I125" s="60" t="n">
        <v>0</v>
      </c>
      <c r="J125" s="60"/>
      <c r="K125" s="60"/>
      <c r="L125" s="60"/>
      <c r="M125" s="60" t="n">
        <f aca="false">C125*(1+$J$123+$M$123)+F125+I125+$M$122+IF(($E$123*2)&gt;=C125,$G$123,0)</f>
        <v>10704400</v>
      </c>
      <c r="N125" s="60"/>
      <c r="O125" s="60"/>
      <c r="P125" s="61" t="n">
        <f aca="false">M125/$O$123*(1+$R$123)</f>
        <v>95838.2920110193</v>
      </c>
      <c r="Q125" s="61"/>
      <c r="R125" s="61"/>
      <c r="S125" s="41"/>
      <c r="T125" s="41"/>
      <c r="U125" s="14" t="n">
        <f aca="false">HLOOKUP(B125,$B$1:$K$121,$A$121,0)*$T$123</f>
        <v>92</v>
      </c>
      <c r="W125" s="62" t="n">
        <f aca="false">P125*U125</f>
        <v>8817122.86501377</v>
      </c>
      <c r="Y125" s="14"/>
      <c r="Z125" s="14"/>
      <c r="AA125" s="14"/>
      <c r="AB125" s="14"/>
      <c r="AC125" s="40"/>
      <c r="AD125" s="14"/>
      <c r="AE125" s="14"/>
    </row>
    <row r="126" customFormat="false" ht="12.75" hidden="false" customHeight="true" outlineLevel="0" collapsed="false">
      <c r="A126" s="26" t="s">
        <v>106</v>
      </c>
      <c r="B126" s="59" t="str">
        <f aca="false">C1</f>
        <v>UX</v>
      </c>
      <c r="C126" s="60" t="n">
        <v>3240000</v>
      </c>
      <c r="D126" s="60"/>
      <c r="E126" s="60"/>
      <c r="F126" s="60" t="n">
        <v>540000</v>
      </c>
      <c r="G126" s="60"/>
      <c r="H126" s="60"/>
      <c r="I126" s="60" t="n">
        <v>0</v>
      </c>
      <c r="J126" s="60"/>
      <c r="K126" s="60"/>
      <c r="L126" s="60"/>
      <c r="M126" s="60" t="n">
        <f aca="false">C126*(1+$J$123+$M$123)+F126+I126+$M$122+IF(($E$123*2)&gt;=C126,$G$123,0)</f>
        <v>5861295</v>
      </c>
      <c r="N126" s="60"/>
      <c r="O126" s="60"/>
      <c r="P126" s="61" t="n">
        <f aca="false">M126/$O$123*(1+$R$123)</f>
        <v>52477.1590909091</v>
      </c>
      <c r="Q126" s="61"/>
      <c r="R126" s="61"/>
      <c r="S126" s="41"/>
      <c r="T126" s="41"/>
      <c r="U126" s="14" t="n">
        <f aca="false">HLOOKUP(B126,$B$1:$K$121,$A$121,0)*$T$123</f>
        <v>36</v>
      </c>
      <c r="W126" s="62" t="n">
        <f aca="false">P126*U126</f>
        <v>1889177.72727273</v>
      </c>
      <c r="Y126" s="14"/>
      <c r="Z126" s="14"/>
      <c r="AA126" s="14"/>
      <c r="AB126" s="14"/>
      <c r="AC126" s="40"/>
      <c r="AD126" s="14"/>
      <c r="AE126" s="14"/>
    </row>
    <row r="127" customFormat="false" ht="12.75" hidden="false" customHeight="true" outlineLevel="0" collapsed="false">
      <c r="A127" s="26" t="s">
        <v>107</v>
      </c>
      <c r="B127" s="59" t="str">
        <f aca="false">D1</f>
        <v>FM</v>
      </c>
      <c r="C127" s="60" t="n">
        <v>3240000</v>
      </c>
      <c r="D127" s="60"/>
      <c r="E127" s="60"/>
      <c r="F127" s="60" t="n">
        <v>540000</v>
      </c>
      <c r="G127" s="60"/>
      <c r="H127" s="60"/>
      <c r="I127" s="60" t="n">
        <v>0</v>
      </c>
      <c r="J127" s="60"/>
      <c r="K127" s="60"/>
      <c r="L127" s="60"/>
      <c r="M127" s="60" t="n">
        <f aca="false">C127*(1+$J$123+$M$123)+F127+I127+$M$122+IF(($E$123*2)&gt;=C127,$G$123,0)</f>
        <v>5861295</v>
      </c>
      <c r="N127" s="60"/>
      <c r="O127" s="60"/>
      <c r="P127" s="61" t="n">
        <f aca="false">M127/$O$123*(1+$R$123)</f>
        <v>52477.1590909091</v>
      </c>
      <c r="Q127" s="61"/>
      <c r="R127" s="61"/>
      <c r="S127" s="41"/>
      <c r="T127" s="41"/>
      <c r="U127" s="14" t="n">
        <f aca="false">HLOOKUP(B127,$B$1:$K$121,$A$121,0)*$T$123</f>
        <v>32</v>
      </c>
      <c r="W127" s="62" t="n">
        <f aca="false">P127*U127</f>
        <v>1679269.09090909</v>
      </c>
      <c r="Y127" s="14"/>
      <c r="Z127" s="14"/>
      <c r="AA127" s="14"/>
      <c r="AB127" s="14"/>
      <c r="AC127" s="40"/>
      <c r="AD127" s="14"/>
      <c r="AE127" s="14"/>
    </row>
    <row r="128" customFormat="false" ht="12.75" hidden="false" customHeight="true" outlineLevel="0" collapsed="false">
      <c r="A128" s="26" t="s">
        <v>108</v>
      </c>
      <c r="B128" s="59" t="str">
        <f aca="false">E1</f>
        <v>BS</v>
      </c>
      <c r="C128" s="60" t="n">
        <v>4320000</v>
      </c>
      <c r="D128" s="60"/>
      <c r="E128" s="60"/>
      <c r="F128" s="60" t="n">
        <v>1620000</v>
      </c>
      <c r="G128" s="60"/>
      <c r="H128" s="60"/>
      <c r="I128" s="60" t="n">
        <v>0</v>
      </c>
      <c r="J128" s="60"/>
      <c r="K128" s="60"/>
      <c r="L128" s="60"/>
      <c r="M128" s="60" t="n">
        <f aca="false">C128*(1+$J$123+$M$123)+F128+I128+$M$122+IF(($E$123*2)&gt;=C128,$G$123,0)</f>
        <v>8209600</v>
      </c>
      <c r="N128" s="60"/>
      <c r="O128" s="60"/>
      <c r="P128" s="61" t="n">
        <f aca="false">M128/$O$123*(1+$R$123)</f>
        <v>73501.9283746557</v>
      </c>
      <c r="Q128" s="61"/>
      <c r="R128" s="61"/>
      <c r="S128" s="41"/>
      <c r="T128" s="41"/>
      <c r="U128" s="14" t="n">
        <f aca="false">HLOOKUP(B128,$B$1:$K$121,$A$121,0)*$T$123</f>
        <v>240</v>
      </c>
      <c r="W128" s="62" t="n">
        <f aca="false">P128*U128</f>
        <v>17640462.8099174</v>
      </c>
      <c r="Y128" s="14"/>
      <c r="Z128" s="14"/>
      <c r="AA128" s="14"/>
      <c r="AB128" s="14"/>
      <c r="AC128" s="40"/>
      <c r="AD128" s="14"/>
      <c r="AE128" s="14"/>
    </row>
    <row r="129" customFormat="false" ht="12.75" hidden="false" customHeight="true" outlineLevel="0" collapsed="false">
      <c r="A129" s="26" t="s">
        <v>109</v>
      </c>
      <c r="B129" s="59" t="str">
        <f aca="false">F1</f>
        <v>BM</v>
      </c>
      <c r="C129" s="60" t="n">
        <v>3780000</v>
      </c>
      <c r="D129" s="60"/>
      <c r="E129" s="60"/>
      <c r="F129" s="60" t="n">
        <v>1080000</v>
      </c>
      <c r="G129" s="60"/>
      <c r="H129" s="60"/>
      <c r="I129" s="60" t="n">
        <v>0</v>
      </c>
      <c r="J129" s="60"/>
      <c r="K129" s="60"/>
      <c r="L129" s="60"/>
      <c r="M129" s="60" t="n">
        <f aca="false">C129*(1+$J$123+$M$123)+F129+I129+$M$122+IF(($E$123*2)&gt;=C129,$G$123,0)</f>
        <v>6910900</v>
      </c>
      <c r="N129" s="60"/>
      <c r="O129" s="60"/>
      <c r="P129" s="61" t="n">
        <f aca="false">M129/$O$123*(1+$R$123)</f>
        <v>61874.4490358127</v>
      </c>
      <c r="Q129" s="61"/>
      <c r="R129" s="61"/>
      <c r="S129" s="41"/>
      <c r="T129" s="41"/>
      <c r="U129" s="14" t="n">
        <f aca="false">HLOOKUP(B129,$B$1:$K$121,$A$121,0)*$T$123</f>
        <v>60</v>
      </c>
      <c r="W129" s="62" t="n">
        <f aca="false">P129*U129</f>
        <v>3712466.94214876</v>
      </c>
      <c r="Y129" s="14"/>
      <c r="Z129" s="14"/>
      <c r="AA129" s="14"/>
      <c r="AB129" s="14"/>
      <c r="AC129" s="40"/>
      <c r="AD129" s="14"/>
      <c r="AE129" s="14"/>
    </row>
    <row r="130" customFormat="false" ht="12.75" hidden="false" customHeight="true" outlineLevel="0" collapsed="false">
      <c r="A130" s="26" t="s">
        <v>110</v>
      </c>
      <c r="B130" s="59" t="str">
        <f aca="false">G1</f>
        <v>QA</v>
      </c>
      <c r="C130" s="60" t="n">
        <v>2700000</v>
      </c>
      <c r="D130" s="60"/>
      <c r="E130" s="60"/>
      <c r="F130" s="60" t="n">
        <v>1080000</v>
      </c>
      <c r="G130" s="60"/>
      <c r="H130" s="60"/>
      <c r="I130" s="60" t="n">
        <v>54000</v>
      </c>
      <c r="J130" s="60"/>
      <c r="K130" s="60"/>
      <c r="L130" s="60"/>
      <c r="M130" s="60" t="n">
        <f aca="false">C130*(1+$J$123+$M$123)+F130+I130+$M$122+IF(($E$123*2)&gt;=C130,$G$123,0)</f>
        <v>5696595</v>
      </c>
      <c r="N130" s="60"/>
      <c r="O130" s="60"/>
      <c r="P130" s="61" t="n">
        <f aca="false">M130/$O$123*(1+$R$123)</f>
        <v>51002.5723140496</v>
      </c>
      <c r="Q130" s="61"/>
      <c r="R130" s="61"/>
      <c r="S130" s="41"/>
      <c r="T130" s="41"/>
      <c r="U130" s="14" t="n">
        <f aca="false">HLOOKUP(B130,$B$1:$K$121,$A$121,0)*$T$123</f>
        <v>60</v>
      </c>
      <c r="W130" s="62" t="n">
        <f aca="false">P130*U130</f>
        <v>3060154.33884298</v>
      </c>
      <c r="Y130" s="14"/>
      <c r="Z130" s="14"/>
      <c r="AA130" s="14"/>
      <c r="AB130" s="14"/>
      <c r="AC130" s="40"/>
      <c r="AD130" s="14"/>
      <c r="AE130" s="14"/>
    </row>
    <row r="131" customFormat="false" ht="12.75" hidden="false" customHeight="true" outlineLevel="0" collapsed="false">
      <c r="A131" s="26" t="s">
        <v>111</v>
      </c>
      <c r="B131" s="59" t="str">
        <f aca="false">H1</f>
        <v>IM</v>
      </c>
      <c r="C131" s="60" t="n">
        <v>2700000</v>
      </c>
      <c r="D131" s="60"/>
      <c r="E131" s="60"/>
      <c r="F131" s="60" t="n">
        <v>1080000</v>
      </c>
      <c r="G131" s="60"/>
      <c r="H131" s="60"/>
      <c r="I131" s="60" t="n">
        <v>0</v>
      </c>
      <c r="J131" s="60"/>
      <c r="K131" s="60"/>
      <c r="L131" s="60"/>
      <c r="M131" s="60" t="n">
        <f aca="false">C131*(1+$J$123+$M$123)+F131+I131+$M$122+IF(($E$123*2)&gt;=C131,$G$123,0)</f>
        <v>5642595</v>
      </c>
      <c r="N131" s="60"/>
      <c r="O131" s="60"/>
      <c r="P131" s="61" t="n">
        <f aca="false">M131/$O$123*(1+$R$123)</f>
        <v>50519.1012396694</v>
      </c>
      <c r="Q131" s="61"/>
      <c r="R131" s="61"/>
      <c r="S131" s="41"/>
      <c r="T131" s="41"/>
      <c r="U131" s="14" t="n">
        <f aca="false">HLOOKUP(B131,$B$1:$K$121,$A$121,0)*$T$123</f>
        <v>60</v>
      </c>
      <c r="W131" s="62" t="n">
        <f aca="false">P131*U131</f>
        <v>3031146.07438017</v>
      </c>
      <c r="Y131" s="14"/>
      <c r="Z131" s="14"/>
      <c r="AA131" s="14"/>
      <c r="AB131" s="14"/>
      <c r="AC131" s="40"/>
      <c r="AD131" s="14"/>
      <c r="AE131" s="14"/>
    </row>
    <row r="132" customFormat="false" ht="12.75" hidden="false" customHeight="true" outlineLevel="0" collapsed="false">
      <c r="A132" s="26" t="s">
        <v>112</v>
      </c>
      <c r="B132" s="59" t="str">
        <f aca="false">I1</f>
        <v>MS</v>
      </c>
      <c r="C132" s="60" t="n">
        <v>8100000</v>
      </c>
      <c r="D132" s="60"/>
      <c r="E132" s="60"/>
      <c r="F132" s="60" t="n">
        <v>2160000</v>
      </c>
      <c r="G132" s="60"/>
      <c r="H132" s="60"/>
      <c r="I132" s="60" t="n">
        <v>132000</v>
      </c>
      <c r="J132" s="60"/>
      <c r="K132" s="60"/>
      <c r="L132" s="60"/>
      <c r="M132" s="60" t="n">
        <f aca="false">C132*(1+$J$123+$M$123)+F132+I132+$M$122+IF(($E$123*2)&gt;=C132,$G$123,0)</f>
        <v>14192500</v>
      </c>
      <c r="N132" s="60"/>
      <c r="O132" s="60"/>
      <c r="P132" s="61" t="n">
        <f aca="false">M132/$O$123*(1+$R$123)</f>
        <v>127067.837465565</v>
      </c>
      <c r="Q132" s="61"/>
      <c r="R132" s="61"/>
      <c r="S132" s="41"/>
      <c r="T132" s="41"/>
      <c r="U132" s="14" t="n">
        <f aca="false">HLOOKUP(B132,$B$1:$K$121,$A$121,0)*$T$123</f>
        <v>0</v>
      </c>
      <c r="W132" s="62" t="n">
        <f aca="false">P132*U132</f>
        <v>0</v>
      </c>
      <c r="Y132" s="14"/>
      <c r="Z132" s="14"/>
      <c r="AA132" s="14"/>
      <c r="AB132" s="14"/>
      <c r="AC132" s="40"/>
      <c r="AD132" s="14"/>
      <c r="AE132" s="14"/>
    </row>
    <row r="133" customFormat="false" ht="12.75" hidden="false" customHeight="true" outlineLevel="0" collapsed="false">
      <c r="A133" s="26" t="s">
        <v>113</v>
      </c>
      <c r="B133" s="59" t="str">
        <f aca="false">J1</f>
        <v>MM</v>
      </c>
      <c r="C133" s="60" t="n">
        <v>3240000</v>
      </c>
      <c r="D133" s="60"/>
      <c r="E133" s="60"/>
      <c r="F133" s="60" t="n">
        <v>1080000</v>
      </c>
      <c r="G133" s="60"/>
      <c r="H133" s="60"/>
      <c r="I133" s="60" t="n">
        <v>132000</v>
      </c>
      <c r="J133" s="60"/>
      <c r="K133" s="60"/>
      <c r="L133" s="60"/>
      <c r="M133" s="60" t="n">
        <f aca="false">C133*(1+$J$123+$M$123)+F133+I133+$M$122+IF(($E$123*2)&gt;=C133,$G$123,0)</f>
        <v>6533295</v>
      </c>
      <c r="N133" s="60"/>
      <c r="O133" s="60"/>
      <c r="P133" s="61" t="n">
        <f aca="false">M133/$O$123*(1+$R$123)</f>
        <v>58493.6880165289</v>
      </c>
      <c r="Q133" s="61"/>
      <c r="R133" s="61"/>
      <c r="S133" s="41"/>
      <c r="T133" s="41"/>
      <c r="U133" s="14" t="n">
        <f aca="false">HLOOKUP(B133,$B$1:$K$121,$A$121,0)*$T$123</f>
        <v>0</v>
      </c>
      <c r="W133" s="62" t="n">
        <f aca="false">P133*U133</f>
        <v>0</v>
      </c>
      <c r="Y133" s="14"/>
      <c r="Z133" s="14"/>
      <c r="AA133" s="14"/>
      <c r="AB133" s="14"/>
      <c r="AC133" s="40"/>
      <c r="AD133" s="14"/>
      <c r="AE133" s="14"/>
    </row>
    <row r="134" customFormat="false" ht="12.75" hidden="false" customHeight="true" outlineLevel="0" collapsed="false">
      <c r="A134" s="26" t="s">
        <v>114</v>
      </c>
      <c r="B134" s="59" t="s">
        <v>10</v>
      </c>
      <c r="C134" s="60" t="n">
        <v>3240000</v>
      </c>
      <c r="D134" s="60"/>
      <c r="E134" s="60"/>
      <c r="F134" s="60" t="n">
        <v>1080000</v>
      </c>
      <c r="G134" s="60"/>
      <c r="H134" s="60"/>
      <c r="I134" s="60"/>
      <c r="J134" s="60"/>
      <c r="K134" s="60"/>
      <c r="L134" s="60"/>
      <c r="M134" s="60" t="n">
        <f aca="false">C134*(1+$J$123+$M$123)+F134+I134+$M$122+IF(($E$123*2)&gt;=C134,$G$123,0)</f>
        <v>6401295</v>
      </c>
      <c r="N134" s="60"/>
      <c r="O134" s="60"/>
      <c r="P134" s="61" t="n">
        <f aca="false">M134/$O$123*(1+$R$123)</f>
        <v>57311.8698347107</v>
      </c>
      <c r="Q134" s="61"/>
      <c r="R134" s="61"/>
      <c r="S134" s="41"/>
      <c r="T134" s="41"/>
      <c r="U134" s="14" t="n">
        <f aca="false">HLOOKUP(B134,$B$1:$K$121,$A$121,0)*$T$123</f>
        <v>128</v>
      </c>
      <c r="W134" s="62" t="n">
        <f aca="false">P134*U134</f>
        <v>7335919.33884298</v>
      </c>
      <c r="Y134" s="14"/>
      <c r="Z134" s="14"/>
      <c r="AA134" s="14"/>
      <c r="AB134" s="14"/>
      <c r="AC134" s="40"/>
      <c r="AD134" s="14"/>
      <c r="AE134" s="14"/>
    </row>
    <row r="135" customFormat="false" ht="12.75" hidden="false" customHeight="true" outlineLevel="0" collapsed="false">
      <c r="A135" s="26"/>
      <c r="B135" s="59"/>
      <c r="C135" s="41"/>
      <c r="D135" s="41"/>
      <c r="E135" s="41"/>
      <c r="F135" s="41"/>
      <c r="G135" s="41"/>
      <c r="H135" s="41"/>
      <c r="I135" s="14"/>
      <c r="J135" s="14"/>
      <c r="K135" s="14"/>
      <c r="L135" s="14"/>
      <c r="M135" s="14"/>
      <c r="N135" s="14"/>
      <c r="O135" s="14"/>
      <c r="P135" s="63" t="n">
        <f aca="false">SUM(P125:P134)</f>
        <v>680564.056473829</v>
      </c>
      <c r="Q135" s="63"/>
      <c r="R135" s="63"/>
      <c r="S135" s="41"/>
      <c r="T135" s="41"/>
      <c r="U135" s="41"/>
      <c r="W135" s="64" t="n">
        <f aca="false">SUM(W125:W134)</f>
        <v>47165719.1873278</v>
      </c>
      <c r="Y135" s="14"/>
      <c r="Z135" s="14"/>
      <c r="AA135" s="14"/>
      <c r="AB135" s="14"/>
      <c r="AC135" s="40"/>
      <c r="AD135" s="14"/>
      <c r="AE135" s="14"/>
    </row>
    <row r="136" customFormat="false" ht="12.75" hidden="false" customHeight="true" outlineLevel="0" collapsed="false">
      <c r="A136" s="14"/>
      <c r="B136" s="14"/>
      <c r="C136" s="65"/>
      <c r="D136" s="65"/>
      <c r="E136" s="14"/>
      <c r="F136" s="14"/>
      <c r="G136" s="14"/>
      <c r="H136" s="41"/>
      <c r="I136" s="14"/>
      <c r="J136" s="14"/>
      <c r="K136" s="14"/>
      <c r="L136" s="41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40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40"/>
      <c r="AD137" s="14"/>
      <c r="AE137" s="14"/>
    </row>
    <row r="138" customFormat="false" ht="12.75" hidden="false" customHeight="true" outlineLevel="0" collapsed="false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7"/>
      <c r="AD138" s="66"/>
      <c r="AE138" s="66"/>
    </row>
    <row r="139" customFormat="false" ht="15" hidden="false" customHeight="true" outlineLevel="0" collapsed="false">
      <c r="A139" s="66"/>
      <c r="B139" s="66"/>
      <c r="C139" s="68"/>
      <c r="D139" s="68"/>
      <c r="E139" s="68"/>
      <c r="F139" s="68"/>
      <c r="G139" s="69"/>
      <c r="H139" s="69"/>
      <c r="I139" s="69"/>
      <c r="J139" s="69"/>
      <c r="K139" s="69"/>
      <c r="L139" s="70"/>
      <c r="M139" s="70"/>
      <c r="N139" s="70"/>
      <c r="O139" s="70"/>
      <c r="P139" s="69"/>
      <c r="Q139" s="69"/>
      <c r="R139" s="69"/>
      <c r="S139" s="69"/>
      <c r="T139" s="70"/>
      <c r="U139" s="70"/>
      <c r="V139" s="70"/>
      <c r="W139" s="70"/>
      <c r="X139" s="69"/>
      <c r="Y139" s="69"/>
      <c r="Z139" s="69"/>
      <c r="AA139" s="70"/>
      <c r="AB139" s="70"/>
      <c r="AC139" s="70"/>
      <c r="AD139" s="70"/>
      <c r="AE139" s="66"/>
    </row>
    <row r="140" customFormat="false" ht="12.75" hidden="false" customHeight="true" outlineLevel="0" collapsed="false">
      <c r="A140" s="71" t="e">
        <f aca="false" t="array" ref="A140:A144">unique(L1:L120)</f>
        <v>#NAME?</v>
      </c>
      <c r="B140" s="72"/>
      <c r="C140" s="73"/>
      <c r="D140" s="73"/>
      <c r="E140" s="73"/>
      <c r="F140" s="74"/>
      <c r="G140" s="75" t="s">
        <v>115</v>
      </c>
      <c r="H140" s="75" t="s">
        <v>116</v>
      </c>
      <c r="I140" s="75" t="s">
        <v>117</v>
      </c>
      <c r="J140" s="75" t="s">
        <v>118</v>
      </c>
      <c r="K140" s="75" t="s">
        <v>119</v>
      </c>
      <c r="L140" s="76" t="s">
        <v>120</v>
      </c>
      <c r="M140" s="76" t="s">
        <v>121</v>
      </c>
      <c r="N140" s="76" t="s">
        <v>122</v>
      </c>
      <c r="O140" s="76" t="s">
        <v>123</v>
      </c>
      <c r="P140" s="75" t="s">
        <v>124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6"/>
    </row>
    <row r="141" customFormat="false" ht="12.75" hidden="false" customHeight="true" outlineLevel="0" collapsed="false">
      <c r="A141" s="78" t="e">
        <v>#NAME?</v>
      </c>
      <c r="B141" s="79"/>
      <c r="C141" s="79"/>
      <c r="D141" s="79" t="s">
        <v>125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6"/>
    </row>
    <row r="142" customFormat="false" ht="12.75" hidden="false" customHeight="true" outlineLevel="0" collapsed="false">
      <c r="A142" s="78" t="e"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6"/>
    </row>
    <row r="143" customFormat="false" ht="12.75" hidden="false" customHeight="true" outlineLevel="0" collapsed="false">
      <c r="A143" s="78" t="e"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6"/>
    </row>
    <row r="144" customFormat="false" ht="12.75" hidden="false" customHeight="true" outlineLevel="0" collapsed="false">
      <c r="A144" s="78" t="e"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6"/>
    </row>
    <row r="145" customFormat="false" ht="12.75" hidden="false" customHeight="true" outlineLevel="0" collapsed="false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6"/>
    </row>
    <row r="146" customFormat="false" ht="12.75" hidden="false" customHeight="true" outlineLevel="0" collapsed="false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6"/>
    </row>
    <row r="147" customFormat="false" ht="12.75" hidden="false" customHeight="true" outlineLevel="0" collapsed="false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6"/>
    </row>
    <row r="148" customFormat="false" ht="12.75" hidden="false" customHeight="true" outlineLevel="0" collapsed="false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6"/>
    </row>
    <row r="149" customFormat="false" ht="12.75" hidden="false" customHeight="true" outlineLevel="0" collapsed="false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6"/>
    </row>
    <row r="150" customFormat="false" ht="12.75" hidden="false" customHeight="true" outlineLevel="0" collapsed="false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6"/>
    </row>
    <row r="151" customFormat="false" ht="12.75" hidden="false" customHeight="true" outlineLevel="0" collapsed="false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6"/>
    </row>
    <row r="152" customFormat="false" ht="12.75" hidden="false" customHeight="true" outlineLevel="0" collapsed="false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6"/>
    </row>
    <row r="153" customFormat="false" ht="12.75" hidden="false" customHeight="true" outlineLevel="0" collapsed="false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6"/>
    </row>
    <row r="154" customFormat="false" ht="12.75" hidden="false" customHeight="true" outlineLevel="0" collapsed="false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6"/>
    </row>
    <row r="155" customFormat="false" ht="12.75" hidden="false" customHeight="true" outlineLevel="0" collapsed="false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6"/>
    </row>
    <row r="156" customFormat="false" ht="12.75" hidden="false" customHeight="true" outlineLevel="0" collapsed="false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6"/>
    </row>
    <row r="157" customFormat="false" ht="12.75" hidden="false" customHeight="true" outlineLevel="0" collapsed="false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6"/>
    </row>
    <row r="158" customFormat="false" ht="12.75" hidden="false" customHeight="true" outlineLevel="0" collapsed="false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6"/>
    </row>
    <row r="159" customFormat="false" ht="12.75" hidden="false" customHeight="true" outlineLevel="0" collapsed="false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6"/>
    </row>
    <row r="160" customFormat="false" ht="12.75" hidden="false" customHeight="true" outlineLevel="0" collapsed="false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6"/>
    </row>
    <row r="161" customFormat="false" ht="12.75" hidden="false" customHeight="true" outlineLevel="0" collapsed="false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6"/>
    </row>
    <row r="162" customFormat="false" ht="12.75" hidden="false" customHeight="true" outlineLevel="0" collapsed="false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6"/>
    </row>
    <row r="163" customFormat="false" ht="12.75" hidden="false" customHeight="true" outlineLevel="0" collapsed="false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6"/>
    </row>
    <row r="164" customFormat="false" ht="12.75" hidden="false" customHeight="true" outlineLevel="0" collapsed="false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6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40"/>
      <c r="AD165" s="14"/>
      <c r="AE165" s="66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40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40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2026-07-17T15:52:46Z</dcterms:created>
  <dc:creator>openpyxl</dc:creator>
  <dc:description/>
  <dc:language>es-419</dc:language>
  <cp:lastModifiedBy>Full Service</cp:lastModifiedBy>
  <dcterms:modified xsi:type="dcterms:W3CDTF">2026-07-17T15:52:46Z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