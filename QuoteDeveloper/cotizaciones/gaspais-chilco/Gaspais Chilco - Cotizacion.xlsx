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pais Chil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<sst xmlns="http://schemas.openxmlformats.org/spreadsheetml/2006/main" count="125" uniqueCount="123">
  <si>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</si>
  <si>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</si>
  <si>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</si>
  <si>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</si>
  <si>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</si>
  <si>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</si>
  <si>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</si>
  <si>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</si>
  <si>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</si>
  <si>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</si>
  <si>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</si>
  <si>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</si>
  <si>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</si>
  <si>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</si>
  <si>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</si>
  <si>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</si>
  <si>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</si>
  <si>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</si>
  <si>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</si>
  <si>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</si>
  <si>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PERMISOS DE TRABAJO - Módulo de permisos de trabajo vinculado con la gestión de tareas de alto riesgo.</t>
  </si>
  <si>
    <t xml:space="preserve">Gestión de permisos de trabajo de alto riesgo</t>
  </si>
  <si>
    <t xml:space="preserve">Módulo de permisos de trabajo vinculado con la gestión de tareas de alto riesgo.</t>
  </si>
  <si>
    <t xml:space="preserve">SEGURIDAD VIAL - Módulo de seguridad vial con alineación con lo dispuesto en la Resolución 40595 de 2022.</t>
  </si>
  <si>
    <t xml:space="preserve">Gestión de seguridad vial alineada a normativa</t>
  </si>
  <si>
    <t xml:space="preserve">Módulo de Seguridad Vial con alineación con lo dispuesto en la Resolución 40595 de 2022.</t>
  </si>
  <si>
    <t xml:space="preserve">PLANES DE TRABAJO - Planificación, asignación y seguimiento de actividades operativas, administrativas y de mejora.</t>
  </si>
  <si>
    <t xml:space="preserve">Planificación y asignación de actividades</t>
  </si>
  <si>
    <t xml:space="preserve">Planificación, asignación y seguimiento de actividades operativas, administrativas y de mejora, con responsables y prioridades.</t>
  </si>
  <si>
    <t xml:space="preserve">Cronogramas, fechas y estados de avance</t>
  </si>
  <si>
    <t xml:space="preserve">Fechas de inicio y vencimiento, cronogramas, estados de avance y evidencias.</t>
  </si>
  <si>
    <t xml:space="preserve">Notificaciones y alertas automáticas</t>
  </si>
  <si>
    <t xml:space="preserve">Notificaciones y alertas automáticas por vencimientos y pendientes de cierre.</t>
  </si>
  <si>
    <t xml:space="preserve">LISTAS DE VERIFICACIÓN - Personalizables para auditorías, inspecciones y observación de actos y condiciones.</t>
  </si>
  <si>
    <t xml:space="preserve">Listas de verificación personalizables</t>
  </si>
  <si>
    <t xml:space="preserve">Personalizables para auditorías, inspecciones y observación de actos y condiciones.</t>
  </si>
  <si>
    <t xml:space="preserve">Plantillas preconfiguradas Oil &amp; Gas (IOGP)</t>
  </si>
  <si>
    <t xml:space="preserve">Plantillas preconfiguradas para Oil &amp; Gas alineadas a referencias técnicas como IOGP.</t>
  </si>
  <si>
    <t xml:space="preserve">CAPACITACIONES - Mecanismos sincrónicos y asincrónicos, publicación de materiales y evaluaciones.</t>
  </si>
  <si>
    <t xml:space="preserve">Mecanismos sincrónicos y asincrónicos de capacitación</t>
  </si>
  <si>
    <t xml:space="preserve">Mecanismos sincrónicos y asincrónicos para el desarrollo de capacitaciones.</t>
  </si>
  <si>
    <t xml:space="preserve">Publicación de materiales, evaluaciones y cuestionarios</t>
  </si>
  <si>
    <t xml:space="preserve">Publicación de materiales y evaluaciones, con cuestionarios.</t>
  </si>
  <si>
    <t xml:space="preserve">Registro de sesiones y validación de participación</t>
  </si>
  <si>
    <t xml:space="preserve">Registro de sesiones presenciales o virtuales y validación de participación.</t>
  </si>
  <si>
    <t xml:space="preserve">Control de vencimientos y recertificaciones</t>
  </si>
  <si>
    <t xml:space="preserve">Control de vencimientos y recertificaciones de las capacitaciones.</t>
  </si>
  <si>
    <t xml:space="preserve">PLANES DE ACCIÓN - Módulo transversal que centraliza los compromisos generados en inspecciones, auditorías, listas de verificación, permisos de trabajo, diagnósticos y seguridad vial.</t>
  </si>
  <si>
    <t xml:space="preserve">Centralización de compromisos transversales</t>
  </si>
  <si>
    <t xml:space="preserve">Centraliza los compromisos generados en inspecciones, auditorías, listas de verificación, permisos de trabajo, diagnósticos y seguridad vial.</t>
  </si>
  <si>
    <t xml:space="preserve">Gestión del compromiso: responsable, prioridad, estado y evidencia</t>
  </si>
  <si>
    <t xml:space="preserve">Responsable, prioridad, fecha de vencimiento, estado, evidencia, comentarios y trazabilidad de cambios.</t>
  </si>
  <si>
    <t xml:space="preserve">Vista consolidada de seguimiento por usuario</t>
  </si>
  <si>
    <t xml:space="preserve">Vista consolidada por usuario para el seguimiento de avance, cumplimiento y eficacia.</t>
  </si>
  <si>
    <t xml:space="preserve">GESTIÓN DE INCIDENTES, ACCIDENTES Y SINIESTROS - Complemento natural del Paso 13 del PESV y del cierre del ciclo de Planes de Acción.</t>
  </si>
  <si>
    <t xml:space="preserve">Reporte inmediato de incidentes desde móvil</t>
  </si>
  <si>
    <t xml:space="preserve">Reporte inmediato de incidentes y casi-incidentes desde móvil.</t>
  </si>
  <si>
    <t xml:space="preserve">Clasificación por tipo/severidad y escalamiento automático</t>
  </si>
  <si>
    <t xml:space="preserve">Clasificación por tipo y severidad; notificación y escalamiento automático.</t>
  </si>
  <si>
    <t xml:space="preserve">Investigación con metodología de causa raíz</t>
  </si>
  <si>
    <t xml:space="preserve">Investigación con metodología de causa raíz; causas inmediatas, básicas y de gestión.</t>
  </si>
  <si>
    <t xml:space="preserve">Lecciones aprendidas y divulgación</t>
  </si>
  <si>
    <t xml:space="preserve">Lecciones aprendidas y divulgación.</t>
  </si>
  <si>
    <t xml:space="preserve">Indicadores de accidentalidad y reporte a ARL</t>
  </si>
  <si>
    <t xml:space="preserve">Indicadores de accidentalidad (frecuencia, severidad, tasa) y reporte a ARL.</t>
  </si>
  <si>
    <t xml:space="preserve">GESTIÓN DE CONTRATISTAS Y COMPETENCIAS DOCUMENTALES - Alimenta las precondiciones de los permisos y la cobertura de 1.500 usuarios incluyendo contratistas.</t>
  </si>
  <si>
    <t xml:space="preserve">Registro, evaluación y homologación HSE previa al ingreso</t>
  </si>
  <si>
    <t xml:space="preserve">Registro, evaluación y homologación HSE previa al ingreso.</t>
  </si>
  <si>
    <t xml:space="preserve">Expediente documental de empresa contratista</t>
  </si>
  <si>
    <t xml:space="preserve">Control de vigencias (afiliaciones, pólizas, SG-SST, licencias).</t>
  </si>
  <si>
    <t xml:space="preserve">Expediente por trabajador contratista</t>
  </si>
  <si>
    <t xml:space="preserve">Exámenes médicos, afiliaciones, certificaciones, inducción.</t>
  </si>
  <si>
    <t xml:space="preserve">Control de ingreso y habilitación</t>
  </si>
  <si>
    <t xml:space="preserve">Control de ingreso y habilitación de contratistas.</t>
  </si>
  <si>
    <t xml:space="preserve">Evaluación de desempeño HSE y tablero comparativo</t>
  </si>
  <si>
    <t xml:space="preserve">Evaluación de desempeño HSE; tablero comparativo por contratista.</t>
  </si>
  <si>
    <t xml:space="preserve">ARQUITECTURA, SEGURIDAD DE LA INFORMACIÓN Y SERVICIO - Requisitos transversales de arquitectura, cumplimiento y escalabilidad del servicio.</t>
  </si>
  <si>
    <t xml:space="preserve">Seguridad de la información certificada ISO/IEC 27001:2022</t>
  </si>
  <si>
    <t xml:space="preserve">Certificación ISO/IEC 27001:2022 vigente sobre el Sistema de Gestión de Seguridad de la Información.</t>
  </si>
  <si>
    <t xml:space="preserve">Almacenamiento seguro y continuidad operativa</t>
  </si>
  <si>
    <t xml:space="preserve">Almacenamiento seguro, respaldos automatizados y continuidad operativa garantizada.</t>
  </si>
  <si>
    <t xml:space="preserve">Acompañamiento de consultoría HSE especializada en Oil &amp; Gas</t>
  </si>
  <si>
    <t xml:space="preserve">Consultores expertos en Oil &amp; Gas con certificación NEBOSH y licencia SST vigente, certificación como auditores y amplia experiencia en operaciones de alto riesgo como las de GAS PAÍS.</t>
  </si>
  <si>
    <t xml:space="preserve">Mesa de ayuda dedicada de autoservicio</t>
  </si>
  <si>
    <t xml:space="preserve">Mesa de ayuda dedicada de tipo autoservicio.</t>
  </si>
  <si>
    <t xml:space="preserve">Construcción de módulos personalizados adicionales</t>
  </si>
  <si>
    <t xml:space="preserve">Posibilidad de construcción, parametrización y puesta en marcha de módulos personalizados adicionales mediante infraestructura eficiente y dedicada.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</si>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</sst>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65721633.7603306</v>
      </c>
      <c r="Z1" s="3" t="s">
        <v>13</v>
      </c>
      <c r="AA1" s="8" t="s">
        <v>14</v>
      </c>
      <c r="AB1" s="9" t="s">
        <v>15</v>
      </c>
      <c r="AC1" s="10" t="n">
        <f aca="false">SUM(AC2:AC120)</f>
        <v>65721633.7603306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4600238.01652893</v>
      </c>
      <c r="B2" s="12" t="n">
        <v>6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4600238.01652893</v>
      </c>
      <c r="Z2" s="19"/>
      <c r="AA2" s="20"/>
      <c r="AB2" s="21" t="b">
        <f aca="false">TRUE()</f>
        <v>1</v>
      </c>
      <c r="AC2" s="22" t="n">
        <f aca="false">IF(L2="",0,IF(AB2=FALSE(),0,Y2))</f>
        <v>4600238.01652893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2099086.36363636</v>
      </c>
      <c r="B3" s="13"/>
      <c r="C3" s="12" t="n">
        <v>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2099086.36363636</v>
      </c>
      <c r="Z3" s="19"/>
      <c r="AA3" s="20"/>
      <c r="AB3" s="21" t="b">
        <f aca="false">TRUE()</f>
        <v>1</v>
      </c>
      <c r="AC3" s="22" t="n">
        <f aca="false">IF(L3="",0,IF(AB3=FALSE(),0,Y3))</f>
        <v>2099086.36363636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2020764.04958678</v>
      </c>
      <c r="B4" s="13"/>
      <c r="C4" s="13"/>
      <c r="D4" s="13"/>
      <c r="E4" s="13"/>
      <c r="F4" s="13"/>
      <c r="G4" s="13"/>
      <c r="H4" s="12" t="n">
        <v>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2020764.04958678</v>
      </c>
      <c r="Z4" s="19"/>
      <c r="AA4" s="23"/>
      <c r="AB4" s="21" t="b">
        <f aca="false">TRUE()</f>
        <v>1</v>
      </c>
      <c r="AC4" s="22" t="n">
        <f aca="false">IF(L4="",0,IF(AB4=FALSE(),0,Y4))</f>
        <v>2020764.04958678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229247.479338843</v>
      </c>
      <c r="B5" s="14"/>
      <c r="C5" s="14"/>
      <c r="D5" s="14"/>
      <c r="E5" s="14"/>
      <c r="F5" s="14"/>
      <c r="G5" s="14"/>
      <c r="H5" s="14"/>
      <c r="I5" s="14"/>
      <c r="J5" s="14"/>
      <c r="K5" s="14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229247.479338843</v>
      </c>
      <c r="Z5" s="19"/>
      <c r="AA5" s="23"/>
      <c r="AB5" s="21" t="b">
        <f aca="false">TRUE()</f>
        <v>1</v>
      </c>
      <c r="AC5" s="22" t="n">
        <f aca="false">IF(L5="",0,IF(AB5=FALSE(),0,Y5))</f>
        <v>229247.479338843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229247.479338843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229247.479338843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3431518.67768595</v>
      </c>
      <c r="Z8" s="19"/>
      <c r="AA8" s="20"/>
      <c r="AB8" s="21" t="b">
        <f aca="false">TRUE()</f>
        <v>1</v>
      </c>
      <c r="AC8" s="22" t="n">
        <f aca="false">IF(L8="",0,IF(AB8=FALSE(),0,Y8))</f>
        <v>3431518.67768595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3431518.67768595</v>
      </c>
      <c r="B9" s="14"/>
      <c r="C9" s="14" t="n">
        <v>1</v>
      </c>
      <c r="D9" s="14" t="n">
        <v>2</v>
      </c>
      <c r="E9" s="14" t="n">
        <v>3</v>
      </c>
      <c r="F9" s="14"/>
      <c r="G9" s="14" t="n">
        <v>1</v>
      </c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3431518.67768595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3431518.67768595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29" t="s">
        <v>23</v>
      </c>
      <c r="M11" s="17"/>
      <c r="N11" s="30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6</v>
      </c>
      <c r="Y11" s="18" t="n">
        <f aca="false">SUMIF($X$2:$X$120,X11,$A$2:$A$120)</f>
        <v>2927602.32782369</v>
      </c>
      <c r="Z11" s="19"/>
      <c r="AA11" s="20"/>
      <c r="AB11" s="21" t="b">
        <f aca="false">TRUE()</f>
        <v>1</v>
      </c>
      <c r="AC11" s="22" t="n">
        <f aca="false">IF(L11="",0,IF(AB11=FALSE(),0,Y11))</f>
        <v>2927602.32782369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2927602.32782369</v>
      </c>
      <c r="B12" s="14"/>
      <c r="C12" s="14" t="n">
        <v>1</v>
      </c>
      <c r="D12" s="14" t="n">
        <v>1.5</v>
      </c>
      <c r="E12" s="14" t="n">
        <v>2.5</v>
      </c>
      <c r="F12" s="14"/>
      <c r="G12" s="14" t="n">
        <v>1</v>
      </c>
      <c r="H12" s="14"/>
      <c r="I12" s="14"/>
      <c r="J12" s="14"/>
      <c r="K12" s="14"/>
      <c r="L12" s="17"/>
      <c r="M12" s="27" t="s">
        <v>24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6</v>
      </c>
      <c r="Y12" s="18" t="n">
        <f aca="false">SUMIF($X$2:$X$120,X12,$A$2:$A$120)</f>
        <v>2927602.32782369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6</v>
      </c>
      <c r="Y13" s="18" t="n">
        <f aca="false">SUMIF($X$2:$X$120,X13,$A$2:$A$120)</f>
        <v>2927602.32782369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9" t="s">
        <v>26</v>
      </c>
      <c r="M14" s="17"/>
      <c r="N14" s="30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7</v>
      </c>
      <c r="Y14" s="18" t="n">
        <f aca="false">SUMIF($X$2:$X$120,X14,$A$2:$A$120)</f>
        <v>5484773.2369146</v>
      </c>
      <c r="Z14" s="19"/>
      <c r="AA14" s="20"/>
      <c r="AB14" s="21" t="b">
        <f aca="false">TRUE()</f>
        <v>1</v>
      </c>
      <c r="AC14" s="22" t="n">
        <f aca="false">IF(L14="",0,IF(AB14=FALSE(),0,Y14))</f>
        <v>5484773.2369146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2429584.32506887</v>
      </c>
      <c r="B15" s="14"/>
      <c r="C15" s="14" t="n">
        <v>1</v>
      </c>
      <c r="D15" s="14" t="n">
        <v>1.5</v>
      </c>
      <c r="E15" s="14" t="n">
        <v>2</v>
      </c>
      <c r="F15" s="14"/>
      <c r="G15" s="14" t="n">
        <v>0.5</v>
      </c>
      <c r="H15" s="14"/>
      <c r="I15" s="14"/>
      <c r="J15" s="14"/>
      <c r="K15" s="14"/>
      <c r="L15" s="17"/>
      <c r="M15" s="27" t="s">
        <v>27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7</v>
      </c>
      <c r="Y15" s="18" t="n">
        <f aca="false">SUMIF($X$2:$X$120,X15,$A$2:$A$120)</f>
        <v>5484773.2369146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7</v>
      </c>
      <c r="Y16" s="18" t="n">
        <f aca="false">SUMIF($X$2:$X$120,X16,$A$2:$A$120)</f>
        <v>5484773.2369146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1721657.68595041</v>
      </c>
      <c r="B17" s="14"/>
      <c r="C17" s="14" t="n">
        <v>0.5</v>
      </c>
      <c r="D17" s="14" t="n">
        <v>1.5</v>
      </c>
      <c r="E17" s="14" t="n">
        <v>1.5</v>
      </c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7</v>
      </c>
      <c r="Y17" s="18" t="n">
        <f aca="false">SUMIF($X$2:$X$120,X17,$A$2:$A$120)</f>
        <v>5484773.2369146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7</v>
      </c>
      <c r="Y18" s="18" t="n">
        <f aca="false">SUMIF($X$2:$X$120,X18,$A$2:$A$120)</f>
        <v>5484773.2369146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1333531.22589532</v>
      </c>
      <c r="B19" s="14"/>
      <c r="C19" s="14"/>
      <c r="D19" s="14"/>
      <c r="E19" s="14" t="n">
        <v>1.5</v>
      </c>
      <c r="F19" s="14" t="n">
        <v>0.5</v>
      </c>
      <c r="G19" s="14" t="n">
        <v>0.5</v>
      </c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7</v>
      </c>
      <c r="Y19" s="18" t="n">
        <f aca="false">SUMIF($X$2:$X$120,X19,$A$2:$A$120)</f>
        <v>5484773.2369146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7</v>
      </c>
      <c r="Y20" s="18" t="n">
        <f aca="false">SUMIF($X$2:$X$120,X20,$A$2:$A$120)</f>
        <v>5484773.2369146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29" t="s">
        <v>33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8</v>
      </c>
      <c r="Y21" s="18" t="n">
        <f aca="false">SUMIF($X$2:$X$120,X21,$A$2:$A$120)</f>
        <v>3437417.02479339</v>
      </c>
      <c r="Z21" s="19"/>
      <c r="AA21" s="20"/>
      <c r="AB21" s="21" t="b">
        <f aca="false">TRUE()</f>
        <v>1</v>
      </c>
      <c r="AC21" s="22" t="n">
        <f aca="false">IF(L21="",0,IF(AB21=FALSE(),0,Y21))</f>
        <v>3437417.02479339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2429584.32506887</v>
      </c>
      <c r="B22" s="14"/>
      <c r="C22" s="14" t="n">
        <v>1</v>
      </c>
      <c r="D22" s="14" t="n">
        <v>1.5</v>
      </c>
      <c r="E22" s="14" t="n">
        <v>2</v>
      </c>
      <c r="F22" s="14"/>
      <c r="G22" s="14" t="n">
        <v>0.5</v>
      </c>
      <c r="H22" s="14"/>
      <c r="I22" s="14"/>
      <c r="J22" s="14"/>
      <c r="K22" s="14"/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8</v>
      </c>
      <c r="Y22" s="18" t="n">
        <f aca="false">SUMIF($X$2:$X$120,X22,$A$2:$A$120)</f>
        <v>3437417.02479339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8</v>
      </c>
      <c r="Y23" s="18" t="n">
        <f aca="false">SUMIF($X$2:$X$120,X23,$A$2:$A$120)</f>
        <v>3437417.02479339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1007832.69972452</v>
      </c>
      <c r="B24" s="14"/>
      <c r="C24" s="14" t="n">
        <v>0.5</v>
      </c>
      <c r="D24" s="14" t="n">
        <v>0.5</v>
      </c>
      <c r="E24" s="14" t="n">
        <v>1</v>
      </c>
      <c r="F24" s="14"/>
      <c r="G24" s="14"/>
      <c r="H24" s="14"/>
      <c r="I24" s="14"/>
      <c r="J24" s="14"/>
      <c r="K24" s="14"/>
      <c r="L24" s="17"/>
      <c r="M24" s="31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8</v>
      </c>
      <c r="Y24" s="18" t="n">
        <f aca="false">SUMIF($X$2:$X$120,X24,$A$2:$A$120)</f>
        <v>3437417.02479339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8</v>
      </c>
      <c r="Y25" s="18" t="n">
        <f aca="false">SUMIF($X$2:$X$120,X25,$A$2:$A$120)</f>
        <v>3437417.02479339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9" t="s">
        <v>38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9</v>
      </c>
      <c r="Y26" s="18" t="n">
        <f aca="false">SUMIF($X$2:$X$120,X26,$A$2:$A$120)</f>
        <v>6576705.0137741</v>
      </c>
      <c r="Z26" s="19"/>
      <c r="AA26" s="20"/>
      <c r="AB26" s="21" t="b">
        <f aca="false">TRUE()</f>
        <v>1</v>
      </c>
      <c r="AC26" s="22" t="n">
        <f aca="false">IF(L26="",0,IF(AB26=FALSE(),0,Y26))</f>
        <v>6576705.0137741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2225574.03581267</v>
      </c>
      <c r="B27" s="14"/>
      <c r="C27" s="14" t="n">
        <v>1</v>
      </c>
      <c r="D27" s="14" t="n">
        <v>1.5</v>
      </c>
      <c r="E27" s="14" t="n">
        <v>2</v>
      </c>
      <c r="F27" s="14"/>
      <c r="G27" s="14"/>
      <c r="H27" s="14"/>
      <c r="I27" s="14"/>
      <c r="J27" s="14"/>
      <c r="K27" s="14"/>
      <c r="L27" s="24"/>
      <c r="M27" s="27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9</v>
      </c>
      <c r="Y27" s="18" t="n">
        <f aca="false">SUMIF($X$2:$X$120,X27,$A$2:$A$120)</f>
        <v>6576705.0137741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9</v>
      </c>
      <c r="Y28" s="18" t="n">
        <f aca="false">SUMIF($X$2:$X$120,X28,$A$2:$A$120)</f>
        <v>6576705.0137741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1511749.04958678</v>
      </c>
      <c r="B29" s="14"/>
      <c r="C29" s="14" t="n">
        <v>0.5</v>
      </c>
      <c r="D29" s="14" t="n">
        <v>1</v>
      </c>
      <c r="E29" s="14" t="n">
        <v>1.5</v>
      </c>
      <c r="F29" s="14"/>
      <c r="G29" s="14"/>
      <c r="H29" s="14"/>
      <c r="I29" s="14"/>
      <c r="J29" s="14"/>
      <c r="K29" s="14"/>
      <c r="L29" s="24"/>
      <c r="M29" s="27" t="s">
        <v>41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9</v>
      </c>
      <c r="Y29" s="18" t="n">
        <f aca="false">SUMIF($X$2:$X$120,X29,$A$2:$A$120)</f>
        <v>6576705.0137741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9</v>
      </c>
      <c r="Y30" s="18" t="n">
        <f aca="false">SUMIF($X$2:$X$120,X30,$A$2:$A$120)</f>
        <v>6576705.0137741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1505850.70247934</v>
      </c>
      <c r="B31" s="14"/>
      <c r="C31" s="14"/>
      <c r="D31" s="14" t="n">
        <v>1</v>
      </c>
      <c r="E31" s="14" t="n">
        <v>1.5</v>
      </c>
      <c r="F31" s="14"/>
      <c r="G31" s="14" t="n">
        <v>0.5</v>
      </c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9</v>
      </c>
      <c r="Y31" s="18" t="n">
        <f aca="false">SUMIF($X$2:$X$120,X31,$A$2:$A$120)</f>
        <v>6576705.0137741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9</v>
      </c>
      <c r="Y32" s="18" t="n">
        <f aca="false">SUMIF($X$2:$X$120,X32,$A$2:$A$120)</f>
        <v>6576705.0137741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1333531.22589532</v>
      </c>
      <c r="B33" s="14"/>
      <c r="C33" s="14"/>
      <c r="D33" s="14"/>
      <c r="E33" s="14" t="n">
        <v>1.5</v>
      </c>
      <c r="F33" s="14" t="n">
        <v>0.5</v>
      </c>
      <c r="G33" s="14" t="n">
        <v>0.5</v>
      </c>
      <c r="H33" s="14"/>
      <c r="I33" s="14"/>
      <c r="J33" s="14"/>
      <c r="K33" s="14"/>
      <c r="L33" s="24"/>
      <c r="M33" s="27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9</v>
      </c>
      <c r="Y33" s="18" t="n">
        <f aca="false">SUMIF($X$2:$X$120,X33,$A$2:$A$120)</f>
        <v>6576705.0137741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28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9</v>
      </c>
      <c r="Y34" s="18" t="n">
        <f aca="false">SUMIF($X$2:$X$120,X34,$A$2:$A$120)</f>
        <v>6576705.0137741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9" t="s">
        <v>47</v>
      </c>
      <c r="M35" s="17"/>
      <c r="N35" s="32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10</v>
      </c>
      <c r="Y35" s="18" t="n">
        <f aca="false">SUMIF($X$2:$X$120,X35,$A$2:$A$120)</f>
        <v>6245108.14049587</v>
      </c>
      <c r="Z35" s="19"/>
      <c r="AA35" s="20"/>
      <c r="AB35" s="21" t="b">
        <f aca="false">TRUE()</f>
        <v>1</v>
      </c>
      <c r="AC35" s="22" t="n">
        <f aca="false">IF(L35="",0,IF(AB35=FALSE(),0,Y35))</f>
        <v>6245108.14049587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2309673.11294766</v>
      </c>
      <c r="B36" s="14"/>
      <c r="C36" s="14" t="n">
        <v>1</v>
      </c>
      <c r="D36" s="14" t="n">
        <v>1</v>
      </c>
      <c r="E36" s="14" t="n">
        <v>2.5</v>
      </c>
      <c r="F36" s="14"/>
      <c r="G36" s="14"/>
      <c r="H36" s="14"/>
      <c r="I36" s="14"/>
      <c r="J36" s="14"/>
      <c r="K36" s="14"/>
      <c r="L36" s="24"/>
      <c r="M36" s="27" t="s">
        <v>48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10</v>
      </c>
      <c r="Y36" s="18" t="n">
        <f aca="false">SUMIF($X$2:$X$120,X36,$A$2:$A$120)</f>
        <v>6245108.14049587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28" t="s">
        <v>49</v>
      </c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10</v>
      </c>
      <c r="Y37" s="18" t="n">
        <f aca="false">SUMIF($X$2:$X$120,X37,$A$2:$A$120)</f>
        <v>6245108.14049587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2009767.0523416</v>
      </c>
      <c r="B38" s="14"/>
      <c r="C38" s="14"/>
      <c r="D38" s="14" t="n">
        <v>1.5</v>
      </c>
      <c r="E38" s="14" t="n">
        <v>2</v>
      </c>
      <c r="F38" s="14"/>
      <c r="G38" s="14" t="n">
        <v>0.5</v>
      </c>
      <c r="H38" s="14"/>
      <c r="I38" s="14"/>
      <c r="J38" s="14"/>
      <c r="K38" s="14"/>
      <c r="L38" s="24"/>
      <c r="M38" s="27" t="s">
        <v>50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10</v>
      </c>
      <c r="Y38" s="18" t="n">
        <f aca="false">SUMIF($X$2:$X$120,X38,$A$2:$A$120)</f>
        <v>6245108.14049587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3"/>
      <c r="AE38" s="33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28" t="s">
        <v>51</v>
      </c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10</v>
      </c>
      <c r="Y39" s="18" t="n">
        <f aca="false">SUMIF($X$2:$X$120,X39,$A$2:$A$120)</f>
        <v>6245108.14049587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1925667.97520661</v>
      </c>
      <c r="B40" s="14"/>
      <c r="C40" s="14" t="n">
        <v>0.5</v>
      </c>
      <c r="D40" s="14" t="n">
        <v>1.5</v>
      </c>
      <c r="E40" s="14" t="n">
        <v>1.5</v>
      </c>
      <c r="F40" s="14"/>
      <c r="G40" s="14" t="n">
        <v>0.5</v>
      </c>
      <c r="H40" s="14"/>
      <c r="I40" s="14"/>
      <c r="J40" s="14"/>
      <c r="K40" s="14"/>
      <c r="L40" s="24"/>
      <c r="M40" s="27" t="s">
        <v>52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10</v>
      </c>
      <c r="Y40" s="18" t="n">
        <f aca="false">SUMIF($X$2:$X$120,X40,$A$2:$A$120)</f>
        <v>6245108.14049587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3"/>
      <c r="AE40" s="33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28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10</v>
      </c>
      <c r="Y41" s="18" t="n">
        <f aca="false">SUMIF($X$2:$X$120,X41,$A$2:$A$120)</f>
        <v>6245108.14049587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3"/>
      <c r="AE41" s="33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9" t="s">
        <v>54</v>
      </c>
      <c r="M42" s="17"/>
      <c r="N42" s="34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11</v>
      </c>
      <c r="Y42" s="18" t="n">
        <f aca="false">SUMIF($X$2:$X$120,X42,$A$2:$A$120)</f>
        <v>10845907.5206612</v>
      </c>
      <c r="Z42" s="19"/>
      <c r="AA42" s="20"/>
      <c r="AB42" s="21" t="b">
        <f aca="false">TRUE()</f>
        <v>1</v>
      </c>
      <c r="AC42" s="22" t="n">
        <f aca="false">IF(L42="",0,IF(AB42=FALSE(),0,Y42))</f>
        <v>10845907.5206612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3293060.61983471</v>
      </c>
      <c r="B43" s="14"/>
      <c r="C43" s="14"/>
      <c r="D43" s="14"/>
      <c r="E43" s="14" t="n">
        <v>1</v>
      </c>
      <c r="F43" s="14"/>
      <c r="G43" s="14" t="n">
        <v>0.5</v>
      </c>
      <c r="H43" s="14"/>
      <c r="I43" s="14" t="n">
        <v>2</v>
      </c>
      <c r="J43" s="14" t="n">
        <v>1</v>
      </c>
      <c r="K43" s="14"/>
      <c r="L43" s="24"/>
      <c r="M43" s="27" t="s">
        <v>55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11</v>
      </c>
      <c r="Y43" s="18" t="n">
        <f aca="false">SUMIF($X$2:$X$120,X43,$A$2:$A$120)</f>
        <v>10845907.5206612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28" t="s">
        <v>56</v>
      </c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11</v>
      </c>
      <c r="Y44" s="18" t="n">
        <f aca="false">SUMIF($X$2:$X$120,X44,$A$2:$A$120)</f>
        <v>10845907.5206612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1805756.7630854</v>
      </c>
      <c r="B45" s="14"/>
      <c r="C45" s="14" t="n">
        <v>0.5</v>
      </c>
      <c r="D45" s="14" t="n">
        <v>1</v>
      </c>
      <c r="E45" s="14" t="n">
        <v>2</v>
      </c>
      <c r="F45" s="14"/>
      <c r="G45" s="14"/>
      <c r="H45" s="14"/>
      <c r="I45" s="14"/>
      <c r="J45" s="14"/>
      <c r="K45" s="14"/>
      <c r="L45" s="24"/>
      <c r="M45" s="27" t="s">
        <v>57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11</v>
      </c>
      <c r="Y45" s="18" t="n">
        <f aca="false">SUMIF($X$2:$X$120,X45,$A$2:$A$120)</f>
        <v>10845907.5206612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28" t="s">
        <v>58</v>
      </c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11</v>
      </c>
      <c r="Y46" s="18" t="n">
        <f aca="false">SUMIF($X$2:$X$120,X46,$A$2:$A$120)</f>
        <v>10845907.5206612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2519581.74931129</v>
      </c>
      <c r="B47" s="14"/>
      <c r="C47" s="14" t="n">
        <v>1</v>
      </c>
      <c r="D47" s="14" t="n">
        <v>1.5</v>
      </c>
      <c r="E47" s="14" t="n">
        <v>2.5</v>
      </c>
      <c r="F47" s="14"/>
      <c r="G47" s="14"/>
      <c r="H47" s="14"/>
      <c r="I47" s="14"/>
      <c r="J47" s="14"/>
      <c r="K47" s="14"/>
      <c r="L47" s="24"/>
      <c r="M47" s="27" t="s">
        <v>59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11</v>
      </c>
      <c r="Y47" s="18" t="n">
        <f aca="false">SUMIF($X$2:$X$120,X47,$A$2:$A$120)</f>
        <v>10845907.5206612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28" t="s">
        <v>60</v>
      </c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11</v>
      </c>
      <c r="Y48" s="18" t="n">
        <f aca="false">SUMIF($X$2:$X$120,X48,$A$2:$A$120)</f>
        <v>10845907.5206612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3"/>
      <c r="AE48" s="33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1217741.33608815</v>
      </c>
      <c r="B49" s="14"/>
      <c r="C49" s="14" t="n">
        <v>0.5</v>
      </c>
      <c r="D49" s="14" t="n">
        <v>1</v>
      </c>
      <c r="E49" s="14" t="n">
        <v>1</v>
      </c>
      <c r="F49" s="14"/>
      <c r="G49" s="14"/>
      <c r="H49" s="14"/>
      <c r="I49" s="14"/>
      <c r="J49" s="14"/>
      <c r="K49" s="14"/>
      <c r="L49" s="24"/>
      <c r="M49" s="27" t="s">
        <v>61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11</v>
      </c>
      <c r="Y49" s="18" t="n">
        <f aca="false">SUMIF($X$2:$X$120,X49,$A$2:$A$120)</f>
        <v>10845907.5206612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3"/>
      <c r="AE49" s="33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28" t="s">
        <v>62</v>
      </c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11</v>
      </c>
      <c r="Y50" s="18" t="n">
        <f aca="false">SUMIF($X$2:$X$120,X50,$A$2:$A$120)</f>
        <v>10845907.5206612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3"/>
      <c r="AE50" s="33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2009767.0523416</v>
      </c>
      <c r="B51" s="14"/>
      <c r="C51" s="14"/>
      <c r="D51" s="14" t="n">
        <v>1.5</v>
      </c>
      <c r="E51" s="14" t="n">
        <v>2</v>
      </c>
      <c r="F51" s="14"/>
      <c r="G51" s="14" t="n">
        <v>0.5</v>
      </c>
      <c r="H51" s="14"/>
      <c r="I51" s="14"/>
      <c r="J51" s="14"/>
      <c r="K51" s="14"/>
      <c r="L51" s="24"/>
      <c r="M51" s="27" t="s">
        <v>63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11</v>
      </c>
      <c r="Y51" s="18" t="n">
        <f aca="false">SUMIF($X$2:$X$120,X51,$A$2:$A$120)</f>
        <v>10845907.5206612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3"/>
      <c r="AE51" s="33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28" t="s">
        <v>64</v>
      </c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11</v>
      </c>
      <c r="Y52" s="18" t="n">
        <f aca="false">SUMIF($X$2:$X$120,X52,$A$2:$A$120)</f>
        <v>10845907.5206612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3"/>
      <c r="AE52" s="33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9" t="s">
        <v>65</v>
      </c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12</v>
      </c>
      <c r="Y53" s="18" t="n">
        <f aca="false">SUMIF($X$2:$X$120,X53,$A$2:$A$120)</f>
        <v>10858556.0192837</v>
      </c>
      <c r="Z53" s="19"/>
      <c r="AA53" s="20"/>
      <c r="AB53" s="21" t="b">
        <f aca="false">TRUE()</f>
        <v>1</v>
      </c>
      <c r="AC53" s="22" t="n">
        <f aca="false">IF(L53="",0,IF(AB53=FALSE(),0,Y53))</f>
        <v>10858556.0192837</v>
      </c>
      <c r="AD53" s="33"/>
      <c r="AE53" s="33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2519581.74931129</v>
      </c>
      <c r="B54" s="14"/>
      <c r="C54" s="14" t="n">
        <v>1</v>
      </c>
      <c r="D54" s="14" t="n">
        <v>1.5</v>
      </c>
      <c r="E54" s="14" t="n">
        <v>2.5</v>
      </c>
      <c r="F54" s="14"/>
      <c r="G54" s="14"/>
      <c r="H54" s="14"/>
      <c r="I54" s="14"/>
      <c r="J54" s="14"/>
      <c r="K54" s="14"/>
      <c r="L54" s="24"/>
      <c r="M54" s="27" t="s">
        <v>66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12</v>
      </c>
      <c r="Y54" s="18" t="n">
        <f aca="false">SUMIF($X$2:$X$120,X54,$A$2:$A$120)</f>
        <v>10858556.0192837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3"/>
      <c r="AE54" s="33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28" t="s">
        <v>67</v>
      </c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12</v>
      </c>
      <c r="Y55" s="18" t="n">
        <f aca="false">SUMIF($X$2:$X$120,X55,$A$2:$A$120)</f>
        <v>10858556.0192837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3"/>
      <c r="AE55" s="33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2303774.76584022</v>
      </c>
      <c r="B56" s="14"/>
      <c r="C56" s="14"/>
      <c r="D56" s="14" t="n">
        <v>1.5</v>
      </c>
      <c r="E56" s="14" t="n">
        <v>2.5</v>
      </c>
      <c r="F56" s="14"/>
      <c r="G56" s="14" t="n">
        <v>0.5</v>
      </c>
      <c r="H56" s="14"/>
      <c r="I56" s="14"/>
      <c r="J56" s="14"/>
      <c r="K56" s="14"/>
      <c r="L56" s="24"/>
      <c r="M56" s="27" t="s">
        <v>68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12</v>
      </c>
      <c r="Y56" s="18" t="n">
        <f aca="false">SUMIF($X$2:$X$120,X56,$A$2:$A$120)</f>
        <v>10858556.0192837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3"/>
      <c r="AE56" s="33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28" t="s">
        <v>69</v>
      </c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12</v>
      </c>
      <c r="Y57" s="18" t="n">
        <f aca="false">SUMIF($X$2:$X$120,X57,$A$2:$A$120)</f>
        <v>10858556.0192837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3"/>
      <c r="AE57" s="33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2303774.76584022</v>
      </c>
      <c r="B58" s="14"/>
      <c r="C58" s="14"/>
      <c r="D58" s="14" t="n">
        <v>1.5</v>
      </c>
      <c r="E58" s="14" t="n">
        <v>2.5</v>
      </c>
      <c r="F58" s="14"/>
      <c r="G58" s="14" t="n">
        <v>0.5</v>
      </c>
      <c r="H58" s="14"/>
      <c r="I58" s="14"/>
      <c r="J58" s="14"/>
      <c r="K58" s="14"/>
      <c r="L58" s="24"/>
      <c r="M58" s="27" t="s">
        <v>70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12</v>
      </c>
      <c r="Y58" s="18" t="n">
        <f aca="false">SUMIF($X$2:$X$120,X58,$A$2:$A$120)</f>
        <v>10858556.0192837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3"/>
      <c r="AE58" s="33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28" t="s">
        <v>71</v>
      </c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12</v>
      </c>
      <c r="Y59" s="18" t="n">
        <f aca="false">SUMIF($X$2:$X$120,X59,$A$2:$A$120)</f>
        <v>10858556.0192837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3"/>
      <c r="AE59" s="33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1505850.70247934</v>
      </c>
      <c r="B60" s="14"/>
      <c r="C60" s="14"/>
      <c r="D60" s="14" t="n">
        <v>1</v>
      </c>
      <c r="E60" s="14" t="n">
        <v>1.5</v>
      </c>
      <c r="F60" s="14"/>
      <c r="G60" s="14" t="n">
        <v>0.5</v>
      </c>
      <c r="H60" s="14"/>
      <c r="I60" s="14"/>
      <c r="J60" s="14"/>
      <c r="K60" s="14"/>
      <c r="L60" s="24"/>
      <c r="M60" s="27" t="s">
        <v>72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12</v>
      </c>
      <c r="Y60" s="18" t="n">
        <f aca="false">SUMIF($X$2:$X$120,X60,$A$2:$A$120)</f>
        <v>10858556.0192837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3"/>
      <c r="AE60" s="33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28" t="s">
        <v>73</v>
      </c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12</v>
      </c>
      <c r="Y61" s="18" t="n">
        <f aca="false">SUMIF($X$2:$X$120,X61,$A$2:$A$120)</f>
        <v>10858556.0192837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3"/>
      <c r="AE61" s="33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2225574.03581267</v>
      </c>
      <c r="B62" s="14"/>
      <c r="C62" s="14" t="n">
        <v>1</v>
      </c>
      <c r="D62" s="14" t="n">
        <v>1.5</v>
      </c>
      <c r="E62" s="14" t="n">
        <v>2</v>
      </c>
      <c r="F62" s="14"/>
      <c r="G62" s="14"/>
      <c r="H62" s="14"/>
      <c r="I62" s="14"/>
      <c r="J62" s="14"/>
      <c r="K62" s="14"/>
      <c r="L62" s="24"/>
      <c r="M62" s="27" t="s">
        <v>74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12</v>
      </c>
      <c r="Y62" s="18" t="n">
        <f aca="false">SUMIF($X$2:$X$120,X62,$A$2:$A$120)</f>
        <v>10858556.0192837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3"/>
      <c r="AE62" s="33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28" t="s">
        <v>75</v>
      </c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12</v>
      </c>
      <c r="Y63" s="18" t="n">
        <f aca="false">SUMIF($X$2:$X$120,X63,$A$2:$A$120)</f>
        <v>10858556.0192837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3"/>
      <c r="AE63" s="33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9" t="s">
        <v>76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13</v>
      </c>
      <c r="Y64" s="18" t="n">
        <f aca="false">SUMIF($X$2:$X$120,X64,$A$2:$A$120)</f>
        <v>6964709.88980716</v>
      </c>
      <c r="Z64" s="19"/>
      <c r="AA64" s="20"/>
      <c r="AB64" s="21" t="b">
        <f aca="false">TRUE()</f>
        <v>1</v>
      </c>
      <c r="AC64" s="22" t="n">
        <f aca="false">IF(L64="",0,IF(AB64=FALSE(),0,Y64))</f>
        <v>6964709.88980716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1086033.42975207</v>
      </c>
      <c r="B65" s="14"/>
      <c r="C65" s="14"/>
      <c r="D65" s="14"/>
      <c r="E65" s="14" t="n">
        <v>1.5</v>
      </c>
      <c r="F65" s="14"/>
      <c r="G65" s="14" t="n">
        <v>0.5</v>
      </c>
      <c r="H65" s="14"/>
      <c r="I65" s="14"/>
      <c r="J65" s="14"/>
      <c r="K65" s="14"/>
      <c r="L65" s="24"/>
      <c r="M65" s="27" t="s">
        <v>77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13</v>
      </c>
      <c r="Y65" s="18" t="n">
        <f aca="false">SUMIF($X$2:$X$120,X65,$A$2:$A$120)</f>
        <v>6964709.88980716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3"/>
      <c r="AE65" s="33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28" t="s">
        <v>78</v>
      </c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13</v>
      </c>
      <c r="Y66" s="18" t="n">
        <f aca="false">SUMIF($X$2:$X$120,X66,$A$2:$A$120)</f>
        <v>6964709.88980716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3"/>
      <c r="AE66" s="33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1380041.14325069</v>
      </c>
      <c r="B67" s="14"/>
      <c r="C67" s="14"/>
      <c r="D67" s="14"/>
      <c r="E67" s="14" t="n">
        <v>2</v>
      </c>
      <c r="F67" s="14"/>
      <c r="G67" s="14" t="n">
        <v>0.5</v>
      </c>
      <c r="H67" s="14"/>
      <c r="I67" s="14"/>
      <c r="J67" s="14"/>
      <c r="K67" s="14"/>
      <c r="L67" s="24"/>
      <c r="M67" s="27" t="s">
        <v>79</v>
      </c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13</v>
      </c>
      <c r="Y67" s="18" t="n">
        <f aca="false">SUMIF($X$2:$X$120,X67,$A$2:$A$120)</f>
        <v>6964709.88980716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3"/>
      <c r="AE67" s="33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28" t="s">
        <v>80</v>
      </c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13</v>
      </c>
      <c r="Y68" s="18" t="n">
        <f aca="false">SUMIF($X$2:$X$120,X68,$A$2:$A$120)</f>
        <v>6964709.88980716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3"/>
      <c r="AE68" s="33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1212458.42975207</v>
      </c>
      <c r="B69" s="14"/>
      <c r="C69" s="14"/>
      <c r="D69" s="14"/>
      <c r="E69" s="14"/>
      <c r="F69" s="14"/>
      <c r="G69" s="14"/>
      <c r="H69" s="14" t="n">
        <v>3</v>
      </c>
      <c r="I69" s="14"/>
      <c r="J69" s="14"/>
      <c r="K69" s="14"/>
      <c r="L69" s="24"/>
      <c r="M69" s="27" t="s">
        <v>81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13</v>
      </c>
      <c r="Y69" s="18" t="n">
        <f aca="false">SUMIF($X$2:$X$120,X69,$A$2:$A$120)</f>
        <v>6964709.88980716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3"/>
      <c r="AE69" s="33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28" t="s">
        <v>82</v>
      </c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13</v>
      </c>
      <c r="Y70" s="18" t="n">
        <f aca="false">SUMIF($X$2:$X$120,X70,$A$2:$A$120)</f>
        <v>6964709.88980716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3"/>
      <c r="AE70" s="33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1705993.2231405</v>
      </c>
      <c r="B71" s="14"/>
      <c r="C71" s="14"/>
      <c r="D71" s="14" t="n">
        <v>1</v>
      </c>
      <c r="E71" s="14" t="n">
        <v>1.5</v>
      </c>
      <c r="F71" s="14"/>
      <c r="G71" s="14"/>
      <c r="H71" s="14" t="n">
        <v>1</v>
      </c>
      <c r="I71" s="14"/>
      <c r="J71" s="14"/>
      <c r="K71" s="14"/>
      <c r="L71" s="24"/>
      <c r="M71" s="27" t="s">
        <v>83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13</v>
      </c>
      <c r="Y71" s="18" t="n">
        <f aca="false">SUMIF($X$2:$X$120,X71,$A$2:$A$120)</f>
        <v>6964709.88980716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3"/>
      <c r="AE71" s="33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28" t="s">
        <v>84</v>
      </c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13</v>
      </c>
      <c r="Y72" s="18" t="n">
        <f aca="false">SUMIF($X$2:$X$120,X72,$A$2:$A$120)</f>
        <v>6964709.88980716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3"/>
      <c r="AE72" s="33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1580183.66391185</v>
      </c>
      <c r="B73" s="14"/>
      <c r="C73" s="14"/>
      <c r="D73" s="14"/>
      <c r="E73" s="14" t="n">
        <v>2</v>
      </c>
      <c r="F73" s="14"/>
      <c r="G73" s="14"/>
      <c r="H73" s="14" t="n">
        <v>1</v>
      </c>
      <c r="I73" s="14"/>
      <c r="J73" s="14"/>
      <c r="K73" s="14"/>
      <c r="L73" s="24"/>
      <c r="M73" s="27" t="s">
        <v>85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13</v>
      </c>
      <c r="Y73" s="18" t="n">
        <f aca="false">SUMIF($X$2:$X$120,X73,$A$2:$A$120)</f>
        <v>6964709.88980716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3"/>
      <c r="AE73" s="33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28" t="s">
        <v>86</v>
      </c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13</v>
      </c>
      <c r="Y74" s="18" t="n">
        <f aca="false">SUMIF($X$2:$X$120,X74,$A$2:$A$120)</f>
        <v>6964709.88980716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3"/>
      <c r="AE74" s="33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13</v>
      </c>
      <c r="Y75" s="18" t="n">
        <f aca="false">SUMIF($X$2:$X$120,X75,$A$2:$A$120)</f>
        <v>6964709.88980716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13</v>
      </c>
      <c r="Y76" s="18" t="n">
        <f aca="false">SUMIF($X$2:$X$120,X76,$A$2:$A$120)</f>
        <v>6964709.88980716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13</v>
      </c>
      <c r="Y77" s="18" t="n">
        <f aca="false">SUMIF($X$2:$X$120,X77,$A$2:$A$120)</f>
        <v>6964709.88980716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13</v>
      </c>
      <c r="Y78" s="18" t="n">
        <f aca="false">SUMIF($X$2:$X$120,X78,$A$2:$A$120)</f>
        <v>6964709.88980716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13</v>
      </c>
      <c r="Y79" s="18" t="n">
        <f aca="false">SUMIF($X$2:$X$120,X79,$A$2:$A$120)</f>
        <v>6964709.88980716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13</v>
      </c>
      <c r="Y80" s="18" t="n">
        <f aca="false">SUMIF($X$2:$X$120,X80,$A$2:$A$120)</f>
        <v>6964709.88980716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13</v>
      </c>
      <c r="Y81" s="18" t="n">
        <f aca="false">SUMIF($X$2:$X$120,X81,$A$2:$A$120)</f>
        <v>6964709.88980716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13</v>
      </c>
      <c r="Y82" s="18" t="n">
        <f aca="false">SUMIF($X$2:$X$120,X82,$A$2:$A$120)</f>
        <v>6964709.88980716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13</v>
      </c>
      <c r="Y83" s="18" t="n">
        <f aca="false">SUMIF($X$2:$X$120,X83,$A$2:$A$120)</f>
        <v>6964709.88980716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13</v>
      </c>
      <c r="Y84" s="18" t="n">
        <f aca="false">SUMIF($X$2:$X$120,X84,$A$2:$A$120)</f>
        <v>6964709.88980716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13</v>
      </c>
      <c r="Y85" s="18" t="n">
        <f aca="false">SUMIF($X$2:$X$120,X85,$A$2:$A$120)</f>
        <v>6964709.88980716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3"/>
      <c r="AE85" s="33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13</v>
      </c>
      <c r="Y86" s="18" t="n">
        <f aca="false">SUMIF($X$2:$X$120,X86,$A$2:$A$120)</f>
        <v>6964709.88980716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3"/>
      <c r="AE86" s="33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13</v>
      </c>
      <c r="Y87" s="18" t="n">
        <f aca="false">SUMIF($X$2:$X$120,X87,$A$2:$A$120)</f>
        <v>6964709.88980716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3"/>
      <c r="AE87" s="33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13</v>
      </c>
      <c r="Y88" s="18" t="n">
        <f aca="false">SUMIF($X$2:$X$120,X88,$A$2:$A$120)</f>
        <v>6964709.88980716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3"/>
      <c r="AE88" s="33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13</v>
      </c>
      <c r="Y89" s="18" t="n">
        <f aca="false">SUMIF($X$2:$X$120,X89,$A$2:$A$120)</f>
        <v>6964709.88980716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3"/>
      <c r="AE89" s="33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13</v>
      </c>
      <c r="Y90" s="18" t="n">
        <f aca="false">SUMIF($X$2:$X$120,X90,$A$2:$A$120)</f>
        <v>6964709.88980716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3"/>
      <c r="AE90" s="33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13</v>
      </c>
      <c r="Y91" s="18" t="n">
        <f aca="false">SUMIF($X$2:$X$120,X91,$A$2:$A$120)</f>
        <v>6964709.88980716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3"/>
      <c r="AE91" s="33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13</v>
      </c>
      <c r="Y92" s="18" t="n">
        <f aca="false">SUMIF($X$2:$X$120,X92,$A$2:$A$120)</f>
        <v>6964709.88980716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3"/>
      <c r="AE92" s="33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13</v>
      </c>
      <c r="Y93" s="18" t="n">
        <f aca="false">SUMIF($X$2:$X$120,X93,$A$2:$A$120)</f>
        <v>6964709.88980716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3"/>
      <c r="AE93" s="33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13</v>
      </c>
      <c r="Y94" s="18" t="n">
        <f aca="false">SUMIF($X$2:$X$120,X94,$A$2:$A$120)</f>
        <v>6964709.88980716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3"/>
      <c r="AE94" s="33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13</v>
      </c>
      <c r="Y95" s="18" t="n">
        <f aca="false">SUMIF($X$2:$X$120,X95,$A$2:$A$120)</f>
        <v>6964709.88980716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3"/>
      <c r="AE95" s="33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13</v>
      </c>
      <c r="Y96" s="18" t="n">
        <f aca="false">SUMIF($X$2:$X$120,X96,$A$2:$A$120)</f>
        <v>6964709.88980716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3"/>
      <c r="AE96" s="33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13</v>
      </c>
      <c r="Y97" s="18" t="n">
        <f aca="false">SUMIF($X$2:$X$120,X97,$A$2:$A$120)</f>
        <v>6964709.88980716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3"/>
      <c r="AE97" s="33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13</v>
      </c>
      <c r="Y98" s="18" t="n">
        <f aca="false">SUMIF($X$2:$X$120,X98,$A$2:$A$120)</f>
        <v>6964709.88980716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3"/>
      <c r="AE98" s="33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13</v>
      </c>
      <c r="Y99" s="18" t="n">
        <f aca="false">SUMIF($X$2:$X$120,X99,$A$2:$A$120)</f>
        <v>6964709.88980716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3"/>
      <c r="AE99" s="33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13</v>
      </c>
      <c r="Y100" s="18" t="n">
        <f aca="false">SUMIF($X$2:$X$120,X100,$A$2:$A$120)</f>
        <v>6964709.88980716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3"/>
      <c r="AE100" s="33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13</v>
      </c>
      <c r="Y101" s="18" t="n">
        <f aca="false">SUMIF($X$2:$X$120,X101,$A$2:$A$120)</f>
        <v>6964709.88980716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13</v>
      </c>
      <c r="Y102" s="18" t="n">
        <f aca="false">SUMIF($X$2:$X$120,X102,$A$2:$A$120)</f>
        <v>6964709.88980716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13</v>
      </c>
      <c r="Y103" s="18" t="n">
        <f aca="false">SUMIF($X$2:$X$120,X103,$A$2:$A$120)</f>
        <v>6964709.88980716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3"/>
      <c r="AE103" s="33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13</v>
      </c>
      <c r="Y104" s="18" t="n">
        <f aca="false">SUMIF($X$2:$X$120,X104,$A$2:$A$120)</f>
        <v>6964709.88980716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3"/>
      <c r="AE104" s="33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13</v>
      </c>
      <c r="Y105" s="18" t="n">
        <f aca="false">SUMIF($X$2:$X$120,X105,$A$2:$A$120)</f>
        <v>6964709.88980716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3"/>
      <c r="AE105" s="33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13</v>
      </c>
      <c r="Y106" s="18" t="n">
        <f aca="false">SUMIF($X$2:$X$120,X106,$A$2:$A$120)</f>
        <v>6964709.88980716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3"/>
      <c r="AE106" s="33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13</v>
      </c>
      <c r="Y107" s="18" t="n">
        <f aca="false">SUMIF($X$2:$X$120,X107,$A$2:$A$120)</f>
        <v>6964709.88980716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13</v>
      </c>
      <c r="Y108" s="18" t="n">
        <f aca="false">SUMIF($X$2:$X$120,X108,$A$2:$A$120)</f>
        <v>6964709.88980716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13</v>
      </c>
      <c r="Y109" s="18" t="n">
        <f aca="false">SUMIF($X$2:$X$120,X109,$A$2:$A$120)</f>
        <v>6964709.88980716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13</v>
      </c>
      <c r="Y110" s="18" t="n">
        <f aca="false">SUMIF($X$2:$X$120,X110,$A$2:$A$120)</f>
        <v>6964709.88980716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13</v>
      </c>
      <c r="Y111" s="18" t="n">
        <f aca="false">SUMIF($X$2:$X$120,X111,$A$2:$A$120)</f>
        <v>6964709.88980716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13</v>
      </c>
      <c r="Y112" s="18" t="n">
        <f aca="false">SUMIF($X$2:$X$120,X112,$A$2:$A$120)</f>
        <v>6964709.88980716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13</v>
      </c>
      <c r="Y113" s="18" t="n">
        <f aca="false">SUMIF($X$2:$X$120,X113,$A$2:$A$120)</f>
        <v>6964709.88980716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13</v>
      </c>
      <c r="Y114" s="18" t="n">
        <f aca="false">SUMIF($X$2:$X$120,X114,$A$2:$A$120)</f>
        <v>6964709.88980716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13</v>
      </c>
      <c r="Y115" s="18" t="n">
        <f aca="false">SUMIF($X$2:$X$120,X115,$A$2:$A$120)</f>
        <v>6964709.88980716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13</v>
      </c>
      <c r="Y116" s="18" t="n">
        <f aca="false">SUMIF($X$2:$X$120,X116,$A$2:$A$120)</f>
        <v>6964709.88980716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13</v>
      </c>
      <c r="Y117" s="18" t="n">
        <f aca="false">SUMIF($X$2:$X$120,X117,$A$2:$A$120)</f>
        <v>6964709.88980716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13</v>
      </c>
      <c r="Y118" s="18" t="n">
        <f aca="false">SUMIF($X$2:$X$120,X118,$A$2:$A$120)</f>
        <v>6964709.88980716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13</v>
      </c>
      <c r="Y119" s="18" t="n">
        <f aca="false">SUMIF($X$2:$X$120,X119,$A$2:$A$120)</f>
        <v>6964709.88980716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87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6</v>
      </c>
      <c r="C121" s="14" t="n">
        <f aca="false">SUM(C2:C120)</f>
        <v>17</v>
      </c>
      <c r="D121" s="14" t="n">
        <f aca="false">SUM(D2:D120)</f>
        <v>29</v>
      </c>
      <c r="E121" s="14" t="n">
        <f aca="false">SUM(E2:E120)</f>
        <v>52.5</v>
      </c>
      <c r="F121" s="14" t="n">
        <f aca="false">SUM(F2:F120)</f>
        <v>1</v>
      </c>
      <c r="G121" s="14" t="n">
        <f aca="false">SUM(G2:G120)</f>
        <v>9</v>
      </c>
      <c r="H121" s="14" t="n">
        <f aca="false">SUM(H2:H120)</f>
        <v>10</v>
      </c>
      <c r="I121" s="14" t="n">
        <f aca="false">SUM(I2:I120)</f>
        <v>2</v>
      </c>
      <c r="J121" s="14" t="n">
        <f aca="false">SUM(J2:J120)</f>
        <v>1</v>
      </c>
      <c r="K121" s="14" t="n">
        <f aca="false">SUM(K2:K120)</f>
        <v>0.5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88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109536056.267218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89</v>
      </c>
      <c r="E123" s="44" t="n">
        <v>1750905</v>
      </c>
      <c r="F123" s="45" t="s">
        <v>90</v>
      </c>
      <c r="G123" s="46" t="n">
        <v>249095</v>
      </c>
      <c r="H123" s="40"/>
      <c r="I123" s="47" t="s">
        <v>91</v>
      </c>
      <c r="J123" s="48" t="n">
        <v>0.18</v>
      </c>
      <c r="K123" s="48"/>
      <c r="L123" s="49" t="s">
        <v>92</v>
      </c>
      <c r="M123" s="50" t="n">
        <f aca="false">2.7/12</f>
        <v>0.225</v>
      </c>
      <c r="N123" s="51" t="s">
        <v>93</v>
      </c>
      <c r="O123" s="52" t="n">
        <f aca="false">40*4.2*((244-2)/260)</f>
        <v>156.369230769231</v>
      </c>
      <c r="P123" s="40"/>
      <c r="Q123" s="47" t="s">
        <v>94</v>
      </c>
      <c r="R123" s="53" t="n">
        <v>0.4</v>
      </c>
      <c r="S123" s="40"/>
      <c r="T123" s="54" t="n">
        <v>8</v>
      </c>
      <c r="U123" s="55" t="s">
        <v>95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96</v>
      </c>
      <c r="D124" s="57"/>
      <c r="E124" s="57"/>
      <c r="F124" s="57" t="s">
        <v>97</v>
      </c>
      <c r="G124" s="57"/>
      <c r="H124" s="57"/>
      <c r="I124" s="57" t="s">
        <v>98</v>
      </c>
      <c r="J124" s="57"/>
      <c r="K124" s="57"/>
      <c r="L124" s="57"/>
      <c r="M124" s="57" t="s">
        <v>99</v>
      </c>
      <c r="N124" s="57"/>
      <c r="O124" s="57"/>
      <c r="P124" s="57" t="s">
        <v>100</v>
      </c>
      <c r="Q124" s="57"/>
      <c r="R124" s="57"/>
      <c r="S124" s="40"/>
      <c r="T124" s="40"/>
      <c r="U124" s="58" t="s">
        <v>93</v>
      </c>
      <c r="V124" s="57" t="s">
        <v>101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102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95838.2920110193</v>
      </c>
      <c r="Q125" s="60"/>
      <c r="R125" s="60"/>
      <c r="S125" s="40"/>
      <c r="T125" s="40"/>
      <c r="U125" s="14" t="n">
        <f aca="false">HLOOKUP(B125,$B$1:$K$121,$A$121,0)*$T$123</f>
        <v>48</v>
      </c>
      <c r="W125" s="61" t="n">
        <f aca="false">P125*U125</f>
        <v>4600238.01652893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103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52477.1590909091</v>
      </c>
      <c r="Q126" s="60"/>
      <c r="R126" s="60"/>
      <c r="S126" s="40"/>
      <c r="T126" s="40"/>
      <c r="U126" s="14" t="n">
        <f aca="false">HLOOKUP(B126,$B$1:$K$121,$A$121,0)*$T$123</f>
        <v>136</v>
      </c>
      <c r="W126" s="61" t="n">
        <f aca="false">P126*U126</f>
        <v>7136893.63636364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104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52477.1590909091</v>
      </c>
      <c r="Q127" s="60"/>
      <c r="R127" s="60"/>
      <c r="S127" s="40"/>
      <c r="T127" s="40"/>
      <c r="U127" s="14" t="n">
        <f aca="false">HLOOKUP(B127,$B$1:$K$121,$A$121,0)*$T$123</f>
        <v>232</v>
      </c>
      <c r="W127" s="61" t="n">
        <f aca="false">P127*U127</f>
        <v>12174700.9090909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105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73501.9283746557</v>
      </c>
      <c r="Q128" s="60"/>
      <c r="R128" s="60"/>
      <c r="S128" s="40"/>
      <c r="T128" s="40"/>
      <c r="U128" s="14" t="n">
        <f aca="false">HLOOKUP(B128,$B$1:$K$121,$A$121,0)*$T$123</f>
        <v>420</v>
      </c>
      <c r="W128" s="61" t="n">
        <f aca="false">P128*U128</f>
        <v>30870809.9173554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106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61874.4490358127</v>
      </c>
      <c r="Q129" s="60"/>
      <c r="R129" s="60"/>
      <c r="S129" s="40"/>
      <c r="T129" s="40"/>
      <c r="U129" s="14" t="n">
        <f aca="false">HLOOKUP(B129,$B$1:$K$121,$A$121,0)*$T$123</f>
        <v>8</v>
      </c>
      <c r="W129" s="61" t="n">
        <f aca="false">P129*U129</f>
        <v>494995.592286501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107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51002.5723140496</v>
      </c>
      <c r="Q130" s="60"/>
      <c r="R130" s="60"/>
      <c r="S130" s="40"/>
      <c r="T130" s="40"/>
      <c r="U130" s="14" t="n">
        <f aca="false">HLOOKUP(B130,$B$1:$K$121,$A$121,0)*$T$123</f>
        <v>72</v>
      </c>
      <c r="W130" s="61" t="n">
        <f aca="false">P130*U130</f>
        <v>3672185.20661157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108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50519.1012396694</v>
      </c>
      <c r="Q131" s="60"/>
      <c r="R131" s="60"/>
      <c r="S131" s="40"/>
      <c r="T131" s="40"/>
      <c r="U131" s="14" t="n">
        <f aca="false">HLOOKUP(B131,$B$1:$K$121,$A$121,0)*$T$123</f>
        <v>80</v>
      </c>
      <c r="W131" s="61" t="n">
        <f aca="false">P131*U131</f>
        <v>4041528.09917355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109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127067.837465565</v>
      </c>
      <c r="Q132" s="60"/>
      <c r="R132" s="60"/>
      <c r="S132" s="40"/>
      <c r="T132" s="40"/>
      <c r="U132" s="14" t="n">
        <f aca="false">HLOOKUP(B132,$B$1:$K$121,$A$121,0)*$T$123</f>
        <v>16</v>
      </c>
      <c r="W132" s="61" t="n">
        <f aca="false">P132*U132</f>
        <v>2033085.39944904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110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58493.6880165289</v>
      </c>
      <c r="Q133" s="60"/>
      <c r="R133" s="60"/>
      <c r="S133" s="40"/>
      <c r="T133" s="40"/>
      <c r="U133" s="14" t="n">
        <f aca="false">HLOOKUP(B133,$B$1:$K$121,$A$121,0)*$T$123</f>
        <v>8</v>
      </c>
      <c r="W133" s="61" t="n">
        <f aca="false">P133*U133</f>
        <v>467949.504132231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111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57311.8698347107</v>
      </c>
      <c r="Q134" s="60"/>
      <c r="R134" s="60"/>
      <c r="S134" s="40"/>
      <c r="T134" s="40"/>
      <c r="U134" s="14" t="n">
        <f aca="false">HLOOKUP(B134,$B$1:$K$121,$A$121,0)*$T$123</f>
        <v>4</v>
      </c>
      <c r="W134" s="61" t="n">
        <f aca="false">P134*U134</f>
        <v>229247.479338843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680564.056473829</v>
      </c>
      <c r="Q135" s="62"/>
      <c r="R135" s="62"/>
      <c r="S135" s="40"/>
      <c r="T135" s="40"/>
      <c r="U135" s="40"/>
      <c r="W135" s="63" t="n">
        <f aca="false">SUM(W125:W134)</f>
        <v>65721633.7603306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112</v>
      </c>
      <c r="H140" s="74" t="s">
        <v>113</v>
      </c>
      <c r="I140" s="74" t="s">
        <v>114</v>
      </c>
      <c r="J140" s="74" t="s">
        <v>115</v>
      </c>
      <c r="K140" s="74" t="s">
        <v>116</v>
      </c>
      <c r="L140" s="75" t="s">
        <v>117</v>
      </c>
      <c r="M140" s="75" t="s">
        <v>118</v>
      </c>
      <c r="N140" s="75" t="s">
        <v>119</v>
      </c>
      <c r="O140" s="75" t="s">
        <v>120</v>
      </c>
      <c r="P140" s="74" t="s">
        <v>121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122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2026-07-29T13:54:49Z</dcterms:created>
  <dc:creator>openpyxl</dc:creator>
  <dc:description/>
  <dc:language>es-CO</dc:language>
  <cp:lastModifiedBy>Full Service</cp:lastModifiedBy>
  <dcterms:modified xsi:type="dcterms:W3CDTF">2026-07-29T13:54:50Z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