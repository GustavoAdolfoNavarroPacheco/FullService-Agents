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A PR1059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218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218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217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225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227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228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218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217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218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218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<sst xmlns="http://schemas.openxmlformats.org/spreadsheetml/2006/main" count="265" uniqueCount="263">
  <si>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</si>
  <si>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</si>
  <si>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</si>
  <si>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</si>
  <si>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</si>
  <si>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</si>
  <si>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</si>
  <si>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</si>
  <si>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</si>
  <si>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</si>
  <si>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</si>
  <si>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</si>
  <si>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</si>
  <si>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</si>
  <si>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</si>
  <si>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</si>
  <si>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</si>
  <si>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</si>
  <si>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</si>
  <si>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</si>
  <si>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DESCUBRIMIENTO TÉCNICO Y PREPARACIÓN DEL CANAL - Verificación del estado de la cuenta de WhatsApp, límites de mensajería, verificación del negocio, plantillas necesarias y validación de insumos de IPA antes de comprometer el cronograma.</t>
  </si>
  <si>
    <t xml:space="preserve">Verificación del estado de la cuenta de WhatsApp</t>
  </si>
  <si>
    <t xml:space="preserve">Confirmar existencia de cuenta de WhatsApp Business, titularidad y estado de verificación del negocio ante Meta.</t>
  </si>
  <si>
    <t xml:space="preserve">Verificación de límites de mensajería vigentes</t>
  </si>
  <si>
    <t xml:space="preserve">Consultar el límite de mensajería vigente del portafolio (nuevo parte de 250 destinatarios únicos por 24 horas) y la vía de escalado disponible.</t>
  </si>
  <si>
    <t xml:space="preserve">Validación de plantillas necesarias</t>
  </si>
  <si>
    <t xml:space="preserve">Identificar las plantillas de mensajería requeridas para el envío semanal de contenido, según los formatos que exige Meta.</t>
  </si>
  <si>
    <t xml:space="preserve">Validación de insumos de IPA</t>
  </si>
  <si>
    <t xml:space="preserve">Confirmar disponibilidad y formato de la base de conocimiento, taxonomía de casos sensibles, mensajes aprobados y respuestas validadas.</t>
  </si>
  <si>
    <t xml:space="preserve">Informe de preparación del canal</t>
  </si>
  <si>
    <t xml:space="preserve">Documento con hallazgos, bloqueos de plataforma y riesgos de cronograma detectados en el descubrimiento.</t>
  </si>
  <si>
    <t xml:space="preserve">ARQUITECTURA Y AMBIENTES - Diseño, decisiones, diagramas, tres ambientes, contenedores, integración continua e infraestructura como código.</t>
  </si>
  <si>
    <t xml:space="preserve">Diseño de arquitectura del sistema</t>
  </si>
  <si>
    <t xml:space="preserve">Monolito modular en contenedores con procesos separados para API y workers; decisiones de arquitectura documentadas.</t>
  </si>
  <si>
    <t xml:space="preserve">Diagramas de arquitectura y despliegue</t>
  </si>
  <si>
    <t xml:space="preserve">Diagramas de componentes, flujo de datos y despliegue para la propuesta técnica y la transferencia final.</t>
  </si>
  <si>
    <t xml:space="preserve">Configuración de tres ambientes</t>
  </si>
  <si>
    <t xml:space="preserve">Desarrollo, preproducción con datos sintéticos y producción, aislados entre sí para permitir pruebas sin tocar producción.</t>
  </si>
  <si>
    <t xml:space="preserve">Contenedorización de servicios</t>
  </si>
  <si>
    <t xml:space="preserve">Empaquetado de API y workers en contenedores desplegables de forma reproducible.</t>
  </si>
  <si>
    <t xml:space="preserve">Integración continua, infraestructura como código y alta disponibilidad</t>
  </si>
  <si>
    <t xml:space="preserve">Pipeline de CI/CD e infraestructura declarada como código para los tres ambientes, con balanceador de carga, múltiples réplicas y recuperación automática ante fallos para cumplir la disponibilidad 24/7 exigida.</t>
  </si>
  <si>
    <t xml:space="preserve">INTEGRACIÓN WHATSAPP - Webhooks, envío y recepción, estados de entrega, gestión de la ventana de servicio y control de tasa y reintentos.</t>
  </si>
  <si>
    <t xml:space="preserve">Webhooks de entrada y salida</t>
  </si>
  <si>
    <t xml:space="preserve">Integración con Meta Cloud API (opción preferida de línea base) para recepción y envío de mensajes vía webhooks.</t>
  </si>
  <si>
    <t xml:space="preserve">Envío y recepción de mensajes</t>
  </si>
  <si>
    <t xml:space="preserve">Manejo de texto, imágenes y vídeo suministrados por IPA; sin procesamiento de imágenes enviadas por el participante ni producción de vídeo.</t>
  </si>
  <si>
    <t xml:space="preserve">Manejo de estados de entrega</t>
  </si>
  <si>
    <t xml:space="preserve">Captura y registro de estados enviado, entregado, leído y fallido por mensaje.</t>
  </si>
  <si>
    <t xml:space="preserve">Gestión de la ventana de servicio de 24 horas</t>
  </si>
  <si>
    <t xml:space="preserve">Control de la ventana de mensajería libre de 24 horas, reiniciada con cada mensaje entrante del usuario.</t>
  </si>
  <si>
    <t xml:space="preserve">Control de tasa y reintentos</t>
  </si>
  <si>
    <t xml:space="preserve">Limitación de tasa de envío y reintentos ante fallos temporales de entrega.</t>
  </si>
  <si>
    <t xml:space="preserve">PLANTILLAS Y CAMPAÑAS - Diseño de plantillas, envío a aprobación de Meta, versionado, planificador y escalonamiento por límites.</t>
  </si>
  <si>
    <t xml:space="preserve">Diseño de plantillas de contenido semanal</t>
  </si>
  <si>
    <t xml:space="preserve">Conversión del contenido semanal de IPA en plantillas aprobables por Meta para envío fuera de la ventana de servicio.</t>
  </si>
  <si>
    <t xml:space="preserve">Flujo de envío a aprobación de Meta</t>
  </si>
  <si>
    <t xml:space="preserve">Proceso de sometimiento y seguimiento de plantillas al ciclo de revisión de Meta.</t>
  </si>
  <si>
    <t xml:space="preserve">Versionado de plantillas</t>
  </si>
  <si>
    <t xml:space="preserve">Plantillas versionadas junto al release del agente, con histórico de cambios.</t>
  </si>
  <si>
    <t xml:space="preserve">Planificador de envíos semanales</t>
  </si>
  <si>
    <t xml:space="preserve">Cola durable con idempotencia, reintentos y control de tasa para el envío semanal a participantes autorizados.</t>
  </si>
  <si>
    <t xml:space="preserve">Escalonamiento de envíos por límites de mensajería</t>
  </si>
  <si>
    <t xml:space="preserve">Distribución de envíos en varios días cuando el límite vigente de Meta lo exige.</t>
  </si>
  <si>
    <t xml:space="preserve">BASE DE CONOCIMIENTO - Ingesta, estructuración, metadatos, versiones inmutables y publicación sin redespliegue.</t>
  </si>
  <si>
    <t xml:space="preserve">Ingesta de contenido validado por IPA</t>
  </si>
  <si>
    <t xml:space="preserve">Carga de orientación semanal, preguntas frecuentes, criterios de elegibilidad, documentos, costos y plazos.</t>
  </si>
  <si>
    <t xml:space="preserve">Estructuración y metadatos</t>
  </si>
  <si>
    <t xml:space="preserve">Esquema por tema, etapa, vigencia y fuente, con identificador de versión por unidad de contenido.</t>
  </si>
  <si>
    <t xml:space="preserve">Versiones inmutables de la base</t>
  </si>
  <si>
    <t xml:space="preserve">Estados borrador, aprobado y publicado, con revisión previa de personal designado de IPA.</t>
  </si>
  <si>
    <t xml:space="preserve">Publicación sin redistribución completa</t>
  </si>
  <si>
    <t xml:space="preserve">Puntero de versión activa que permite publicar cambios aprobados sin redesplegar todo el sistema.</t>
  </si>
  <si>
    <t xml:space="preserve">RECUPERACIÓN Y GROUNDING - Prueba comparativa entre base completa en contexto y recuperación selectiva; medición de omisión, latencia y consumo.</t>
  </si>
  <si>
    <t xml:space="preserve">Base completa en contexto con caché de prompt</t>
  </si>
  <si>
    <t xml:space="preserve">Línea base de recuperación: carga de la base completa (~14.000 tokens) en contexto con caché de instrucciones, para eliminar el riesgo de omisión señalado como crítico por el RFP.</t>
  </si>
  <si>
    <t xml:space="preserve">Prueba comparativa con recuperación selectiva</t>
  </si>
  <si>
    <t xml:space="preserve">Implementación de referencia con pgvector sobre PostgreSQL como alternativa a evaluar, sin añadir un servicio adicional.</t>
  </si>
  <si>
    <t xml:space="preserve">Medición de omisión, latencia y consumo</t>
  </si>
  <si>
    <t xml:space="preserve">Comparación cuantitativa entre ambas estrategias de recuperación sobre los mismos casos de prueba.</t>
  </si>
  <si>
    <t xml:space="preserve">Informe de decisión con evidencia</t>
  </si>
  <si>
    <t xml:space="preserve">Documento de recomendación final entre contexto completo y recuperación selectiva, con evidencia de la prueba.</t>
  </si>
  <si>
    <t xml:space="preserve">ORQUESTACIÓN DEL AGENTE - Sesiones, enrutamiento, políticas, llamadas al modelo y composición de respuestas.</t>
  </si>
  <si>
    <t xml:space="preserve">Gestión de sesiones y contexto conversacional</t>
  </si>
  <si>
    <t xml:space="preserve">Estado de conversación persistente con política explícita de expiración alineada a la ventana de 24 horas.</t>
  </si>
  <si>
    <t xml:space="preserve">Enrutamiento y flujos conversacionales</t>
  </si>
  <si>
    <t xml:space="preserve">Orientación al migrante venezolano según su situación específica, con lineamiento claro del proceso recomendado en cada caso.</t>
  </si>
  <si>
    <t xml:space="preserve">Políticas de decisión del agente y restricción a usuarios autorizados</t>
  </si>
  <si>
    <t xml:space="preserve">Reglas de negocio para decidir cuándo responder, rechazar o derivar, coordinadas con los guardrails de CT-08, incluida la validación contra la lista de usuarios asignados por IPA: el agente rechaza o no inicia interacción con números fuera de esa lista.</t>
  </si>
  <si>
    <t xml:space="preserve">Integración con el proveedor del modelo</t>
  </si>
  <si>
    <t xml:space="preserve">Llamadas a una API empresarial con versión fija, tras una capa de abstracción que permite sustituir el proveedor sin reconstruir el sistema.</t>
  </si>
  <si>
    <t xml:space="preserve">Composición de respuestas para WhatsApp</t>
  </si>
  <si>
    <t xml:space="preserve">Formateo de las respuestas del agente al formato de mensajería soportado por el canal.</t>
  </si>
  <si>
    <t xml:space="preserve">GUARDRAILS Y LÍMITES INFORMATIVOS - Reglas de rechazo, prohibición de asesoría legal, degradación segura y pruebas adversariales.</t>
  </si>
  <si>
    <t xml:space="preserve">Reglas de rechazo y prohibiciones</t>
  </si>
  <si>
    <t xml:space="preserve">Reglas determinísticas más instrucciones del sistema que impiden asesoría legal, garantías de aprobación de visas y afirmaciones no sustentadas.</t>
  </si>
  <si>
    <t xml:space="preserve">Degradación segura</t>
  </si>
  <si>
    <t xml:space="preserve">Comportamiento de rechazo definido ante baja confianza, ausencia de evidencia o fallo del modelo, sin improvisar respuestas.</t>
  </si>
  <si>
    <t xml:space="preserve">Reintento limitado y derivación</t>
  </si>
  <si>
    <t xml:space="preserve">Derivación a la ruta humana correspondiente (canal no sensible o casos sensibles) cuando el agente no puede responder con seguridad.</t>
  </si>
  <si>
    <t xml:space="preserve">Pruebas adversariales</t>
  </si>
  <si>
    <t xml:space="preserve">Suite de casos adversariales verificados contra las reglas de rechazo antes de cada release.</t>
  </si>
  <si>
    <t xml:space="preserve">VERSIONADO E INTEGRIDAD DEL ENSAYO - Manifiesto de release, aprobación registrada, congelamiento, reversión y trazabilidad por mensaje.</t>
  </si>
  <si>
    <t xml:space="preserve">Manifiesto de release inmutable</t>
  </si>
  <si>
    <t xml:space="preserve">Identificador único por versión de prompts, flujos conversacionales, configuración del modelo y base de conocimiento.</t>
  </si>
  <si>
    <t xml:space="preserve">Flujo de aprobación de IPA</t>
  </si>
  <si>
    <t xml:space="preserve">Registro de aprobación y fecha de activación; todo cambio requiere notificación previa por escrito y aprobación de IPA.</t>
  </si>
  <si>
    <t xml:space="preserve">Congelamiento de cambios</t>
  </si>
  <si>
    <t xml:space="preserve">Bandera de congelamiento por ambiente durante el período de estudio, con excepción de emergencia registrada.</t>
  </si>
  <si>
    <t xml:space="preserve">Reversión controlada</t>
  </si>
  <si>
    <t xml:space="preserve">Mecanismo de reversión a una versión anterior del manifiesto de release.</t>
  </si>
  <si>
    <t xml:space="preserve">Trazabilidad por mensaje</t>
  </si>
  <si>
    <t xml:space="preserve">Registro de solo anexado que asocia cada mensaje a marca de tiempo, identificador seudonimizado y versión del agente activa.</t>
  </si>
  <si>
    <t xml:space="preserve">REGISTRO, AUDITORÍA Y EXPORTACIÓN - Registro de solo anexado con esquema, diccionario, exportación reproducible y verificación de integridad.</t>
  </si>
  <si>
    <t xml:space="preserve">Registro de eventos de solo anexado</t>
  </si>
  <si>
    <t xml:space="preserve">Registro append-only de cada evento del sistema, con la clave de release asociada.</t>
  </si>
  <si>
    <t xml:space="preserve">Esquema y diccionario de datos</t>
  </si>
  <si>
    <t xml:space="preserve">Documentación del esquema de registro para permitir su interpretación por terceros.</t>
  </si>
  <si>
    <t xml:space="preserve">Exportación reproducible</t>
  </si>
  <si>
    <t xml:space="preserve">Exportación en formato estructurado por solicitud y al finalizar el contrato, con filtros por período y versión.</t>
  </si>
  <si>
    <t xml:space="preserve">Verificación de integridad de la exportación</t>
  </si>
  <si>
    <t xml:space="preserve">Comprobación de que el conjunto exportado corresponde exactamente al período y versión solicitados.</t>
  </si>
  <si>
    <t xml:space="preserve">MEDIOS - Biblioteca versionada, carga, referencias, entrega y manejo de fallos.</t>
  </si>
  <si>
    <t xml:space="preserve">Biblioteca multimedia versionada</t>
  </si>
  <si>
    <t xml:space="preserve">Almacenamiento de objetos con referencias versionadas, conservando el original y su versión más allá del identificador temporal de Meta.</t>
  </si>
  <si>
    <t xml:space="preserve">Carga y gestión de identificadores de medios</t>
  </si>
  <si>
    <t xml:space="preserve">Manejo de identificadores de medios de Meta, que caducan, con referencia persistente propia.</t>
  </si>
  <si>
    <t xml:space="preserve">Entrega con manejo de fallos</t>
  </si>
  <si>
    <t xml:space="preserve">Reintentos ante fallo de entrega de contenido multimedia.</t>
  </si>
  <si>
    <t xml:space="preserve">CANAL MANUAL NO SENSIBLE - Bandeja, asignación, temporizador de 4 horas hábiles, respuesta trazable y escalamiento a IPA.</t>
  </si>
  <si>
    <t xml:space="preserve">Bandeja con asignación</t>
  </si>
  <si>
    <t xml:space="preserve">Bandeja de consultas no sensibles no resueltas por el agente, con asignación al equipo humano del proveedor.</t>
  </si>
  <si>
    <t xml:space="preserve">Temporizador de respuesta</t>
  </si>
  <si>
    <t xml:space="preserve">Control de tiempo con alertas para cumplir el máximo de 4 horas hábiles de respuesta.</t>
  </si>
  <si>
    <t xml:space="preserve">Respuesta trazable</t>
  </si>
  <si>
    <t xml:space="preserve">Registro de la respuesta entregada, basada en contenido validado, con trazabilidad completa.</t>
  </si>
  <si>
    <t xml:space="preserve">Escalamiento a IPA</t>
  </si>
  <si>
    <t xml:space="preserve">Derivación a IPA cuando no existe contenido validado para responder la consulta.</t>
  </si>
  <si>
    <t xml:space="preserve">CASOS SENSIBLES Y ALERTAS - Clasificación, mensaje aprobado, alerta en 15 minutos con reintentos, acuse y evidencia temporizada.</t>
  </si>
  <si>
    <t xml:space="preserve">Clasificación de casos sensibles</t>
  </si>
  <si>
    <t xml:space="preserve">Detección de consultas que constituyen un caso sensible según la taxonomía a definir con IPA.</t>
  </si>
  <si>
    <t xml:space="preserve">Mensaje aprobado al participante</t>
  </si>
  <si>
    <t xml:space="preserve">Envío del mensaje aprobado correspondiente ante un caso sensible detectado.</t>
  </si>
  <si>
    <t xml:space="preserve">Alerta a IPA en 15 minutos</t>
  </si>
  <si>
    <t xml:space="preserve">Notificación inmediata a IPA en un plazo máximo de 15 minutos, enviada de forma simultánea y redundante por WhatsApp y por correo electrónico, con reintentos ante fallo de entrega en cualquiera de los dos canales.</t>
  </si>
  <si>
    <t xml:space="preserve">Acuse y evidencia temporizada</t>
  </si>
  <si>
    <t xml:space="preserve">Registro con identificador, fecha y hora, tipo de caso y transcripción relevante, con acuse de recibo de IPA.</t>
  </si>
  <si>
    <t xml:space="preserve">EVALUACIÓN Y PRECISIÓN - Arnés reproducible, conjunto de referencia, casos adversariales y coloquiales, regresión por release y muestreo en vivo.</t>
  </si>
  <si>
    <t xml:space="preserve">Arnés de evaluación reproducible</t>
  </si>
  <si>
    <t xml:space="preserve">Suite ejecutable por release que mide tasa de respuestas correctas, incorrectas y rechazadas.</t>
  </si>
  <si>
    <t xml:space="preserve">Conjunto de referencia validado por IPA</t>
  </si>
  <si>
    <t xml:space="preserve">Incorporación de las preguntas representativas con respuestas correctas validadas por expertos de IPA, con procedimiento de disputa y actualización.</t>
  </si>
  <si>
    <t xml:space="preserve">Casos adversariales y coloquiales</t>
  </si>
  <si>
    <t xml:space="preserve">Corpus de pruebas con español coloquial latinoamericano, variantes venezolanas, jerga, errores ortográficos y paráfrasis.</t>
  </si>
  <si>
    <t xml:space="preserve">Regresión automática por release</t>
  </si>
  <si>
    <t xml:space="preserve">Reejecución de la suite completa ante cualquier cambio de modelo, instrucciones, flujo o base de conocimiento.</t>
  </si>
  <si>
    <t xml:space="preserve">Muestreo en vivo</t>
  </si>
  <si>
    <t xml:space="preserve">Muestreo de conversaciones reales durante piloto y despliegue para monitorear precisión en producción.</t>
  </si>
  <si>
    <t xml:space="preserve">UX Y ACCESIBILIDAD - Diseño para baja alfabetización, nivel de lectura medible y pruebas con usuarios.</t>
  </si>
  <si>
    <t xml:space="preserve">Diseño para baja alfabetización</t>
  </si>
  <si>
    <t xml:space="preserve">Mensajes breves y navegación corta orientados a población con baja alfabetización.</t>
  </si>
  <si>
    <t xml:space="preserve">Nivel de lectura objetivo medible</t>
  </si>
  <si>
    <t xml:space="preserve">Definición del nivel de lectura objetivo y de la métrica con la que se mide.</t>
  </si>
  <si>
    <t xml:space="preserve">Pruebas de UX con usuarios</t>
  </si>
  <si>
    <t xml:space="preserve">Validación del diseño conversacional con usuarios reales representativos de la población objetivo.</t>
  </si>
  <si>
    <t xml:space="preserve">SEGURIDAD Y PRIVACIDAD TÉCNICA - Control de acceso por rol, cifrado, secretos, separación de identidad, copias de seguridad y evidencia documental.</t>
  </si>
  <si>
    <t xml:space="preserve">Control de acceso por rol</t>
  </si>
  <si>
    <t xml:space="preserve">Mínimo privilegio y autenticación reforzada para la superficie administrativa.</t>
  </si>
  <si>
    <t xml:space="preserve">Cifrado en tránsito y en reposo</t>
  </si>
  <si>
    <t xml:space="preserve">Cifrado de datos en tránsito y en reposo conforme a los requisitos de seguridad del RFP.</t>
  </si>
  <si>
    <t xml:space="preserve">Gestor de secretos y registro de accesos</t>
  </si>
  <si>
    <t xml:space="preserve">Gestión segura de credenciales y protección de APIs, con registro de accesos.</t>
  </si>
  <si>
    <t xml:space="preserve">Separación entre identidad y conversaciones</t>
  </si>
  <si>
    <t xml:space="preserve">Separación arquitectónica entre el mapa de identidad y el almacén de conversaciones, con control de acceso diferenciado.</t>
  </si>
  <si>
    <t xml:space="preserve">Copias de seguridad y restauración</t>
  </si>
  <si>
    <t xml:space="preserve">Procedimientos de respaldo y pruebas de restauración periódicas.</t>
  </si>
  <si>
    <t xml:space="preserve">Evidencia documental para DPA/IRB</t>
  </si>
  <si>
    <t xml:space="preserve">Documentación de soporte para el acuerdo de datos y el protocolo de investigación, incluida la declaración de la ubicación de almacenamiento/procesamiento de datos, las transferencias transfronterizas y la lista de subprocesadores.</t>
  </si>
  <si>
    <t xml:space="preserve">OBSERVABILIDAD Y OPERACIÓN - Cuatro capas separadas de observabilidad, alertas, respuesta a incidentes y soporte técnico durante el ensayo (horizonte de operación ~4 meses, según los hitos contractuales de RT-35: 30/30/60/120 días).</t>
  </si>
  <si>
    <t xml:space="preserve">Telemetría técnica</t>
  </si>
  <si>
    <t xml:space="preserve">Métricas de infraestructura y desempeño del sistema, como capa independiente de observabilidad.</t>
  </si>
  <si>
    <t xml:space="preserve">Registro de conversaciones</t>
  </si>
  <si>
    <t xml:space="preserve">Capa de observabilidad propia para el registro de conversaciones, con dueño y retención distintos de la telemetría técnica.</t>
  </si>
  <si>
    <t xml:space="preserve">Auditoría de cambios</t>
  </si>
  <si>
    <t xml:space="preserve">Capa de observabilidad para el registro de cambios de configuración, release y contenido.</t>
  </si>
  <si>
    <t xml:space="preserve">Métricas de investigación y reporte semanal de abandono</t>
  </si>
  <si>
    <t xml:space="preserve">Tasas de entrega, volumen de conversaciones, tasas de resolución, puntos de abandono y precisión, con un reporte semanal formal y explícito de señales de abandono e inactividad entregado a IPA (frecuencia mínima exigida por el RFP), distinto del dashboard continuo.</t>
  </si>
  <si>
    <t xml:space="preserve">Alertas y respuesta a incidentes</t>
  </si>
  <si>
    <t xml:space="preserve">Alertas automáticas ante degradación del servicio y procedimiento de respuesta a incidentes.</t>
  </si>
  <si>
    <t xml:space="preserve">Soporte técnico durante la operación</t>
  </si>
  <si>
    <t xml:space="preserve">Soporte técnico durante el horizonte de operación del ensayo (~4 meses, piloto y despliegue, según hitos de RT-35).</t>
  </si>
  <si>
    <t xml:space="preserve">PILOTO - Ejecución con ~10 usuarios, hallazgos, ajustes e informe con recomendación.</t>
  </si>
  <si>
    <t xml:space="preserve">Ejecución del piloto</t>
  </si>
  <si>
    <t xml:space="preserve">Ejecución con ~10 usuarios designados por IPA, sin interactuar con el grupo de control ni otros brazos del estudio.</t>
  </si>
  <si>
    <t xml:space="preserve">Recolección de hallazgos y ajustes</t>
  </si>
  <si>
    <t xml:space="preserve">Ajustes de remediación sobre el agente a partir de los hallazgos del piloto.</t>
  </si>
  <si>
    <t xml:space="preserve">Informe de piloto</t>
  </si>
  <si>
    <t xml:space="preserve">Informe con recomendación de avanzar o no al despliegue, según el umbral mínimo de precisión fijado por IPA.</t>
  </si>
  <si>
    <t xml:space="preserve">DESPLIEGUE Y ESCALA - Escalonamiento a ~800 usuarios, monitoreo de entrega, resolución, abandono y precisión, e informe de despliegue (ventana de despliegue dentro del horizonte de ~4 meses de RT-35).</t>
  </si>
  <si>
    <t xml:space="preserve">Escalonamiento a ~800 usuarios</t>
  </si>
  <si>
    <t xml:space="preserve">Ampliación gradual respetando los límites de mensajería vigentes de Meta.</t>
  </si>
  <si>
    <t xml:space="preserve">Monitoreo del despliegue</t>
  </si>
  <si>
    <t xml:space="preserve">Monitoreo de entrega, resolución, abandono y precisión durante la fase de despliegue.</t>
  </si>
  <si>
    <t xml:space="preserve">Informe de despliegue</t>
  </si>
  <si>
    <t xml:space="preserve">Informe de cierre de la fase de despliegue a ~800 usuarios.</t>
  </si>
  <si>
    <t xml:space="preserve">DOCUMENTACIÓN Y TRANSFERENCIA - Repositorio, procedimientos operativos, inventario de activos, accesos, cuenta y número, y acta de entrega.</t>
  </si>
  <si>
    <t xml:space="preserve">Repositorio y documentación técnica</t>
  </si>
  <si>
    <t xml:space="preserve">Repositorio limpio y despliegue reproducible, con documentación técnica completa.</t>
  </si>
  <si>
    <t xml:space="preserve">Procedimientos operativos e inventario de activos</t>
  </si>
  <si>
    <t xml:space="preserve">Documentación operativa y listado completo de activos entregables.</t>
  </si>
  <si>
    <t xml:space="preserve">Transferencia de accesos y cuenta</t>
  </si>
  <si>
    <t xml:space="preserve">Traspaso de credenciales de administrador, cuenta de WhatsApp Business y número.</t>
  </si>
  <si>
    <t xml:space="preserve">Acta de entrega</t>
  </si>
  <si>
    <t xml:space="preserve">Acta formal de entrega y revocación de accesos del proveedor saliente.</t>
  </si>
  <si>
    <t xml:space="preserve">FORMACIÓN - Materiales, sesiones teóricas y prácticas, y validación de la apropiación.</t>
  </si>
  <si>
    <t xml:space="preserve">Materiales de capacitación</t>
  </si>
  <si>
    <t xml:space="preserve">Materiales versionados para la organización implementadora, según perfiles y contenidos definidos.</t>
  </si>
  <si>
    <t xml:space="preserve">Sesiones teóricas y prácticas</t>
  </si>
  <si>
    <t xml:space="preserve">Sesiones de capacitación con modalidad y contenidos alineados al plan de transferencia.</t>
  </si>
  <si>
    <t xml:space="preserve">Validación de la apropiación</t>
  </si>
  <si>
    <t xml:space="preserve">Mecanismo de verificación del conocimiento transferido a la organización implementadora.</t>
  </si>
  <si>
    <t xml:space="preserve">SOPORTE DE ESTABILIZACIÓN - Atención de incidentes durante los 30 días posteriores al traspaso, incluida en el contrato.</t>
  </si>
  <si>
    <t xml:space="preserve">Soporte post-traspaso de 30 días</t>
  </si>
  <si>
    <t xml:space="preserve">Procedimiento de soporte, registro de incidentes y traspaso de conocimiento residual durante los 30 días posteriores al traspaso.</t>
  </si>
  <si>
    <t xml:space="preserve">RESERVA DE RIESGO - Cambios forzados de modelo, retrasos de insumos, remediación y contingencias del canal. Complejidad no aplica; sin estimación de días de desarrollo — queda como reserva a definir en la aprobación conjunta del costeo.</t>
  </si>
  <si>
    <t xml:space="preserve">Reserva de contingencia</t>
  </si>
  <si>
    <t xml:space="preserve">Cobertura de riesgos materializados: cambio forzado de versión del modelo, insumos tardíos de IPA, remediación por precisión y contingencias del canal de mensajería. Sin días de desarrollo asociados.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</si>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</sst>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mmmm\ "/>
  </numFmts>
  <fonts count="2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8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  <dxf>
      <font>
        <color rgb="FFFFD966"/>
      </font>
      <fill>
        <patternFill>
          <bgColor rgb="FFFFD9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2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1" width="23.86"/>
    <col collapsed="false" customWidth="true" hidden="false" outlineLevel="0" max="4" min="2" style="1" width="5"/>
    <col collapsed="false" customWidth="true" hidden="false" outlineLevel="0" max="5" min="5" style="1" width="6.71"/>
    <col collapsed="false" customWidth="true" hidden="false" outlineLevel="0" max="8" min="6" style="1" width="5"/>
    <col collapsed="false" customWidth="true" hidden="false" outlineLevel="0" max="22" min="9" style="1" width="4.57"/>
    <col collapsed="false" customWidth="true" hidden="false" outlineLevel="0" max="23" min="23" style="1" width="19.14"/>
    <col collapsed="false" customWidth="true" hidden="false" outlineLevel="0" max="24" min="24" style="1" width="4.57"/>
    <col collapsed="false" customWidth="true" hidden="false" outlineLevel="0" max="25" min="25" style="1" width="13.29"/>
    <col collapsed="false" customWidth="true" hidden="false" outlineLevel="0" max="27" min="26" style="1" width="6"/>
    <col collapsed="false" customWidth="true" hidden="false" outlineLevel="0" max="28" min="28" style="1" width="5"/>
    <col collapsed="false" customWidth="true" hidden="false" outlineLevel="0" max="29" min="29" style="1" width="15"/>
    <col collapsed="false" customWidth="true" hidden="false" outlineLevel="0" max="31" min="30" style="1" width="4.57"/>
  </cols>
  <sheetData>
    <row r="1" customFormat="false" ht="25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5" t="s">
        <v>11</v>
      </c>
      <c r="N1" s="5"/>
      <c r="O1" s="6" t="s">
        <v>12</v>
      </c>
      <c r="P1" s="6"/>
      <c r="Q1" s="6"/>
      <c r="R1" s="6"/>
      <c r="S1" s="6"/>
      <c r="T1" s="6"/>
      <c r="U1" s="6"/>
      <c r="V1" s="4"/>
      <c r="W1" s="7" t="n">
        <v>46049</v>
      </c>
      <c r="X1" s="4"/>
      <c r="Y1" s="8" t="n">
        <f aca="false">SUMIFS(Y2:Y214,L2:L214,"&lt;&gt;"&amp;"")</f>
        <v>120650331.060606</v>
      </c>
      <c r="Z1" s="4" t="s">
        <v>13</v>
      </c>
      <c r="AA1" s="9" t="s">
        <v>14</v>
      </c>
      <c r="AB1" s="10" t="s">
        <v>15</v>
      </c>
      <c r="AC1" s="11" t="n">
        <f aca="false">SUM(AC2:AC214)</f>
        <v>120650331.060606</v>
      </c>
      <c r="AD1" s="4"/>
      <c r="AE1" s="4"/>
    </row>
    <row r="2" customFormat="false" ht="15.75" hidden="false" customHeight="true" outlineLevel="0" collapsed="false">
      <c r="A2" s="12" t="n">
        <f aca="false">(B2*$P$220+C2*$P$221+D2*$P$222+E2*$P$223+F2*$P$224+G2*$P$225+H2*$P$226+I2*$P$227+J2*$P$228+K2*$P$229)*$T$218</f>
        <v>16484186.2258953</v>
      </c>
      <c r="B2" s="13" t="n">
        <v>21.5</v>
      </c>
      <c r="C2" s="14"/>
      <c r="D2" s="14"/>
      <c r="E2" s="14"/>
      <c r="F2" s="14"/>
      <c r="G2" s="14"/>
      <c r="H2" s="14"/>
      <c r="I2" s="14"/>
      <c r="J2" s="15"/>
      <c r="K2" s="15"/>
      <c r="L2" s="16" t="s">
        <v>16</v>
      </c>
      <c r="M2" s="17"/>
      <c r="N2" s="18"/>
      <c r="O2" s="18"/>
      <c r="P2" s="18"/>
      <c r="Q2" s="18"/>
      <c r="R2" s="18"/>
      <c r="S2" s="18"/>
      <c r="T2" s="18"/>
      <c r="U2" s="18"/>
      <c r="V2" s="18"/>
      <c r="W2" s="18"/>
      <c r="X2" s="18" t="n">
        <f aca="false">COUNTIF($L$2:L2,"&lt;&gt;"&amp;"")</f>
        <v>1</v>
      </c>
      <c r="Y2" s="19" t="n">
        <f aca="false">SUMIF($X$2:$X$214,X2,$A$2:$A$214)</f>
        <v>16484186.2258953</v>
      </c>
      <c r="Z2" s="20"/>
      <c r="AA2" s="21"/>
      <c r="AB2" s="22" t="b">
        <f aca="false">TRUE()</f>
        <v>1</v>
      </c>
      <c r="AC2" s="23" t="n">
        <f aca="false">IF(L2="",0,IF(AB2=FALSE(),0,Y2))</f>
        <v>16484186.2258953</v>
      </c>
      <c r="AD2" s="15"/>
      <c r="AE2" s="15"/>
    </row>
    <row r="3" customFormat="false" ht="15.75" hidden="false" customHeight="true" outlineLevel="0" collapsed="false">
      <c r="A3" s="12" t="n">
        <f aca="false">(B3*$P$220+C3*$P$221+D3*$P$222+E3*$P$223+F3*$P$224+G3*$P$225+H3*$P$226+I3*$P$227+J3*$P$228+K3*$P$229)*$T$218</f>
        <v>1679269.09090909</v>
      </c>
      <c r="B3" s="14"/>
      <c r="C3" s="13" t="n">
        <v>4</v>
      </c>
      <c r="D3" s="13"/>
      <c r="E3" s="14"/>
      <c r="F3" s="14"/>
      <c r="G3" s="14"/>
      <c r="H3" s="14"/>
      <c r="I3" s="14"/>
      <c r="J3" s="15"/>
      <c r="K3" s="15"/>
      <c r="L3" s="16" t="s">
        <v>17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 t="n">
        <f aca="false">COUNTIF($L$2:L3,"&lt;&gt;"&amp;"")</f>
        <v>2</v>
      </c>
      <c r="Y3" s="19" t="n">
        <f aca="false">SUMIF($X$2:$X$214,X3,$A$2:$A$214)</f>
        <v>1679269.09090909</v>
      </c>
      <c r="Z3" s="20"/>
      <c r="AA3" s="21"/>
      <c r="AB3" s="22" t="b">
        <f aca="false">TRUE()</f>
        <v>1</v>
      </c>
      <c r="AC3" s="23" t="n">
        <f aca="false">IF(L3="",0,IF(AB3=FALSE(),0,Y3))</f>
        <v>1679269.09090909</v>
      </c>
      <c r="AD3" s="15"/>
      <c r="AE3" s="15"/>
    </row>
    <row r="4" customFormat="false" ht="15.75" hidden="false" customHeight="true" outlineLevel="0" collapsed="false">
      <c r="A4" s="12" t="n">
        <f aca="false">(B4*$P$220+C4*$P$221+D4*$P$222+E4*$P$223+F4*$P$224+G4*$P$225+H4*$P$226+I4*$P$227+J4*$P$228+K4*$P$229)*$T$218</f>
        <v>2424916.85950413</v>
      </c>
      <c r="B4" s="14"/>
      <c r="C4" s="14"/>
      <c r="D4" s="14"/>
      <c r="E4" s="14"/>
      <c r="F4" s="14"/>
      <c r="G4" s="14"/>
      <c r="H4" s="13" t="n">
        <v>6</v>
      </c>
      <c r="I4" s="14"/>
      <c r="J4" s="15"/>
      <c r="K4" s="15"/>
      <c r="L4" s="16" t="s">
        <v>18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 t="n">
        <f aca="false">COUNTIF($L$2:L4,"&lt;&gt;"&amp;"")</f>
        <v>3</v>
      </c>
      <c r="Y4" s="19" t="n">
        <f aca="false">SUMIF($X$2:$X$214,X4,$A$2:$A$214)</f>
        <v>2424916.85950413</v>
      </c>
      <c r="Z4" s="20"/>
      <c r="AA4" s="24"/>
      <c r="AB4" s="22" t="b">
        <f aca="false">TRUE()</f>
        <v>1</v>
      </c>
      <c r="AC4" s="23" t="n">
        <f aca="false">IF(L4="",0,IF(AB4=FALSE(),0,Y4))</f>
        <v>2424916.85950413</v>
      </c>
      <c r="AD4" s="15"/>
      <c r="AE4" s="15"/>
    </row>
    <row r="5" customFormat="false" ht="15.75" hidden="false" customHeight="true" outlineLevel="0" collapsed="false">
      <c r="A5" s="12" t="n">
        <f aca="false">(B5*$P$220+C5*$P$221+D5*$P$222+E5*$P$223+F5*$P$224+G5*$P$225+H5*$P$226+I5*$P$227+J5*$P$228+K5*$P$229)*$T$218</f>
        <v>2750969.75206612</v>
      </c>
      <c r="B5" s="15"/>
      <c r="C5" s="15"/>
      <c r="D5" s="15"/>
      <c r="E5" s="15"/>
      <c r="F5" s="15"/>
      <c r="G5" s="15"/>
      <c r="H5" s="15"/>
      <c r="I5" s="15"/>
      <c r="J5" s="15"/>
      <c r="K5" s="15" t="n">
        <v>6</v>
      </c>
      <c r="L5" s="16" t="s">
        <v>19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 t="n">
        <f aca="false">COUNTIF($L$2:L5,"&lt;&gt;"&amp;"")</f>
        <v>4</v>
      </c>
      <c r="Y5" s="19" t="n">
        <f aca="false">SUMIF($X$2:$X$214,X5,$A$2:$A$214)</f>
        <v>2750969.75206612</v>
      </c>
      <c r="Z5" s="20"/>
      <c r="AA5" s="24"/>
      <c r="AB5" s="22" t="b">
        <f aca="false">TRUE()</f>
        <v>1</v>
      </c>
      <c r="AC5" s="23" t="n">
        <f aca="false">IF(L5="",0,IF(AB5=FALSE(),0,Y5))</f>
        <v>2750969.75206612</v>
      </c>
      <c r="AD5" s="15"/>
      <c r="AE5" s="15"/>
    </row>
    <row r="6" customFormat="false" ht="15" hidden="false" customHeight="true" outlineLevel="0" collapsed="false">
      <c r="A6" s="12" t="n">
        <f aca="false">(B6*$P$220+C6*$P$221+D6*$P$222+E6*$P$223+F6*$P$224+G6*$P$225+H6*$P$226+I6*$P$227+J6*$P$228+K6*$P$229)*$T$218</f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25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 t="n">
        <f aca="false">COUNTIF($L$2:L6,"&lt;&gt;"&amp;"")</f>
        <v>4</v>
      </c>
      <c r="Y6" s="19" t="n">
        <f aca="false">SUMIF($X$2:$X$214,X6,$A$2:$A$214)</f>
        <v>2750969.75206612</v>
      </c>
      <c r="Z6" s="20"/>
      <c r="AA6" s="21"/>
      <c r="AB6" s="22" t="b">
        <f aca="false">TRUE()</f>
        <v>1</v>
      </c>
      <c r="AC6" s="23" t="n">
        <f aca="false">IF(L6="",0,IF(AB6=FALSE(),0,Y6))</f>
        <v>0</v>
      </c>
      <c r="AD6" s="15"/>
      <c r="AE6" s="15"/>
    </row>
    <row r="7" customFormat="false" ht="15" hidden="false" customHeight="true" outlineLevel="0" collapsed="false">
      <c r="A7" s="12" t="n">
        <f aca="false">(B7*$P$220+C7*$P$221+D7*$P$222+E7*$P$223+F7*$P$224+G7*$P$225+H7*$P$226+I7*$P$227+J7*$P$228+K7*$P$229)*$T$218</f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25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 t="n">
        <f aca="false">COUNTIF($L$2:L7,"&lt;&gt;"&amp;"")</f>
        <v>4</v>
      </c>
      <c r="Y7" s="19" t="n">
        <f aca="false">SUMIF($X$2:$X$214,X7,$A$2:$A$214)</f>
        <v>2750969.75206612</v>
      </c>
      <c r="Z7" s="20"/>
      <c r="AA7" s="24"/>
      <c r="AB7" s="22" t="b">
        <f aca="false">TRUE()</f>
        <v>1</v>
      </c>
      <c r="AC7" s="23" t="n">
        <f aca="false">IF(L7="",0,IF(AB7=FALSE(),0,Y7))</f>
        <v>0</v>
      </c>
      <c r="AD7" s="15"/>
      <c r="AE7" s="15"/>
    </row>
    <row r="8" customFormat="false" ht="15.75" hidden="false" customHeight="true" outlineLevel="0" collapsed="false">
      <c r="A8" s="12" t="n">
        <f aca="false">(B8*$P$220+C8*$P$221+D8*$P$222+E8*$P$223+F8*$P$224+G8*$P$225+H8*$P$226+I8*$P$227+J8*$P$228+K8*$P$229)*$T$218</f>
        <v>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26" t="s">
        <v>20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 t="n">
        <f aca="false">COUNTIF($L$2:L8,"&lt;&gt;"&amp;"")</f>
        <v>5</v>
      </c>
      <c r="Y8" s="19" t="n">
        <f aca="false">SUMIF($X$2:$X$214,X8,$A$2:$A$214)</f>
        <v>4216884.84848485</v>
      </c>
      <c r="Z8" s="20"/>
      <c r="AA8" s="21"/>
      <c r="AB8" s="22" t="b">
        <f aca="false">TRUE()</f>
        <v>1</v>
      </c>
      <c r="AC8" s="23" t="n">
        <f aca="false">IF(L8="",0,IF(AB8=FALSE(),0,Y8))</f>
        <v>4216884.84848485</v>
      </c>
      <c r="AD8" s="27"/>
      <c r="AE8" s="27"/>
    </row>
    <row r="9" customFormat="false" ht="12.75" hidden="false" customHeight="true" outlineLevel="0" collapsed="false">
      <c r="A9" s="12" t="n">
        <f aca="false">(B9*$P$220+C9*$P$221+D9*$P$222+E9*$P$223+F9*$P$224+G9*$P$225+H9*$P$226+I9*$P$227+J9*$P$228+K9*$P$229)*$T$218</f>
        <v>1150059.50413223</v>
      </c>
      <c r="B9" s="15" t="n">
        <v>1.5</v>
      </c>
      <c r="C9" s="15"/>
      <c r="D9" s="15"/>
      <c r="E9" s="15"/>
      <c r="F9" s="15"/>
      <c r="G9" s="15"/>
      <c r="H9" s="15"/>
      <c r="I9" s="15"/>
      <c r="J9" s="15"/>
      <c r="K9" s="15"/>
      <c r="L9" s="18"/>
      <c r="M9" s="28" t="s">
        <v>21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 t="n">
        <f aca="false">COUNTIF($L$2:L9,"&lt;&gt;"&amp;"")</f>
        <v>5</v>
      </c>
      <c r="Y9" s="19" t="n">
        <f aca="false">SUMIF($X$2:$X$214,X9,$A$2:$A$214)</f>
        <v>4216884.84848485</v>
      </c>
      <c r="Z9" s="20"/>
      <c r="AA9" s="21"/>
      <c r="AB9" s="22" t="b">
        <f aca="false">TRUE()</f>
        <v>1</v>
      </c>
      <c r="AC9" s="23" t="n">
        <f aca="false">IF(L9="",0,IF(AB9=FALSE(),0,Y9))</f>
        <v>0</v>
      </c>
      <c r="AD9" s="27"/>
      <c r="AE9" s="27"/>
    </row>
    <row r="10" customFormat="false" ht="12.75" hidden="false" customHeight="true" outlineLevel="0" collapsed="false">
      <c r="A10" s="12" t="n">
        <f aca="false">(B10*$P$220+C10*$P$221+D10*$P$222+E10*$P$223+F10*$P$224+G10*$P$225+H10*$P$226+I10*$P$227+J10*$P$228+K10*$P$229)*$T$218</f>
        <v>0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8"/>
      <c r="M10" s="18"/>
      <c r="N10" s="29" t="s">
        <v>22</v>
      </c>
      <c r="O10" s="18"/>
      <c r="P10" s="18"/>
      <c r="Q10" s="18"/>
      <c r="R10" s="18"/>
      <c r="S10" s="18"/>
      <c r="T10" s="18"/>
      <c r="U10" s="18"/>
      <c r="V10" s="18"/>
      <c r="W10" s="18"/>
      <c r="X10" s="18" t="n">
        <f aca="false">COUNTIF($L$2:L10,"&lt;&gt;"&amp;"")</f>
        <v>5</v>
      </c>
      <c r="Y10" s="19" t="n">
        <f aca="false">SUMIF($X$2:$X$214,X10,$A$2:$A$214)</f>
        <v>4216884.84848485</v>
      </c>
      <c r="Z10" s="20"/>
      <c r="AA10" s="21"/>
      <c r="AB10" s="22" t="b">
        <f aca="false">TRUE()</f>
        <v>1</v>
      </c>
      <c r="AC10" s="23" t="n">
        <f aca="false">IF(L10="",0,IF(AB10=FALSE(),0,Y10))</f>
        <v>0</v>
      </c>
      <c r="AD10" s="27"/>
      <c r="AE10" s="27"/>
    </row>
    <row r="11" customFormat="false" ht="12.75" hidden="false" customHeight="true" outlineLevel="0" collapsed="false">
      <c r="A11" s="12" t="n">
        <f aca="false">(B11*$P$220+C11*$P$221+D11*$P$222+E11*$P$223+F11*$P$224+G11*$P$225+H11*$P$226+I11*$P$227+J11*$P$228+K11*$P$229)*$T$218</f>
        <v>766706.336088154</v>
      </c>
      <c r="B11" s="15" t="n">
        <v>1</v>
      </c>
      <c r="C11" s="15"/>
      <c r="D11" s="15"/>
      <c r="E11" s="15"/>
      <c r="F11" s="15"/>
      <c r="G11" s="15"/>
      <c r="H11" s="15"/>
      <c r="I11" s="15"/>
      <c r="J11" s="15"/>
      <c r="K11" s="15"/>
      <c r="L11" s="18"/>
      <c r="M11" s="28" t="s">
        <v>23</v>
      </c>
      <c r="N11" s="30"/>
      <c r="O11" s="18"/>
      <c r="P11" s="18"/>
      <c r="Q11" s="18"/>
      <c r="R11" s="18"/>
      <c r="S11" s="18"/>
      <c r="T11" s="18"/>
      <c r="U11" s="18"/>
      <c r="V11" s="18"/>
      <c r="W11" s="18"/>
      <c r="X11" s="18" t="n">
        <f aca="false">COUNTIF($L$2:L11,"&lt;&gt;"&amp;"")</f>
        <v>5</v>
      </c>
      <c r="Y11" s="19" t="n">
        <f aca="false">SUMIF($X$2:$X$214,X11,$A$2:$A$214)</f>
        <v>4216884.84848485</v>
      </c>
      <c r="Z11" s="20"/>
      <c r="AA11" s="21"/>
      <c r="AB11" s="22" t="b">
        <f aca="false">TRUE()</f>
        <v>1</v>
      </c>
      <c r="AC11" s="23" t="n">
        <f aca="false">IF(L11="",0,IF(AB11=FALSE(),0,Y11))</f>
        <v>0</v>
      </c>
      <c r="AD11" s="27"/>
      <c r="AE11" s="27"/>
    </row>
    <row r="12" customFormat="false" ht="12.75" hidden="false" customHeight="true" outlineLevel="0" collapsed="false">
      <c r="A12" s="12" t="n">
        <f aca="false">(B12*$P$220+C12*$P$221+D12*$P$222+E12*$P$223+F12*$P$224+G12*$P$225+H12*$P$226+I12*$P$227+J12*$P$228+K12*$P$229)*$T$218</f>
        <v>0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8"/>
      <c r="M12" s="31"/>
      <c r="N12" s="29" t="s">
        <v>24</v>
      </c>
      <c r="O12" s="18"/>
      <c r="P12" s="18"/>
      <c r="Q12" s="18"/>
      <c r="R12" s="18"/>
      <c r="S12" s="18"/>
      <c r="T12" s="18"/>
      <c r="U12" s="18"/>
      <c r="V12" s="18"/>
      <c r="W12" s="18"/>
      <c r="X12" s="18" t="n">
        <f aca="false">COUNTIF($L$2:L12,"&lt;&gt;"&amp;"")</f>
        <v>5</v>
      </c>
      <c r="Y12" s="19" t="n">
        <f aca="false">SUMIF($X$2:$X$214,X12,$A$2:$A$214)</f>
        <v>4216884.84848485</v>
      </c>
      <c r="Z12" s="20"/>
      <c r="AA12" s="21"/>
      <c r="AB12" s="22" t="b">
        <f aca="false">TRUE()</f>
        <v>1</v>
      </c>
      <c r="AC12" s="23" t="n">
        <f aca="false">IF(L12="",0,IF(AB12=FALSE(),0,Y12))</f>
        <v>0</v>
      </c>
      <c r="AD12" s="27"/>
      <c r="AE12" s="27"/>
    </row>
    <row r="13" customFormat="false" ht="12.75" hidden="false" customHeight="true" outlineLevel="0" collapsed="false">
      <c r="A13" s="12" t="n">
        <f aca="false">(B13*$P$220+C13*$P$221+D13*$P$222+E13*$P$223+F13*$P$224+G13*$P$225+H13*$P$226+I13*$P$227+J13*$P$228+K13*$P$229)*$T$218</f>
        <v>766706.336088154</v>
      </c>
      <c r="B13" s="15" t="n">
        <v>1</v>
      </c>
      <c r="C13" s="15"/>
      <c r="D13" s="15"/>
      <c r="E13" s="15"/>
      <c r="F13" s="15"/>
      <c r="G13" s="15"/>
      <c r="H13" s="15"/>
      <c r="I13" s="15"/>
      <c r="J13" s="15"/>
      <c r="K13" s="15"/>
      <c r="L13" s="18"/>
      <c r="M13" s="28" t="s">
        <v>25</v>
      </c>
      <c r="N13" s="30"/>
      <c r="O13" s="18"/>
      <c r="P13" s="18"/>
      <c r="Q13" s="18"/>
      <c r="R13" s="18"/>
      <c r="S13" s="18"/>
      <c r="T13" s="18"/>
      <c r="U13" s="18"/>
      <c r="V13" s="18"/>
      <c r="W13" s="18"/>
      <c r="X13" s="18" t="n">
        <f aca="false">COUNTIF($L$2:L13,"&lt;&gt;"&amp;"")</f>
        <v>5</v>
      </c>
      <c r="Y13" s="19" t="n">
        <f aca="false">SUMIF($X$2:$X$214,X13,$A$2:$A$214)</f>
        <v>4216884.84848485</v>
      </c>
      <c r="Z13" s="20"/>
      <c r="AA13" s="21"/>
      <c r="AB13" s="22" t="b">
        <f aca="false">TRUE()</f>
        <v>1</v>
      </c>
      <c r="AC13" s="23" t="n">
        <f aca="false">IF(L13="",0,IF(AB13=FALSE(),0,Y13))</f>
        <v>0</v>
      </c>
      <c r="AD13" s="27"/>
      <c r="AE13" s="27"/>
    </row>
    <row r="14" customFormat="false" ht="15" hidden="false" customHeight="true" outlineLevel="0" collapsed="false">
      <c r="A14" s="12" t="n">
        <f aca="false">(B14*$P$220+C14*$P$221+D14*$P$222+E14*$P$223+F14*$P$224+G14*$P$225+H14*$P$226+I14*$P$227+J14*$P$228+K14*$P$229)*$T$218</f>
        <v>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25"/>
      <c r="M14" s="18"/>
      <c r="N14" s="29" t="s">
        <v>26</v>
      </c>
      <c r="O14" s="18"/>
      <c r="P14" s="18"/>
      <c r="Q14" s="18"/>
      <c r="R14" s="18"/>
      <c r="S14" s="18"/>
      <c r="T14" s="18"/>
      <c r="U14" s="18"/>
      <c r="V14" s="18"/>
      <c r="W14" s="18"/>
      <c r="X14" s="18" t="n">
        <f aca="false">COUNTIF($L$2:L14,"&lt;&gt;"&amp;"")</f>
        <v>5</v>
      </c>
      <c r="Y14" s="19" t="n">
        <f aca="false">SUMIF($X$2:$X$214,X14,$A$2:$A$214)</f>
        <v>4216884.84848485</v>
      </c>
      <c r="Z14" s="20"/>
      <c r="AA14" s="21"/>
      <c r="AB14" s="22" t="b">
        <f aca="false">TRUE()</f>
        <v>1</v>
      </c>
      <c r="AC14" s="23" t="n">
        <f aca="false">IF(L14="",0,IF(AB14=FALSE(),0,Y14))</f>
        <v>0</v>
      </c>
      <c r="AD14" s="27"/>
      <c r="AE14" s="27"/>
    </row>
    <row r="15" customFormat="false" ht="12.75" hidden="false" customHeight="true" outlineLevel="0" collapsed="false">
      <c r="A15" s="12" t="n">
        <f aca="false">(B15*$P$220+C15*$P$221+D15*$P$222+E15*$P$223+F15*$P$224+G15*$P$225+H15*$P$226+I15*$P$227+J15*$P$228+K15*$P$229)*$T$218</f>
        <v>766706.336088154</v>
      </c>
      <c r="B15" s="15" t="n">
        <v>1</v>
      </c>
      <c r="C15" s="15"/>
      <c r="D15" s="15"/>
      <c r="E15" s="15"/>
      <c r="F15" s="15"/>
      <c r="G15" s="15"/>
      <c r="H15" s="15"/>
      <c r="I15" s="15"/>
      <c r="J15" s="15"/>
      <c r="K15" s="15"/>
      <c r="L15" s="18"/>
      <c r="M15" s="28" t="s">
        <v>27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 t="n">
        <f aca="false">COUNTIF($L$2:L15,"&lt;&gt;"&amp;"")</f>
        <v>5</v>
      </c>
      <c r="Y15" s="19" t="n">
        <f aca="false">SUMIF($X$2:$X$214,X15,$A$2:$A$214)</f>
        <v>4216884.84848485</v>
      </c>
      <c r="Z15" s="20"/>
      <c r="AA15" s="21"/>
      <c r="AB15" s="22" t="b">
        <f aca="false">TRUE()</f>
        <v>1</v>
      </c>
      <c r="AC15" s="23" t="n">
        <f aca="false">IF(L15="",0,IF(AB15=FALSE(),0,Y15))</f>
        <v>0</v>
      </c>
      <c r="AD15" s="27"/>
      <c r="AE15" s="27"/>
    </row>
    <row r="16" customFormat="false" ht="12.75" hidden="false" customHeight="true" outlineLevel="0" collapsed="false">
      <c r="A16" s="12" t="n">
        <f aca="false">(B16*$P$220+C16*$P$221+D16*$P$222+E16*$P$223+F16*$P$224+G16*$P$225+H16*$P$226+I16*$P$227+J16*$P$228+K16*$P$229)*$T$218</f>
        <v>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8"/>
      <c r="M16" s="18"/>
      <c r="N16" s="29" t="s">
        <v>28</v>
      </c>
      <c r="O16" s="18"/>
      <c r="P16" s="18"/>
      <c r="Q16" s="18"/>
      <c r="R16" s="18"/>
      <c r="S16" s="18"/>
      <c r="T16" s="18"/>
      <c r="U16" s="18"/>
      <c r="V16" s="18"/>
      <c r="W16" s="18"/>
      <c r="X16" s="18" t="n">
        <f aca="false">COUNTIF($L$2:L16,"&lt;&gt;"&amp;"")</f>
        <v>5</v>
      </c>
      <c r="Y16" s="19" t="n">
        <f aca="false">SUMIF($X$2:$X$214,X16,$A$2:$A$214)</f>
        <v>4216884.84848485</v>
      </c>
      <c r="Z16" s="20"/>
      <c r="AA16" s="21"/>
      <c r="AB16" s="22" t="b">
        <f aca="false">TRUE()</f>
        <v>1</v>
      </c>
      <c r="AC16" s="23" t="n">
        <f aca="false">IF(L16="",0,IF(AB16=FALSE(),0,Y16))</f>
        <v>0</v>
      </c>
      <c r="AD16" s="27"/>
      <c r="AE16" s="27"/>
    </row>
    <row r="17" customFormat="false" ht="12.75" hidden="false" customHeight="true" outlineLevel="0" collapsed="false">
      <c r="A17" s="12" t="n">
        <f aca="false">(B17*$P$220+C17*$P$221+D17*$P$222+E17*$P$223+F17*$P$224+G17*$P$225+H17*$P$226+I17*$P$227+J17*$P$228+K17*$P$229)*$T$218</f>
        <v>766706.336088154</v>
      </c>
      <c r="B17" s="15" t="n">
        <v>1</v>
      </c>
      <c r="C17" s="15"/>
      <c r="D17" s="15"/>
      <c r="E17" s="15"/>
      <c r="F17" s="15"/>
      <c r="G17" s="15"/>
      <c r="H17" s="15"/>
      <c r="I17" s="15"/>
      <c r="J17" s="15"/>
      <c r="K17" s="15"/>
      <c r="L17" s="18"/>
      <c r="M17" s="28" t="s">
        <v>29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 t="n">
        <f aca="false">COUNTIF($L$2:L17,"&lt;&gt;"&amp;"")</f>
        <v>5</v>
      </c>
      <c r="Y17" s="19" t="n">
        <f aca="false">SUMIF($X$2:$X$214,X17,$A$2:$A$214)</f>
        <v>4216884.84848485</v>
      </c>
      <c r="Z17" s="20"/>
      <c r="AA17" s="21"/>
      <c r="AB17" s="22" t="b">
        <f aca="false">TRUE()</f>
        <v>1</v>
      </c>
      <c r="AC17" s="23" t="n">
        <f aca="false">IF(L17="",0,IF(AB17=FALSE(),0,Y17))</f>
        <v>0</v>
      </c>
      <c r="AD17" s="27"/>
      <c r="AE17" s="27"/>
    </row>
    <row r="18" customFormat="false" ht="12.75" hidden="false" customHeight="true" outlineLevel="0" collapsed="false">
      <c r="A18" s="12" t="n">
        <f aca="false">(B18*$P$220+C18*$P$221+D18*$P$222+E18*$P$223+F18*$P$224+G18*$P$225+H18*$P$226+I18*$P$227+J18*$P$228+K18*$P$229)*$T$218</f>
        <v>0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8"/>
      <c r="M18" s="18"/>
      <c r="N18" s="29" t="s">
        <v>30</v>
      </c>
      <c r="O18" s="18"/>
      <c r="P18" s="18"/>
      <c r="Q18" s="18"/>
      <c r="R18" s="18"/>
      <c r="S18" s="18"/>
      <c r="T18" s="18"/>
      <c r="U18" s="18"/>
      <c r="V18" s="18"/>
      <c r="W18" s="18"/>
      <c r="X18" s="18" t="n">
        <f aca="false">COUNTIF($L$2:L18,"&lt;&gt;"&amp;"")</f>
        <v>5</v>
      </c>
      <c r="Y18" s="19" t="n">
        <f aca="false">SUMIF($X$2:$X$214,X18,$A$2:$A$214)</f>
        <v>4216884.84848485</v>
      </c>
      <c r="Z18" s="20"/>
      <c r="AA18" s="21"/>
      <c r="AB18" s="22" t="b">
        <f aca="false">TRUE()</f>
        <v>1</v>
      </c>
      <c r="AC18" s="23" t="n">
        <f aca="false">IF(L18="",0,IF(AB18=FALSE(),0,Y18))</f>
        <v>0</v>
      </c>
      <c r="AD18" s="27"/>
      <c r="AE18" s="27"/>
    </row>
    <row r="19" customFormat="false" ht="15" hidden="false" customHeight="true" outlineLevel="0" collapsed="false">
      <c r="A19" s="12" t="n">
        <f aca="false">(B19*$P$220+C19*$P$221+D19*$P$222+E19*$P$223+F19*$P$224+G19*$P$225+H19*$P$226+I19*$P$227+J19*$P$228+K19*$P$229)*$T$218</f>
        <v>0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32" t="s">
        <v>31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 t="n">
        <f aca="false">COUNTIF($L$2:L19,"&lt;&gt;"&amp;"")</f>
        <v>6</v>
      </c>
      <c r="Y19" s="19" t="n">
        <f aca="false">SUMIF($X$2:$X$214,X19,$A$2:$A$214)</f>
        <v>7849950.79889807</v>
      </c>
      <c r="Z19" s="20"/>
      <c r="AA19" s="21"/>
      <c r="AB19" s="22" t="b">
        <f aca="false">TRUE()</f>
        <v>1</v>
      </c>
      <c r="AC19" s="23" t="n">
        <f aca="false">IF(L19="",0,IF(AB19=FALSE(),0,Y19))</f>
        <v>7849950.79889807</v>
      </c>
      <c r="AD19" s="27"/>
      <c r="AE19" s="27"/>
    </row>
    <row r="20" customFormat="false" ht="12.75" hidden="false" customHeight="true" outlineLevel="0" collapsed="false">
      <c r="A20" s="12" t="n">
        <f aca="false">(B20*$P$220+C20*$P$221+D20*$P$222+E20*$P$223+F20*$P$224+G20*$P$225+H20*$P$226+I20*$P$227+J20*$P$228+K20*$P$229)*$T$218</f>
        <v>1533412.67217631</v>
      </c>
      <c r="B20" s="15" t="n">
        <v>2</v>
      </c>
      <c r="C20" s="15"/>
      <c r="D20" s="15"/>
      <c r="E20" s="15"/>
      <c r="F20" s="15"/>
      <c r="G20" s="15"/>
      <c r="H20" s="15"/>
      <c r="I20" s="15"/>
      <c r="J20" s="15"/>
      <c r="K20" s="15"/>
      <c r="L20" s="18"/>
      <c r="M20" s="28" t="s">
        <v>32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 t="n">
        <f aca="false">COUNTIF($L$2:L20,"&lt;&gt;"&amp;"")</f>
        <v>6</v>
      </c>
      <c r="Y20" s="19" t="n">
        <f aca="false">SUMIF($X$2:$X$214,X20,$A$2:$A$214)</f>
        <v>7849950.79889807</v>
      </c>
      <c r="Z20" s="20"/>
      <c r="AA20" s="21"/>
      <c r="AB20" s="22" t="b">
        <f aca="false">TRUE()</f>
        <v>1</v>
      </c>
      <c r="AC20" s="23" t="n">
        <f aca="false">IF(L20="",0,IF(AB20=FALSE(),0,Y20))</f>
        <v>0</v>
      </c>
      <c r="AD20" s="27"/>
      <c r="AE20" s="27"/>
    </row>
    <row r="21" customFormat="false" ht="12.75" hidden="false" customHeight="true" outlineLevel="0" collapsed="false">
      <c r="A21" s="12" t="n">
        <f aca="false">(B21*$P$220+C21*$P$221+D21*$P$222+E21*$P$223+F21*$P$224+G21*$P$225+H21*$P$226+I21*$P$227+J21*$P$228+K21*$P$229)*$T$218</f>
        <v>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8"/>
      <c r="M21" s="18"/>
      <c r="N21" s="29" t="s">
        <v>33</v>
      </c>
      <c r="O21" s="18"/>
      <c r="P21" s="18"/>
      <c r="Q21" s="18"/>
      <c r="R21" s="18"/>
      <c r="S21" s="18"/>
      <c r="T21" s="18"/>
      <c r="U21" s="18"/>
      <c r="V21" s="18"/>
      <c r="W21" s="18"/>
      <c r="X21" s="18" t="n">
        <f aca="false">COUNTIF($L$2:L21,"&lt;&gt;"&amp;"")</f>
        <v>6</v>
      </c>
      <c r="Y21" s="19" t="n">
        <f aca="false">SUMIF($X$2:$X$214,X21,$A$2:$A$214)</f>
        <v>7849950.79889807</v>
      </c>
      <c r="Z21" s="20"/>
      <c r="AA21" s="21"/>
      <c r="AB21" s="22" t="b">
        <f aca="false">TRUE()</f>
        <v>1</v>
      </c>
      <c r="AC21" s="23" t="n">
        <f aca="false">IF(L21="",0,IF(AB21=FALSE(),0,Y21))</f>
        <v>0</v>
      </c>
      <c r="AD21" s="27"/>
      <c r="AE21" s="27"/>
    </row>
    <row r="22" customFormat="false" ht="12.75" hidden="false" customHeight="true" outlineLevel="0" collapsed="false">
      <c r="A22" s="12" t="n">
        <f aca="false">(B22*$P$220+C22*$P$221+D22*$P$222+E22*$P$223+F22*$P$224+G22*$P$225+H22*$P$226+I22*$P$227+J22*$P$228+K22*$P$229)*$T$218</f>
        <v>766706.336088154</v>
      </c>
      <c r="B22" s="15" t="n">
        <v>1</v>
      </c>
      <c r="C22" s="15"/>
      <c r="D22" s="15"/>
      <c r="E22" s="15"/>
      <c r="F22" s="15"/>
      <c r="G22" s="15"/>
      <c r="H22" s="15"/>
      <c r="I22" s="15"/>
      <c r="J22" s="15"/>
      <c r="K22" s="15"/>
      <c r="L22" s="18"/>
      <c r="M22" s="28" t="s">
        <v>34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 t="n">
        <f aca="false">COUNTIF($L$2:L22,"&lt;&gt;"&amp;"")</f>
        <v>6</v>
      </c>
      <c r="Y22" s="19" t="n">
        <f aca="false">SUMIF($X$2:$X$214,X22,$A$2:$A$214)</f>
        <v>7849950.79889807</v>
      </c>
      <c r="Z22" s="20"/>
      <c r="AA22" s="21"/>
      <c r="AB22" s="22" t="b">
        <f aca="false">TRUE()</f>
        <v>1</v>
      </c>
      <c r="AC22" s="23" t="n">
        <f aca="false">IF(L22="",0,IF(AB22=FALSE(),0,Y22))</f>
        <v>0</v>
      </c>
      <c r="AD22" s="27"/>
      <c r="AE22" s="27"/>
    </row>
    <row r="23" customFormat="false" ht="12.75" hidden="false" customHeight="true" outlineLevel="0" collapsed="false">
      <c r="A23" s="12" t="n">
        <f aca="false">(B23*$P$220+C23*$P$221+D23*$P$222+E23*$P$223+F23*$P$224+G23*$P$225+H23*$P$226+I23*$P$227+J23*$P$228+K23*$P$229)*$T$218</f>
        <v>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8"/>
      <c r="M23" s="18"/>
      <c r="N23" s="29" t="s">
        <v>35</v>
      </c>
      <c r="O23" s="18"/>
      <c r="P23" s="18"/>
      <c r="Q23" s="18"/>
      <c r="R23" s="18"/>
      <c r="S23" s="18"/>
      <c r="T23" s="18"/>
      <c r="U23" s="18"/>
      <c r="V23" s="18"/>
      <c r="W23" s="18"/>
      <c r="X23" s="18" t="n">
        <f aca="false">COUNTIF($L$2:L23,"&lt;&gt;"&amp;"")</f>
        <v>6</v>
      </c>
      <c r="Y23" s="19" t="n">
        <f aca="false">SUMIF($X$2:$X$214,X23,$A$2:$A$214)</f>
        <v>7849950.79889807</v>
      </c>
      <c r="Z23" s="20"/>
      <c r="AA23" s="21"/>
      <c r="AB23" s="22" t="b">
        <f aca="false">TRUE()</f>
        <v>1</v>
      </c>
      <c r="AC23" s="23" t="n">
        <f aca="false">IF(L23="",0,IF(AB23=FALSE(),0,Y23))</f>
        <v>0</v>
      </c>
      <c r="AD23" s="27"/>
      <c r="AE23" s="27"/>
    </row>
    <row r="24" customFormat="false" ht="12.75" hidden="false" customHeight="true" outlineLevel="0" collapsed="false">
      <c r="A24" s="12" t="n">
        <f aca="false">(B24*$P$220+C24*$P$221+D24*$P$222+E24*$P$223+F24*$P$224+G24*$P$225+H24*$P$226+I24*$P$227+J24*$P$228+K24*$P$229)*$T$218</f>
        <v>1554212.31404959</v>
      </c>
      <c r="B24" s="15" t="n">
        <v>1.5</v>
      </c>
      <c r="C24" s="15"/>
      <c r="D24" s="15"/>
      <c r="E24" s="15"/>
      <c r="F24" s="15"/>
      <c r="G24" s="15"/>
      <c r="H24" s="15" t="n">
        <v>1</v>
      </c>
      <c r="I24" s="15"/>
      <c r="J24" s="15"/>
      <c r="K24" s="15"/>
      <c r="L24" s="18"/>
      <c r="M24" s="33" t="s">
        <v>36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 t="n">
        <f aca="false">COUNTIF($L$2:L24,"&lt;&gt;"&amp;"")</f>
        <v>6</v>
      </c>
      <c r="Y24" s="19" t="n">
        <f aca="false">SUMIF($X$2:$X$214,X24,$A$2:$A$214)</f>
        <v>7849950.79889807</v>
      </c>
      <c r="Z24" s="20"/>
      <c r="AA24" s="21"/>
      <c r="AB24" s="22" t="b">
        <f aca="false">TRUE()</f>
        <v>1</v>
      </c>
      <c r="AC24" s="23" t="n">
        <f aca="false">IF(L24="",0,IF(AB24=FALSE(),0,Y24))</f>
        <v>0</v>
      </c>
      <c r="AD24" s="27"/>
      <c r="AE24" s="27"/>
    </row>
    <row r="25" customFormat="false" ht="15" hidden="false" customHeight="true" outlineLevel="0" collapsed="false">
      <c r="A25" s="12" t="n">
        <f aca="false">(B25*$P$220+C25*$P$221+D25*$P$222+E25*$P$223+F25*$P$224+G25*$P$225+H25*$P$226+I25*$P$227+J25*$P$228+K25*$P$229)*$T$218</f>
        <v>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25"/>
      <c r="M25" s="18"/>
      <c r="N25" s="29" t="s">
        <v>37</v>
      </c>
      <c r="O25" s="18"/>
      <c r="P25" s="18"/>
      <c r="Q25" s="18"/>
      <c r="R25" s="18"/>
      <c r="S25" s="18"/>
      <c r="T25" s="18"/>
      <c r="U25" s="18"/>
      <c r="V25" s="18"/>
      <c r="W25" s="18"/>
      <c r="X25" s="18" t="n">
        <f aca="false">COUNTIF($L$2:L25,"&lt;&gt;"&amp;"")</f>
        <v>6</v>
      </c>
      <c r="Y25" s="19" t="n">
        <f aca="false">SUMIF($X$2:$X$214,X25,$A$2:$A$214)</f>
        <v>7849950.79889807</v>
      </c>
      <c r="Z25" s="20"/>
      <c r="AA25" s="21"/>
      <c r="AB25" s="22" t="b">
        <f aca="false">TRUE()</f>
        <v>1</v>
      </c>
      <c r="AC25" s="23" t="n">
        <f aca="false">IF(L25="",0,IF(AB25=FALSE(),0,Y25))</f>
        <v>0</v>
      </c>
      <c r="AD25" s="27"/>
      <c r="AE25" s="27"/>
    </row>
    <row r="26" customFormat="false" ht="15" hidden="false" customHeight="true" outlineLevel="0" collapsed="false">
      <c r="A26" s="12" t="n">
        <f aca="false">(B26*$P$220+C26*$P$221+D26*$P$222+E26*$P$223+F26*$P$224+G26*$P$225+H26*$P$226+I26*$P$227+J26*$P$228+K26*$P$229)*$T$218</f>
        <v>882023.140495868</v>
      </c>
      <c r="B26" s="15"/>
      <c r="C26" s="15"/>
      <c r="D26" s="15"/>
      <c r="E26" s="15" t="n">
        <v>1.5</v>
      </c>
      <c r="F26" s="15"/>
      <c r="G26" s="15"/>
      <c r="H26" s="15"/>
      <c r="I26" s="15"/>
      <c r="J26" s="15"/>
      <c r="K26" s="15"/>
      <c r="L26" s="25"/>
      <c r="M26" s="28" t="s">
        <v>38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 t="n">
        <f aca="false">COUNTIF($L$2:L26,"&lt;&gt;"&amp;"")</f>
        <v>6</v>
      </c>
      <c r="Y26" s="19" t="n">
        <f aca="false">SUMIF($X$2:$X$214,X26,$A$2:$A$214)</f>
        <v>7849950.79889807</v>
      </c>
      <c r="Z26" s="20"/>
      <c r="AA26" s="21"/>
      <c r="AB26" s="22" t="b">
        <f aca="false">TRUE()</f>
        <v>1</v>
      </c>
      <c r="AC26" s="23" t="n">
        <f aca="false">IF(L26="",0,IF(AB26=FALSE(),0,Y26))</f>
        <v>0</v>
      </c>
      <c r="AD26" s="27"/>
      <c r="AE26" s="27"/>
    </row>
    <row r="27" customFormat="false" ht="15" hidden="false" customHeight="true" outlineLevel="0" collapsed="false">
      <c r="A27" s="12" t="n">
        <f aca="false">(B27*$P$220+C27*$P$221+D27*$P$222+E27*$P$223+F27*$P$224+G27*$P$225+H27*$P$226+I27*$P$227+J27*$P$228+K27*$P$229)*$T$218</f>
        <v>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25"/>
      <c r="M27" s="18"/>
      <c r="N27" s="29" t="s">
        <v>39</v>
      </c>
      <c r="O27" s="18"/>
      <c r="P27" s="18"/>
      <c r="Q27" s="18"/>
      <c r="R27" s="18"/>
      <c r="S27" s="18"/>
      <c r="T27" s="18"/>
      <c r="U27" s="18"/>
      <c r="V27" s="18"/>
      <c r="W27" s="18"/>
      <c r="X27" s="18" t="n">
        <f aca="false">COUNTIF($L$2:L27,"&lt;&gt;"&amp;"")</f>
        <v>6</v>
      </c>
      <c r="Y27" s="19" t="n">
        <f aca="false">SUMIF($X$2:$X$214,X27,$A$2:$A$214)</f>
        <v>7849950.79889807</v>
      </c>
      <c r="Z27" s="20"/>
      <c r="AA27" s="21"/>
      <c r="AB27" s="22" t="b">
        <f aca="false">TRUE()</f>
        <v>1</v>
      </c>
      <c r="AC27" s="23" t="n">
        <f aca="false">IF(L27="",0,IF(AB27=FALSE(),0,Y27))</f>
        <v>0</v>
      </c>
      <c r="AD27" s="27"/>
      <c r="AE27" s="27"/>
    </row>
    <row r="28" customFormat="false" ht="15" hidden="false" customHeight="true" outlineLevel="0" collapsed="false">
      <c r="A28" s="12" t="n">
        <f aca="false">(B28*$P$220+C28*$P$221+D28*$P$222+E28*$P$223+F28*$P$224+G28*$P$225+H28*$P$226+I28*$P$227+J28*$P$228+K28*$P$229)*$T$218</f>
        <v>3113596.33608815</v>
      </c>
      <c r="B28" s="15" t="n">
        <v>2</v>
      </c>
      <c r="C28" s="15"/>
      <c r="D28" s="15"/>
      <c r="E28" s="15" t="n">
        <v>2</v>
      </c>
      <c r="F28" s="15"/>
      <c r="G28" s="15"/>
      <c r="H28" s="15" t="n">
        <v>1</v>
      </c>
      <c r="I28" s="15"/>
      <c r="J28" s="15"/>
      <c r="K28" s="15"/>
      <c r="L28" s="25"/>
      <c r="M28" s="28" t="s">
        <v>40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 t="n">
        <f aca="false">COUNTIF($L$2:L28,"&lt;&gt;"&amp;"")</f>
        <v>6</v>
      </c>
      <c r="Y28" s="19" t="n">
        <f aca="false">SUMIF($X$2:$X$214,X28,$A$2:$A$214)</f>
        <v>7849950.79889807</v>
      </c>
      <c r="Z28" s="20"/>
      <c r="AA28" s="21"/>
      <c r="AB28" s="22" t="b">
        <f aca="false">TRUE()</f>
        <v>1</v>
      </c>
      <c r="AC28" s="23" t="n">
        <f aca="false">IF(L28="",0,IF(AB28=FALSE(),0,Y28))</f>
        <v>0</v>
      </c>
      <c r="AD28" s="27"/>
      <c r="AE28" s="27"/>
    </row>
    <row r="29" customFormat="false" ht="15" hidden="false" customHeight="true" outlineLevel="0" collapsed="false">
      <c r="A29" s="12" t="n">
        <f aca="false">(B29*$P$220+C29*$P$221+D29*$P$222+E29*$P$223+F29*$P$224+G29*$P$225+H29*$P$226+I29*$P$227+J29*$P$228+K29*$P$229)*$T$218</f>
        <v>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25"/>
      <c r="M29" s="18"/>
      <c r="N29" s="29" t="s">
        <v>41</v>
      </c>
      <c r="O29" s="18"/>
      <c r="P29" s="18"/>
      <c r="Q29" s="18"/>
      <c r="R29" s="18"/>
      <c r="S29" s="18"/>
      <c r="T29" s="18"/>
      <c r="U29" s="18"/>
      <c r="V29" s="18"/>
      <c r="W29" s="18"/>
      <c r="X29" s="18" t="n">
        <f aca="false">COUNTIF($L$2:L29,"&lt;&gt;"&amp;"")</f>
        <v>6</v>
      </c>
      <c r="Y29" s="19" t="n">
        <f aca="false">SUMIF($X$2:$X$214,X29,$A$2:$A$214)</f>
        <v>7849950.79889807</v>
      </c>
      <c r="Z29" s="20"/>
      <c r="AA29" s="21"/>
      <c r="AB29" s="22" t="b">
        <f aca="false">TRUE()</f>
        <v>1</v>
      </c>
      <c r="AC29" s="23" t="n">
        <f aca="false">IF(L29="",0,IF(AB29=FALSE(),0,Y29))</f>
        <v>0</v>
      </c>
      <c r="AD29" s="27"/>
      <c r="AE29" s="27"/>
    </row>
    <row r="30" customFormat="false" ht="15" hidden="false" customHeight="true" outlineLevel="0" collapsed="false">
      <c r="A30" s="12" t="n">
        <f aca="false">(B30*$P$220+C30*$P$221+D30*$P$222+E30*$P$223+F30*$P$224+G30*$P$225+H30*$P$226+I30*$P$227+J30*$P$228+K30*$P$229)*$T$218</f>
        <v>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32" t="s">
        <v>42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 t="n">
        <f aca="false">COUNTIF($L$2:L30,"&lt;&gt;"&amp;"")</f>
        <v>7</v>
      </c>
      <c r="Y30" s="19" t="n">
        <f aca="false">SUMIF($X$2:$X$214,X30,$A$2:$A$214)</f>
        <v>6375149.86225895</v>
      </c>
      <c r="Z30" s="20"/>
      <c r="AA30" s="21"/>
      <c r="AB30" s="22" t="b">
        <f aca="false">TRUE()</f>
        <v>1</v>
      </c>
      <c r="AC30" s="23" t="n">
        <f aca="false">IF(L30="",0,IF(AB30=FALSE(),0,Y30))</f>
        <v>6375149.86225895</v>
      </c>
      <c r="AD30" s="27"/>
      <c r="AE30" s="27"/>
    </row>
    <row r="31" customFormat="false" ht="15" hidden="false" customHeight="true" outlineLevel="0" collapsed="false">
      <c r="A31" s="12" t="n">
        <f aca="false">(B31*$P$220+C31*$P$221+D31*$P$222+E31*$P$223+F31*$P$224+G31*$P$225+H31*$P$226+I31*$P$227+J31*$P$228+K31*$P$229)*$T$218</f>
        <v>1764046.28099174</v>
      </c>
      <c r="B31" s="15"/>
      <c r="C31" s="15"/>
      <c r="D31" s="15"/>
      <c r="E31" s="15" t="n">
        <v>3</v>
      </c>
      <c r="F31" s="15"/>
      <c r="G31" s="15"/>
      <c r="H31" s="15"/>
      <c r="I31" s="15"/>
      <c r="J31" s="15"/>
      <c r="K31" s="15"/>
      <c r="L31" s="25"/>
      <c r="M31" s="28" t="s">
        <v>43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 t="n">
        <f aca="false">COUNTIF($L$2:L31,"&lt;&gt;"&amp;"")</f>
        <v>7</v>
      </c>
      <c r="Y31" s="19" t="n">
        <f aca="false">SUMIF($X$2:$X$214,X31,$A$2:$A$214)</f>
        <v>6375149.86225895</v>
      </c>
      <c r="Z31" s="20"/>
      <c r="AA31" s="21"/>
      <c r="AB31" s="22" t="b">
        <f aca="false">TRUE()</f>
        <v>1</v>
      </c>
      <c r="AC31" s="23" t="n">
        <f aca="false">IF(L31="",0,IF(AB31=FALSE(),0,Y31))</f>
        <v>0</v>
      </c>
      <c r="AD31" s="27"/>
      <c r="AE31" s="27"/>
    </row>
    <row r="32" customFormat="false" ht="15" hidden="false" customHeight="true" outlineLevel="0" collapsed="false">
      <c r="A32" s="12" t="n">
        <f aca="false">(B32*$P$220+C32*$P$221+D32*$P$222+E32*$P$223+F32*$P$224+G32*$P$225+H32*$P$226+I32*$P$227+J32*$P$228+K32*$P$229)*$T$218</f>
        <v>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25"/>
      <c r="M32" s="18"/>
      <c r="N32" s="29" t="s">
        <v>44</v>
      </c>
      <c r="O32" s="18"/>
      <c r="P32" s="18"/>
      <c r="Q32" s="18"/>
      <c r="R32" s="18"/>
      <c r="S32" s="18"/>
      <c r="T32" s="18"/>
      <c r="U32" s="18"/>
      <c r="V32" s="18"/>
      <c r="W32" s="18"/>
      <c r="X32" s="18" t="n">
        <f aca="false">COUNTIF($L$2:L32,"&lt;&gt;"&amp;"")</f>
        <v>7</v>
      </c>
      <c r="Y32" s="19" t="n">
        <f aca="false">SUMIF($X$2:$X$214,X32,$A$2:$A$214)</f>
        <v>6375149.86225895</v>
      </c>
      <c r="Z32" s="20"/>
      <c r="AA32" s="21"/>
      <c r="AB32" s="22" t="b">
        <f aca="false">TRUE()</f>
        <v>1</v>
      </c>
      <c r="AC32" s="23" t="n">
        <f aca="false">IF(L32="",0,IF(AB32=FALSE(),0,Y32))</f>
        <v>0</v>
      </c>
      <c r="AD32" s="27"/>
      <c r="AE32" s="27"/>
    </row>
    <row r="33" customFormat="false" ht="15" hidden="false" customHeight="true" outlineLevel="0" collapsed="false">
      <c r="A33" s="12" t="n">
        <f aca="false">(B33*$P$220+C33*$P$221+D33*$P$222+E33*$P$223+F33*$P$224+G33*$P$225+H33*$P$226+I33*$P$227+J33*$P$228+K33*$P$229)*$T$218</f>
        <v>1470038.56749311</v>
      </c>
      <c r="B33" s="15"/>
      <c r="C33" s="15"/>
      <c r="D33" s="15"/>
      <c r="E33" s="15" t="n">
        <v>2.5</v>
      </c>
      <c r="F33" s="15"/>
      <c r="G33" s="15"/>
      <c r="H33" s="15"/>
      <c r="I33" s="15"/>
      <c r="J33" s="15"/>
      <c r="K33" s="15"/>
      <c r="L33" s="25"/>
      <c r="M33" s="28" t="s">
        <v>45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 t="n">
        <f aca="false">COUNTIF($L$2:L33,"&lt;&gt;"&amp;"")</f>
        <v>7</v>
      </c>
      <c r="Y33" s="19" t="n">
        <f aca="false">SUMIF($X$2:$X$214,X33,$A$2:$A$214)</f>
        <v>6375149.86225895</v>
      </c>
      <c r="Z33" s="20"/>
      <c r="AA33" s="21"/>
      <c r="AB33" s="22" t="b">
        <f aca="false">TRUE()</f>
        <v>1</v>
      </c>
      <c r="AC33" s="23" t="n">
        <f aca="false">IF(L33="",0,IF(AB33=FALSE(),0,Y33))</f>
        <v>0</v>
      </c>
      <c r="AD33" s="27"/>
      <c r="AE33" s="27"/>
    </row>
    <row r="34" customFormat="false" ht="15" hidden="false" customHeight="true" outlineLevel="0" collapsed="false">
      <c r="A34" s="12" t="n">
        <f aca="false">(B34*$P$220+C34*$P$221+D34*$P$222+E34*$P$223+F34*$P$224+G34*$P$225+H34*$P$226+I34*$P$227+J34*$P$228+K34*$P$229)*$T$218</f>
        <v>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25"/>
      <c r="M34" s="25"/>
      <c r="N34" s="29" t="s">
        <v>46</v>
      </c>
      <c r="O34" s="18"/>
      <c r="P34" s="18"/>
      <c r="Q34" s="18"/>
      <c r="R34" s="18"/>
      <c r="S34" s="18"/>
      <c r="T34" s="18"/>
      <c r="U34" s="18"/>
      <c r="V34" s="18"/>
      <c r="W34" s="18"/>
      <c r="X34" s="18" t="n">
        <f aca="false">COUNTIF($L$2:L34,"&lt;&gt;"&amp;"")</f>
        <v>7</v>
      </c>
      <c r="Y34" s="19" t="n">
        <f aca="false">SUMIF($X$2:$X$214,X34,$A$2:$A$214)</f>
        <v>6375149.86225895</v>
      </c>
      <c r="Z34" s="20"/>
      <c r="AA34" s="21"/>
      <c r="AB34" s="22" t="b">
        <f aca="false">TRUE()</f>
        <v>1</v>
      </c>
      <c r="AC34" s="23" t="n">
        <f aca="false">IF(L34="",0,IF(AB34=FALSE(),0,Y34))</f>
        <v>0</v>
      </c>
      <c r="AD34" s="27"/>
      <c r="AE34" s="27"/>
    </row>
    <row r="35" customFormat="false" ht="15" hidden="false" customHeight="true" outlineLevel="0" collapsed="false">
      <c r="A35" s="12" t="n">
        <f aca="false">(B35*$P$220+C35*$P$221+D35*$P$222+E35*$P$223+F35*$P$224+G35*$P$225+H35*$P$226+I35*$P$227+J35*$P$228+K35*$P$229)*$T$218</f>
        <v>882023.140495868</v>
      </c>
      <c r="B35" s="15"/>
      <c r="C35" s="15"/>
      <c r="D35" s="15"/>
      <c r="E35" s="15" t="n">
        <v>1.5</v>
      </c>
      <c r="F35" s="15"/>
      <c r="G35" s="15"/>
      <c r="H35" s="15"/>
      <c r="I35" s="15"/>
      <c r="J35" s="15"/>
      <c r="K35" s="15"/>
      <c r="L35" s="25"/>
      <c r="M35" s="28" t="s">
        <v>47</v>
      </c>
      <c r="N35" s="34"/>
      <c r="O35" s="18"/>
      <c r="P35" s="18"/>
      <c r="Q35" s="18"/>
      <c r="R35" s="18"/>
      <c r="S35" s="18"/>
      <c r="T35" s="18"/>
      <c r="U35" s="18"/>
      <c r="V35" s="18"/>
      <c r="W35" s="18"/>
      <c r="X35" s="18" t="n">
        <f aca="false">COUNTIF($L$2:L35,"&lt;&gt;"&amp;"")</f>
        <v>7</v>
      </c>
      <c r="Y35" s="19" t="n">
        <f aca="false">SUMIF($X$2:$X$214,X35,$A$2:$A$214)</f>
        <v>6375149.86225895</v>
      </c>
      <c r="Z35" s="20"/>
      <c r="AA35" s="21"/>
      <c r="AB35" s="22" t="b">
        <f aca="false">TRUE()</f>
        <v>1</v>
      </c>
      <c r="AC35" s="23" t="n">
        <f aca="false">IF(L35="",0,IF(AB35=FALSE(),0,Y35))</f>
        <v>0</v>
      </c>
      <c r="AD35" s="27"/>
      <c r="AE35" s="27"/>
    </row>
    <row r="36" customFormat="false" ht="15" hidden="false" customHeight="true" outlineLevel="0" collapsed="false">
      <c r="A36" s="12" t="n">
        <f aca="false">(B36*$P$220+C36*$P$221+D36*$P$222+E36*$P$223+F36*$P$224+G36*$P$225+H36*$P$226+I36*$P$227+J36*$P$228+K36*$P$229)*$T$218</f>
        <v>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5"/>
      <c r="M36" s="18"/>
      <c r="N36" s="29" t="s">
        <v>48</v>
      </c>
      <c r="O36" s="18"/>
      <c r="P36" s="18"/>
      <c r="Q36" s="18"/>
      <c r="R36" s="18"/>
      <c r="S36" s="18"/>
      <c r="T36" s="18"/>
      <c r="U36" s="18"/>
      <c r="V36" s="18"/>
      <c r="W36" s="18"/>
      <c r="X36" s="18" t="n">
        <f aca="false">COUNTIF($L$2:L36,"&lt;&gt;"&amp;"")</f>
        <v>7</v>
      </c>
      <c r="Y36" s="19" t="n">
        <f aca="false">SUMIF($X$2:$X$214,X36,$A$2:$A$214)</f>
        <v>6375149.86225895</v>
      </c>
      <c r="Z36" s="20"/>
      <c r="AA36" s="21"/>
      <c r="AB36" s="22" t="b">
        <f aca="false">TRUE()</f>
        <v>1</v>
      </c>
      <c r="AC36" s="23" t="n">
        <f aca="false">IF(L36="",0,IF(AB36=FALSE(),0,Y36))</f>
        <v>0</v>
      </c>
      <c r="AD36" s="27"/>
      <c r="AE36" s="27"/>
    </row>
    <row r="37" customFormat="false" ht="15" hidden="false" customHeight="true" outlineLevel="0" collapsed="false">
      <c r="A37" s="12" t="n">
        <f aca="false">(B37*$P$220+C37*$P$221+D37*$P$222+E37*$P$223+F37*$P$224+G37*$P$225+H37*$P$226+I37*$P$227+J37*$P$228+K37*$P$229)*$T$218</f>
        <v>882023.140495868</v>
      </c>
      <c r="B37" s="15"/>
      <c r="C37" s="15"/>
      <c r="D37" s="15"/>
      <c r="E37" s="15" t="n">
        <v>1.5</v>
      </c>
      <c r="F37" s="15"/>
      <c r="G37" s="15"/>
      <c r="H37" s="15"/>
      <c r="I37" s="15"/>
      <c r="J37" s="15"/>
      <c r="K37" s="15"/>
      <c r="L37" s="25"/>
      <c r="M37" s="28" t="s">
        <v>49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 t="n">
        <f aca="false">COUNTIF($L$2:L37,"&lt;&gt;"&amp;"")</f>
        <v>7</v>
      </c>
      <c r="Y37" s="19" t="n">
        <f aca="false">SUMIF($X$2:$X$214,X37,$A$2:$A$214)</f>
        <v>6375149.86225895</v>
      </c>
      <c r="Z37" s="20"/>
      <c r="AA37" s="21"/>
      <c r="AB37" s="22" t="b">
        <f aca="false">TRUE()</f>
        <v>1</v>
      </c>
      <c r="AC37" s="23" t="n">
        <f aca="false">IF(L37="",0,IF(AB37=FALSE(),0,Y37))</f>
        <v>0</v>
      </c>
      <c r="AD37" s="27"/>
      <c r="AE37" s="27"/>
    </row>
    <row r="38" customFormat="false" ht="15" hidden="false" customHeight="true" outlineLevel="0" collapsed="false">
      <c r="A38" s="12" t="n">
        <f aca="false">(B38*$P$220+C38*$P$221+D38*$P$222+E38*$P$223+F38*$P$224+G38*$P$225+H38*$P$226+I38*$P$227+J38*$P$228+K38*$P$229)*$T$218</f>
        <v>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25"/>
      <c r="M38" s="18"/>
      <c r="N38" s="29" t="s">
        <v>50</v>
      </c>
      <c r="O38" s="18"/>
      <c r="P38" s="18"/>
      <c r="Q38" s="18"/>
      <c r="R38" s="18"/>
      <c r="S38" s="18"/>
      <c r="T38" s="18"/>
      <c r="U38" s="18"/>
      <c r="V38" s="18"/>
      <c r="W38" s="18"/>
      <c r="X38" s="18" t="n">
        <f aca="false">COUNTIF($L$2:L38,"&lt;&gt;"&amp;"")</f>
        <v>7</v>
      </c>
      <c r="Y38" s="19" t="n">
        <f aca="false">SUMIF($X$2:$X$214,X38,$A$2:$A$214)</f>
        <v>6375149.86225895</v>
      </c>
      <c r="Z38" s="20"/>
      <c r="AA38" s="21"/>
      <c r="AB38" s="22" t="b">
        <f aca="false">TRUE()</f>
        <v>1</v>
      </c>
      <c r="AC38" s="23" t="n">
        <f aca="false">IF(L38="",0,IF(AB38=FALSE(),0,Y38))</f>
        <v>0</v>
      </c>
      <c r="AD38" s="35"/>
      <c r="AE38" s="35"/>
    </row>
    <row r="39" customFormat="false" ht="15" hidden="false" customHeight="true" outlineLevel="0" collapsed="false">
      <c r="A39" s="12" t="n">
        <f aca="false">(B39*$P$220+C39*$P$221+D39*$P$222+E39*$P$223+F39*$P$224+G39*$P$225+H39*$P$226+I39*$P$227+J39*$P$228+K39*$P$229)*$T$218</f>
        <v>1377018.73278237</v>
      </c>
      <c r="B39" s="15"/>
      <c r="C39" s="15"/>
      <c r="D39" s="15"/>
      <c r="E39" s="15" t="n">
        <v>1.5</v>
      </c>
      <c r="F39" s="15" t="n">
        <v>1</v>
      </c>
      <c r="G39" s="15"/>
      <c r="H39" s="15"/>
      <c r="I39" s="15"/>
      <c r="J39" s="15"/>
      <c r="K39" s="15"/>
      <c r="L39" s="25"/>
      <c r="M39" s="28" t="s">
        <v>51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 t="n">
        <f aca="false">COUNTIF($L$2:L39,"&lt;&gt;"&amp;"")</f>
        <v>7</v>
      </c>
      <c r="Y39" s="19" t="n">
        <f aca="false">SUMIF($X$2:$X$214,X39,$A$2:$A$214)</f>
        <v>6375149.86225895</v>
      </c>
      <c r="Z39" s="20"/>
      <c r="AA39" s="21"/>
      <c r="AB39" s="22" t="b">
        <f aca="false">TRUE()</f>
        <v>1</v>
      </c>
      <c r="AC39" s="23" t="n">
        <f aca="false">IF(L39="",0,IF(AB39=FALSE(),0,Y39))</f>
        <v>0</v>
      </c>
      <c r="AD39" s="27"/>
      <c r="AE39" s="27"/>
    </row>
    <row r="40" customFormat="false" ht="15" hidden="false" customHeight="true" outlineLevel="0" collapsed="false">
      <c r="A40" s="12" t="n">
        <f aca="false">(B40*$P$220+C40*$P$221+D40*$P$222+E40*$P$223+F40*$P$224+G40*$P$225+H40*$P$226+I40*$P$227+J40*$P$228+K40*$P$229)*$T$218</f>
        <v>0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25"/>
      <c r="M40" s="18"/>
      <c r="N40" s="29" t="s">
        <v>52</v>
      </c>
      <c r="O40" s="18"/>
      <c r="P40" s="18"/>
      <c r="Q40" s="18"/>
      <c r="R40" s="18"/>
      <c r="S40" s="18"/>
      <c r="T40" s="18"/>
      <c r="U40" s="18"/>
      <c r="V40" s="18"/>
      <c r="W40" s="18"/>
      <c r="X40" s="18" t="n">
        <f aca="false">COUNTIF($L$2:L40,"&lt;&gt;"&amp;"")</f>
        <v>7</v>
      </c>
      <c r="Y40" s="19" t="n">
        <f aca="false">SUMIF($X$2:$X$214,X40,$A$2:$A$214)</f>
        <v>6375149.86225895</v>
      </c>
      <c r="Z40" s="20"/>
      <c r="AA40" s="21"/>
      <c r="AB40" s="22" t="b">
        <f aca="false">TRUE()</f>
        <v>1</v>
      </c>
      <c r="AC40" s="23" t="n">
        <f aca="false">IF(L40="",0,IF(AB40=FALSE(),0,Y40))</f>
        <v>0</v>
      </c>
      <c r="AD40" s="35"/>
      <c r="AE40" s="35"/>
    </row>
    <row r="41" customFormat="false" ht="15" hidden="false" customHeight="true" outlineLevel="0" collapsed="false">
      <c r="A41" s="12" t="n">
        <f aca="false">(B41*$P$220+C41*$P$221+D41*$P$222+E41*$P$223+F41*$P$224+G41*$P$225+H41*$P$226+I41*$P$227+J41*$P$228+K41*$P$229)*$T$218</f>
        <v>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32" t="s">
        <v>53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 t="n">
        <f aca="false">COUNTIF($L$2:L41,"&lt;&gt;"&amp;"")</f>
        <v>8</v>
      </c>
      <c r="Y41" s="19" t="n">
        <f aca="false">SUMIF($X$2:$X$214,X41,$A$2:$A$214)</f>
        <v>5030920.85399449</v>
      </c>
      <c r="Z41" s="20"/>
      <c r="AA41" s="21"/>
      <c r="AB41" s="22" t="b">
        <f aca="false">TRUE()</f>
        <v>1</v>
      </c>
      <c r="AC41" s="23" t="n">
        <f aca="false">IF(L41="",0,IF(AB41=FALSE(),0,Y41))</f>
        <v>5030920.85399449</v>
      </c>
      <c r="AD41" s="35"/>
      <c r="AE41" s="35"/>
    </row>
    <row r="42" customFormat="false" ht="15" hidden="false" customHeight="true" outlineLevel="0" collapsed="false">
      <c r="A42" s="12" t="n">
        <f aca="false">(B42*$P$220+C42*$P$221+D42*$P$222+E42*$P$223+F42*$P$224+G42*$P$225+H42*$P$226+I42*$P$227+J42*$P$228+K42*$P$229)*$T$218</f>
        <v>914812.865013774</v>
      </c>
      <c r="B42" s="15"/>
      <c r="C42" s="15" t="n">
        <v>1</v>
      </c>
      <c r="D42" s="15"/>
      <c r="E42" s="15"/>
      <c r="F42" s="15" t="n">
        <v>1</v>
      </c>
      <c r="G42" s="15"/>
      <c r="H42" s="15"/>
      <c r="I42" s="15"/>
      <c r="J42" s="15"/>
      <c r="K42" s="15"/>
      <c r="L42" s="25"/>
      <c r="M42" s="28" t="s">
        <v>54</v>
      </c>
      <c r="N42" s="36"/>
      <c r="O42" s="18"/>
      <c r="P42" s="18"/>
      <c r="Q42" s="18"/>
      <c r="R42" s="18"/>
      <c r="S42" s="18"/>
      <c r="T42" s="18"/>
      <c r="U42" s="18"/>
      <c r="V42" s="18"/>
      <c r="W42" s="18"/>
      <c r="X42" s="18" t="n">
        <f aca="false">COUNTIF($L$2:L42,"&lt;&gt;"&amp;"")</f>
        <v>8</v>
      </c>
      <c r="Y42" s="19" t="n">
        <f aca="false">SUMIF($X$2:$X$214,X42,$A$2:$A$214)</f>
        <v>5030920.85399449</v>
      </c>
      <c r="Z42" s="20"/>
      <c r="AA42" s="21"/>
      <c r="AB42" s="22" t="b">
        <f aca="false">TRUE()</f>
        <v>1</v>
      </c>
      <c r="AC42" s="23" t="n">
        <f aca="false">IF(L42="",0,IF(AB42=FALSE(),0,Y42))</f>
        <v>0</v>
      </c>
      <c r="AD42" s="27"/>
      <c r="AE42" s="27"/>
    </row>
    <row r="43" customFormat="false" ht="15" hidden="false" customHeight="true" outlineLevel="0" collapsed="false">
      <c r="A43" s="12" t="n">
        <f aca="false">(B43*$P$220+C43*$P$221+D43*$P$222+E43*$P$223+F43*$P$224+G43*$P$225+H43*$P$226+I43*$P$227+J43*$P$228+K43*$P$229)*$T$218</f>
        <v>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25"/>
      <c r="M43" s="25"/>
      <c r="N43" s="29" t="s">
        <v>55</v>
      </c>
      <c r="O43" s="18"/>
      <c r="P43" s="18"/>
      <c r="Q43" s="18"/>
      <c r="R43" s="18"/>
      <c r="S43" s="18"/>
      <c r="T43" s="18"/>
      <c r="U43" s="18"/>
      <c r="V43" s="18"/>
      <c r="W43" s="18"/>
      <c r="X43" s="18" t="n">
        <f aca="false">COUNTIF($L$2:L43,"&lt;&gt;"&amp;"")</f>
        <v>8</v>
      </c>
      <c r="Y43" s="19" t="n">
        <f aca="false">SUMIF($X$2:$X$214,X43,$A$2:$A$214)</f>
        <v>5030920.85399449</v>
      </c>
      <c r="Z43" s="20"/>
      <c r="AA43" s="21"/>
      <c r="AB43" s="22" t="b">
        <f aca="false">TRUE()</f>
        <v>1</v>
      </c>
      <c r="AC43" s="23" t="n">
        <f aca="false">IF(L43="",0,IF(AB43=FALSE(),0,Y43))</f>
        <v>0</v>
      </c>
      <c r="AD43" s="27"/>
      <c r="AE43" s="27"/>
    </row>
    <row r="44" customFormat="false" ht="15" hidden="false" customHeight="true" outlineLevel="0" collapsed="false">
      <c r="A44" s="12" t="n">
        <f aca="false">(B44*$P$220+C44*$P$221+D44*$P$222+E44*$P$223+F44*$P$224+G44*$P$225+H44*$P$226+I44*$P$227+J44*$P$228+K44*$P$229)*$T$218</f>
        <v>882023.140495868</v>
      </c>
      <c r="B44" s="15"/>
      <c r="C44" s="15"/>
      <c r="D44" s="15"/>
      <c r="E44" s="15" t="n">
        <v>1.5</v>
      </c>
      <c r="F44" s="15"/>
      <c r="G44" s="15"/>
      <c r="H44" s="15"/>
      <c r="I44" s="15"/>
      <c r="J44" s="15"/>
      <c r="K44" s="15"/>
      <c r="L44" s="25"/>
      <c r="M44" s="28" t="s">
        <v>56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 t="n">
        <f aca="false">COUNTIF($L$2:L44,"&lt;&gt;"&amp;"")</f>
        <v>8</v>
      </c>
      <c r="Y44" s="19" t="n">
        <f aca="false">SUMIF($X$2:$X$214,X44,$A$2:$A$214)</f>
        <v>5030920.85399449</v>
      </c>
      <c r="Z44" s="20"/>
      <c r="AA44" s="21"/>
      <c r="AB44" s="22" t="b">
        <f aca="false">TRUE()</f>
        <v>1</v>
      </c>
      <c r="AC44" s="23" t="n">
        <f aca="false">IF(L44="",0,IF(AB44=FALSE(),0,Y44))</f>
        <v>0</v>
      </c>
      <c r="AD44" s="27"/>
      <c r="AE44" s="27"/>
    </row>
    <row r="45" customFormat="false" ht="15" hidden="false" customHeight="true" outlineLevel="0" collapsed="false">
      <c r="A45" s="12" t="n">
        <f aca="false">(B45*$P$220+C45*$P$221+D45*$P$222+E45*$P$223+F45*$P$224+G45*$P$225+H45*$P$226+I45*$P$227+J45*$P$228+K45*$P$229)*$T$218</f>
        <v>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25"/>
      <c r="M45" s="18"/>
      <c r="N45" s="29" t="s">
        <v>57</v>
      </c>
      <c r="O45" s="18"/>
      <c r="P45" s="18"/>
      <c r="Q45" s="18"/>
      <c r="R45" s="18"/>
      <c r="S45" s="18"/>
      <c r="T45" s="18"/>
      <c r="U45" s="18"/>
      <c r="V45" s="18"/>
      <c r="W45" s="18"/>
      <c r="X45" s="18" t="n">
        <f aca="false">COUNTIF($L$2:L45,"&lt;&gt;"&amp;"")</f>
        <v>8</v>
      </c>
      <c r="Y45" s="19" t="n">
        <f aca="false">SUMIF($X$2:$X$214,X45,$A$2:$A$214)</f>
        <v>5030920.85399449</v>
      </c>
      <c r="Z45" s="20"/>
      <c r="AA45" s="21"/>
      <c r="AB45" s="22" t="b">
        <f aca="false">TRUE()</f>
        <v>1</v>
      </c>
      <c r="AC45" s="23" t="n">
        <f aca="false">IF(L45="",0,IF(AB45=FALSE(),0,Y45))</f>
        <v>0</v>
      </c>
      <c r="AD45" s="27"/>
      <c r="AE45" s="27"/>
    </row>
    <row r="46" customFormat="false" ht="15" hidden="false" customHeight="true" outlineLevel="0" collapsed="false">
      <c r="A46" s="12" t="n">
        <f aca="false">(B46*$P$220+C46*$P$221+D46*$P$222+E46*$P$223+F46*$P$224+G46*$P$225+H46*$P$226+I46*$P$227+J46*$P$228+K46*$P$229)*$T$218</f>
        <v>588015.426997245</v>
      </c>
      <c r="B46" s="15"/>
      <c r="C46" s="15"/>
      <c r="D46" s="15"/>
      <c r="E46" s="15" t="n">
        <v>1</v>
      </c>
      <c r="F46" s="15"/>
      <c r="G46" s="15"/>
      <c r="H46" s="15"/>
      <c r="I46" s="15"/>
      <c r="J46" s="15"/>
      <c r="K46" s="15"/>
      <c r="L46" s="25"/>
      <c r="M46" s="28" t="s">
        <v>58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 t="n">
        <f aca="false">COUNTIF($L$2:L46,"&lt;&gt;"&amp;"")</f>
        <v>8</v>
      </c>
      <c r="Y46" s="19" t="n">
        <f aca="false">SUMIF($X$2:$X$214,X46,$A$2:$A$214)</f>
        <v>5030920.85399449</v>
      </c>
      <c r="Z46" s="20"/>
      <c r="AA46" s="21"/>
      <c r="AB46" s="22" t="b">
        <f aca="false">TRUE()</f>
        <v>1</v>
      </c>
      <c r="AC46" s="23" t="n">
        <f aca="false">IF(L46="",0,IF(AB46=FALSE(),0,Y46))</f>
        <v>0</v>
      </c>
      <c r="AD46" s="27"/>
      <c r="AE46" s="27"/>
    </row>
    <row r="47" customFormat="false" ht="15" hidden="false" customHeight="true" outlineLevel="0" collapsed="false">
      <c r="A47" s="12" t="n">
        <f aca="false">(B47*$P$220+C47*$P$221+D47*$P$222+E47*$P$223+F47*$P$224+G47*$P$225+H47*$P$226+I47*$P$227+J47*$P$228+K47*$P$229)*$T$218</f>
        <v>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25"/>
      <c r="M47" s="18"/>
      <c r="N47" s="29" t="s">
        <v>59</v>
      </c>
      <c r="O47" s="18"/>
      <c r="P47" s="18"/>
      <c r="Q47" s="18"/>
      <c r="R47" s="18"/>
      <c r="S47" s="18"/>
      <c r="T47" s="18"/>
      <c r="U47" s="18"/>
      <c r="V47" s="18"/>
      <c r="W47" s="18"/>
      <c r="X47" s="18" t="n">
        <f aca="false">COUNTIF($L$2:L47,"&lt;&gt;"&amp;"")</f>
        <v>8</v>
      </c>
      <c r="Y47" s="19" t="n">
        <f aca="false">SUMIF($X$2:$X$214,X47,$A$2:$A$214)</f>
        <v>5030920.85399449</v>
      </c>
      <c r="Z47" s="20"/>
      <c r="AA47" s="21"/>
      <c r="AB47" s="22" t="b">
        <f aca="false">TRUE()</f>
        <v>1</v>
      </c>
      <c r="AC47" s="23" t="n">
        <f aca="false">IF(L47="",0,IF(AB47=FALSE(),0,Y47))</f>
        <v>0</v>
      </c>
      <c r="AD47" s="27"/>
      <c r="AE47" s="27"/>
    </row>
    <row r="48" customFormat="false" ht="15" hidden="false" customHeight="true" outlineLevel="0" collapsed="false">
      <c r="A48" s="12" t="n">
        <f aca="false">(B48*$P$220+C48*$P$221+D48*$P$222+E48*$P$223+F48*$P$224+G48*$P$225+H48*$P$226+I48*$P$227+J48*$P$228+K48*$P$229)*$T$218</f>
        <v>1470038.56749311</v>
      </c>
      <c r="B48" s="15"/>
      <c r="C48" s="15"/>
      <c r="D48" s="15"/>
      <c r="E48" s="15" t="n">
        <v>2.5</v>
      </c>
      <c r="F48" s="15"/>
      <c r="G48" s="15"/>
      <c r="H48" s="15"/>
      <c r="I48" s="15"/>
      <c r="J48" s="15"/>
      <c r="K48" s="15"/>
      <c r="L48" s="25"/>
      <c r="M48" s="28" t="s">
        <v>60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 t="n">
        <f aca="false">COUNTIF($L$2:L48,"&lt;&gt;"&amp;"")</f>
        <v>8</v>
      </c>
      <c r="Y48" s="19" t="n">
        <f aca="false">SUMIF($X$2:$X$214,X48,$A$2:$A$214)</f>
        <v>5030920.85399449</v>
      </c>
      <c r="Z48" s="20"/>
      <c r="AA48" s="21"/>
      <c r="AB48" s="22" t="b">
        <f aca="false">TRUE()</f>
        <v>1</v>
      </c>
      <c r="AC48" s="23" t="n">
        <f aca="false">IF(L48="",0,IF(AB48=FALSE(),0,Y48))</f>
        <v>0</v>
      </c>
      <c r="AD48" s="35"/>
      <c r="AE48" s="35"/>
    </row>
    <row r="49" customFormat="false" ht="15" hidden="false" customHeight="true" outlineLevel="0" collapsed="false">
      <c r="A49" s="12" t="n">
        <f aca="false">(B49*$P$220+C49*$P$221+D49*$P$222+E49*$P$223+F49*$P$224+G49*$P$225+H49*$P$226+I49*$P$227+J49*$P$228+K49*$P$229)*$T$218</f>
        <v>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25"/>
      <c r="M49" s="18"/>
      <c r="N49" s="29" t="s">
        <v>61</v>
      </c>
      <c r="O49" s="18"/>
      <c r="P49" s="18"/>
      <c r="Q49" s="18"/>
      <c r="R49" s="18"/>
      <c r="S49" s="18"/>
      <c r="T49" s="18"/>
      <c r="U49" s="18"/>
      <c r="V49" s="18"/>
      <c r="W49" s="18"/>
      <c r="X49" s="18" t="n">
        <f aca="false">COUNTIF($L$2:L49,"&lt;&gt;"&amp;"")</f>
        <v>8</v>
      </c>
      <c r="Y49" s="19" t="n">
        <f aca="false">SUMIF($X$2:$X$214,X49,$A$2:$A$214)</f>
        <v>5030920.85399449</v>
      </c>
      <c r="Z49" s="20"/>
      <c r="AA49" s="21"/>
      <c r="AB49" s="22" t="b">
        <f aca="false">TRUE()</f>
        <v>1</v>
      </c>
      <c r="AC49" s="23" t="n">
        <f aca="false">IF(L49="",0,IF(AB49=FALSE(),0,Y49))</f>
        <v>0</v>
      </c>
      <c r="AD49" s="35"/>
      <c r="AE49" s="35"/>
    </row>
    <row r="50" customFormat="false" ht="15" hidden="false" customHeight="true" outlineLevel="0" collapsed="false">
      <c r="A50" s="12" t="n">
        <f aca="false">(B50*$P$220+C50*$P$221+D50*$P$222+E50*$P$223+F50*$P$224+G50*$P$225+H50*$P$226+I50*$P$227+J50*$P$228+K50*$P$229)*$T$218</f>
        <v>1176030.85399449</v>
      </c>
      <c r="B50" s="15"/>
      <c r="C50" s="15"/>
      <c r="D50" s="15"/>
      <c r="E50" s="15" t="n">
        <v>2</v>
      </c>
      <c r="F50" s="15"/>
      <c r="G50" s="15"/>
      <c r="H50" s="15"/>
      <c r="I50" s="15"/>
      <c r="J50" s="15"/>
      <c r="K50" s="15"/>
      <c r="L50" s="25"/>
      <c r="M50" s="28" t="s">
        <v>62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 t="n">
        <f aca="false">COUNTIF($L$2:L50,"&lt;&gt;"&amp;"")</f>
        <v>8</v>
      </c>
      <c r="Y50" s="19" t="n">
        <f aca="false">SUMIF($X$2:$X$214,X50,$A$2:$A$214)</f>
        <v>5030920.85399449</v>
      </c>
      <c r="Z50" s="20"/>
      <c r="AA50" s="21"/>
      <c r="AB50" s="22" t="b">
        <f aca="false">TRUE()</f>
        <v>1</v>
      </c>
      <c r="AC50" s="23" t="n">
        <f aca="false">IF(L50="",0,IF(AB50=FALSE(),0,Y50))</f>
        <v>0</v>
      </c>
      <c r="AD50" s="35"/>
      <c r="AE50" s="35"/>
    </row>
    <row r="51" customFormat="false" ht="15" hidden="false" customHeight="true" outlineLevel="0" collapsed="false">
      <c r="A51" s="12" t="n">
        <f aca="false">(B51*$P$220+C51*$P$221+D51*$P$222+E51*$P$223+F51*$P$224+G51*$P$225+H51*$P$226+I51*$P$227+J51*$P$228+K51*$P$229)*$T$218</f>
        <v>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25"/>
      <c r="M51" s="18"/>
      <c r="N51" s="29" t="s">
        <v>63</v>
      </c>
      <c r="O51" s="18"/>
      <c r="P51" s="18"/>
      <c r="Q51" s="18"/>
      <c r="R51" s="18"/>
      <c r="S51" s="18"/>
      <c r="T51" s="18"/>
      <c r="U51" s="18"/>
      <c r="V51" s="18"/>
      <c r="W51" s="18"/>
      <c r="X51" s="18" t="n">
        <f aca="false">COUNTIF($L$2:L51,"&lt;&gt;"&amp;"")</f>
        <v>8</v>
      </c>
      <c r="Y51" s="19" t="n">
        <f aca="false">SUMIF($X$2:$X$214,X51,$A$2:$A$214)</f>
        <v>5030920.85399449</v>
      </c>
      <c r="Z51" s="20"/>
      <c r="AA51" s="21"/>
      <c r="AB51" s="22" t="b">
        <f aca="false">TRUE()</f>
        <v>1</v>
      </c>
      <c r="AC51" s="23" t="n">
        <f aca="false">IF(L51="",0,IF(AB51=FALSE(),0,Y51))</f>
        <v>0</v>
      </c>
      <c r="AD51" s="35"/>
      <c r="AE51" s="35"/>
    </row>
    <row r="52" customFormat="false" ht="15" hidden="false" customHeight="true" outlineLevel="0" collapsed="false">
      <c r="A52" s="12" t="n">
        <f aca="false">(B52*$P$220+C52*$P$221+D52*$P$222+E52*$P$223+F52*$P$224+G52*$P$225+H52*$P$226+I52*$P$227+J52*$P$228+K52*$P$229)*$T$218</f>
        <v>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32" t="s">
        <v>64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 t="n">
        <f aca="false">COUNTIF($L$2:L52,"&lt;&gt;"&amp;"")</f>
        <v>9</v>
      </c>
      <c r="Y52" s="19" t="n">
        <f aca="false">SUMIF($X$2:$X$214,X52,$A$2:$A$214)</f>
        <v>4129522.3415978</v>
      </c>
      <c r="Z52" s="20"/>
      <c r="AA52" s="21"/>
      <c r="AB52" s="22" t="b">
        <f aca="false">TRUE()</f>
        <v>1</v>
      </c>
      <c r="AC52" s="23" t="n">
        <f aca="false">IF(L52="",0,IF(AB52=FALSE(),0,Y52))</f>
        <v>4129522.3415978</v>
      </c>
      <c r="AD52" s="35"/>
      <c r="AE52" s="35"/>
    </row>
    <row r="53" customFormat="false" ht="15" hidden="false" customHeight="true" outlineLevel="0" collapsed="false">
      <c r="A53" s="12" t="n">
        <f aca="false">(B53*$P$220+C53*$P$221+D53*$P$222+E53*$P$223+F53*$P$224+G53*$P$225+H53*$P$226+I53*$P$227+J53*$P$228+K53*$P$229)*$T$218</f>
        <v>1448486.14325069</v>
      </c>
      <c r="B53" s="15"/>
      <c r="C53" s="15"/>
      <c r="D53" s="15"/>
      <c r="E53" s="15"/>
      <c r="F53" s="15" t="n">
        <v>2</v>
      </c>
      <c r="G53" s="15"/>
      <c r="H53" s="15"/>
      <c r="I53" s="15"/>
      <c r="J53" s="15"/>
      <c r="K53" s="15" t="n">
        <v>1</v>
      </c>
      <c r="L53" s="25"/>
      <c r="M53" s="28" t="s">
        <v>65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 t="n">
        <f aca="false">COUNTIF($L$2:L53,"&lt;&gt;"&amp;"")</f>
        <v>9</v>
      </c>
      <c r="Y53" s="19" t="n">
        <f aca="false">SUMIF($X$2:$X$214,X53,$A$2:$A$214)</f>
        <v>4129522.3415978</v>
      </c>
      <c r="Z53" s="20"/>
      <c r="AA53" s="21"/>
      <c r="AB53" s="22" t="b">
        <f aca="false">TRUE()</f>
        <v>1</v>
      </c>
      <c r="AC53" s="23" t="n">
        <f aca="false">IF(L53="",0,IF(AB53=FALSE(),0,Y53))</f>
        <v>0</v>
      </c>
      <c r="AD53" s="35"/>
      <c r="AE53" s="35"/>
    </row>
    <row r="54" customFormat="false" ht="15" hidden="false" customHeight="true" outlineLevel="0" collapsed="false">
      <c r="A54" s="12" t="n">
        <f aca="false">(B54*$P$220+C54*$P$221+D54*$P$222+E54*$P$223+F54*$P$224+G54*$P$225+H54*$P$226+I54*$P$227+J54*$P$228+K54*$P$229)*$T$218</f>
        <v>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25"/>
      <c r="M54" s="18"/>
      <c r="N54" s="29" t="s">
        <v>66</v>
      </c>
      <c r="O54" s="18"/>
      <c r="P54" s="18"/>
      <c r="Q54" s="18"/>
      <c r="R54" s="18"/>
      <c r="S54" s="18"/>
      <c r="T54" s="18"/>
      <c r="U54" s="18"/>
      <c r="V54" s="18"/>
      <c r="W54" s="18"/>
      <c r="X54" s="18" t="n">
        <f aca="false">COUNTIF($L$2:L54,"&lt;&gt;"&amp;"")</f>
        <v>9</v>
      </c>
      <c r="Y54" s="19" t="n">
        <f aca="false">SUMIF($X$2:$X$214,X54,$A$2:$A$214)</f>
        <v>4129522.3415978</v>
      </c>
      <c r="Z54" s="20"/>
      <c r="AA54" s="21"/>
      <c r="AB54" s="22" t="b">
        <f aca="false">TRUE()</f>
        <v>1</v>
      </c>
      <c r="AC54" s="23" t="n">
        <f aca="false">IF(L54="",0,IF(AB54=FALSE(),0,Y54))</f>
        <v>0</v>
      </c>
      <c r="AD54" s="35"/>
      <c r="AE54" s="35"/>
    </row>
    <row r="55" customFormat="false" ht="15" hidden="false" customHeight="true" outlineLevel="0" collapsed="false">
      <c r="A55" s="12" t="n">
        <f aca="false">(B55*$P$220+C55*$P$221+D55*$P$222+E55*$P$223+F55*$P$224+G55*$P$225+H55*$P$226+I55*$P$227+J55*$P$228+K55*$P$229)*$T$218</f>
        <v>916989.917355372</v>
      </c>
      <c r="B55" s="15"/>
      <c r="C55" s="15"/>
      <c r="D55" s="15"/>
      <c r="E55" s="15"/>
      <c r="F55" s="15"/>
      <c r="G55" s="15"/>
      <c r="H55" s="15"/>
      <c r="I55" s="15"/>
      <c r="J55" s="15"/>
      <c r="K55" s="15" t="n">
        <v>2</v>
      </c>
      <c r="L55" s="25"/>
      <c r="M55" s="28" t="s">
        <v>67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 t="n">
        <f aca="false">COUNTIF($L$2:L55,"&lt;&gt;"&amp;"")</f>
        <v>9</v>
      </c>
      <c r="Y55" s="19" t="n">
        <f aca="false">SUMIF($X$2:$X$214,X55,$A$2:$A$214)</f>
        <v>4129522.3415978</v>
      </c>
      <c r="Z55" s="20"/>
      <c r="AA55" s="21"/>
      <c r="AB55" s="22" t="b">
        <f aca="false">TRUE()</f>
        <v>1</v>
      </c>
      <c r="AC55" s="23" t="n">
        <f aca="false">IF(L55="",0,IF(AB55=FALSE(),0,Y55))</f>
        <v>0</v>
      </c>
      <c r="AD55" s="35"/>
      <c r="AE55" s="35"/>
    </row>
    <row r="56" customFormat="false" ht="15" hidden="false" customHeight="true" outlineLevel="0" collapsed="false">
      <c r="A56" s="12" t="n">
        <f aca="false">(B56*$P$220+C56*$P$221+D56*$P$222+E56*$P$223+F56*$P$224+G56*$P$225+H56*$P$226+I56*$P$227+J56*$P$228+K56*$P$229)*$T$218</f>
        <v>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25"/>
      <c r="M56" s="18"/>
      <c r="N56" s="29" t="s">
        <v>68</v>
      </c>
      <c r="O56" s="18"/>
      <c r="P56" s="18"/>
      <c r="Q56" s="18"/>
      <c r="R56" s="18"/>
      <c r="S56" s="18"/>
      <c r="T56" s="18"/>
      <c r="U56" s="18"/>
      <c r="V56" s="18"/>
      <c r="W56" s="18"/>
      <c r="X56" s="18" t="n">
        <f aca="false">COUNTIF($L$2:L56,"&lt;&gt;"&amp;"")</f>
        <v>9</v>
      </c>
      <c r="Y56" s="19" t="n">
        <f aca="false">SUMIF($X$2:$X$214,X56,$A$2:$A$214)</f>
        <v>4129522.3415978</v>
      </c>
      <c r="Z56" s="20"/>
      <c r="AA56" s="21"/>
      <c r="AB56" s="22" t="b">
        <f aca="false">TRUE()</f>
        <v>1</v>
      </c>
      <c r="AC56" s="23" t="n">
        <f aca="false">IF(L56="",0,IF(AB56=FALSE(),0,Y56))</f>
        <v>0</v>
      </c>
      <c r="AD56" s="35"/>
      <c r="AE56" s="35"/>
    </row>
    <row r="57" customFormat="false" ht="15" hidden="false" customHeight="true" outlineLevel="0" collapsed="false">
      <c r="A57" s="12" t="n">
        <f aca="false">(B57*$P$220+C57*$P$221+D57*$P$222+E57*$P$223+F57*$P$224+G57*$P$225+H57*$P$226+I57*$P$227+J57*$P$228+K57*$P$229)*$T$218</f>
        <v>882023.140495868</v>
      </c>
      <c r="B57" s="15"/>
      <c r="C57" s="15"/>
      <c r="D57" s="15"/>
      <c r="E57" s="15" t="n">
        <v>1.5</v>
      </c>
      <c r="F57" s="15"/>
      <c r="G57" s="15"/>
      <c r="H57" s="15"/>
      <c r="I57" s="15"/>
      <c r="J57" s="15"/>
      <c r="K57" s="15"/>
      <c r="L57" s="25"/>
      <c r="M57" s="28" t="s">
        <v>69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 t="n">
        <f aca="false">COUNTIF($L$2:L57,"&lt;&gt;"&amp;"")</f>
        <v>9</v>
      </c>
      <c r="Y57" s="19" t="n">
        <f aca="false">SUMIF($X$2:$X$214,X57,$A$2:$A$214)</f>
        <v>4129522.3415978</v>
      </c>
      <c r="Z57" s="20"/>
      <c r="AA57" s="21"/>
      <c r="AB57" s="22" t="b">
        <f aca="false">TRUE()</f>
        <v>1</v>
      </c>
      <c r="AC57" s="23" t="n">
        <f aca="false">IF(L57="",0,IF(AB57=FALSE(),0,Y57))</f>
        <v>0</v>
      </c>
      <c r="AD57" s="35"/>
      <c r="AE57" s="35"/>
    </row>
    <row r="58" customFormat="false" ht="15" hidden="false" customHeight="true" outlineLevel="0" collapsed="false">
      <c r="A58" s="12" t="n">
        <f aca="false">(B58*$P$220+C58*$P$221+D58*$P$222+E58*$P$223+F58*$P$224+G58*$P$225+H58*$P$226+I58*$P$227+J58*$P$228+K58*$P$229)*$T$218</f>
        <v>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5"/>
      <c r="M58" s="18"/>
      <c r="N58" s="29" t="s">
        <v>70</v>
      </c>
      <c r="O58" s="18"/>
      <c r="P58" s="18"/>
      <c r="Q58" s="18"/>
      <c r="R58" s="18"/>
      <c r="S58" s="18"/>
      <c r="T58" s="18"/>
      <c r="U58" s="18"/>
      <c r="V58" s="18"/>
      <c r="W58" s="18"/>
      <c r="X58" s="18" t="n">
        <f aca="false">COUNTIF($L$2:L58,"&lt;&gt;"&amp;"")</f>
        <v>9</v>
      </c>
      <c r="Y58" s="19" t="n">
        <f aca="false">SUMIF($X$2:$X$214,X58,$A$2:$A$214)</f>
        <v>4129522.3415978</v>
      </c>
      <c r="Z58" s="20"/>
      <c r="AA58" s="21"/>
      <c r="AB58" s="22" t="b">
        <f aca="false">TRUE()</f>
        <v>1</v>
      </c>
      <c r="AC58" s="23" t="n">
        <f aca="false">IF(L58="",0,IF(AB58=FALSE(),0,Y58))</f>
        <v>0</v>
      </c>
      <c r="AD58" s="35"/>
      <c r="AE58" s="35"/>
    </row>
    <row r="59" customFormat="false" ht="15" hidden="false" customHeight="true" outlineLevel="0" collapsed="false">
      <c r="A59" s="12" t="n">
        <f aca="false">(B59*$P$220+C59*$P$221+D59*$P$222+E59*$P$223+F59*$P$224+G59*$P$225+H59*$P$226+I59*$P$227+J59*$P$228+K59*$P$229)*$T$218</f>
        <v>882023.140495868</v>
      </c>
      <c r="B59" s="15"/>
      <c r="C59" s="15"/>
      <c r="D59" s="15"/>
      <c r="E59" s="15" t="n">
        <v>1.5</v>
      </c>
      <c r="F59" s="15"/>
      <c r="G59" s="15"/>
      <c r="H59" s="15"/>
      <c r="I59" s="15"/>
      <c r="J59" s="15"/>
      <c r="K59" s="15"/>
      <c r="L59" s="25"/>
      <c r="M59" s="28" t="s">
        <v>71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 t="n">
        <f aca="false">COUNTIF($L$2:L59,"&lt;&gt;"&amp;"")</f>
        <v>9</v>
      </c>
      <c r="Y59" s="19" t="n">
        <f aca="false">SUMIF($X$2:$X$214,X59,$A$2:$A$214)</f>
        <v>4129522.3415978</v>
      </c>
      <c r="Z59" s="20"/>
      <c r="AA59" s="21"/>
      <c r="AB59" s="22" t="b">
        <f aca="false">TRUE()</f>
        <v>1</v>
      </c>
      <c r="AC59" s="23" t="n">
        <f aca="false">IF(L59="",0,IF(AB59=FALSE(),0,Y59))</f>
        <v>0</v>
      </c>
      <c r="AD59" s="35"/>
      <c r="AE59" s="35"/>
    </row>
    <row r="60" customFormat="false" ht="15" hidden="false" customHeight="true" outlineLevel="0" collapsed="false">
      <c r="A60" s="12" t="n">
        <f aca="false">(B60*$P$220+C60*$P$221+D60*$P$222+E60*$P$223+F60*$P$224+G60*$P$225+H60*$P$226+I60*$P$227+J60*$P$228+K60*$P$229)*$T$218</f>
        <v>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25"/>
      <c r="M60" s="18"/>
      <c r="N60" s="29" t="s">
        <v>72</v>
      </c>
      <c r="O60" s="18"/>
      <c r="P60" s="18"/>
      <c r="Q60" s="18"/>
      <c r="R60" s="18"/>
      <c r="S60" s="18"/>
      <c r="T60" s="18"/>
      <c r="U60" s="18"/>
      <c r="V60" s="18"/>
      <c r="W60" s="18"/>
      <c r="X60" s="18" t="n">
        <f aca="false">COUNTIF($L$2:L60,"&lt;&gt;"&amp;"")</f>
        <v>9</v>
      </c>
      <c r="Y60" s="19" t="n">
        <f aca="false">SUMIF($X$2:$X$214,X60,$A$2:$A$214)</f>
        <v>4129522.3415978</v>
      </c>
      <c r="Z60" s="20"/>
      <c r="AA60" s="21"/>
      <c r="AB60" s="22" t="b">
        <f aca="false">TRUE()</f>
        <v>1</v>
      </c>
      <c r="AC60" s="23" t="n">
        <f aca="false">IF(L60="",0,IF(AB60=FALSE(),0,Y60))</f>
        <v>0</v>
      </c>
      <c r="AD60" s="35"/>
      <c r="AE60" s="35"/>
    </row>
    <row r="61" customFormat="false" ht="15" hidden="false" customHeight="true" outlineLevel="0" collapsed="false">
      <c r="A61" s="12" t="n">
        <f aca="false">(B61*$P$220+C61*$P$221+D61*$P$222+E61*$P$223+F61*$P$224+G61*$P$225+H61*$P$226+I61*$P$227+J61*$P$228+K61*$P$229)*$T$218</f>
        <v>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32" t="s">
        <v>73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 t="n">
        <f aca="false">COUNTIF($L$2:L61,"&lt;&gt;"&amp;"")</f>
        <v>10</v>
      </c>
      <c r="Y61" s="19" t="n">
        <f aca="false">SUMIF($X$2:$X$214,X61,$A$2:$A$214)</f>
        <v>4205500.71625344</v>
      </c>
      <c r="Z61" s="20"/>
      <c r="AA61" s="21"/>
      <c r="AB61" s="22" t="b">
        <f aca="false">TRUE()</f>
        <v>1</v>
      </c>
      <c r="AC61" s="23" t="n">
        <f aca="false">IF(L61="",0,IF(AB61=FALSE(),0,Y61))</f>
        <v>4205500.71625344</v>
      </c>
      <c r="AD61" s="35"/>
      <c r="AE61" s="35"/>
    </row>
    <row r="62" customFormat="false" ht="15" hidden="false" customHeight="true" outlineLevel="0" collapsed="false">
      <c r="A62" s="12" t="n">
        <f aca="false">(B62*$P$220+C62*$P$221+D62*$P$222+E62*$P$223+F62*$P$224+G62*$P$225+H62*$P$226+I62*$P$227+J62*$P$228+K62*$P$229)*$T$218</f>
        <v>1146237.39669421</v>
      </c>
      <c r="B62" s="15"/>
      <c r="C62" s="15"/>
      <c r="D62" s="15"/>
      <c r="E62" s="15"/>
      <c r="F62" s="15"/>
      <c r="G62" s="15"/>
      <c r="H62" s="15"/>
      <c r="I62" s="15"/>
      <c r="J62" s="15"/>
      <c r="K62" s="15" t="n">
        <v>2.5</v>
      </c>
      <c r="L62" s="25"/>
      <c r="M62" s="28" t="s">
        <v>74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 t="n">
        <f aca="false">COUNTIF($L$2:L62,"&lt;&gt;"&amp;"")</f>
        <v>10</v>
      </c>
      <c r="Y62" s="19" t="n">
        <f aca="false">SUMIF($X$2:$X$214,X62,$A$2:$A$214)</f>
        <v>4205500.71625344</v>
      </c>
      <c r="Z62" s="20"/>
      <c r="AA62" s="21"/>
      <c r="AB62" s="22" t="b">
        <f aca="false">TRUE()</f>
        <v>1</v>
      </c>
      <c r="AC62" s="23" t="n">
        <f aca="false">IF(L62="",0,IF(AB62=FALSE(),0,Y62))</f>
        <v>0</v>
      </c>
      <c r="AD62" s="35"/>
      <c r="AE62" s="35"/>
    </row>
    <row r="63" customFormat="false" ht="15" hidden="false" customHeight="true" outlineLevel="0" collapsed="false">
      <c r="A63" s="12" t="n">
        <f aca="false">(B63*$P$220+C63*$P$221+D63*$P$222+E63*$P$223+F63*$P$224+G63*$P$225+H63*$P$226+I63*$P$227+J63*$P$228+K63*$P$229)*$T$218</f>
        <v>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25"/>
      <c r="M63" s="18"/>
      <c r="N63" s="29" t="s">
        <v>75</v>
      </c>
      <c r="O63" s="18"/>
      <c r="P63" s="18"/>
      <c r="Q63" s="18"/>
      <c r="R63" s="18"/>
      <c r="S63" s="18"/>
      <c r="T63" s="18"/>
      <c r="U63" s="18"/>
      <c r="V63" s="18"/>
      <c r="W63" s="18"/>
      <c r="X63" s="18" t="n">
        <f aca="false">COUNTIF($L$2:L63,"&lt;&gt;"&amp;"")</f>
        <v>10</v>
      </c>
      <c r="Y63" s="19" t="n">
        <f aca="false">SUMIF($X$2:$X$214,X63,$A$2:$A$214)</f>
        <v>4205500.71625344</v>
      </c>
      <c r="Z63" s="20"/>
      <c r="AA63" s="21"/>
      <c r="AB63" s="22" t="b">
        <f aca="false">TRUE()</f>
        <v>1</v>
      </c>
      <c r="AC63" s="23" t="n">
        <f aca="false">IF(L63="",0,IF(AB63=FALSE(),0,Y63))</f>
        <v>0</v>
      </c>
      <c r="AD63" s="35"/>
      <c r="AE63" s="35"/>
    </row>
    <row r="64" customFormat="false" ht="15" hidden="false" customHeight="true" outlineLevel="0" collapsed="false">
      <c r="A64" s="12" t="n">
        <f aca="false">(B64*$P$220+C64*$P$221+D64*$P$222+E64*$P$223+F64*$P$224+G64*$P$225+H64*$P$226+I64*$P$227+J64*$P$228+K64*$P$229)*$T$218</f>
        <v>1505005.34435262</v>
      </c>
      <c r="B64" s="15"/>
      <c r="C64" s="15"/>
      <c r="D64" s="15"/>
      <c r="E64" s="15" t="n">
        <v>1</v>
      </c>
      <c r="F64" s="15"/>
      <c r="G64" s="15"/>
      <c r="H64" s="15"/>
      <c r="I64" s="15"/>
      <c r="J64" s="15"/>
      <c r="K64" s="15" t="n">
        <v>2</v>
      </c>
      <c r="L64" s="25"/>
      <c r="M64" s="28" t="s">
        <v>76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 t="n">
        <f aca="false">COUNTIF($L$2:L64,"&lt;&gt;"&amp;"")</f>
        <v>10</v>
      </c>
      <c r="Y64" s="19" t="n">
        <f aca="false">SUMIF($X$2:$X$214,X64,$A$2:$A$214)</f>
        <v>4205500.71625344</v>
      </c>
      <c r="Z64" s="20"/>
      <c r="AA64" s="21"/>
      <c r="AB64" s="22" t="b">
        <f aca="false">TRUE()</f>
        <v>1</v>
      </c>
      <c r="AC64" s="23" t="n">
        <f aca="false">IF(L64="",0,IF(AB64=FALSE(),0,Y64))</f>
        <v>0</v>
      </c>
      <c r="AD64" s="27"/>
      <c r="AE64" s="27"/>
    </row>
    <row r="65" customFormat="false" ht="15" hidden="false" customHeight="true" outlineLevel="0" collapsed="false">
      <c r="A65" s="12" t="n">
        <f aca="false">(B65*$P$220+C65*$P$221+D65*$P$222+E65*$P$223+F65*$P$224+G65*$P$225+H65*$P$226+I65*$P$227+J65*$P$228+K65*$P$229)*$T$218</f>
        <v>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25"/>
      <c r="M65" s="18"/>
      <c r="N65" s="29" t="s">
        <v>77</v>
      </c>
      <c r="O65" s="18"/>
      <c r="P65" s="18"/>
      <c r="Q65" s="18"/>
      <c r="R65" s="18"/>
      <c r="S65" s="18"/>
      <c r="T65" s="18"/>
      <c r="U65" s="18"/>
      <c r="V65" s="18"/>
      <c r="W65" s="18"/>
      <c r="X65" s="18" t="n">
        <f aca="false">COUNTIF($L$2:L65,"&lt;&gt;"&amp;"")</f>
        <v>10</v>
      </c>
      <c r="Y65" s="19" t="n">
        <f aca="false">SUMIF($X$2:$X$214,X65,$A$2:$A$214)</f>
        <v>4205500.71625344</v>
      </c>
      <c r="Z65" s="20"/>
      <c r="AA65" s="21"/>
      <c r="AB65" s="22" t="b">
        <f aca="false">TRUE()</f>
        <v>1</v>
      </c>
      <c r="AC65" s="23" t="n">
        <f aca="false">IF(L65="",0,IF(AB65=FALSE(),0,Y65))</f>
        <v>0</v>
      </c>
      <c r="AD65" s="35"/>
      <c r="AE65" s="35"/>
    </row>
    <row r="66" customFormat="false" ht="15" hidden="false" customHeight="true" outlineLevel="0" collapsed="false">
      <c r="A66" s="12" t="n">
        <f aca="false">(B66*$P$220+C66*$P$221+D66*$P$222+E66*$P$223+F66*$P$224+G66*$P$225+H66*$P$226+I66*$P$227+J66*$P$228+K66*$P$229)*$T$218</f>
        <v>1095763.01652893</v>
      </c>
      <c r="B66" s="15"/>
      <c r="C66" s="15"/>
      <c r="D66" s="15"/>
      <c r="E66" s="15"/>
      <c r="F66" s="15"/>
      <c r="G66" s="15" t="n">
        <v>1</v>
      </c>
      <c r="H66" s="15"/>
      <c r="I66" s="15"/>
      <c r="J66" s="15"/>
      <c r="K66" s="15" t="n">
        <v>1.5</v>
      </c>
      <c r="L66" s="25"/>
      <c r="M66" s="28" t="s">
        <v>78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 t="n">
        <f aca="false">COUNTIF($L$2:L66,"&lt;&gt;"&amp;"")</f>
        <v>10</v>
      </c>
      <c r="Y66" s="19" t="n">
        <f aca="false">SUMIF($X$2:$X$214,X66,$A$2:$A$214)</f>
        <v>4205500.71625344</v>
      </c>
      <c r="Z66" s="20"/>
      <c r="AA66" s="21"/>
      <c r="AB66" s="22" t="b">
        <f aca="false">TRUE()</f>
        <v>1</v>
      </c>
      <c r="AC66" s="23" t="n">
        <f aca="false">IF(L66="",0,IF(AB66=FALSE(),0,Y66))</f>
        <v>0</v>
      </c>
      <c r="AD66" s="35"/>
      <c r="AE66" s="35"/>
    </row>
    <row r="67" customFormat="false" ht="15" hidden="false" customHeight="true" outlineLevel="0" collapsed="false">
      <c r="A67" s="12" t="n">
        <f aca="false">(B67*$P$220+C67*$P$221+D67*$P$222+E67*$P$223+F67*$P$224+G67*$P$225+H67*$P$226+I67*$P$227+J67*$P$228+K67*$P$229)*$T$218</f>
        <v>0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25"/>
      <c r="M67" s="18"/>
      <c r="N67" s="29" t="s">
        <v>79</v>
      </c>
      <c r="O67" s="18"/>
      <c r="P67" s="18"/>
      <c r="Q67" s="18"/>
      <c r="R67" s="18"/>
      <c r="S67" s="18"/>
      <c r="T67" s="18"/>
      <c r="U67" s="18"/>
      <c r="V67" s="18"/>
      <c r="W67" s="18"/>
      <c r="X67" s="18" t="n">
        <f aca="false">COUNTIF($L$2:L67,"&lt;&gt;"&amp;"")</f>
        <v>10</v>
      </c>
      <c r="Y67" s="19" t="n">
        <f aca="false">SUMIF($X$2:$X$214,X67,$A$2:$A$214)</f>
        <v>4205500.71625344</v>
      </c>
      <c r="Z67" s="20"/>
      <c r="AA67" s="21"/>
      <c r="AB67" s="22" t="b">
        <f aca="false">TRUE()</f>
        <v>1</v>
      </c>
      <c r="AC67" s="23" t="n">
        <f aca="false">IF(L67="",0,IF(AB67=FALSE(),0,Y67))</f>
        <v>0</v>
      </c>
      <c r="AD67" s="35"/>
      <c r="AE67" s="35"/>
    </row>
    <row r="68" customFormat="false" ht="15" hidden="false" customHeight="true" outlineLevel="0" collapsed="false">
      <c r="A68" s="12" t="n">
        <f aca="false">(B68*$P$220+C68*$P$221+D68*$P$222+E68*$P$223+F68*$P$224+G68*$P$225+H68*$P$226+I68*$P$227+J68*$P$228+K68*$P$229)*$T$218</f>
        <v>458494.958677686</v>
      </c>
      <c r="B68" s="15"/>
      <c r="C68" s="15"/>
      <c r="D68" s="15"/>
      <c r="E68" s="15"/>
      <c r="F68" s="15"/>
      <c r="G68" s="15"/>
      <c r="H68" s="15"/>
      <c r="I68" s="15"/>
      <c r="J68" s="15"/>
      <c r="K68" s="15" t="n">
        <v>1</v>
      </c>
      <c r="L68" s="25"/>
      <c r="M68" s="28" t="s">
        <v>80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 t="n">
        <f aca="false">COUNTIF($L$2:L68,"&lt;&gt;"&amp;"")</f>
        <v>10</v>
      </c>
      <c r="Y68" s="19" t="n">
        <f aca="false">SUMIF($X$2:$X$214,X68,$A$2:$A$214)</f>
        <v>4205500.71625344</v>
      </c>
      <c r="Z68" s="20"/>
      <c r="AA68" s="21"/>
      <c r="AB68" s="22" t="b">
        <f aca="false">TRUE()</f>
        <v>1</v>
      </c>
      <c r="AC68" s="23" t="n">
        <f aca="false">IF(L68="",0,IF(AB68=FALSE(),0,Y68))</f>
        <v>0</v>
      </c>
      <c r="AD68" s="35"/>
      <c r="AE68" s="35"/>
    </row>
    <row r="69" customFormat="false" ht="15" hidden="false" customHeight="true" outlineLevel="0" collapsed="false">
      <c r="A69" s="12" t="n">
        <f aca="false">(B69*$P$220+C69*$P$221+D69*$P$222+E69*$P$223+F69*$P$224+G69*$P$225+H69*$P$226+I69*$P$227+J69*$P$228+K69*$P$229)*$T$218</f>
        <v>0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25"/>
      <c r="M69" s="18"/>
      <c r="N69" s="29" t="s">
        <v>81</v>
      </c>
      <c r="O69" s="18"/>
      <c r="P69" s="18"/>
      <c r="Q69" s="18"/>
      <c r="R69" s="18"/>
      <c r="S69" s="18"/>
      <c r="T69" s="18"/>
      <c r="U69" s="18"/>
      <c r="V69" s="18"/>
      <c r="W69" s="18"/>
      <c r="X69" s="18" t="n">
        <f aca="false">COUNTIF($L$2:L69,"&lt;&gt;"&amp;"")</f>
        <v>10</v>
      </c>
      <c r="Y69" s="19" t="n">
        <f aca="false">SUMIF($X$2:$X$214,X69,$A$2:$A$214)</f>
        <v>4205500.71625344</v>
      </c>
      <c r="Z69" s="20"/>
      <c r="AA69" s="21"/>
      <c r="AB69" s="22" t="b">
        <f aca="false">TRUE()</f>
        <v>1</v>
      </c>
      <c r="AC69" s="23" t="n">
        <f aca="false">IF(L69="",0,IF(AB69=FALSE(),0,Y69))</f>
        <v>0</v>
      </c>
      <c r="AD69" s="35"/>
      <c r="AE69" s="35"/>
    </row>
    <row r="70" customFormat="false" ht="15" hidden="false" customHeight="true" outlineLevel="0" collapsed="false">
      <c r="A70" s="12" t="n">
        <f aca="false">(B70*$P$220+C70*$P$221+D70*$P$222+E70*$P$223+F70*$P$224+G70*$P$225+H70*$P$226+I70*$P$227+J70*$P$228+K70*$P$229)*$T$218</f>
        <v>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32" t="s">
        <v>82</v>
      </c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n">
        <f aca="false">COUNTIF($L$2:L70,"&lt;&gt;"&amp;"")</f>
        <v>11</v>
      </c>
      <c r="Y70" s="19" t="n">
        <f aca="false">SUMIF($X$2:$X$214,X70,$A$2:$A$214)</f>
        <v>7559993.49862259</v>
      </c>
      <c r="Z70" s="20"/>
      <c r="AA70" s="21"/>
      <c r="AB70" s="22" t="b">
        <f aca="false">TRUE()</f>
        <v>1</v>
      </c>
      <c r="AC70" s="23" t="n">
        <f aca="false">IF(L70="",0,IF(AB70=FALSE(),0,Y70))</f>
        <v>7559993.49862259</v>
      </c>
      <c r="AD70" s="35"/>
      <c r="AE70" s="35"/>
    </row>
    <row r="71" customFormat="false" ht="15" hidden="false" customHeight="true" outlineLevel="0" collapsed="false">
      <c r="A71" s="12" t="n">
        <f aca="false">(B71*$P$220+C71*$P$221+D71*$P$222+E71*$P$223+F71*$P$224+G71*$P$225+H71*$P$226+I71*$P$227+J71*$P$228+K71*$P$229)*$T$218</f>
        <v>1734252.82369146</v>
      </c>
      <c r="B71" s="15"/>
      <c r="C71" s="15"/>
      <c r="D71" s="15"/>
      <c r="E71" s="15" t="n">
        <v>1</v>
      </c>
      <c r="F71" s="15"/>
      <c r="G71" s="15"/>
      <c r="H71" s="15"/>
      <c r="I71" s="15"/>
      <c r="J71" s="15"/>
      <c r="K71" s="15" t="n">
        <v>2.5</v>
      </c>
      <c r="L71" s="25"/>
      <c r="M71" s="28" t="s">
        <v>83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n">
        <f aca="false">COUNTIF($L$2:L71,"&lt;&gt;"&amp;"")</f>
        <v>11</v>
      </c>
      <c r="Y71" s="19" t="n">
        <f aca="false">SUMIF($X$2:$X$214,X71,$A$2:$A$214)</f>
        <v>7559993.49862259</v>
      </c>
      <c r="Z71" s="20"/>
      <c r="AA71" s="21"/>
      <c r="AB71" s="22" t="b">
        <f aca="false">TRUE()</f>
        <v>1</v>
      </c>
      <c r="AC71" s="23" t="n">
        <f aca="false">IF(L71="",0,IF(AB71=FALSE(),0,Y71))</f>
        <v>0</v>
      </c>
      <c r="AD71" s="35"/>
      <c r="AE71" s="35"/>
    </row>
    <row r="72" customFormat="false" ht="15" hidden="false" customHeight="true" outlineLevel="0" collapsed="false">
      <c r="A72" s="12" t="n">
        <f aca="false">(B72*$P$220+C72*$P$221+D72*$P$222+E72*$P$223+F72*$P$224+G72*$P$225+H72*$P$226+I72*$P$227+J72*$P$228+K72*$P$229)*$T$218</f>
        <v>0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25"/>
      <c r="M72" s="18"/>
      <c r="N72" s="29" t="s">
        <v>84</v>
      </c>
      <c r="O72" s="18"/>
      <c r="P72" s="18"/>
      <c r="Q72" s="18"/>
      <c r="R72" s="18"/>
      <c r="S72" s="18"/>
      <c r="T72" s="18"/>
      <c r="U72" s="18"/>
      <c r="V72" s="18"/>
      <c r="W72" s="18"/>
      <c r="X72" s="18" t="n">
        <f aca="false">COUNTIF($L$2:L72,"&lt;&gt;"&amp;"")</f>
        <v>11</v>
      </c>
      <c r="Y72" s="19" t="n">
        <f aca="false">SUMIF($X$2:$X$214,X72,$A$2:$A$214)</f>
        <v>7559993.49862259</v>
      </c>
      <c r="Z72" s="20"/>
      <c r="AA72" s="21"/>
      <c r="AB72" s="22" t="b">
        <f aca="false">TRUE()</f>
        <v>1</v>
      </c>
      <c r="AC72" s="23" t="n">
        <f aca="false">IF(L72="",0,IF(AB72=FALSE(),0,Y72))</f>
        <v>0</v>
      </c>
      <c r="AD72" s="35"/>
      <c r="AE72" s="35"/>
    </row>
    <row r="73" customFormat="false" ht="15" hidden="false" customHeight="true" outlineLevel="0" collapsed="false">
      <c r="A73" s="12" t="n">
        <f aca="false">(B73*$P$220+C73*$P$221+D73*$P$222+E73*$P$223+F73*$P$224+G73*$P$225+H73*$P$226+I73*$P$227+J73*$P$228+K73*$P$229)*$T$218</f>
        <v>1375484.87603306</v>
      </c>
      <c r="B73" s="15"/>
      <c r="C73" s="15"/>
      <c r="D73" s="15"/>
      <c r="E73" s="15"/>
      <c r="F73" s="15"/>
      <c r="G73" s="15"/>
      <c r="H73" s="15"/>
      <c r="I73" s="15"/>
      <c r="J73" s="15"/>
      <c r="K73" s="15" t="n">
        <v>3</v>
      </c>
      <c r="L73" s="25"/>
      <c r="M73" s="28" t="s">
        <v>85</v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 t="n">
        <f aca="false">COUNTIF($L$2:L73,"&lt;&gt;"&amp;"")</f>
        <v>11</v>
      </c>
      <c r="Y73" s="19" t="n">
        <f aca="false">SUMIF($X$2:$X$214,X73,$A$2:$A$214)</f>
        <v>7559993.49862259</v>
      </c>
      <c r="Z73" s="20"/>
      <c r="AA73" s="21"/>
      <c r="AB73" s="22" t="b">
        <f aca="false">TRUE()</f>
        <v>1</v>
      </c>
      <c r="AC73" s="23" t="n">
        <f aca="false">IF(L73="",0,IF(AB73=FALSE(),0,Y73))</f>
        <v>0</v>
      </c>
      <c r="AD73" s="35"/>
      <c r="AE73" s="35"/>
    </row>
    <row r="74" customFormat="false" ht="15" hidden="false" customHeight="true" outlineLevel="0" collapsed="false">
      <c r="A74" s="12" t="n">
        <f aca="false">(B74*$P$220+C74*$P$221+D74*$P$222+E74*$P$223+F74*$P$224+G74*$P$225+H74*$P$226+I74*$P$227+J74*$P$228+K74*$P$229)*$T$218</f>
        <v>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25"/>
      <c r="M74" s="25"/>
      <c r="N74" s="29" t="s">
        <v>86</v>
      </c>
      <c r="O74" s="18"/>
      <c r="P74" s="18"/>
      <c r="Q74" s="18"/>
      <c r="R74" s="18"/>
      <c r="S74" s="18"/>
      <c r="T74" s="18"/>
      <c r="U74" s="18"/>
      <c r="V74" s="18"/>
      <c r="W74" s="18"/>
      <c r="X74" s="18" t="n">
        <f aca="false">COUNTIF($L$2:L74,"&lt;&gt;"&amp;"")</f>
        <v>11</v>
      </c>
      <c r="Y74" s="19" t="n">
        <f aca="false">SUMIF($X$2:$X$214,X74,$A$2:$A$214)</f>
        <v>7559993.49862259</v>
      </c>
      <c r="Z74" s="20"/>
      <c r="AA74" s="21"/>
      <c r="AB74" s="22" t="b">
        <f aca="false">TRUE()</f>
        <v>1</v>
      </c>
      <c r="AC74" s="23" t="n">
        <f aca="false">IF(L74="",0,IF(AB74=FALSE(),0,Y74))</f>
        <v>0</v>
      </c>
      <c r="AD74" s="35"/>
      <c r="AE74" s="35"/>
    </row>
    <row r="75" customFormat="false" ht="15" hidden="false" customHeight="true" outlineLevel="0" collapsed="false">
      <c r="A75" s="12" t="n">
        <f aca="false">(B75*$P$220+C75*$P$221+D75*$P$222+E75*$P$223+F75*$P$224+G75*$P$225+H75*$P$226+I75*$P$227+J75*$P$228+K75*$P$229)*$T$218</f>
        <v>1734252.82369146</v>
      </c>
      <c r="B75" s="15"/>
      <c r="C75" s="15"/>
      <c r="D75" s="15"/>
      <c r="E75" s="15" t="n">
        <v>1</v>
      </c>
      <c r="F75" s="15"/>
      <c r="G75" s="15"/>
      <c r="H75" s="15"/>
      <c r="I75" s="15"/>
      <c r="J75" s="15"/>
      <c r="K75" s="15" t="n">
        <v>2.5</v>
      </c>
      <c r="L75" s="25"/>
      <c r="M75" s="28" t="s">
        <v>87</v>
      </c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 t="n">
        <f aca="false">COUNTIF($L$2:L75,"&lt;&gt;"&amp;"")</f>
        <v>11</v>
      </c>
      <c r="Y75" s="19" t="n">
        <f aca="false">SUMIF($X$2:$X$214,X75,$A$2:$A$214)</f>
        <v>7559993.49862259</v>
      </c>
      <c r="Z75" s="20"/>
      <c r="AA75" s="21"/>
      <c r="AB75" s="22" t="b">
        <f aca="false">TRUE()</f>
        <v>1</v>
      </c>
      <c r="AC75" s="23" t="n">
        <f aca="false">IF(L75="",0,IF(AB75=FALSE(),0,Y75))</f>
        <v>0</v>
      </c>
      <c r="AD75" s="27"/>
      <c r="AE75" s="27"/>
    </row>
    <row r="76" customFormat="false" ht="15" hidden="false" customHeight="true" outlineLevel="0" collapsed="false">
      <c r="A76" s="12" t="n">
        <f aca="false">(B76*$P$220+C76*$P$221+D76*$P$222+E76*$P$223+F76*$P$224+G76*$P$225+H76*$P$226+I76*$P$227+J76*$P$228+K76*$P$229)*$T$218</f>
        <v>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25"/>
      <c r="M76" s="18"/>
      <c r="N76" s="29" t="s">
        <v>88</v>
      </c>
      <c r="O76" s="18"/>
      <c r="P76" s="18"/>
      <c r="Q76" s="18"/>
      <c r="R76" s="18"/>
      <c r="S76" s="18"/>
      <c r="T76" s="18"/>
      <c r="U76" s="18"/>
      <c r="V76" s="18"/>
      <c r="W76" s="18"/>
      <c r="X76" s="18" t="n">
        <f aca="false">COUNTIF($L$2:L76,"&lt;&gt;"&amp;"")</f>
        <v>11</v>
      </c>
      <c r="Y76" s="19" t="n">
        <f aca="false">SUMIF($X$2:$X$214,X76,$A$2:$A$214)</f>
        <v>7559993.49862259</v>
      </c>
      <c r="Z76" s="20"/>
      <c r="AA76" s="21"/>
      <c r="AB76" s="22" t="b">
        <f aca="false">TRUE()</f>
        <v>1</v>
      </c>
      <c r="AC76" s="23" t="n">
        <f aca="false">IF(L76="",0,IF(AB76=FALSE(),0,Y76))</f>
        <v>0</v>
      </c>
      <c r="AD76" s="27"/>
      <c r="AE76" s="27"/>
    </row>
    <row r="77" customFormat="false" ht="15" hidden="false" customHeight="true" outlineLevel="0" collapsed="false">
      <c r="A77" s="12" t="n">
        <f aca="false">(B77*$P$220+C77*$P$221+D77*$P$222+E77*$P$223+F77*$P$224+G77*$P$225+H77*$P$226+I77*$P$227+J77*$P$228+K77*$P$229)*$T$218</f>
        <v>2028260.53719008</v>
      </c>
      <c r="B77" s="15"/>
      <c r="C77" s="15"/>
      <c r="D77" s="15"/>
      <c r="E77" s="15" t="n">
        <v>1.5</v>
      </c>
      <c r="F77" s="15"/>
      <c r="G77" s="15"/>
      <c r="H77" s="15"/>
      <c r="I77" s="15"/>
      <c r="J77" s="15"/>
      <c r="K77" s="15" t="n">
        <v>2.5</v>
      </c>
      <c r="L77" s="25"/>
      <c r="M77" s="28" t="s">
        <v>89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n">
        <f aca="false">COUNTIF($L$2:L77,"&lt;&gt;"&amp;"")</f>
        <v>11</v>
      </c>
      <c r="Y77" s="19" t="n">
        <f aca="false">SUMIF($X$2:$X$214,X77,$A$2:$A$214)</f>
        <v>7559993.49862259</v>
      </c>
      <c r="Z77" s="20"/>
      <c r="AA77" s="21"/>
      <c r="AB77" s="22" t="b">
        <f aca="false">TRUE()</f>
        <v>1</v>
      </c>
      <c r="AC77" s="23" t="n">
        <f aca="false">IF(L77="",0,IF(AB77=FALSE(),0,Y77))</f>
        <v>0</v>
      </c>
      <c r="AD77" s="27"/>
      <c r="AE77" s="27"/>
    </row>
    <row r="78" customFormat="false" ht="15" hidden="false" customHeight="true" outlineLevel="0" collapsed="false">
      <c r="A78" s="12" t="n">
        <f aca="false">(B78*$P$220+C78*$P$221+D78*$P$222+E78*$P$223+F78*$P$224+G78*$P$225+H78*$P$226+I78*$P$227+J78*$P$228+K78*$P$229)*$T$218</f>
        <v>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25"/>
      <c r="M78" s="18"/>
      <c r="N78" s="29" t="s">
        <v>90</v>
      </c>
      <c r="O78" s="18"/>
      <c r="P78" s="18"/>
      <c r="Q78" s="18"/>
      <c r="R78" s="18"/>
      <c r="S78" s="18"/>
      <c r="T78" s="18"/>
      <c r="U78" s="18"/>
      <c r="V78" s="18"/>
      <c r="W78" s="18"/>
      <c r="X78" s="18" t="n">
        <f aca="false">COUNTIF($L$2:L78,"&lt;&gt;"&amp;"")</f>
        <v>11</v>
      </c>
      <c r="Y78" s="19" t="n">
        <f aca="false">SUMIF($X$2:$X$214,X78,$A$2:$A$214)</f>
        <v>7559993.49862259</v>
      </c>
      <c r="Z78" s="20"/>
      <c r="AA78" s="21"/>
      <c r="AB78" s="22" t="b">
        <f aca="false">TRUE()</f>
        <v>1</v>
      </c>
      <c r="AC78" s="23" t="n">
        <f aca="false">IF(L78="",0,IF(AB78=FALSE(),0,Y78))</f>
        <v>0</v>
      </c>
      <c r="AD78" s="27"/>
      <c r="AE78" s="27"/>
    </row>
    <row r="79" customFormat="false" ht="15" hidden="false" customHeight="true" outlineLevel="0" collapsed="false">
      <c r="A79" s="12" t="n">
        <f aca="false">(B79*$P$220+C79*$P$221+D79*$P$222+E79*$P$223+F79*$P$224+G79*$P$225+H79*$P$226+I79*$P$227+J79*$P$228+K79*$P$229)*$T$218</f>
        <v>687742.438016529</v>
      </c>
      <c r="B79" s="15"/>
      <c r="C79" s="15"/>
      <c r="D79" s="15"/>
      <c r="E79" s="15"/>
      <c r="F79" s="15"/>
      <c r="G79" s="15"/>
      <c r="H79" s="15"/>
      <c r="I79" s="15"/>
      <c r="J79" s="15"/>
      <c r="K79" s="15" t="n">
        <v>1.5</v>
      </c>
      <c r="L79" s="25"/>
      <c r="M79" s="28" t="s">
        <v>91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 t="n">
        <f aca="false">COUNTIF($L$2:L79,"&lt;&gt;"&amp;"")</f>
        <v>11</v>
      </c>
      <c r="Y79" s="19" t="n">
        <f aca="false">SUMIF($X$2:$X$214,X79,$A$2:$A$214)</f>
        <v>7559993.49862259</v>
      </c>
      <c r="Z79" s="20"/>
      <c r="AA79" s="21"/>
      <c r="AB79" s="22" t="b">
        <f aca="false">TRUE()</f>
        <v>1</v>
      </c>
      <c r="AC79" s="23" t="n">
        <f aca="false">IF(L79="",0,IF(AB79=FALSE(),0,Y79))</f>
        <v>0</v>
      </c>
      <c r="AD79" s="27"/>
      <c r="AE79" s="27"/>
    </row>
    <row r="80" customFormat="false" ht="15" hidden="false" customHeight="true" outlineLevel="0" collapsed="false">
      <c r="A80" s="12" t="n">
        <f aca="false">(B80*$P$220+C80*$P$221+D80*$P$222+E80*$P$223+F80*$P$224+G80*$P$225+H80*$P$226+I80*$P$227+J80*$P$228+K80*$P$229)*$T$218</f>
        <v>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25"/>
      <c r="M80" s="18"/>
      <c r="N80" s="29" t="s">
        <v>92</v>
      </c>
      <c r="O80" s="18"/>
      <c r="P80" s="18"/>
      <c r="Q80" s="18"/>
      <c r="R80" s="18"/>
      <c r="S80" s="18"/>
      <c r="T80" s="18"/>
      <c r="U80" s="18"/>
      <c r="V80" s="18"/>
      <c r="W80" s="18"/>
      <c r="X80" s="18" t="n">
        <f aca="false">COUNTIF($L$2:L80,"&lt;&gt;"&amp;"")</f>
        <v>11</v>
      </c>
      <c r="Y80" s="19" t="n">
        <f aca="false">SUMIF($X$2:$X$214,X80,$A$2:$A$214)</f>
        <v>7559993.49862259</v>
      </c>
      <c r="Z80" s="20"/>
      <c r="AA80" s="21"/>
      <c r="AB80" s="22" t="b">
        <f aca="false">TRUE()</f>
        <v>1</v>
      </c>
      <c r="AC80" s="23" t="n">
        <f aca="false">IF(L80="",0,IF(AB80=FALSE(),0,Y80))</f>
        <v>0</v>
      </c>
      <c r="AD80" s="15"/>
      <c r="AE80" s="15"/>
    </row>
    <row r="81" customFormat="false" ht="15" hidden="false" customHeight="true" outlineLevel="0" collapsed="false">
      <c r="A81" s="12" t="n">
        <f aca="false">(B81*$P$220+C81*$P$221+D81*$P$222+E81*$P$223+F81*$P$224+G81*$P$225+H81*$P$226+I81*$P$227+J81*$P$228+K81*$P$229)*$T$218</f>
        <v>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32" t="s">
        <v>93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n">
        <f aca="false">COUNTIF($L$2:L81,"&lt;&gt;"&amp;"")</f>
        <v>12</v>
      </c>
      <c r="Y81" s="19" t="n">
        <f aca="false">SUMIF($X$2:$X$214,X81,$A$2:$A$214)</f>
        <v>5215822.57575758</v>
      </c>
      <c r="Z81" s="20"/>
      <c r="AA81" s="21"/>
      <c r="AB81" s="22" t="b">
        <f aca="false">TRUE()</f>
        <v>1</v>
      </c>
      <c r="AC81" s="23" t="n">
        <f aca="false">IF(L81="",0,IF(AB81=FALSE(),0,Y81))</f>
        <v>5215822.57575758</v>
      </c>
      <c r="AD81" s="15"/>
      <c r="AE81" s="15"/>
    </row>
    <row r="82" customFormat="false" ht="15" hidden="false" customHeight="true" outlineLevel="0" collapsed="false">
      <c r="A82" s="12" t="n">
        <f aca="false">(B82*$P$220+C82*$P$221+D82*$P$222+E82*$P$223+F82*$P$224+G82*$P$225+H82*$P$226+I82*$P$227+J82*$P$228+K82*$P$229)*$T$218</f>
        <v>1146237.39669421</v>
      </c>
      <c r="B82" s="15"/>
      <c r="C82" s="15"/>
      <c r="D82" s="15"/>
      <c r="E82" s="15"/>
      <c r="F82" s="15"/>
      <c r="G82" s="15"/>
      <c r="H82" s="15"/>
      <c r="I82" s="15"/>
      <c r="J82" s="15"/>
      <c r="K82" s="15" t="n">
        <v>2.5</v>
      </c>
      <c r="L82" s="25"/>
      <c r="M82" s="28" t="s">
        <v>94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n">
        <f aca="false">COUNTIF($L$2:L82,"&lt;&gt;"&amp;"")</f>
        <v>12</v>
      </c>
      <c r="Y82" s="19" t="n">
        <f aca="false">SUMIF($X$2:$X$214,X82,$A$2:$A$214)</f>
        <v>5215822.57575758</v>
      </c>
      <c r="Z82" s="20"/>
      <c r="AA82" s="21"/>
      <c r="AB82" s="22" t="b">
        <f aca="false">TRUE()</f>
        <v>1</v>
      </c>
      <c r="AC82" s="23" t="n">
        <f aca="false">IF(L82="",0,IF(AB82=FALSE(),0,Y82))</f>
        <v>0</v>
      </c>
      <c r="AD82" s="15"/>
      <c r="AE82" s="15"/>
    </row>
    <row r="83" customFormat="false" ht="15" hidden="false" customHeight="true" outlineLevel="0" collapsed="false">
      <c r="A83" s="12" t="n">
        <f aca="false">(B83*$P$220+C83*$P$221+D83*$P$222+E83*$P$223+F83*$P$224+G83*$P$225+H83*$P$226+I83*$P$227+J83*$P$228+K83*$P$229)*$T$218</f>
        <v>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25"/>
      <c r="M83" s="18"/>
      <c r="N83" s="29" t="s">
        <v>95</v>
      </c>
      <c r="O83" s="18"/>
      <c r="P83" s="18"/>
      <c r="Q83" s="18"/>
      <c r="R83" s="18"/>
      <c r="S83" s="18"/>
      <c r="T83" s="18"/>
      <c r="U83" s="18"/>
      <c r="V83" s="18"/>
      <c r="W83" s="18"/>
      <c r="X83" s="18" t="n">
        <f aca="false">COUNTIF($L$2:L83,"&lt;&gt;"&amp;"")</f>
        <v>12</v>
      </c>
      <c r="Y83" s="19" t="n">
        <f aca="false">SUMIF($X$2:$X$214,X83,$A$2:$A$214)</f>
        <v>5215822.57575758</v>
      </c>
      <c r="Z83" s="20"/>
      <c r="AA83" s="21"/>
      <c r="AB83" s="22" t="b">
        <f aca="false">TRUE()</f>
        <v>1</v>
      </c>
      <c r="AC83" s="23" t="n">
        <f aca="false">IF(L83="",0,IF(AB83=FALSE(),0,Y83))</f>
        <v>0</v>
      </c>
      <c r="AD83" s="15"/>
      <c r="AE83" s="15"/>
    </row>
    <row r="84" customFormat="false" ht="15" hidden="false" customHeight="true" outlineLevel="0" collapsed="false">
      <c r="A84" s="12" t="n">
        <f aca="false">(B84*$P$220+C84*$P$221+D84*$P$222+E84*$P$223+F84*$P$224+G84*$P$225+H84*$P$226+I84*$P$227+J84*$P$228+K84*$P$229)*$T$218</f>
        <v>1505005.34435262</v>
      </c>
      <c r="B84" s="15"/>
      <c r="C84" s="15"/>
      <c r="D84" s="15"/>
      <c r="E84" s="15" t="n">
        <v>1</v>
      </c>
      <c r="F84" s="15"/>
      <c r="G84" s="15"/>
      <c r="H84" s="15"/>
      <c r="I84" s="15"/>
      <c r="J84" s="15"/>
      <c r="K84" s="15" t="n">
        <v>2</v>
      </c>
      <c r="L84" s="25"/>
      <c r="M84" s="28" t="s">
        <v>96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 t="n">
        <f aca="false">COUNTIF($L$2:L84,"&lt;&gt;"&amp;"")</f>
        <v>12</v>
      </c>
      <c r="Y84" s="19" t="n">
        <f aca="false">SUMIF($X$2:$X$214,X84,$A$2:$A$214)</f>
        <v>5215822.57575758</v>
      </c>
      <c r="Z84" s="20"/>
      <c r="AA84" s="21"/>
      <c r="AB84" s="22" t="b">
        <f aca="false">TRUE()</f>
        <v>1</v>
      </c>
      <c r="AC84" s="23" t="n">
        <f aca="false">IF(L84="",0,IF(AB84=FALSE(),0,Y84))</f>
        <v>0</v>
      </c>
      <c r="AD84" s="15"/>
      <c r="AE84" s="15"/>
    </row>
    <row r="85" customFormat="false" ht="15" hidden="false" customHeight="true" outlineLevel="0" collapsed="false">
      <c r="A85" s="12" t="n">
        <f aca="false">(B85*$P$220+C85*$P$221+D85*$P$222+E85*$P$223+F85*$P$224+G85*$P$225+H85*$P$226+I85*$P$227+J85*$P$228+K85*$P$229)*$T$218</f>
        <v>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25"/>
      <c r="M85" s="18"/>
      <c r="N85" s="29" t="s">
        <v>97</v>
      </c>
      <c r="O85" s="18"/>
      <c r="P85" s="18"/>
      <c r="Q85" s="18"/>
      <c r="R85" s="18"/>
      <c r="S85" s="18"/>
      <c r="T85" s="18"/>
      <c r="U85" s="18"/>
      <c r="V85" s="18"/>
      <c r="W85" s="18"/>
      <c r="X85" s="18" t="n">
        <f aca="false">COUNTIF($L$2:L85,"&lt;&gt;"&amp;"")</f>
        <v>12</v>
      </c>
      <c r="Y85" s="19" t="n">
        <f aca="false">SUMIF($X$2:$X$214,X85,$A$2:$A$214)</f>
        <v>5215822.57575758</v>
      </c>
      <c r="Z85" s="20"/>
      <c r="AA85" s="21"/>
      <c r="AB85" s="22" t="b">
        <f aca="false">TRUE()</f>
        <v>1</v>
      </c>
      <c r="AC85" s="23" t="n">
        <f aca="false">IF(L85="",0,IF(AB85=FALSE(),0,Y85))</f>
        <v>0</v>
      </c>
      <c r="AD85" s="35"/>
      <c r="AE85" s="35"/>
    </row>
    <row r="86" customFormat="false" ht="15" hidden="false" customHeight="true" outlineLevel="0" collapsed="false">
      <c r="A86" s="12" t="n">
        <f aca="false">(B86*$P$220+C86*$P$221+D86*$P$222+E86*$P$223+F86*$P$224+G86*$P$225+H86*$P$226+I86*$P$227+J86*$P$228+K86*$P$229)*$T$218</f>
        <v>882023.140495868</v>
      </c>
      <c r="B86" s="15"/>
      <c r="C86" s="15"/>
      <c r="D86" s="15"/>
      <c r="E86" s="15" t="n">
        <v>1.5</v>
      </c>
      <c r="F86" s="15"/>
      <c r="G86" s="15"/>
      <c r="H86" s="15"/>
      <c r="I86" s="15"/>
      <c r="J86" s="15"/>
      <c r="K86" s="15"/>
      <c r="L86" s="25"/>
      <c r="M86" s="28" t="s">
        <v>98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 t="n">
        <f aca="false">COUNTIF($L$2:L86,"&lt;&gt;"&amp;"")</f>
        <v>12</v>
      </c>
      <c r="Y86" s="19" t="n">
        <f aca="false">SUMIF($X$2:$X$214,X86,$A$2:$A$214)</f>
        <v>5215822.57575758</v>
      </c>
      <c r="Z86" s="20"/>
      <c r="AA86" s="21"/>
      <c r="AB86" s="22" t="b">
        <f aca="false">TRUE()</f>
        <v>1</v>
      </c>
      <c r="AC86" s="23" t="n">
        <f aca="false">IF(L86="",0,IF(AB86=FALSE(),0,Y86))</f>
        <v>0</v>
      </c>
      <c r="AD86" s="35"/>
      <c r="AE86" s="35"/>
    </row>
    <row r="87" customFormat="false" ht="15" hidden="false" customHeight="true" outlineLevel="0" collapsed="false">
      <c r="A87" s="12" t="n">
        <f aca="false">(B87*$P$220+C87*$P$221+D87*$P$222+E87*$P$223+F87*$P$224+G87*$P$225+H87*$P$226+I87*$P$227+J87*$P$228+K87*$P$229)*$T$218</f>
        <v>0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25"/>
      <c r="M87" s="18"/>
      <c r="N87" s="29" t="s">
        <v>99</v>
      </c>
      <c r="O87" s="18"/>
      <c r="P87" s="18"/>
      <c r="Q87" s="18"/>
      <c r="R87" s="18"/>
      <c r="S87" s="18"/>
      <c r="T87" s="18"/>
      <c r="U87" s="18"/>
      <c r="V87" s="18"/>
      <c r="W87" s="18"/>
      <c r="X87" s="18" t="n">
        <f aca="false">COUNTIF($L$2:L87,"&lt;&gt;"&amp;"")</f>
        <v>12</v>
      </c>
      <c r="Y87" s="19" t="n">
        <f aca="false">SUMIF($X$2:$X$214,X87,$A$2:$A$214)</f>
        <v>5215822.57575758</v>
      </c>
      <c r="Z87" s="20"/>
      <c r="AA87" s="21"/>
      <c r="AB87" s="22" t="b">
        <f aca="false">TRUE()</f>
        <v>1</v>
      </c>
      <c r="AC87" s="23" t="n">
        <f aca="false">IF(L87="",0,IF(AB87=FALSE(),0,Y87))</f>
        <v>0</v>
      </c>
      <c r="AD87" s="35"/>
      <c r="AE87" s="35"/>
    </row>
    <row r="88" customFormat="false" ht="15" hidden="false" customHeight="true" outlineLevel="0" collapsed="false">
      <c r="A88" s="12" t="n">
        <f aca="false">(B88*$P$220+C88*$P$221+D88*$P$222+E88*$P$223+F88*$P$224+G88*$P$225+H88*$P$226+I88*$P$227+J88*$P$228+K88*$P$229)*$T$218</f>
        <v>1682556.69421488</v>
      </c>
      <c r="B88" s="15"/>
      <c r="C88" s="15"/>
      <c r="D88" s="15"/>
      <c r="E88" s="15"/>
      <c r="F88" s="15"/>
      <c r="G88" s="15" t="n">
        <v>3</v>
      </c>
      <c r="H88" s="15"/>
      <c r="I88" s="15"/>
      <c r="J88" s="15"/>
      <c r="K88" s="15" t="n">
        <v>1</v>
      </c>
      <c r="L88" s="25"/>
      <c r="M88" s="28" t="s">
        <v>100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 t="n">
        <f aca="false">COUNTIF($L$2:L88,"&lt;&gt;"&amp;"")</f>
        <v>12</v>
      </c>
      <c r="Y88" s="19" t="n">
        <f aca="false">SUMIF($X$2:$X$214,X88,$A$2:$A$214)</f>
        <v>5215822.57575758</v>
      </c>
      <c r="Z88" s="20"/>
      <c r="AA88" s="21"/>
      <c r="AB88" s="22" t="b">
        <f aca="false">TRUE()</f>
        <v>1</v>
      </c>
      <c r="AC88" s="23" t="n">
        <f aca="false">IF(L88="",0,IF(AB88=FALSE(),0,Y88))</f>
        <v>0</v>
      </c>
      <c r="AD88" s="35"/>
      <c r="AE88" s="35"/>
    </row>
    <row r="89" customFormat="false" ht="15" hidden="false" customHeight="true" outlineLevel="0" collapsed="false">
      <c r="A89" s="12" t="n">
        <f aca="false">(B89*$P$220+C89*$P$221+D89*$P$222+E89*$P$223+F89*$P$224+G89*$P$225+H89*$P$226+I89*$P$227+J89*$P$228+K89*$P$229)*$T$218</f>
        <v>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25"/>
      <c r="M89" s="18"/>
      <c r="N89" s="29" t="s">
        <v>101</v>
      </c>
      <c r="O89" s="18"/>
      <c r="P89" s="18"/>
      <c r="Q89" s="18"/>
      <c r="R89" s="18"/>
      <c r="S89" s="18"/>
      <c r="T89" s="18"/>
      <c r="U89" s="18"/>
      <c r="V89" s="18"/>
      <c r="W89" s="18"/>
      <c r="X89" s="18" t="n">
        <f aca="false">COUNTIF($L$2:L89,"&lt;&gt;"&amp;"")</f>
        <v>12</v>
      </c>
      <c r="Y89" s="19" t="n">
        <f aca="false">SUMIF($X$2:$X$214,X89,$A$2:$A$214)</f>
        <v>5215822.57575758</v>
      </c>
      <c r="Z89" s="20"/>
      <c r="AA89" s="21"/>
      <c r="AB89" s="22" t="b">
        <f aca="false">TRUE()</f>
        <v>1</v>
      </c>
      <c r="AC89" s="23" t="n">
        <f aca="false">IF(L89="",0,IF(AB89=FALSE(),0,Y89))</f>
        <v>0</v>
      </c>
      <c r="AD89" s="35"/>
      <c r="AE89" s="35"/>
    </row>
    <row r="90" customFormat="false" ht="15" hidden="false" customHeight="true" outlineLevel="0" collapsed="false">
      <c r="A90" s="12" t="n">
        <f aca="false">(B90*$P$220+C90*$P$221+D90*$P$222+E90*$P$223+F90*$P$224+G90*$P$225+H90*$P$226+I90*$P$227+J90*$P$228+K90*$P$229)*$T$218</f>
        <v>0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32" t="s">
        <v>102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 t="n">
        <f aca="false">COUNTIF($L$2:L90,"&lt;&gt;"&amp;"")</f>
        <v>13</v>
      </c>
      <c r="Y90" s="19" t="n">
        <f aca="false">SUMIF($X$2:$X$214,X90,$A$2:$A$214)</f>
        <v>5402283.93939394</v>
      </c>
      <c r="Z90" s="20"/>
      <c r="AA90" s="21"/>
      <c r="AB90" s="22" t="b">
        <f aca="false">TRUE()</f>
        <v>1</v>
      </c>
      <c r="AC90" s="23" t="n">
        <f aca="false">IF(L90="",0,IF(AB90=FALSE(),0,Y90))</f>
        <v>5402283.93939394</v>
      </c>
      <c r="AD90" s="35"/>
      <c r="AE90" s="35"/>
    </row>
    <row r="91" customFormat="false" ht="15" hidden="false" customHeight="true" outlineLevel="0" collapsed="false">
      <c r="A91" s="12" t="n">
        <f aca="false">(B91*$P$220+C91*$P$221+D91*$P$222+E91*$P$223+F91*$P$224+G91*$P$225+H91*$P$226+I91*$P$227+J91*$P$228+K91*$P$229)*$T$218</f>
        <v>1176030.85399449</v>
      </c>
      <c r="B91" s="15"/>
      <c r="C91" s="15"/>
      <c r="D91" s="15"/>
      <c r="E91" s="15" t="n">
        <v>2</v>
      </c>
      <c r="F91" s="15"/>
      <c r="G91" s="15"/>
      <c r="H91" s="15"/>
      <c r="I91" s="15"/>
      <c r="J91" s="15"/>
      <c r="K91" s="15"/>
      <c r="L91" s="25"/>
      <c r="M91" s="28" t="s">
        <v>103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 t="n">
        <f aca="false">COUNTIF($L$2:L91,"&lt;&gt;"&amp;"")</f>
        <v>13</v>
      </c>
      <c r="Y91" s="19" t="n">
        <f aca="false">SUMIF($X$2:$X$214,X91,$A$2:$A$214)</f>
        <v>5402283.93939394</v>
      </c>
      <c r="Z91" s="20"/>
      <c r="AA91" s="21"/>
      <c r="AB91" s="22" t="b">
        <f aca="false">TRUE()</f>
        <v>1</v>
      </c>
      <c r="AC91" s="23" t="n">
        <f aca="false">IF(L91="",0,IF(AB91=FALSE(),0,Y91))</f>
        <v>0</v>
      </c>
      <c r="AD91" s="35"/>
      <c r="AE91" s="35"/>
    </row>
    <row r="92" customFormat="false" ht="15" hidden="false" customHeight="true" outlineLevel="0" collapsed="false">
      <c r="A92" s="12" t="n">
        <f aca="false">(B92*$P$220+C92*$P$221+D92*$P$222+E92*$P$223+F92*$P$224+G92*$P$225+H92*$P$226+I92*$P$227+J92*$P$228+K92*$P$229)*$T$218</f>
        <v>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25"/>
      <c r="M92" s="18"/>
      <c r="N92" s="29" t="s">
        <v>104</v>
      </c>
      <c r="O92" s="18"/>
      <c r="P92" s="18"/>
      <c r="Q92" s="18"/>
      <c r="R92" s="18"/>
      <c r="S92" s="18"/>
      <c r="T92" s="18"/>
      <c r="U92" s="18"/>
      <c r="V92" s="18"/>
      <c r="W92" s="18"/>
      <c r="X92" s="18" t="n">
        <f aca="false">COUNTIF($L$2:L92,"&lt;&gt;"&amp;"")</f>
        <v>13</v>
      </c>
      <c r="Y92" s="19" t="n">
        <f aca="false">SUMIF($X$2:$X$214,X92,$A$2:$A$214)</f>
        <v>5402283.93939394</v>
      </c>
      <c r="Z92" s="20"/>
      <c r="AA92" s="21"/>
      <c r="AB92" s="22" t="b">
        <f aca="false">TRUE()</f>
        <v>1</v>
      </c>
      <c r="AC92" s="23" t="n">
        <f aca="false">IF(L92="",0,IF(AB92=FALSE(),0,Y92))</f>
        <v>0</v>
      </c>
      <c r="AD92" s="35"/>
      <c r="AE92" s="35"/>
    </row>
    <row r="93" customFormat="false" ht="15" hidden="false" customHeight="true" outlineLevel="0" collapsed="false">
      <c r="A93" s="12" t="n">
        <f aca="false">(B93*$P$220+C93*$P$221+D93*$P$222+E93*$P$223+F93*$P$224+G93*$P$225+H93*$P$226+I93*$P$227+J93*$P$228+K93*$P$229)*$T$218</f>
        <v>1286175.95041322</v>
      </c>
      <c r="B93" s="15"/>
      <c r="C93" s="15"/>
      <c r="D93" s="15"/>
      <c r="E93" s="15" t="n">
        <v>1.5</v>
      </c>
      <c r="F93" s="15"/>
      <c r="G93" s="15"/>
      <c r="H93" s="15" t="n">
        <v>1</v>
      </c>
      <c r="I93" s="15"/>
      <c r="J93" s="15"/>
      <c r="K93" s="15"/>
      <c r="L93" s="25"/>
      <c r="M93" s="28" t="s">
        <v>105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 t="n">
        <f aca="false">COUNTIF($L$2:L93,"&lt;&gt;"&amp;"")</f>
        <v>13</v>
      </c>
      <c r="Y93" s="19" t="n">
        <f aca="false">SUMIF($X$2:$X$214,X93,$A$2:$A$214)</f>
        <v>5402283.93939394</v>
      </c>
      <c r="Z93" s="20"/>
      <c r="AA93" s="21"/>
      <c r="AB93" s="22" t="b">
        <f aca="false">TRUE()</f>
        <v>1</v>
      </c>
      <c r="AC93" s="23" t="n">
        <f aca="false">IF(L93="",0,IF(AB93=FALSE(),0,Y93))</f>
        <v>0</v>
      </c>
      <c r="AD93" s="35"/>
      <c r="AE93" s="35"/>
    </row>
    <row r="94" customFormat="false" ht="15" hidden="false" customHeight="true" outlineLevel="0" collapsed="false">
      <c r="A94" s="12" t="n">
        <f aca="false">(B94*$P$220+C94*$P$221+D94*$P$222+E94*$P$223+F94*$P$224+G94*$P$225+H94*$P$226+I94*$P$227+J94*$P$228+K94*$P$229)*$T$218</f>
        <v>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25"/>
      <c r="M94" s="18"/>
      <c r="N94" s="29" t="s">
        <v>106</v>
      </c>
      <c r="O94" s="18"/>
      <c r="P94" s="18"/>
      <c r="Q94" s="18"/>
      <c r="R94" s="18"/>
      <c r="S94" s="18"/>
      <c r="T94" s="18"/>
      <c r="U94" s="18"/>
      <c r="V94" s="18"/>
      <c r="W94" s="18"/>
      <c r="X94" s="18" t="n">
        <f aca="false">COUNTIF($L$2:L94,"&lt;&gt;"&amp;"")</f>
        <v>13</v>
      </c>
      <c r="Y94" s="19" t="n">
        <f aca="false">SUMIF($X$2:$X$214,X94,$A$2:$A$214)</f>
        <v>5402283.93939394</v>
      </c>
      <c r="Z94" s="20"/>
      <c r="AA94" s="21"/>
      <c r="AB94" s="22" t="b">
        <f aca="false">TRUE()</f>
        <v>1</v>
      </c>
      <c r="AC94" s="23" t="n">
        <f aca="false">IF(L94="",0,IF(AB94=FALSE(),0,Y94))</f>
        <v>0</v>
      </c>
      <c r="AD94" s="35"/>
      <c r="AE94" s="35"/>
    </row>
    <row r="95" customFormat="false" ht="15" hidden="false" customHeight="true" outlineLevel="0" collapsed="false">
      <c r="A95" s="12" t="n">
        <f aca="false">(B95*$P$220+C95*$P$221+D95*$P$222+E95*$P$223+F95*$P$224+G95*$P$225+H95*$P$226+I95*$P$227+J95*$P$228+K95*$P$229)*$T$218</f>
        <v>882023.140495868</v>
      </c>
      <c r="B95" s="15"/>
      <c r="C95" s="15"/>
      <c r="D95" s="15"/>
      <c r="E95" s="15" t="n">
        <v>1.5</v>
      </c>
      <c r="F95" s="15"/>
      <c r="G95" s="15"/>
      <c r="H95" s="15"/>
      <c r="I95" s="15"/>
      <c r="J95" s="15"/>
      <c r="K95" s="15"/>
      <c r="L95" s="25"/>
      <c r="M95" s="28" t="s">
        <v>107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 t="n">
        <f aca="false">COUNTIF($L$2:L95,"&lt;&gt;"&amp;"")</f>
        <v>13</v>
      </c>
      <c r="Y95" s="19" t="n">
        <f aca="false">SUMIF($X$2:$X$214,X95,$A$2:$A$214)</f>
        <v>5402283.93939394</v>
      </c>
      <c r="Z95" s="20"/>
      <c r="AA95" s="21"/>
      <c r="AB95" s="22" t="b">
        <f aca="false">TRUE()</f>
        <v>1</v>
      </c>
      <c r="AC95" s="23" t="n">
        <f aca="false">IF(L95="",0,IF(AB95=FALSE(),0,Y95))</f>
        <v>0</v>
      </c>
      <c r="AD95" s="35"/>
      <c r="AE95" s="35"/>
    </row>
    <row r="96" customFormat="false" ht="15" hidden="false" customHeight="true" outlineLevel="0" collapsed="false">
      <c r="A96" s="12" t="n">
        <f aca="false">(B96*$P$220+C96*$P$221+D96*$P$222+E96*$P$223+F96*$P$224+G96*$P$225+H96*$P$226+I96*$P$227+J96*$P$228+K96*$P$229)*$T$218</f>
        <v>0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25"/>
      <c r="M96" s="18"/>
      <c r="N96" s="29" t="s">
        <v>108</v>
      </c>
      <c r="O96" s="18"/>
      <c r="P96" s="18"/>
      <c r="Q96" s="18"/>
      <c r="R96" s="18"/>
      <c r="S96" s="18"/>
      <c r="T96" s="18"/>
      <c r="U96" s="18"/>
      <c r="V96" s="18"/>
      <c r="W96" s="18"/>
      <c r="X96" s="18" t="n">
        <f aca="false">COUNTIF($L$2:L96,"&lt;&gt;"&amp;"")</f>
        <v>13</v>
      </c>
      <c r="Y96" s="19" t="n">
        <f aca="false">SUMIF($X$2:$X$214,X96,$A$2:$A$214)</f>
        <v>5402283.93939394</v>
      </c>
      <c r="Z96" s="20"/>
      <c r="AA96" s="21"/>
      <c r="AB96" s="22" t="b">
        <f aca="false">TRUE()</f>
        <v>1</v>
      </c>
      <c r="AC96" s="23" t="n">
        <f aca="false">IF(L96="",0,IF(AB96=FALSE(),0,Y96))</f>
        <v>0</v>
      </c>
      <c r="AD96" s="35"/>
      <c r="AE96" s="35"/>
    </row>
    <row r="97" customFormat="false" ht="15" hidden="false" customHeight="true" outlineLevel="0" collapsed="false">
      <c r="A97" s="12" t="n">
        <f aca="false">(B97*$P$220+C97*$P$221+D97*$P$222+E97*$P$223+F97*$P$224+G97*$P$225+H97*$P$226+I97*$P$227+J97*$P$228+K97*$P$229)*$T$218</f>
        <v>882023.140495868</v>
      </c>
      <c r="B97" s="15"/>
      <c r="C97" s="15"/>
      <c r="D97" s="15"/>
      <c r="E97" s="15" t="n">
        <v>1.5</v>
      </c>
      <c r="F97" s="15"/>
      <c r="G97" s="15"/>
      <c r="H97" s="15"/>
      <c r="I97" s="15"/>
      <c r="J97" s="15"/>
      <c r="K97" s="15"/>
      <c r="L97" s="25"/>
      <c r="M97" s="28" t="s">
        <v>109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 t="n">
        <f aca="false">COUNTIF($L$2:L97,"&lt;&gt;"&amp;"")</f>
        <v>13</v>
      </c>
      <c r="Y97" s="19" t="n">
        <f aca="false">SUMIF($X$2:$X$214,X97,$A$2:$A$214)</f>
        <v>5402283.93939394</v>
      </c>
      <c r="Z97" s="20"/>
      <c r="AA97" s="21"/>
      <c r="AB97" s="22" t="b">
        <f aca="false">TRUE()</f>
        <v>1</v>
      </c>
      <c r="AC97" s="23" t="n">
        <f aca="false">IF(L97="",0,IF(AB97=FALSE(),0,Y97))</f>
        <v>0</v>
      </c>
      <c r="AD97" s="35"/>
      <c r="AE97" s="35"/>
    </row>
    <row r="98" customFormat="false" ht="15" hidden="false" customHeight="true" outlineLevel="0" collapsed="false">
      <c r="A98" s="12" t="n">
        <f aca="false">(B98*$P$220+C98*$P$221+D98*$P$222+E98*$P$223+F98*$P$224+G98*$P$225+H98*$P$226+I98*$P$227+J98*$P$228+K98*$P$229)*$T$218</f>
        <v>0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25"/>
      <c r="M98" s="18"/>
      <c r="N98" s="29" t="s">
        <v>110</v>
      </c>
      <c r="O98" s="18"/>
      <c r="P98" s="18"/>
      <c r="Q98" s="18"/>
      <c r="R98" s="18"/>
      <c r="S98" s="18"/>
      <c r="T98" s="18"/>
      <c r="U98" s="18"/>
      <c r="V98" s="18"/>
      <c r="W98" s="18"/>
      <c r="X98" s="18" t="n">
        <f aca="false">COUNTIF($L$2:L98,"&lt;&gt;"&amp;"")</f>
        <v>13</v>
      </c>
      <c r="Y98" s="19" t="n">
        <f aca="false">SUMIF($X$2:$X$214,X98,$A$2:$A$214)</f>
        <v>5402283.93939394</v>
      </c>
      <c r="Z98" s="20"/>
      <c r="AA98" s="21"/>
      <c r="AB98" s="22" t="b">
        <f aca="false">TRUE()</f>
        <v>1</v>
      </c>
      <c r="AC98" s="23" t="n">
        <f aca="false">IF(L98="",0,IF(AB98=FALSE(),0,Y98))</f>
        <v>0</v>
      </c>
      <c r="AD98" s="35"/>
      <c r="AE98" s="35"/>
    </row>
    <row r="99" customFormat="false" ht="15" hidden="false" customHeight="true" outlineLevel="0" collapsed="false">
      <c r="A99" s="12" t="n">
        <f aca="false">(B99*$P$220+C99*$P$221+D99*$P$222+E99*$P$223+F99*$P$224+G99*$P$225+H99*$P$226+I99*$P$227+J99*$P$228+K99*$P$229)*$T$218</f>
        <v>1176030.85399449</v>
      </c>
      <c r="B99" s="15"/>
      <c r="C99" s="15"/>
      <c r="D99" s="15"/>
      <c r="E99" s="15" t="n">
        <v>2</v>
      </c>
      <c r="F99" s="15"/>
      <c r="G99" s="15"/>
      <c r="H99" s="15"/>
      <c r="I99" s="15"/>
      <c r="J99" s="15"/>
      <c r="K99" s="15"/>
      <c r="L99" s="25"/>
      <c r="M99" s="28" t="s">
        <v>111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 t="n">
        <f aca="false">COUNTIF($L$2:L99,"&lt;&gt;"&amp;"")</f>
        <v>13</v>
      </c>
      <c r="Y99" s="19" t="n">
        <f aca="false">SUMIF($X$2:$X$214,X99,$A$2:$A$214)</f>
        <v>5402283.93939394</v>
      </c>
      <c r="Z99" s="20"/>
      <c r="AA99" s="21"/>
      <c r="AB99" s="22" t="b">
        <f aca="false">TRUE()</f>
        <v>1</v>
      </c>
      <c r="AC99" s="23" t="n">
        <f aca="false">IF(L99="",0,IF(AB99=FALSE(),0,Y99))</f>
        <v>0</v>
      </c>
      <c r="AD99" s="35"/>
      <c r="AE99" s="35"/>
    </row>
    <row r="100" customFormat="false" ht="15" hidden="false" customHeight="true" outlineLevel="0" collapsed="false">
      <c r="A100" s="12" t="n">
        <f aca="false">(B100*$P$220+C100*$P$221+D100*$P$222+E100*$P$223+F100*$P$224+G100*$P$225+H100*$P$226+I100*$P$227+J100*$P$228+K100*$P$229)*$T$218</f>
        <v>0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25"/>
      <c r="M100" s="18"/>
      <c r="N100" s="29" t="s">
        <v>112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 t="n">
        <f aca="false">COUNTIF($L$2:L100,"&lt;&gt;"&amp;"")</f>
        <v>13</v>
      </c>
      <c r="Y100" s="19" t="n">
        <f aca="false">SUMIF($X$2:$X$214,X100,$A$2:$A$214)</f>
        <v>5402283.93939394</v>
      </c>
      <c r="Z100" s="20"/>
      <c r="AA100" s="21"/>
      <c r="AB100" s="22" t="b">
        <f aca="false">TRUE()</f>
        <v>1</v>
      </c>
      <c r="AC100" s="23" t="n">
        <f aca="false">IF(L100="",0,IF(AB100=FALSE(),0,Y100))</f>
        <v>0</v>
      </c>
      <c r="AD100" s="35"/>
      <c r="AE100" s="35"/>
    </row>
    <row r="101" customFormat="false" ht="15" hidden="false" customHeight="true" outlineLevel="0" collapsed="false">
      <c r="A101" s="12" t="n">
        <f aca="false">(B101*$P$220+C101*$P$221+D101*$P$222+E101*$P$223+F101*$P$224+G101*$P$225+H101*$P$226+I101*$P$227+J101*$P$228+K101*$P$229)*$T$218</f>
        <v>0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32" t="s">
        <v>113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n">
        <f aca="false">COUNTIF($L$2:L101,"&lt;&gt;"&amp;"")</f>
        <v>14</v>
      </c>
      <c r="Y101" s="19" t="n">
        <f aca="false">SUMIF($X$2:$X$214,X101,$A$2:$A$214)</f>
        <v>4612822.0523416</v>
      </c>
      <c r="Z101" s="20"/>
      <c r="AA101" s="21"/>
      <c r="AB101" s="22" t="b">
        <f aca="false">TRUE()</f>
        <v>1</v>
      </c>
      <c r="AC101" s="23" t="n">
        <f aca="false">IF(L101="",0,IF(AB101=FALSE(),0,Y101))</f>
        <v>4612822.0523416</v>
      </c>
      <c r="AD101" s="15"/>
      <c r="AE101" s="15"/>
    </row>
    <row r="102" customFormat="false" ht="15" hidden="false" customHeight="true" outlineLevel="0" collapsed="false">
      <c r="A102" s="12" t="n">
        <f aca="false">(B102*$P$220+C102*$P$221+D102*$P$222+E102*$P$223+F102*$P$224+G102*$P$225+H102*$P$226+I102*$P$227+J102*$P$228+K102*$P$229)*$T$218</f>
        <v>1470038.56749311</v>
      </c>
      <c r="B102" s="15"/>
      <c r="C102" s="15"/>
      <c r="D102" s="15"/>
      <c r="E102" s="15" t="n">
        <v>2.5</v>
      </c>
      <c r="F102" s="15"/>
      <c r="G102" s="15"/>
      <c r="H102" s="15"/>
      <c r="I102" s="15"/>
      <c r="J102" s="15"/>
      <c r="K102" s="15"/>
      <c r="L102" s="25"/>
      <c r="M102" s="28" t="s">
        <v>114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 t="n">
        <f aca="false">COUNTIF($L$2:L102,"&lt;&gt;"&amp;"")</f>
        <v>14</v>
      </c>
      <c r="Y102" s="19" t="n">
        <f aca="false">SUMIF($X$2:$X$214,X102,$A$2:$A$214)</f>
        <v>4612822.0523416</v>
      </c>
      <c r="Z102" s="20"/>
      <c r="AA102" s="21"/>
      <c r="AB102" s="22" t="b">
        <f aca="false">TRUE()</f>
        <v>1</v>
      </c>
      <c r="AC102" s="23" t="n">
        <f aca="false">IF(L102="",0,IF(AB102=FALSE(),0,Y102))</f>
        <v>0</v>
      </c>
      <c r="AD102" s="15"/>
      <c r="AE102" s="15"/>
    </row>
    <row r="103" customFormat="false" ht="15" hidden="false" customHeight="true" outlineLevel="0" collapsed="false">
      <c r="A103" s="12" t="n">
        <f aca="false">(B103*$P$220+C103*$P$221+D103*$P$222+E103*$P$223+F103*$P$224+G103*$P$225+H103*$P$226+I103*$P$227+J103*$P$228+K103*$P$229)*$T$218</f>
        <v>0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25"/>
      <c r="M103" s="18"/>
      <c r="N103" s="29" t="s">
        <v>115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 t="n">
        <f aca="false">COUNTIF($L$2:L103,"&lt;&gt;"&amp;"")</f>
        <v>14</v>
      </c>
      <c r="Y103" s="19" t="n">
        <f aca="false">SUMIF($X$2:$X$214,X103,$A$2:$A$214)</f>
        <v>4612822.0523416</v>
      </c>
      <c r="Z103" s="20"/>
      <c r="AA103" s="21"/>
      <c r="AB103" s="22" t="b">
        <f aca="false">TRUE()</f>
        <v>1</v>
      </c>
      <c r="AC103" s="23" t="n">
        <f aca="false">IF(L103="",0,IF(AB103=FALSE(),0,Y103))</f>
        <v>0</v>
      </c>
      <c r="AD103" s="35"/>
      <c r="AE103" s="35"/>
    </row>
    <row r="104" customFormat="false" ht="15" hidden="false" customHeight="true" outlineLevel="0" collapsed="false">
      <c r="A104" s="12" t="n">
        <f aca="false">(B104*$P$220+C104*$P$221+D104*$P$222+E104*$P$223+F104*$P$224+G104*$P$225+H104*$P$226+I104*$P$227+J104*$P$228+K104*$P$229)*$T$218</f>
        <v>766706.336088154</v>
      </c>
      <c r="B104" s="15" t="n">
        <v>1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25"/>
      <c r="M104" s="28" t="s">
        <v>116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 t="n">
        <f aca="false">COUNTIF($L$2:L104,"&lt;&gt;"&amp;"")</f>
        <v>14</v>
      </c>
      <c r="Y104" s="19" t="n">
        <f aca="false">SUMIF($X$2:$X$214,X104,$A$2:$A$214)</f>
        <v>4612822.0523416</v>
      </c>
      <c r="Z104" s="20"/>
      <c r="AA104" s="21"/>
      <c r="AB104" s="22" t="b">
        <f aca="false">TRUE()</f>
        <v>1</v>
      </c>
      <c r="AC104" s="23" t="n">
        <f aca="false">IF(L104="",0,IF(AB104=FALSE(),0,Y104))</f>
        <v>0</v>
      </c>
      <c r="AD104" s="35"/>
      <c r="AE104" s="35"/>
    </row>
    <row r="105" customFormat="false" ht="15" hidden="false" customHeight="true" outlineLevel="0" collapsed="false">
      <c r="A105" s="12" t="n">
        <f aca="false">(B105*$P$220+C105*$P$221+D105*$P$222+E105*$P$223+F105*$P$224+G105*$P$225+H105*$P$226+I105*$P$227+J105*$P$228+K105*$P$229)*$T$218</f>
        <v>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5"/>
      <c r="M105" s="18"/>
      <c r="N105" s="29" t="s">
        <v>117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 t="n">
        <f aca="false">COUNTIF($L$2:L105,"&lt;&gt;"&amp;"")</f>
        <v>14</v>
      </c>
      <c r="Y105" s="19" t="n">
        <f aca="false">SUMIF($X$2:$X$214,X105,$A$2:$A$214)</f>
        <v>4612822.0523416</v>
      </c>
      <c r="Z105" s="20"/>
      <c r="AA105" s="21"/>
      <c r="AB105" s="22" t="b">
        <f aca="false">TRUE()</f>
        <v>1</v>
      </c>
      <c r="AC105" s="23" t="n">
        <f aca="false">IF(L105="",0,IF(AB105=FALSE(),0,Y105))</f>
        <v>0</v>
      </c>
      <c r="AD105" s="35"/>
      <c r="AE105" s="35"/>
    </row>
    <row r="106" customFormat="false" ht="15" hidden="false" customHeight="true" outlineLevel="0" collapsed="false">
      <c r="A106" s="12" t="n">
        <f aca="false">(B106*$P$220+C106*$P$221+D106*$P$222+E106*$P$223+F106*$P$224+G106*$P$225+H106*$P$226+I106*$P$227+J106*$P$228+K106*$P$229)*$T$218</f>
        <v>1176030.85399449</v>
      </c>
      <c r="B106" s="15"/>
      <c r="C106" s="15"/>
      <c r="D106" s="15"/>
      <c r="E106" s="15" t="n">
        <v>2</v>
      </c>
      <c r="F106" s="15"/>
      <c r="G106" s="15"/>
      <c r="H106" s="15"/>
      <c r="I106" s="15"/>
      <c r="J106" s="15"/>
      <c r="K106" s="15"/>
      <c r="L106" s="25"/>
      <c r="M106" s="28" t="s">
        <v>118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n">
        <f aca="false">COUNTIF($L$2:L106,"&lt;&gt;"&amp;"")</f>
        <v>14</v>
      </c>
      <c r="Y106" s="19" t="n">
        <f aca="false">SUMIF($X$2:$X$214,X106,$A$2:$A$214)</f>
        <v>4612822.0523416</v>
      </c>
      <c r="Z106" s="20"/>
      <c r="AA106" s="21"/>
      <c r="AB106" s="22" t="b">
        <f aca="false">TRUE()</f>
        <v>1</v>
      </c>
      <c r="AC106" s="23" t="n">
        <f aca="false">IF(L106="",0,IF(AB106=FALSE(),0,Y106))</f>
        <v>0</v>
      </c>
      <c r="AD106" s="35"/>
      <c r="AE106" s="35"/>
    </row>
    <row r="107" customFormat="false" ht="15" hidden="false" customHeight="true" outlineLevel="0" collapsed="false">
      <c r="A107" s="12" t="n">
        <f aca="false">(B107*$P$220+C107*$P$221+D107*$P$222+E107*$P$223+F107*$P$224+G107*$P$225+H107*$P$226+I107*$P$227+J107*$P$228+K107*$P$229)*$T$218</f>
        <v>0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5"/>
      <c r="M107" s="18"/>
      <c r="N107" s="29" t="s">
        <v>119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 t="n">
        <f aca="false">COUNTIF($L$2:L107,"&lt;&gt;"&amp;"")</f>
        <v>14</v>
      </c>
      <c r="Y107" s="19" t="n">
        <f aca="false">SUMIF($X$2:$X$214,X107,$A$2:$A$214)</f>
        <v>4612822.0523416</v>
      </c>
      <c r="Z107" s="20"/>
      <c r="AA107" s="21"/>
      <c r="AB107" s="22" t="b">
        <f aca="false">TRUE()</f>
        <v>1</v>
      </c>
      <c r="AC107" s="23" t="n">
        <f aca="false">IF(L107="",0,IF(AB107=FALSE(),0,Y107))</f>
        <v>0</v>
      </c>
      <c r="AD107" s="15"/>
      <c r="AE107" s="15"/>
    </row>
    <row r="108" customFormat="false" ht="15" hidden="false" customHeight="true" outlineLevel="0" collapsed="false">
      <c r="A108" s="12" t="n">
        <f aca="false">(B108*$P$220+C108*$P$221+D108*$P$222+E108*$P$223+F108*$P$224+G108*$P$225+H108*$P$226+I108*$P$227+J108*$P$228+K108*$P$229)*$T$218</f>
        <v>1200046.29476584</v>
      </c>
      <c r="B108" s="15"/>
      <c r="C108" s="15"/>
      <c r="D108" s="15"/>
      <c r="E108" s="15" t="n">
        <v>1</v>
      </c>
      <c r="F108" s="15"/>
      <c r="G108" s="15" t="n">
        <v>1.5</v>
      </c>
      <c r="H108" s="15"/>
      <c r="I108" s="15"/>
      <c r="J108" s="15"/>
      <c r="K108" s="15"/>
      <c r="L108" s="25"/>
      <c r="M108" s="28" t="s">
        <v>120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 t="n">
        <f aca="false">COUNTIF($L$2:L108,"&lt;&gt;"&amp;"")</f>
        <v>14</v>
      </c>
      <c r="Y108" s="19" t="n">
        <f aca="false">SUMIF($X$2:$X$214,X108,$A$2:$A$214)</f>
        <v>4612822.0523416</v>
      </c>
      <c r="Z108" s="20"/>
      <c r="AA108" s="21"/>
      <c r="AB108" s="22" t="b">
        <f aca="false">TRUE()</f>
        <v>1</v>
      </c>
      <c r="AC108" s="23" t="n">
        <f aca="false">IF(L108="",0,IF(AB108=FALSE(),0,Y108))</f>
        <v>0</v>
      </c>
      <c r="AD108" s="15"/>
      <c r="AE108" s="15"/>
    </row>
    <row r="109" customFormat="false" ht="15" hidden="false" customHeight="true" outlineLevel="0" collapsed="false">
      <c r="A109" s="12" t="n">
        <f aca="false">(B109*$P$220+C109*$P$221+D109*$P$222+E109*$P$223+F109*$P$224+G109*$P$225+H109*$P$226+I109*$P$227+J109*$P$228+K109*$P$229)*$T$218</f>
        <v>0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25"/>
      <c r="M109" s="18"/>
      <c r="N109" s="29" t="s">
        <v>121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 t="n">
        <f aca="false">COUNTIF($L$2:L109,"&lt;&gt;"&amp;"")</f>
        <v>14</v>
      </c>
      <c r="Y109" s="19" t="n">
        <f aca="false">SUMIF($X$2:$X$214,X109,$A$2:$A$214)</f>
        <v>4612822.0523416</v>
      </c>
      <c r="Z109" s="20"/>
      <c r="AA109" s="21"/>
      <c r="AB109" s="22" t="b">
        <f aca="false">TRUE()</f>
        <v>1</v>
      </c>
      <c r="AC109" s="23" t="n">
        <f aca="false">IF(L109="",0,IF(AB109=FALSE(),0,Y109))</f>
        <v>0</v>
      </c>
      <c r="AD109" s="15"/>
      <c r="AE109" s="15"/>
    </row>
    <row r="110" customFormat="false" ht="15" hidden="false" customHeight="true" outlineLevel="0" collapsed="false">
      <c r="A110" s="12" t="n">
        <f aca="false">(B110*$P$220+C110*$P$221+D110*$P$222+E110*$P$223+F110*$P$224+G110*$P$225+H110*$P$226+I110*$P$227+J110*$P$228+K110*$P$229)*$T$218</f>
        <v>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32" t="s">
        <v>122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 t="n">
        <f aca="false">COUNTIF($L$2:L110,"&lt;&gt;"&amp;"")</f>
        <v>15</v>
      </c>
      <c r="Y110" s="19" t="n">
        <f aca="false">SUMIF($X$2:$X$214,X110,$A$2:$A$214)</f>
        <v>1732484.57300275</v>
      </c>
      <c r="Z110" s="20"/>
      <c r="AA110" s="21"/>
      <c r="AB110" s="22" t="b">
        <f aca="false">TRUE()</f>
        <v>1</v>
      </c>
      <c r="AC110" s="23" t="n">
        <f aca="false">IF(L110="",0,IF(AB110=FALSE(),0,Y110))</f>
        <v>1732484.57300275</v>
      </c>
      <c r="AD110" s="15"/>
      <c r="AE110" s="15"/>
    </row>
    <row r="111" customFormat="false" ht="15" hidden="false" customHeight="true" outlineLevel="0" collapsed="false">
      <c r="A111" s="12" t="n">
        <f aca="false">(B111*$P$220+C111*$P$221+D111*$P$222+E111*$P$223+F111*$P$224+G111*$P$225+H111*$P$226+I111*$P$227+J111*$P$228+K111*$P$229)*$T$218</f>
        <v>742493.388429752</v>
      </c>
      <c r="B111" s="15"/>
      <c r="C111" s="15"/>
      <c r="D111" s="15"/>
      <c r="E111" s="15"/>
      <c r="F111" s="15" t="n">
        <v>1.5</v>
      </c>
      <c r="G111" s="15"/>
      <c r="H111" s="15"/>
      <c r="I111" s="15"/>
      <c r="J111" s="15"/>
      <c r="K111" s="15"/>
      <c r="L111" s="25"/>
      <c r="M111" s="28" t="s">
        <v>123</v>
      </c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 t="n">
        <f aca="false">COUNTIF($L$2:L111,"&lt;&gt;"&amp;"")</f>
        <v>15</v>
      </c>
      <c r="Y111" s="19" t="n">
        <f aca="false">SUMIF($X$2:$X$214,X111,$A$2:$A$214)</f>
        <v>1732484.57300275</v>
      </c>
      <c r="Z111" s="20"/>
      <c r="AA111" s="21"/>
      <c r="AB111" s="22" t="b">
        <f aca="false">TRUE()</f>
        <v>1</v>
      </c>
      <c r="AC111" s="23" t="n">
        <f aca="false">IF(L111="",0,IF(AB111=FALSE(),0,Y111))</f>
        <v>0</v>
      </c>
      <c r="AD111" s="15"/>
      <c r="AE111" s="15"/>
    </row>
    <row r="112" customFormat="false" ht="15" hidden="false" customHeight="true" outlineLevel="0" collapsed="false">
      <c r="A112" s="12" t="n">
        <f aca="false">(B112*$P$220+C112*$P$221+D112*$P$222+E112*$P$223+F112*$P$224+G112*$P$225+H112*$P$226+I112*$P$227+J112*$P$228+K112*$P$229)*$T$218</f>
        <v>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25"/>
      <c r="M112" s="18"/>
      <c r="N112" s="29" t="s">
        <v>124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 t="n">
        <f aca="false">COUNTIF($L$2:L112,"&lt;&gt;"&amp;"")</f>
        <v>15</v>
      </c>
      <c r="Y112" s="19" t="n">
        <f aca="false">SUMIF($X$2:$X$214,X112,$A$2:$A$214)</f>
        <v>1732484.57300275</v>
      </c>
      <c r="Z112" s="20"/>
      <c r="AA112" s="21"/>
      <c r="AB112" s="22" t="b">
        <f aca="false">TRUE()</f>
        <v>1</v>
      </c>
      <c r="AC112" s="23" t="n">
        <f aca="false">IF(L112="",0,IF(AB112=FALSE(),0,Y112))</f>
        <v>0</v>
      </c>
      <c r="AD112" s="15"/>
      <c r="AE112" s="15"/>
    </row>
    <row r="113" customFormat="false" ht="15" hidden="false" customHeight="true" outlineLevel="0" collapsed="false">
      <c r="A113" s="12" t="n">
        <f aca="false">(B113*$P$220+C113*$P$221+D113*$P$222+E113*$P$223+F113*$P$224+G113*$P$225+H113*$P$226+I113*$P$227+J113*$P$228+K113*$P$229)*$T$218</f>
        <v>494995.592286501</v>
      </c>
      <c r="B113" s="15"/>
      <c r="C113" s="15"/>
      <c r="D113" s="15"/>
      <c r="E113" s="15"/>
      <c r="F113" s="15" t="n">
        <v>1</v>
      </c>
      <c r="G113" s="15"/>
      <c r="H113" s="15"/>
      <c r="I113" s="15"/>
      <c r="J113" s="15"/>
      <c r="K113" s="15"/>
      <c r="L113" s="25"/>
      <c r="M113" s="28" t="s">
        <v>125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n">
        <f aca="false">COUNTIF($L$2:L113,"&lt;&gt;"&amp;"")</f>
        <v>15</v>
      </c>
      <c r="Y113" s="19" t="n">
        <f aca="false">SUMIF($X$2:$X$214,X113,$A$2:$A$214)</f>
        <v>1732484.57300275</v>
      </c>
      <c r="Z113" s="20"/>
      <c r="AA113" s="21"/>
      <c r="AB113" s="22" t="b">
        <f aca="false">TRUE()</f>
        <v>1</v>
      </c>
      <c r="AC113" s="23" t="n">
        <f aca="false">IF(L113="",0,IF(AB113=FALSE(),0,Y113))</f>
        <v>0</v>
      </c>
      <c r="AD113" s="15"/>
      <c r="AE113" s="15"/>
    </row>
    <row r="114" customFormat="false" ht="15" hidden="false" customHeight="true" outlineLevel="0" collapsed="false">
      <c r="A114" s="12" t="n">
        <f aca="false">(B114*$P$220+C114*$P$221+D114*$P$222+E114*$P$223+F114*$P$224+G114*$P$225+H114*$P$226+I114*$P$227+J114*$P$228+K114*$P$229)*$T$218</f>
        <v>0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5"/>
      <c r="M114" s="18"/>
      <c r="N114" s="29" t="s">
        <v>126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 t="n">
        <f aca="false">COUNTIF($L$2:L114,"&lt;&gt;"&amp;"")</f>
        <v>15</v>
      </c>
      <c r="Y114" s="19" t="n">
        <f aca="false">SUMIF($X$2:$X$214,X114,$A$2:$A$214)</f>
        <v>1732484.57300275</v>
      </c>
      <c r="Z114" s="20"/>
      <c r="AA114" s="21"/>
      <c r="AB114" s="22" t="b">
        <f aca="false">TRUE()</f>
        <v>1</v>
      </c>
      <c r="AC114" s="23" t="n">
        <f aca="false">IF(L114="",0,IF(AB114=FALSE(),0,Y114))</f>
        <v>0</v>
      </c>
      <c r="AD114" s="15"/>
      <c r="AE114" s="15"/>
    </row>
    <row r="115" customFormat="false" ht="15" hidden="false" customHeight="true" outlineLevel="0" collapsed="false">
      <c r="A115" s="12" t="n">
        <f aca="false">(B115*$P$220+C115*$P$221+D115*$P$222+E115*$P$223+F115*$P$224+G115*$P$225+H115*$P$226+I115*$P$227+J115*$P$228+K115*$P$229)*$T$218</f>
        <v>494995.592286501</v>
      </c>
      <c r="B115" s="15"/>
      <c r="C115" s="15"/>
      <c r="D115" s="15"/>
      <c r="E115" s="15"/>
      <c r="F115" s="15" t="n">
        <v>1</v>
      </c>
      <c r="G115" s="15"/>
      <c r="H115" s="15"/>
      <c r="I115" s="15"/>
      <c r="J115" s="15"/>
      <c r="K115" s="15"/>
      <c r="L115" s="25"/>
      <c r="M115" s="28" t="s">
        <v>127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 t="n">
        <f aca="false">COUNTIF($L$2:L115,"&lt;&gt;"&amp;"")</f>
        <v>15</v>
      </c>
      <c r="Y115" s="19" t="n">
        <f aca="false">SUMIF($X$2:$X$214,X115,$A$2:$A$214)</f>
        <v>1732484.57300275</v>
      </c>
      <c r="Z115" s="20"/>
      <c r="AA115" s="21"/>
      <c r="AB115" s="22" t="b">
        <f aca="false">TRUE()</f>
        <v>1</v>
      </c>
      <c r="AC115" s="23" t="n">
        <f aca="false">IF(L115="",0,IF(AB115=FALSE(),0,Y115))</f>
        <v>0</v>
      </c>
      <c r="AD115" s="15"/>
      <c r="AE115" s="15"/>
    </row>
    <row r="116" customFormat="false" ht="15" hidden="false" customHeight="true" outlineLevel="0" collapsed="false">
      <c r="A116" s="12" t="n">
        <f aca="false">(B116*$P$220+C116*$P$221+D116*$P$222+E116*$P$223+F116*$P$224+G116*$P$225+H116*$P$226+I116*$P$227+J116*$P$228+K116*$P$229)*$T$218</f>
        <v>0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5"/>
      <c r="M116" s="18"/>
      <c r="N116" s="29" t="s">
        <v>128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 t="n">
        <f aca="false">COUNTIF($L$2:L116,"&lt;&gt;"&amp;"")</f>
        <v>15</v>
      </c>
      <c r="Y116" s="19" t="n">
        <f aca="false">SUMIF($X$2:$X$214,X116,$A$2:$A$214)</f>
        <v>1732484.57300275</v>
      </c>
      <c r="Z116" s="20"/>
      <c r="AA116" s="21"/>
      <c r="AB116" s="22" t="b">
        <f aca="false">TRUE()</f>
        <v>1</v>
      </c>
      <c r="AC116" s="23" t="n">
        <f aca="false">IF(L116="",0,IF(AB116=FALSE(),0,Y116))</f>
        <v>0</v>
      </c>
      <c r="AD116" s="15"/>
      <c r="AE116" s="15"/>
    </row>
    <row r="117" customFormat="false" ht="15" hidden="false" customHeight="true" outlineLevel="0" collapsed="false">
      <c r="A117" s="12" t="n">
        <f aca="false">(B117*$P$220+C117*$P$221+D117*$P$222+E117*$P$223+F117*$P$224+G117*$P$225+H117*$P$226+I117*$P$227+J117*$P$228+K117*$P$229)*$T$218</f>
        <v>0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32" t="s">
        <v>129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 t="n">
        <f aca="false">COUNTIF($L$2:L117,"&lt;&gt;"&amp;"")</f>
        <v>16</v>
      </c>
      <c r="Y117" s="19" t="n">
        <f aca="false">SUMIF($X$2:$X$214,X117,$A$2:$A$214)</f>
        <v>3863810.75757576</v>
      </c>
      <c r="Z117" s="20"/>
      <c r="AA117" s="21"/>
      <c r="AB117" s="22" t="b">
        <f aca="false">TRUE()</f>
        <v>1</v>
      </c>
      <c r="AC117" s="23" t="n">
        <f aca="false">IF(L117="",0,IF(AB117=FALSE(),0,Y117))</f>
        <v>3863810.75757576</v>
      </c>
      <c r="AD117" s="15"/>
      <c r="AE117" s="15"/>
    </row>
    <row r="118" customFormat="false" ht="15" hidden="false" customHeight="true" outlineLevel="0" collapsed="false">
      <c r="A118" s="12" t="n">
        <f aca="false">(B118*$P$220+C118*$P$221+D118*$P$222+E118*$P$223+F118*$P$224+G118*$P$225+H118*$P$226+I118*$P$227+J118*$P$228+K118*$P$229)*$T$218</f>
        <v>1805756.7630854</v>
      </c>
      <c r="B118" s="15"/>
      <c r="C118" s="15"/>
      <c r="D118" s="15" t="n">
        <v>1.5</v>
      </c>
      <c r="E118" s="15" t="n">
        <v>2</v>
      </c>
      <c r="F118" s="15"/>
      <c r="G118" s="15"/>
      <c r="H118" s="15"/>
      <c r="I118" s="15"/>
      <c r="J118" s="15"/>
      <c r="K118" s="15"/>
      <c r="L118" s="25"/>
      <c r="M118" s="28" t="s">
        <v>130</v>
      </c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 t="n">
        <f aca="false">COUNTIF($L$2:L118,"&lt;&gt;"&amp;"")</f>
        <v>16</v>
      </c>
      <c r="Y118" s="19" t="n">
        <f aca="false">SUMIF($X$2:$X$214,X118,$A$2:$A$214)</f>
        <v>3863810.75757576</v>
      </c>
      <c r="Z118" s="20"/>
      <c r="AA118" s="21"/>
      <c r="AB118" s="22" t="b">
        <f aca="false">TRUE()</f>
        <v>1</v>
      </c>
      <c r="AC118" s="23" t="n">
        <f aca="false">IF(L118="",0,IF(AB118=FALSE(),0,Y118))</f>
        <v>0</v>
      </c>
      <c r="AD118" s="15"/>
      <c r="AE118" s="15"/>
    </row>
    <row r="119" customFormat="false" ht="15" hidden="false" customHeight="true" outlineLevel="0" collapsed="false">
      <c r="A119" s="12" t="n">
        <f aca="false">(B119*$P$220+C119*$P$221+D119*$P$222+E119*$P$223+F119*$P$224+G119*$P$225+H119*$P$226+I119*$P$227+J119*$P$228+K119*$P$229)*$T$218</f>
        <v>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5"/>
      <c r="M119" s="18"/>
      <c r="N119" s="29" t="s">
        <v>131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 t="n">
        <f aca="false">COUNTIF($L$2:L119,"&lt;&gt;"&amp;"")</f>
        <v>16</v>
      </c>
      <c r="Y119" s="19" t="n">
        <f aca="false">SUMIF($X$2:$X$214,X119,$A$2:$A$214)</f>
        <v>3863810.75757576</v>
      </c>
      <c r="Z119" s="20"/>
      <c r="AA119" s="21"/>
      <c r="AB119" s="22" t="b">
        <f aca="false">TRUE()</f>
        <v>1</v>
      </c>
      <c r="AC119" s="23" t="n">
        <f aca="false">IF(L119="",0,IF(AB119=FALSE(),0,Y119))</f>
        <v>0</v>
      </c>
      <c r="AD119" s="15"/>
      <c r="AE119" s="15"/>
    </row>
    <row r="120" customFormat="false" ht="12.75" hidden="false" customHeight="true" outlineLevel="0" collapsed="false">
      <c r="A120" s="1" t="n">
        <f aca="false">(B120*$P$220+C120*$P$221+D120*$P$222+E120*$P$223+F120*$P$224+G120*$P$225+H120*$P$226+I120*$P$227+J120*$P$228+K120*$P$229)*$T$218</f>
        <v>882023.140495868</v>
      </c>
      <c r="E120" s="1" t="n">
        <v>1.5</v>
      </c>
      <c r="M120" s="33" t="s">
        <v>132</v>
      </c>
      <c r="X120" s="1" t="n">
        <f aca="false">COUNTIF($L$2:L120,"&lt;&gt;"&amp;"")</f>
        <v>16</v>
      </c>
      <c r="Y120" s="1" t="n">
        <f aca="false">SUMIF($X$2:$X$214,X120,$A$2:$A$214)</f>
        <v>3863810.75757576</v>
      </c>
      <c r="AB120" s="37" t="b">
        <f aca="false">TRUE()</f>
        <v>1</v>
      </c>
      <c r="AC120" s="1" t="n">
        <f aca="false">IF(L120="",0,IF(AB120=FALSE(),0,Y120))</f>
        <v>0</v>
      </c>
    </row>
    <row r="121" customFormat="false" ht="15" hidden="false" customHeight="true" outlineLevel="0" collapsed="false">
      <c r="A121" s="1" t="n">
        <f aca="false">(B121*$P$220+C121*$P$221+D121*$P$222+E121*$P$223+F121*$P$224+G121*$P$225+H121*$P$226+I121*$P$227+J121*$P$228+K121*$P$229)*$T$218</f>
        <v>0</v>
      </c>
      <c r="N121" s="38" t="s">
        <v>133</v>
      </c>
      <c r="X121" s="1" t="n">
        <f aca="false">COUNTIF($L$2:L121,"&lt;&gt;"&amp;"")</f>
        <v>16</v>
      </c>
      <c r="Y121" s="1" t="n">
        <f aca="false">SUMIF($X$2:$X$214,X121,$A$2:$A$214)</f>
        <v>3863810.75757576</v>
      </c>
      <c r="AB121" s="37" t="b">
        <f aca="false">TRUE()</f>
        <v>1</v>
      </c>
      <c r="AC121" s="1" t="n">
        <f aca="false">IF(L121="",0,IF(AB121=FALSE(),0,Y121))</f>
        <v>0</v>
      </c>
    </row>
    <row r="122" customFormat="false" ht="12.75" hidden="false" customHeight="true" outlineLevel="0" collapsed="false">
      <c r="A122" s="1" t="n">
        <f aca="false">(B122*$P$220+C122*$P$221+D122*$P$222+E122*$P$223+F122*$P$224+G122*$P$225+H122*$P$226+I122*$P$227+J122*$P$228+K122*$P$229)*$T$218</f>
        <v>588015.426997245</v>
      </c>
      <c r="E122" s="1" t="n">
        <v>1</v>
      </c>
      <c r="M122" s="33" t="s">
        <v>134</v>
      </c>
      <c r="X122" s="1" t="n">
        <f aca="false">COUNTIF($L$2:L122,"&lt;&gt;"&amp;"")</f>
        <v>16</v>
      </c>
      <c r="Y122" s="1" t="n">
        <f aca="false">SUMIF($X$2:$X$214,X122,$A$2:$A$214)</f>
        <v>3863810.75757576</v>
      </c>
      <c r="AB122" s="37" t="b">
        <f aca="false">TRUE()</f>
        <v>1</v>
      </c>
      <c r="AC122" s="1" t="n">
        <f aca="false">IF(L122="",0,IF(AB122=FALSE(),0,Y122))</f>
        <v>0</v>
      </c>
    </row>
    <row r="123" customFormat="false" ht="15" hidden="false" customHeight="true" outlineLevel="0" collapsed="false">
      <c r="A123" s="1" t="n">
        <f aca="false">(B123*$P$220+C123*$P$221+D123*$P$222+E123*$P$223+F123*$P$224+G123*$P$225+H123*$P$226+I123*$P$227+J123*$P$228+K123*$P$229)*$T$218</f>
        <v>0</v>
      </c>
      <c r="N123" s="38" t="s">
        <v>135</v>
      </c>
      <c r="X123" s="1" t="n">
        <f aca="false">COUNTIF($L$2:L123,"&lt;&gt;"&amp;"")</f>
        <v>16</v>
      </c>
      <c r="Y123" s="1" t="n">
        <f aca="false">SUMIF($X$2:$X$214,X123,$A$2:$A$214)</f>
        <v>3863810.75757576</v>
      </c>
      <c r="AB123" s="37" t="b">
        <f aca="false">TRUE()</f>
        <v>1</v>
      </c>
      <c r="AC123" s="1" t="n">
        <f aca="false">IF(L123="",0,IF(AB123=FALSE(),0,Y123))</f>
        <v>0</v>
      </c>
    </row>
    <row r="124" customFormat="false" ht="12.75" hidden="false" customHeight="true" outlineLevel="0" collapsed="false">
      <c r="A124" s="1" t="n">
        <f aca="false">(B124*$P$220+C124*$P$221+D124*$P$222+E124*$P$223+F124*$P$224+G124*$P$225+H124*$P$226+I124*$P$227+J124*$P$228+K124*$P$229)*$T$218</f>
        <v>588015.426997245</v>
      </c>
      <c r="E124" s="1" t="n">
        <v>1</v>
      </c>
      <c r="M124" s="33" t="s">
        <v>136</v>
      </c>
      <c r="X124" s="1" t="n">
        <f aca="false">COUNTIF($L$2:L124,"&lt;&gt;"&amp;"")</f>
        <v>16</v>
      </c>
      <c r="Y124" s="1" t="n">
        <f aca="false">SUMIF($X$2:$X$214,X124,$A$2:$A$214)</f>
        <v>3863810.75757576</v>
      </c>
      <c r="AB124" s="37" t="b">
        <f aca="false">TRUE()</f>
        <v>1</v>
      </c>
      <c r="AC124" s="1" t="n">
        <f aca="false">IF(L124="",0,IF(AB124=FALSE(),0,Y124))</f>
        <v>0</v>
      </c>
    </row>
    <row r="125" customFormat="false" ht="12.75" hidden="false" customHeight="true" outlineLevel="0" collapsed="false">
      <c r="A125" s="1" t="n">
        <f aca="false">(B125*$P$220+C125*$P$221+D125*$P$222+E125*$P$223+F125*$P$224+G125*$P$225+H125*$P$226+I125*$P$227+J125*$P$228+K125*$P$229)*$T$218</f>
        <v>0</v>
      </c>
      <c r="N125" s="38" t="s">
        <v>137</v>
      </c>
      <c r="X125" s="1" t="n">
        <f aca="false">COUNTIF($L$2:L125,"&lt;&gt;"&amp;"")</f>
        <v>16</v>
      </c>
      <c r="Y125" s="1" t="n">
        <f aca="false">SUMIF($X$2:$X$214,X125,$A$2:$A$214)</f>
        <v>3863810.75757576</v>
      </c>
      <c r="AB125" s="37" t="b">
        <f aca="false">TRUE()</f>
        <v>1</v>
      </c>
      <c r="AC125" s="1" t="n">
        <f aca="false">IF(L125="",0,IF(AB125=FALSE(),0,Y125))</f>
        <v>0</v>
      </c>
    </row>
    <row r="126" customFormat="false" ht="12.75" hidden="false" customHeight="true" outlineLevel="0" collapsed="false">
      <c r="A126" s="1" t="n">
        <f aca="false">(B126*$P$220+C126*$P$221+D126*$P$222+E126*$P$223+F126*$P$224+G126*$P$225+H126*$P$226+I126*$P$227+J126*$P$228+K126*$P$229)*$T$218</f>
        <v>0</v>
      </c>
      <c r="L126" s="39" t="s">
        <v>138</v>
      </c>
      <c r="X126" s="1" t="n">
        <f aca="false">COUNTIF($L$2:L126,"&lt;&gt;"&amp;"")</f>
        <v>17</v>
      </c>
      <c r="Y126" s="1" t="n">
        <f aca="false">SUMIF($X$2:$X$214,X126,$A$2:$A$214)</f>
        <v>4380322.24517906</v>
      </c>
      <c r="AB126" s="37" t="b">
        <f aca="false">TRUE()</f>
        <v>1</v>
      </c>
      <c r="AC126" s="1" t="n">
        <f aca="false">IF(L126="",0,IF(AB126=FALSE(),0,Y126))</f>
        <v>4380322.24517906</v>
      </c>
    </row>
    <row r="127" customFormat="false" ht="12.75" hidden="false" customHeight="true" outlineLevel="0" collapsed="false">
      <c r="A127" s="1" t="n">
        <f aca="false">(B127*$P$220+C127*$P$221+D127*$P$222+E127*$P$223+F127*$P$224+G127*$P$225+H127*$P$226+I127*$P$227+J127*$P$228+K127*$P$229)*$T$218</f>
        <v>1146237.39669421</v>
      </c>
      <c r="K127" s="1" t="n">
        <v>2.5</v>
      </c>
      <c r="M127" s="33" t="s">
        <v>139</v>
      </c>
      <c r="X127" s="1" t="n">
        <f aca="false">COUNTIF($L$2:L127,"&lt;&gt;"&amp;"")</f>
        <v>17</v>
      </c>
      <c r="Y127" s="1" t="n">
        <f aca="false">SUMIF($X$2:$X$214,X127,$A$2:$A$214)</f>
        <v>4380322.24517906</v>
      </c>
      <c r="AB127" s="37" t="b">
        <f aca="false">TRUE()</f>
        <v>1</v>
      </c>
      <c r="AC127" s="1" t="n">
        <f aca="false">IF(L127="",0,IF(AB127=FALSE(),0,Y127))</f>
        <v>0</v>
      </c>
    </row>
    <row r="128" customFormat="false" ht="12.75" hidden="false" customHeight="true" outlineLevel="0" collapsed="false">
      <c r="A128" s="1" t="n">
        <f aca="false">(B128*$P$220+C128*$P$221+D128*$P$222+E128*$P$223+F128*$P$224+G128*$P$225+H128*$P$226+I128*$P$227+J128*$P$228+K128*$P$229)*$T$218</f>
        <v>0</v>
      </c>
      <c r="N128" s="38" t="s">
        <v>140</v>
      </c>
      <c r="X128" s="1" t="n">
        <f aca="false">COUNTIF($L$2:L128,"&lt;&gt;"&amp;"")</f>
        <v>17</v>
      </c>
      <c r="Y128" s="1" t="n">
        <f aca="false">SUMIF($X$2:$X$214,X128,$A$2:$A$214)</f>
        <v>4380322.24517906</v>
      </c>
      <c r="AB128" s="37" t="b">
        <f aca="false">TRUE()</f>
        <v>1</v>
      </c>
      <c r="AC128" s="1" t="n">
        <f aca="false">IF(L128="",0,IF(AB128=FALSE(),0,Y128))</f>
        <v>0</v>
      </c>
    </row>
    <row r="129" customFormat="false" ht="12.75" hidden="false" customHeight="true" outlineLevel="0" collapsed="false">
      <c r="A129" s="1" t="n">
        <f aca="false">(B129*$P$220+C129*$P$221+D129*$P$222+E129*$P$223+F129*$P$224+G129*$P$225+H129*$P$226+I129*$P$227+J129*$P$228+K129*$P$229)*$T$218</f>
        <v>588015.426997245</v>
      </c>
      <c r="E129" s="1" t="n">
        <v>1</v>
      </c>
      <c r="M129" s="33" t="s">
        <v>141</v>
      </c>
      <c r="X129" s="1" t="n">
        <f aca="false">COUNTIF($L$2:L129,"&lt;&gt;"&amp;"")</f>
        <v>17</v>
      </c>
      <c r="Y129" s="1" t="n">
        <f aca="false">SUMIF($X$2:$X$214,X129,$A$2:$A$214)</f>
        <v>4380322.24517906</v>
      </c>
      <c r="AB129" s="37" t="b">
        <f aca="false">TRUE()</f>
        <v>1</v>
      </c>
      <c r="AC129" s="1" t="n">
        <f aca="false">IF(L129="",0,IF(AB129=FALSE(),0,Y129))</f>
        <v>0</v>
      </c>
    </row>
    <row r="130" customFormat="false" ht="12.75" hidden="false" customHeight="true" outlineLevel="0" collapsed="false">
      <c r="A130" s="1" t="n">
        <f aca="false">(B130*$P$220+C130*$P$221+D130*$P$222+E130*$P$223+F130*$P$224+G130*$P$225+H130*$P$226+I130*$P$227+J130*$P$228+K130*$P$229)*$T$218</f>
        <v>0</v>
      </c>
      <c r="N130" s="38" t="s">
        <v>142</v>
      </c>
      <c r="X130" s="1" t="n">
        <f aca="false">COUNTIF($L$2:L130,"&lt;&gt;"&amp;"")</f>
        <v>17</v>
      </c>
      <c r="Y130" s="1" t="n">
        <f aca="false">SUMIF($X$2:$X$214,X130,$A$2:$A$214)</f>
        <v>4380322.24517906</v>
      </c>
      <c r="AB130" s="37" t="b">
        <f aca="false">TRUE()</f>
        <v>1</v>
      </c>
      <c r="AC130" s="1" t="n">
        <f aca="false">IF(L130="",0,IF(AB130=FALSE(),0,Y130))</f>
        <v>0</v>
      </c>
    </row>
    <row r="131" customFormat="false" ht="12.75" hidden="false" customHeight="true" outlineLevel="0" collapsed="false">
      <c r="A131" s="1" t="n">
        <f aca="false">(B131*$P$220+C131*$P$221+D131*$P$222+E131*$P$223+F131*$P$224+G131*$P$225+H131*$P$226+I131*$P$227+J131*$P$228+K131*$P$229)*$T$218</f>
        <v>1470038.56749311</v>
      </c>
      <c r="E131" s="1" t="n">
        <v>2.5</v>
      </c>
      <c r="M131" s="33" t="s">
        <v>143</v>
      </c>
      <c r="X131" s="1" t="n">
        <f aca="false">COUNTIF($L$2:L131,"&lt;&gt;"&amp;"")</f>
        <v>17</v>
      </c>
      <c r="Y131" s="1" t="n">
        <f aca="false">SUMIF($X$2:$X$214,X131,$A$2:$A$214)</f>
        <v>4380322.24517906</v>
      </c>
      <c r="AB131" s="37" t="b">
        <f aca="false">TRUE()</f>
        <v>1</v>
      </c>
      <c r="AC131" s="1" t="n">
        <f aca="false">IF(L131="",0,IF(AB131=FALSE(),0,Y131))</f>
        <v>0</v>
      </c>
    </row>
    <row r="132" customFormat="false" ht="12.75" hidden="false" customHeight="true" outlineLevel="0" collapsed="false">
      <c r="A132" s="1" t="n">
        <f aca="false">(B132*$P$220+C132*$P$221+D132*$P$222+E132*$P$223+F132*$P$224+G132*$P$225+H132*$P$226+I132*$P$227+J132*$P$228+K132*$P$229)*$T$218</f>
        <v>0</v>
      </c>
      <c r="N132" s="38" t="s">
        <v>144</v>
      </c>
      <c r="X132" s="1" t="n">
        <f aca="false">COUNTIF($L$2:L132,"&lt;&gt;"&amp;"")</f>
        <v>17</v>
      </c>
      <c r="Y132" s="1" t="n">
        <f aca="false">SUMIF($X$2:$X$214,X132,$A$2:$A$214)</f>
        <v>4380322.24517906</v>
      </c>
      <c r="AB132" s="37" t="b">
        <f aca="false">TRUE()</f>
        <v>1</v>
      </c>
      <c r="AC132" s="1" t="n">
        <f aca="false">IF(L132="",0,IF(AB132=FALSE(),0,Y132))</f>
        <v>0</v>
      </c>
    </row>
    <row r="133" customFormat="false" ht="12.75" hidden="false" customHeight="true" outlineLevel="0" collapsed="false">
      <c r="A133" s="1" t="n">
        <f aca="false">(B133*$P$220+C133*$P$221+D133*$P$222+E133*$P$223+F133*$P$224+G133*$P$225+H133*$P$226+I133*$P$227+J133*$P$228+K133*$P$229)*$T$218</f>
        <v>1176030.85399449</v>
      </c>
      <c r="E133" s="1" t="n">
        <v>2</v>
      </c>
      <c r="M133" s="33" t="s">
        <v>145</v>
      </c>
      <c r="X133" s="1" t="n">
        <f aca="false">COUNTIF($L$2:L133,"&lt;&gt;"&amp;"")</f>
        <v>17</v>
      </c>
      <c r="Y133" s="1" t="n">
        <f aca="false">SUMIF($X$2:$X$214,X133,$A$2:$A$214)</f>
        <v>4380322.24517906</v>
      </c>
      <c r="AB133" s="37" t="b">
        <f aca="false">TRUE()</f>
        <v>1</v>
      </c>
      <c r="AC133" s="1" t="n">
        <f aca="false">IF(L133="",0,IF(AB133=FALSE(),0,Y133))</f>
        <v>0</v>
      </c>
    </row>
    <row r="134" customFormat="false" ht="12.75" hidden="false" customHeight="true" outlineLevel="0" collapsed="false">
      <c r="A134" s="1" t="n">
        <f aca="false">(B134*$P$220+C134*$P$221+D134*$P$222+E134*$P$223+F134*$P$224+G134*$P$225+H134*$P$226+I134*$P$227+J134*$P$228+K134*$P$229)*$T$218</f>
        <v>0</v>
      </c>
      <c r="N134" s="38" t="s">
        <v>146</v>
      </c>
      <c r="X134" s="1" t="n">
        <f aca="false">COUNTIF($L$2:L134,"&lt;&gt;"&amp;"")</f>
        <v>17</v>
      </c>
      <c r="Y134" s="1" t="n">
        <f aca="false">SUMIF($X$2:$X$214,X134,$A$2:$A$214)</f>
        <v>4380322.24517906</v>
      </c>
      <c r="AB134" s="37" t="b">
        <f aca="false">TRUE()</f>
        <v>1</v>
      </c>
      <c r="AC134" s="1" t="n">
        <f aca="false">IF(L134="",0,IF(AB134=FALSE(),0,Y134))</f>
        <v>0</v>
      </c>
    </row>
    <row r="135" customFormat="false" ht="12.75" hidden="false" customHeight="true" outlineLevel="0" collapsed="false">
      <c r="A135" s="1" t="n">
        <f aca="false">(B135*$P$220+C135*$P$221+D135*$P$222+E135*$P$223+F135*$P$224+G135*$P$225+H135*$P$226+I135*$P$227+J135*$P$228+K135*$P$229)*$T$218</f>
        <v>0</v>
      </c>
      <c r="L135" s="39" t="s">
        <v>147</v>
      </c>
      <c r="X135" s="1" t="n">
        <f aca="false">COUNTIF($L$2:L135,"&lt;&gt;"&amp;"")</f>
        <v>18</v>
      </c>
      <c r="Y135" s="1" t="n">
        <f aca="false">SUMIF($X$2:$X$214,X135,$A$2:$A$214)</f>
        <v>4284216.07438017</v>
      </c>
      <c r="AB135" s="37" t="b">
        <f aca="false">TRUE()</f>
        <v>1</v>
      </c>
      <c r="AC135" s="1" t="n">
        <f aca="false">IF(L135="",0,IF(AB135=FALSE(),0,Y135))</f>
        <v>4284216.07438017</v>
      </c>
    </row>
    <row r="136" customFormat="false" ht="12.75" hidden="false" customHeight="true" outlineLevel="0" collapsed="false">
      <c r="A136" s="1" t="n">
        <f aca="false">(B136*$P$220+C136*$P$221+D136*$P$222+E136*$P$223+F136*$P$224+G136*$P$225+H136*$P$226+I136*$P$227+J136*$P$228+K136*$P$229)*$T$218</f>
        <v>1224061.73553719</v>
      </c>
      <c r="G136" s="1" t="n">
        <v>3</v>
      </c>
      <c r="M136" s="33" t="s">
        <v>148</v>
      </c>
      <c r="X136" s="1" t="n">
        <f aca="false">COUNTIF($L$2:L136,"&lt;&gt;"&amp;"")</f>
        <v>18</v>
      </c>
      <c r="Y136" s="1" t="n">
        <f aca="false">SUMIF($X$2:$X$214,X136,$A$2:$A$214)</f>
        <v>4284216.07438017</v>
      </c>
      <c r="AB136" s="37" t="b">
        <f aca="false">TRUE()</f>
        <v>1</v>
      </c>
      <c r="AC136" s="1" t="n">
        <f aca="false">IF(L136="",0,IF(AB136=FALSE(),0,Y136))</f>
        <v>0</v>
      </c>
    </row>
    <row r="137" customFormat="false" ht="12.75" hidden="false" customHeight="true" outlineLevel="0" collapsed="false">
      <c r="A137" s="1" t="n">
        <f aca="false">(B137*$P$220+C137*$P$221+D137*$P$222+E137*$P$223+F137*$P$224+G137*$P$225+H137*$P$226+I137*$P$227+J137*$P$228+K137*$P$229)*$T$218</f>
        <v>0</v>
      </c>
      <c r="N137" s="38" t="s">
        <v>149</v>
      </c>
      <c r="X137" s="1" t="n">
        <f aca="false">COUNTIF($L$2:L137,"&lt;&gt;"&amp;"")</f>
        <v>18</v>
      </c>
      <c r="Y137" s="1" t="n">
        <f aca="false">SUMIF($X$2:$X$214,X137,$A$2:$A$214)</f>
        <v>4284216.07438017</v>
      </c>
      <c r="AB137" s="37" t="b">
        <f aca="false">TRUE()</f>
        <v>1</v>
      </c>
      <c r="AC137" s="1" t="n">
        <f aca="false">IF(L137="",0,IF(AB137=FALSE(),0,Y137))</f>
        <v>0</v>
      </c>
    </row>
    <row r="138" customFormat="false" ht="12.75" hidden="false" customHeight="true" outlineLevel="0" collapsed="false">
      <c r="A138" s="1" t="n">
        <f aca="false">(B138*$P$220+C138*$P$221+D138*$P$222+E138*$P$223+F138*$P$224+G138*$P$225+H138*$P$226+I138*$P$227+J138*$P$228+K138*$P$229)*$T$218</f>
        <v>612030.867768595</v>
      </c>
      <c r="G138" s="1" t="n">
        <v>1.5</v>
      </c>
      <c r="M138" s="33" t="s">
        <v>150</v>
      </c>
      <c r="X138" s="1" t="n">
        <f aca="false">COUNTIF($L$2:L138,"&lt;&gt;"&amp;"")</f>
        <v>18</v>
      </c>
      <c r="Y138" s="1" t="n">
        <f aca="false">SUMIF($X$2:$X$214,X138,$A$2:$A$214)</f>
        <v>4284216.07438017</v>
      </c>
      <c r="AB138" s="37" t="b">
        <f aca="false">TRUE()</f>
        <v>1</v>
      </c>
      <c r="AC138" s="1" t="n">
        <f aca="false">IF(L138="",0,IF(AB138=FALSE(),0,Y138))</f>
        <v>0</v>
      </c>
    </row>
    <row r="139" customFormat="false" ht="15" hidden="false" customHeight="true" outlineLevel="0" collapsed="false">
      <c r="A139" s="1" t="n">
        <f aca="false">(B139*$P$220+C139*$P$221+D139*$P$222+E139*$P$223+F139*$P$224+G139*$P$225+H139*$P$226+I139*$P$227+J139*$P$228+K139*$P$229)*$T$218</f>
        <v>0</v>
      </c>
      <c r="N139" s="38" t="s">
        <v>151</v>
      </c>
      <c r="X139" s="1" t="n">
        <f aca="false">COUNTIF($L$2:L139,"&lt;&gt;"&amp;"")</f>
        <v>18</v>
      </c>
      <c r="Y139" s="1" t="n">
        <f aca="false">SUMIF($X$2:$X$214,X139,$A$2:$A$214)</f>
        <v>4284216.07438017</v>
      </c>
      <c r="AB139" s="37" t="b">
        <f aca="false">TRUE()</f>
        <v>1</v>
      </c>
      <c r="AC139" s="1" t="n">
        <f aca="false">IF(L139="",0,IF(AB139=FALSE(),0,Y139))</f>
        <v>0</v>
      </c>
    </row>
    <row r="140" customFormat="false" ht="12.75" hidden="false" customHeight="true" outlineLevel="0" collapsed="false">
      <c r="A140" s="1" t="n">
        <f aca="false">(B140*$P$220+C140*$P$221+D140*$P$222+E140*$P$223+F140*$P$224+G140*$P$225+H140*$P$226+I140*$P$227+J140*$P$228+K140*$P$229)*$T$218</f>
        <v>1020051.44628099</v>
      </c>
      <c r="G140" s="1" t="n">
        <v>2.5</v>
      </c>
      <c r="M140" s="33" t="s">
        <v>152</v>
      </c>
      <c r="X140" s="1" t="n">
        <f aca="false">COUNTIF($L$2:L140,"&lt;&gt;"&amp;"")</f>
        <v>18</v>
      </c>
      <c r="Y140" s="1" t="n">
        <f aca="false">SUMIF($X$2:$X$214,X140,$A$2:$A$214)</f>
        <v>4284216.07438017</v>
      </c>
      <c r="AB140" s="37" t="b">
        <f aca="false">TRUE()</f>
        <v>1</v>
      </c>
      <c r="AC140" s="1" t="n">
        <f aca="false">IF(L140="",0,IF(AB140=FALSE(),0,Y140))</f>
        <v>0</v>
      </c>
    </row>
    <row r="141" customFormat="false" ht="12.75" hidden="false" customHeight="true" outlineLevel="0" collapsed="false">
      <c r="A141" s="1" t="n">
        <f aca="false">(B141*$P$220+C141*$P$221+D141*$P$222+E141*$P$223+F141*$P$224+G141*$P$225+H141*$P$226+I141*$P$227+J141*$P$228+K141*$P$229)*$T$218</f>
        <v>0</v>
      </c>
      <c r="N141" s="38" t="s">
        <v>153</v>
      </c>
      <c r="X141" s="1" t="n">
        <f aca="false">COUNTIF($L$2:L141,"&lt;&gt;"&amp;"")</f>
        <v>18</v>
      </c>
      <c r="Y141" s="1" t="n">
        <f aca="false">SUMIF($X$2:$X$214,X141,$A$2:$A$214)</f>
        <v>4284216.07438017</v>
      </c>
      <c r="AB141" s="37" t="b">
        <f aca="false">TRUE()</f>
        <v>1</v>
      </c>
      <c r="AC141" s="1" t="n">
        <f aca="false">IF(L141="",0,IF(AB141=FALSE(),0,Y141))</f>
        <v>0</v>
      </c>
    </row>
    <row r="142" customFormat="false" ht="12.75" hidden="false" customHeight="true" outlineLevel="0" collapsed="false">
      <c r="A142" s="1" t="n">
        <f aca="false">(B142*$P$220+C142*$P$221+D142*$P$222+E142*$P$223+F142*$P$224+G142*$P$225+H142*$P$226+I142*$P$227+J142*$P$228+K142*$P$229)*$T$218</f>
        <v>816041.157024793</v>
      </c>
      <c r="G142" s="1" t="n">
        <v>2</v>
      </c>
      <c r="M142" s="33" t="s">
        <v>154</v>
      </c>
      <c r="X142" s="1" t="n">
        <f aca="false">COUNTIF($L$2:L142,"&lt;&gt;"&amp;"")</f>
        <v>18</v>
      </c>
      <c r="Y142" s="1" t="n">
        <f aca="false">SUMIF($X$2:$X$214,X142,$A$2:$A$214)</f>
        <v>4284216.07438017</v>
      </c>
      <c r="AB142" s="37" t="b">
        <f aca="false">TRUE()</f>
        <v>1</v>
      </c>
      <c r="AC142" s="1" t="n">
        <f aca="false">IF(L142="",0,IF(AB142=FALSE(),0,Y142))</f>
        <v>0</v>
      </c>
    </row>
    <row r="143" customFormat="false" ht="12.75" hidden="false" customHeight="true" outlineLevel="0" collapsed="false">
      <c r="A143" s="1" t="n">
        <f aca="false">(B143*$P$220+C143*$P$221+D143*$P$222+E143*$P$223+F143*$P$224+G143*$P$225+H143*$P$226+I143*$P$227+J143*$P$228+K143*$P$229)*$T$218</f>
        <v>0</v>
      </c>
      <c r="N143" s="38" t="s">
        <v>155</v>
      </c>
      <c r="X143" s="1" t="n">
        <f aca="false">COUNTIF($L$2:L143,"&lt;&gt;"&amp;"")</f>
        <v>18</v>
      </c>
      <c r="Y143" s="1" t="n">
        <f aca="false">SUMIF($X$2:$X$214,X143,$A$2:$A$214)</f>
        <v>4284216.07438017</v>
      </c>
      <c r="AB143" s="37" t="b">
        <f aca="false">TRUE()</f>
        <v>1</v>
      </c>
      <c r="AC143" s="1" t="n">
        <f aca="false">IF(L143="",0,IF(AB143=FALSE(),0,Y143))</f>
        <v>0</v>
      </c>
    </row>
    <row r="144" customFormat="false" ht="12.75" hidden="false" customHeight="true" outlineLevel="0" collapsed="false">
      <c r="A144" s="1" t="n">
        <f aca="false">(B144*$P$220+C144*$P$221+D144*$P$222+E144*$P$223+F144*$P$224+G144*$P$225+H144*$P$226+I144*$P$227+J144*$P$228+K144*$P$229)*$T$218</f>
        <v>612030.867768595</v>
      </c>
      <c r="G144" s="1" t="n">
        <v>1.5</v>
      </c>
      <c r="M144" s="33" t="s">
        <v>156</v>
      </c>
      <c r="X144" s="1" t="n">
        <f aca="false">COUNTIF($L$2:L144,"&lt;&gt;"&amp;"")</f>
        <v>18</v>
      </c>
      <c r="Y144" s="1" t="n">
        <f aca="false">SUMIF($X$2:$X$214,X144,$A$2:$A$214)</f>
        <v>4284216.07438017</v>
      </c>
      <c r="AB144" s="37" t="b">
        <f aca="false">TRUE()</f>
        <v>1</v>
      </c>
      <c r="AC144" s="1" t="n">
        <f aca="false">IF(L144="",0,IF(AB144=FALSE(),0,Y144))</f>
        <v>0</v>
      </c>
    </row>
    <row r="145" customFormat="false" ht="12.75" hidden="false" customHeight="true" outlineLevel="0" collapsed="false">
      <c r="A145" s="1" t="n">
        <f aca="false">(B145*$P$220+C145*$P$221+D145*$P$222+E145*$P$223+F145*$P$224+G145*$P$225+H145*$P$226+I145*$P$227+J145*$P$228+K145*$P$229)*$T$218</f>
        <v>0</v>
      </c>
      <c r="N145" s="38" t="s">
        <v>157</v>
      </c>
      <c r="X145" s="1" t="n">
        <f aca="false">COUNTIF($L$2:L145,"&lt;&gt;"&amp;"")</f>
        <v>18</v>
      </c>
      <c r="Y145" s="1" t="n">
        <f aca="false">SUMIF($X$2:$X$214,X145,$A$2:$A$214)</f>
        <v>4284216.07438017</v>
      </c>
      <c r="AB145" s="37" t="b">
        <f aca="false">TRUE()</f>
        <v>1</v>
      </c>
      <c r="AC145" s="1" t="n">
        <f aca="false">IF(L145="",0,IF(AB145=FALSE(),0,Y145))</f>
        <v>0</v>
      </c>
    </row>
    <row r="146" customFormat="false" ht="12.75" hidden="false" customHeight="true" outlineLevel="0" collapsed="false">
      <c r="A146" s="1" t="n">
        <f aca="false">(B146*$P$220+C146*$P$221+D146*$P$222+E146*$P$223+F146*$P$224+G146*$P$225+H146*$P$226+I146*$P$227+J146*$P$228+K146*$P$229)*$T$218</f>
        <v>0</v>
      </c>
      <c r="L146" s="39" t="s">
        <v>158</v>
      </c>
      <c r="X146" s="1" t="n">
        <f aca="false">COUNTIF($L$2:L146,"&lt;&gt;"&amp;"")</f>
        <v>19</v>
      </c>
      <c r="Y146" s="1" t="n">
        <f aca="false">SUMIF($X$2:$X$214,X146,$A$2:$A$214)</f>
        <v>2308995</v>
      </c>
      <c r="AB146" s="37" t="b">
        <f aca="false">TRUE()</f>
        <v>1</v>
      </c>
      <c r="AC146" s="1" t="n">
        <f aca="false">IF(L146="",0,IF(AB146=FALSE(),0,Y146))</f>
        <v>2308995</v>
      </c>
    </row>
    <row r="147" customFormat="false" ht="12.75" hidden="false" customHeight="true" outlineLevel="0" collapsed="false">
      <c r="A147" s="1" t="n">
        <f aca="false">(B147*$P$220+C147*$P$221+D147*$P$222+E147*$P$223+F147*$P$224+G147*$P$225+H147*$P$226+I147*$P$227+J147*$P$228+K147*$P$229)*$T$218</f>
        <v>1049543.18181818</v>
      </c>
      <c r="C147" s="1" t="n">
        <v>2.5</v>
      </c>
      <c r="M147" s="33" t="s">
        <v>159</v>
      </c>
      <c r="X147" s="1" t="n">
        <f aca="false">COUNTIF($L$2:L147,"&lt;&gt;"&amp;"")</f>
        <v>19</v>
      </c>
      <c r="Y147" s="1" t="n">
        <f aca="false">SUMIF($X$2:$X$214,X147,$A$2:$A$214)</f>
        <v>2308995</v>
      </c>
      <c r="AB147" s="37" t="b">
        <f aca="false">TRUE()</f>
        <v>1</v>
      </c>
      <c r="AC147" s="1" t="n">
        <f aca="false">IF(L147="",0,IF(AB147=FALSE(),0,Y147))</f>
        <v>0</v>
      </c>
    </row>
    <row r="148" customFormat="false" ht="12.75" hidden="false" customHeight="true" outlineLevel="0" collapsed="false">
      <c r="A148" s="1" t="n">
        <f aca="false">(B148*$P$220+C148*$P$221+D148*$P$222+E148*$P$223+F148*$P$224+G148*$P$225+H148*$P$226+I148*$P$227+J148*$P$228+K148*$P$229)*$T$218</f>
        <v>0</v>
      </c>
      <c r="N148" s="38" t="s">
        <v>160</v>
      </c>
      <c r="X148" s="1" t="n">
        <f aca="false">COUNTIF($L$2:L148,"&lt;&gt;"&amp;"")</f>
        <v>19</v>
      </c>
      <c r="Y148" s="1" t="n">
        <f aca="false">SUMIF($X$2:$X$214,X148,$A$2:$A$214)</f>
        <v>2308995</v>
      </c>
      <c r="AB148" s="37" t="b">
        <f aca="false">TRUE()</f>
        <v>1</v>
      </c>
      <c r="AC148" s="1" t="n">
        <f aca="false">IF(L148="",0,IF(AB148=FALSE(),0,Y148))</f>
        <v>0</v>
      </c>
    </row>
    <row r="149" customFormat="false" ht="12.75" hidden="false" customHeight="true" outlineLevel="0" collapsed="false">
      <c r="A149" s="1" t="n">
        <f aca="false">(B149*$P$220+C149*$P$221+D149*$P$222+E149*$P$223+F149*$P$224+G149*$P$225+H149*$P$226+I149*$P$227+J149*$P$228+K149*$P$229)*$T$218</f>
        <v>419817.272727273</v>
      </c>
      <c r="C149" s="1" t="n">
        <v>1</v>
      </c>
      <c r="M149" s="33" t="s">
        <v>161</v>
      </c>
      <c r="X149" s="1" t="n">
        <f aca="false">COUNTIF($L$2:L149,"&lt;&gt;"&amp;"")</f>
        <v>19</v>
      </c>
      <c r="Y149" s="1" t="n">
        <f aca="false">SUMIF($X$2:$X$214,X149,$A$2:$A$214)</f>
        <v>2308995</v>
      </c>
      <c r="AB149" s="37" t="b">
        <f aca="false">TRUE()</f>
        <v>1</v>
      </c>
      <c r="AC149" s="1" t="n">
        <f aca="false">IF(L149="",0,IF(AB149=FALSE(),0,Y149))</f>
        <v>0</v>
      </c>
    </row>
    <row r="150" customFormat="false" ht="12.75" hidden="false" customHeight="true" outlineLevel="0" collapsed="false">
      <c r="A150" s="1" t="n">
        <f aca="false">(B150*$P$220+C150*$P$221+D150*$P$222+E150*$P$223+F150*$P$224+G150*$P$225+H150*$P$226+I150*$P$227+J150*$P$228+K150*$P$229)*$T$218</f>
        <v>0</v>
      </c>
      <c r="N150" s="38" t="s">
        <v>162</v>
      </c>
      <c r="X150" s="1" t="n">
        <f aca="false">COUNTIF($L$2:L150,"&lt;&gt;"&amp;"")</f>
        <v>19</v>
      </c>
      <c r="Y150" s="1" t="n">
        <f aca="false">SUMIF($X$2:$X$214,X150,$A$2:$A$214)</f>
        <v>2308995</v>
      </c>
      <c r="AB150" s="37" t="b">
        <f aca="false">TRUE()</f>
        <v>1</v>
      </c>
      <c r="AC150" s="1" t="n">
        <f aca="false">IF(L150="",0,IF(AB150=FALSE(),0,Y150))</f>
        <v>0</v>
      </c>
    </row>
    <row r="151" customFormat="false" ht="12.75" hidden="false" customHeight="true" outlineLevel="0" collapsed="false">
      <c r="A151" s="1" t="n">
        <f aca="false">(B151*$P$220+C151*$P$221+D151*$P$222+E151*$P$223+F151*$P$224+G151*$P$225+H151*$P$226+I151*$P$227+J151*$P$228+K151*$P$229)*$T$218</f>
        <v>839634.545454545</v>
      </c>
      <c r="C151" s="1" t="n">
        <v>2</v>
      </c>
      <c r="M151" s="33" t="s">
        <v>163</v>
      </c>
      <c r="X151" s="1" t="n">
        <f aca="false">COUNTIF($L$2:L151,"&lt;&gt;"&amp;"")</f>
        <v>19</v>
      </c>
      <c r="Y151" s="1" t="n">
        <f aca="false">SUMIF($X$2:$X$214,X151,$A$2:$A$214)</f>
        <v>2308995</v>
      </c>
      <c r="AB151" s="37" t="b">
        <f aca="false">TRUE()</f>
        <v>1</v>
      </c>
      <c r="AC151" s="1" t="n">
        <f aca="false">IF(L151="",0,IF(AB151=FALSE(),0,Y151))</f>
        <v>0</v>
      </c>
    </row>
    <row r="152" customFormat="false" ht="12.75" hidden="false" customHeight="true" outlineLevel="0" collapsed="false">
      <c r="A152" s="1" t="n">
        <f aca="false">(B152*$P$220+C152*$P$221+D152*$P$222+E152*$P$223+F152*$P$224+G152*$P$225+H152*$P$226+I152*$P$227+J152*$P$228+K152*$P$229)*$T$218</f>
        <v>0</v>
      </c>
      <c r="N152" s="38" t="s">
        <v>164</v>
      </c>
      <c r="X152" s="1" t="n">
        <f aca="false">COUNTIF($L$2:L152,"&lt;&gt;"&amp;"")</f>
        <v>19</v>
      </c>
      <c r="Y152" s="1" t="n">
        <f aca="false">SUMIF($X$2:$X$214,X152,$A$2:$A$214)</f>
        <v>2308995</v>
      </c>
      <c r="AB152" s="37" t="b">
        <f aca="false">TRUE()</f>
        <v>1</v>
      </c>
      <c r="AC152" s="1" t="n">
        <f aca="false">IF(L152="",0,IF(AB152=FALSE(),0,Y152))</f>
        <v>0</v>
      </c>
    </row>
    <row r="153" customFormat="false" ht="12.75" hidden="false" customHeight="true" outlineLevel="0" collapsed="false">
      <c r="A153" s="1" t="n">
        <f aca="false">(B153*$P$220+C153*$P$221+D153*$P$222+E153*$P$223+F153*$P$224+G153*$P$225+H153*$P$226+I153*$P$227+J153*$P$228+K153*$P$229)*$T$218</f>
        <v>0</v>
      </c>
      <c r="L153" s="39" t="s">
        <v>165</v>
      </c>
      <c r="X153" s="1" t="n">
        <f aca="false">COUNTIF($L$2:L153,"&lt;&gt;"&amp;"")</f>
        <v>20</v>
      </c>
      <c r="Y153" s="1" t="n">
        <f aca="false">SUMIF($X$2:$X$214,X153,$A$2:$A$214)</f>
        <v>6702477.14876033</v>
      </c>
      <c r="AB153" s="37" t="b">
        <f aca="false">TRUE()</f>
        <v>1</v>
      </c>
      <c r="AC153" s="1" t="n">
        <f aca="false">IF(L153="",0,IF(AB153=FALSE(),0,Y153))</f>
        <v>6702477.14876033</v>
      </c>
    </row>
    <row r="154" customFormat="false" ht="12.75" hidden="false" customHeight="true" outlineLevel="0" collapsed="false">
      <c r="A154" s="1" t="n">
        <f aca="false">(B154*$P$220+C154*$P$221+D154*$P$222+E154*$P$223+F154*$P$224+G154*$P$225+H154*$P$226+I154*$P$227+J154*$P$228+K154*$P$229)*$T$218</f>
        <v>1470038.56749311</v>
      </c>
      <c r="E154" s="1" t="n">
        <v>2.5</v>
      </c>
      <c r="M154" s="33" t="s">
        <v>166</v>
      </c>
      <c r="X154" s="1" t="n">
        <f aca="false">COUNTIF($L$2:L154,"&lt;&gt;"&amp;"")</f>
        <v>20</v>
      </c>
      <c r="Y154" s="1" t="n">
        <f aca="false">SUMIF($X$2:$X$214,X154,$A$2:$A$214)</f>
        <v>6702477.14876033</v>
      </c>
      <c r="AB154" s="37" t="b">
        <f aca="false">TRUE()</f>
        <v>1</v>
      </c>
      <c r="AC154" s="1" t="n">
        <f aca="false">IF(L154="",0,IF(AB154=FALSE(),0,Y154))</f>
        <v>0</v>
      </c>
    </row>
    <row r="155" customFormat="false" ht="12.75" hidden="false" customHeight="true" outlineLevel="0" collapsed="false">
      <c r="A155" s="1" t="n">
        <f aca="false">(B155*$P$220+C155*$P$221+D155*$P$222+E155*$P$223+F155*$P$224+G155*$P$225+H155*$P$226+I155*$P$227+J155*$P$228+K155*$P$229)*$T$218</f>
        <v>0</v>
      </c>
      <c r="N155" s="38" t="s">
        <v>167</v>
      </c>
      <c r="X155" s="1" t="n">
        <f aca="false">COUNTIF($L$2:L155,"&lt;&gt;"&amp;"")</f>
        <v>20</v>
      </c>
      <c r="Y155" s="1" t="n">
        <f aca="false">SUMIF($X$2:$X$214,X155,$A$2:$A$214)</f>
        <v>6702477.14876033</v>
      </c>
      <c r="AB155" s="37" t="b">
        <f aca="false">TRUE()</f>
        <v>1</v>
      </c>
      <c r="AC155" s="1" t="n">
        <f aca="false">IF(L155="",0,IF(AB155=FALSE(),0,Y155))</f>
        <v>0</v>
      </c>
    </row>
    <row r="156" customFormat="false" ht="12.75" hidden="false" customHeight="true" outlineLevel="0" collapsed="false">
      <c r="A156" s="1" t="n">
        <f aca="false">(B156*$P$220+C156*$P$221+D156*$P$222+E156*$P$223+F156*$P$224+G156*$P$225+H156*$P$226+I156*$P$227+J156*$P$228+K156*$P$229)*$T$218</f>
        <v>1150059.50413223</v>
      </c>
      <c r="B156" s="1" t="n">
        <v>1.5</v>
      </c>
      <c r="M156" s="33" t="s">
        <v>168</v>
      </c>
      <c r="X156" s="1" t="n">
        <f aca="false">COUNTIF($L$2:L156,"&lt;&gt;"&amp;"")</f>
        <v>20</v>
      </c>
      <c r="Y156" s="1" t="n">
        <f aca="false">SUMIF($X$2:$X$214,X156,$A$2:$A$214)</f>
        <v>6702477.14876033</v>
      </c>
      <c r="AB156" s="37" t="b">
        <f aca="false">TRUE()</f>
        <v>1</v>
      </c>
      <c r="AC156" s="1" t="n">
        <f aca="false">IF(L156="",0,IF(AB156=FALSE(),0,Y156))</f>
        <v>0</v>
      </c>
    </row>
    <row r="157" customFormat="false" ht="12.75" hidden="false" customHeight="true" outlineLevel="0" collapsed="false">
      <c r="A157" s="1" t="n">
        <f aca="false">(B157*$P$220+C157*$P$221+D157*$P$222+E157*$P$223+F157*$P$224+G157*$P$225+H157*$P$226+I157*$P$227+J157*$P$228+K157*$P$229)*$T$218</f>
        <v>0</v>
      </c>
      <c r="N157" s="38" t="s">
        <v>169</v>
      </c>
      <c r="X157" s="1" t="n">
        <f aca="false">COUNTIF($L$2:L157,"&lt;&gt;"&amp;"")</f>
        <v>20</v>
      </c>
      <c r="Y157" s="1" t="n">
        <f aca="false">SUMIF($X$2:$X$214,X157,$A$2:$A$214)</f>
        <v>6702477.14876033</v>
      </c>
      <c r="AB157" s="37" t="b">
        <f aca="false">TRUE()</f>
        <v>1</v>
      </c>
      <c r="AC157" s="1" t="n">
        <f aca="false">IF(L157="",0,IF(AB157=FALSE(),0,Y157))</f>
        <v>0</v>
      </c>
    </row>
    <row r="158" customFormat="false" ht="12.75" hidden="false" customHeight="true" outlineLevel="0" collapsed="false">
      <c r="A158" s="1" t="n">
        <f aca="false">(B158*$P$220+C158*$P$221+D158*$P$222+E158*$P$223+F158*$P$224+G158*$P$225+H158*$P$226+I158*$P$227+J158*$P$228+K158*$P$229)*$T$218</f>
        <v>1150059.50413223</v>
      </c>
      <c r="B158" s="1" t="n">
        <v>1.5</v>
      </c>
      <c r="M158" s="33" t="s">
        <v>170</v>
      </c>
      <c r="X158" s="1" t="n">
        <f aca="false">COUNTIF($L$2:L158,"&lt;&gt;"&amp;"")</f>
        <v>20</v>
      </c>
      <c r="Y158" s="1" t="n">
        <f aca="false">SUMIF($X$2:$X$214,X158,$A$2:$A$214)</f>
        <v>6702477.14876033</v>
      </c>
      <c r="AB158" s="37" t="b">
        <f aca="false">TRUE()</f>
        <v>1</v>
      </c>
      <c r="AC158" s="1" t="n">
        <f aca="false">IF(L158="",0,IF(AB158=FALSE(),0,Y158))</f>
        <v>0</v>
      </c>
    </row>
    <row r="159" customFormat="false" ht="12.75" hidden="false" customHeight="true" outlineLevel="0" collapsed="false">
      <c r="A159" s="1" t="n">
        <f aca="false">(B159*$P$220+C159*$P$221+D159*$P$222+E159*$P$223+F159*$P$224+G159*$P$225+H159*$P$226+I159*$P$227+J159*$P$228+K159*$P$229)*$T$218</f>
        <v>0</v>
      </c>
      <c r="N159" s="38" t="s">
        <v>171</v>
      </c>
      <c r="X159" s="1" t="n">
        <f aca="false">COUNTIF($L$2:L159,"&lt;&gt;"&amp;"")</f>
        <v>20</v>
      </c>
      <c r="Y159" s="1" t="n">
        <f aca="false">SUMIF($X$2:$X$214,X159,$A$2:$A$214)</f>
        <v>6702477.14876033</v>
      </c>
      <c r="AB159" s="37" t="b">
        <f aca="false">TRUE()</f>
        <v>1</v>
      </c>
      <c r="AC159" s="1" t="n">
        <f aca="false">IF(L159="",0,IF(AB159=FALSE(),0,Y159))</f>
        <v>0</v>
      </c>
    </row>
    <row r="160" customFormat="false" ht="12.75" hidden="false" customHeight="true" outlineLevel="0" collapsed="false">
      <c r="A160" s="1" t="n">
        <f aca="false">(B160*$P$220+C160*$P$221+D160*$P$222+E160*$P$223+F160*$P$224+G160*$P$225+H160*$P$226+I160*$P$227+J160*$P$228+K160*$P$229)*$T$218</f>
        <v>1176030.85399449</v>
      </c>
      <c r="E160" s="1" t="n">
        <v>2</v>
      </c>
      <c r="M160" s="33" t="s">
        <v>172</v>
      </c>
      <c r="X160" s="1" t="n">
        <f aca="false">COUNTIF($L$2:L160,"&lt;&gt;"&amp;"")</f>
        <v>20</v>
      </c>
      <c r="Y160" s="1" t="n">
        <f aca="false">SUMIF($X$2:$X$214,X160,$A$2:$A$214)</f>
        <v>6702477.14876033</v>
      </c>
      <c r="AB160" s="37" t="b">
        <f aca="false">TRUE()</f>
        <v>1</v>
      </c>
      <c r="AC160" s="1" t="n">
        <f aca="false">IF(L160="",0,IF(AB160=FALSE(),0,Y160))</f>
        <v>0</v>
      </c>
    </row>
    <row r="161" customFormat="false" ht="12.75" hidden="false" customHeight="true" outlineLevel="0" collapsed="false">
      <c r="A161" s="1" t="n">
        <f aca="false">(B161*$P$220+C161*$P$221+D161*$P$222+E161*$P$223+F161*$P$224+G161*$P$225+H161*$P$226+I161*$P$227+J161*$P$228+K161*$P$229)*$T$218</f>
        <v>0</v>
      </c>
      <c r="N161" s="38" t="s">
        <v>173</v>
      </c>
      <c r="X161" s="1" t="n">
        <f aca="false">COUNTIF($L$2:L161,"&lt;&gt;"&amp;"")</f>
        <v>20</v>
      </c>
      <c r="Y161" s="1" t="n">
        <f aca="false">SUMIF($X$2:$X$214,X161,$A$2:$A$214)</f>
        <v>6702477.14876033</v>
      </c>
      <c r="AB161" s="37" t="b">
        <f aca="false">TRUE()</f>
        <v>1</v>
      </c>
      <c r="AC161" s="1" t="n">
        <f aca="false">IF(L161="",0,IF(AB161=FALSE(),0,Y161))</f>
        <v>0</v>
      </c>
    </row>
    <row r="162" customFormat="false" ht="12.75" hidden="false" customHeight="true" outlineLevel="0" collapsed="false">
      <c r="A162" s="1" t="n">
        <f aca="false">(B162*$P$220+C162*$P$221+D162*$P$222+E162*$P$223+F162*$P$224+G162*$P$225+H162*$P$226+I162*$P$227+J162*$P$228+K162*$P$229)*$T$218</f>
        <v>1150059.50413223</v>
      </c>
      <c r="B162" s="1" t="n">
        <v>1.5</v>
      </c>
      <c r="M162" s="33" t="s">
        <v>174</v>
      </c>
      <c r="X162" s="1" t="n">
        <f aca="false">COUNTIF($L$2:L162,"&lt;&gt;"&amp;"")</f>
        <v>20</v>
      </c>
      <c r="Y162" s="1" t="n">
        <f aca="false">SUMIF($X$2:$X$214,X162,$A$2:$A$214)</f>
        <v>6702477.14876033</v>
      </c>
      <c r="AB162" s="37" t="b">
        <f aca="false">TRUE()</f>
        <v>1</v>
      </c>
      <c r="AC162" s="1" t="n">
        <f aca="false">IF(L162="",0,IF(AB162=FALSE(),0,Y162))</f>
        <v>0</v>
      </c>
    </row>
    <row r="163" customFormat="false" ht="12.75" hidden="false" customHeight="true" outlineLevel="0" collapsed="false">
      <c r="A163" s="1" t="n">
        <f aca="false">(B163*$P$220+C163*$P$221+D163*$P$222+E163*$P$223+F163*$P$224+G163*$P$225+H163*$P$226+I163*$P$227+J163*$P$228+K163*$P$229)*$T$218</f>
        <v>0</v>
      </c>
      <c r="N163" s="38" t="s">
        <v>175</v>
      </c>
      <c r="X163" s="1" t="n">
        <f aca="false">COUNTIF($L$2:L163,"&lt;&gt;"&amp;"")</f>
        <v>20</v>
      </c>
      <c r="Y163" s="1" t="n">
        <f aca="false">SUMIF($X$2:$X$214,X163,$A$2:$A$214)</f>
        <v>6702477.14876033</v>
      </c>
      <c r="AB163" s="37" t="b">
        <f aca="false">TRUE()</f>
        <v>1</v>
      </c>
      <c r="AC163" s="1" t="n">
        <f aca="false">IF(L163="",0,IF(AB163=FALSE(),0,Y163))</f>
        <v>0</v>
      </c>
    </row>
    <row r="164" customFormat="false" ht="12.75" hidden="false" customHeight="true" outlineLevel="0" collapsed="false">
      <c r="A164" s="1" t="n">
        <f aca="false">(B164*$P$220+C164*$P$221+D164*$P$222+E164*$P$223+F164*$P$224+G164*$P$225+H164*$P$226+I164*$P$227+J164*$P$228+K164*$P$229)*$T$218</f>
        <v>606229.214876033</v>
      </c>
      <c r="H164" s="1" t="n">
        <v>1.5</v>
      </c>
      <c r="M164" s="33" t="s">
        <v>176</v>
      </c>
      <c r="X164" s="1" t="n">
        <f aca="false">COUNTIF($L$2:L164,"&lt;&gt;"&amp;"")</f>
        <v>20</v>
      </c>
      <c r="Y164" s="1" t="n">
        <f aca="false">SUMIF($X$2:$X$214,X164,$A$2:$A$214)</f>
        <v>6702477.14876033</v>
      </c>
      <c r="AB164" s="37" t="b">
        <f aca="false">TRUE()</f>
        <v>1</v>
      </c>
      <c r="AC164" s="1" t="n">
        <f aca="false">IF(L164="",0,IF(AB164=FALSE(),0,Y164))</f>
        <v>0</v>
      </c>
    </row>
    <row r="165" customFormat="false" ht="12.75" hidden="false" customHeight="true" outlineLevel="0" collapsed="false">
      <c r="A165" s="1" t="n">
        <f aca="false">(B165*$P$220+C165*$P$221+D165*$P$222+E165*$P$223+F165*$P$224+G165*$P$225+H165*$P$226+I165*$P$227+J165*$P$228+K165*$P$229)*$T$218</f>
        <v>0</v>
      </c>
      <c r="N165" s="38" t="s">
        <v>177</v>
      </c>
      <c r="X165" s="1" t="n">
        <f aca="false">COUNTIF($L$2:L165,"&lt;&gt;"&amp;"")</f>
        <v>20</v>
      </c>
      <c r="Y165" s="1" t="n">
        <f aca="false">SUMIF($X$2:$X$214,X165,$A$2:$A$214)</f>
        <v>6702477.14876033</v>
      </c>
      <c r="AB165" s="37" t="b">
        <f aca="false">TRUE()</f>
        <v>1</v>
      </c>
      <c r="AC165" s="1" t="n">
        <f aca="false">IF(L165="",0,IF(AB165=FALSE(),0,Y165))</f>
        <v>0</v>
      </c>
    </row>
    <row r="166" customFormat="false" ht="12.75" hidden="false" customHeight="true" outlineLevel="0" collapsed="false">
      <c r="A166" s="1" t="n">
        <f aca="false">(B166*$P$220+C166*$P$221+D166*$P$222+E166*$P$223+F166*$P$224+G166*$P$225+H166*$P$226+I166*$P$227+J166*$P$228+K166*$P$229)*$T$218</f>
        <v>0</v>
      </c>
      <c r="L166" s="39" t="s">
        <v>178</v>
      </c>
      <c r="X166" s="1" t="n">
        <f aca="false">COUNTIF($L$2:L166,"&lt;&gt;"&amp;"")</f>
        <v>21</v>
      </c>
      <c r="Y166" s="1" t="n">
        <f aca="false">SUMIF($X$2:$X$214,X166,$A$2:$A$214)</f>
        <v>7171808.12672176</v>
      </c>
      <c r="AB166" s="37" t="b">
        <f aca="false">TRUE()</f>
        <v>1</v>
      </c>
      <c r="AC166" s="1" t="n">
        <f aca="false">IF(L166="",0,IF(AB166=FALSE(),0,Y166))</f>
        <v>7171808.12672176</v>
      </c>
    </row>
    <row r="167" customFormat="false" ht="12.75" hidden="false" customHeight="true" outlineLevel="0" collapsed="false">
      <c r="A167" s="1" t="n">
        <f aca="false">(B167*$P$220+C167*$P$221+D167*$P$222+E167*$P$223+F167*$P$224+G167*$P$225+H167*$P$226+I167*$P$227+J167*$P$228+K167*$P$229)*$T$218</f>
        <v>1150059.50413223</v>
      </c>
      <c r="B167" s="1" t="n">
        <v>1.5</v>
      </c>
      <c r="M167" s="33" t="s">
        <v>179</v>
      </c>
      <c r="X167" s="1" t="n">
        <f aca="false">COUNTIF($L$2:L167,"&lt;&gt;"&amp;"")</f>
        <v>21</v>
      </c>
      <c r="Y167" s="1" t="n">
        <f aca="false">SUMIF($X$2:$X$214,X167,$A$2:$A$214)</f>
        <v>7171808.12672176</v>
      </c>
      <c r="AB167" s="37" t="b">
        <f aca="false">TRUE()</f>
        <v>1</v>
      </c>
      <c r="AC167" s="1" t="n">
        <f aca="false">IF(L167="",0,IF(AB167=FALSE(),0,Y167))</f>
        <v>0</v>
      </c>
    </row>
    <row r="168" customFormat="false" ht="15.75" hidden="false" customHeight="true" outlineLevel="0" collapsed="false">
      <c r="A168" s="1" t="n">
        <f aca="false">(B168*$P$220+C168*$P$221+D168*$P$222+E168*$P$223+F168*$P$224+G168*$P$225+H168*$P$226+I168*$P$227+J168*$P$228+K168*$P$229)*$T$218</f>
        <v>0</v>
      </c>
      <c r="N168" s="38" t="s">
        <v>180</v>
      </c>
      <c r="X168" s="1" t="n">
        <f aca="false">COUNTIF($L$2:L168,"&lt;&gt;"&amp;"")</f>
        <v>21</v>
      </c>
      <c r="Y168" s="1" t="n">
        <f aca="false">SUMIF($X$2:$X$214,X168,$A$2:$A$214)</f>
        <v>7171808.12672176</v>
      </c>
      <c r="AB168" s="37" t="b">
        <f aca="false">TRUE()</f>
        <v>1</v>
      </c>
      <c r="AC168" s="1" t="n">
        <f aca="false">IF(L168="",0,IF(AB168=FALSE(),0,Y168))</f>
        <v>0</v>
      </c>
    </row>
    <row r="169" customFormat="false" ht="15.75" hidden="false" customHeight="true" outlineLevel="0" collapsed="false">
      <c r="A169" s="1" t="n">
        <f aca="false">(B169*$P$220+C169*$P$221+D169*$P$222+E169*$P$223+F169*$P$224+G169*$P$225+H169*$P$226+I169*$P$227+J169*$P$228+K169*$P$229)*$T$218</f>
        <v>882023.140495868</v>
      </c>
      <c r="E169" s="1" t="n">
        <v>1.5</v>
      </c>
      <c r="M169" s="33" t="s">
        <v>181</v>
      </c>
      <c r="X169" s="1" t="n">
        <f aca="false">COUNTIF($L$2:L169,"&lt;&gt;"&amp;"")</f>
        <v>21</v>
      </c>
      <c r="Y169" s="1" t="n">
        <f aca="false">SUMIF($X$2:$X$214,X169,$A$2:$A$214)</f>
        <v>7171808.12672176</v>
      </c>
      <c r="AB169" s="37" t="b">
        <f aca="false">TRUE()</f>
        <v>1</v>
      </c>
      <c r="AC169" s="1" t="n">
        <f aca="false">IF(L169="",0,IF(AB169=FALSE(),0,Y169))</f>
        <v>0</v>
      </c>
    </row>
    <row r="170" customFormat="false" ht="15.75" hidden="false" customHeight="true" outlineLevel="0" collapsed="false">
      <c r="A170" s="1" t="n">
        <f aca="false">(B170*$P$220+C170*$P$221+D170*$P$222+E170*$P$223+F170*$P$224+G170*$P$225+H170*$P$226+I170*$P$227+J170*$P$228+K170*$P$229)*$T$218</f>
        <v>0</v>
      </c>
      <c r="N170" s="38" t="s">
        <v>182</v>
      </c>
      <c r="X170" s="1" t="n">
        <f aca="false">COUNTIF($L$2:L170,"&lt;&gt;"&amp;"")</f>
        <v>21</v>
      </c>
      <c r="Y170" s="1" t="n">
        <f aca="false">SUMIF($X$2:$X$214,X170,$A$2:$A$214)</f>
        <v>7171808.12672176</v>
      </c>
      <c r="AB170" s="37" t="b">
        <f aca="false">TRUE()</f>
        <v>1</v>
      </c>
      <c r="AC170" s="1" t="n">
        <f aca="false">IF(L170="",0,IF(AB170=FALSE(),0,Y170))</f>
        <v>0</v>
      </c>
    </row>
    <row r="171" customFormat="false" ht="15.75" hidden="false" customHeight="true" outlineLevel="0" collapsed="false">
      <c r="A171" s="1" t="n">
        <f aca="false">(B171*$P$220+C171*$P$221+D171*$P$222+E171*$P$223+F171*$P$224+G171*$P$225+H171*$P$226+I171*$P$227+J171*$P$228+K171*$P$229)*$T$218</f>
        <v>588015.426997245</v>
      </c>
      <c r="E171" s="1" t="n">
        <v>1</v>
      </c>
      <c r="M171" s="33" t="s">
        <v>183</v>
      </c>
      <c r="X171" s="1" t="n">
        <f aca="false">COUNTIF($L$2:L171,"&lt;&gt;"&amp;"")</f>
        <v>21</v>
      </c>
      <c r="Y171" s="1" t="n">
        <f aca="false">SUMIF($X$2:$X$214,X171,$A$2:$A$214)</f>
        <v>7171808.12672176</v>
      </c>
      <c r="AB171" s="37" t="b">
        <f aca="false">TRUE()</f>
        <v>1</v>
      </c>
      <c r="AC171" s="1" t="n">
        <f aca="false">IF(L171="",0,IF(AB171=FALSE(),0,Y171))</f>
        <v>0</v>
      </c>
    </row>
    <row r="172" customFormat="false" ht="15.75" hidden="false" customHeight="true" outlineLevel="0" collapsed="false">
      <c r="A172" s="1" t="n">
        <f aca="false">(B172*$P$220+C172*$P$221+D172*$P$222+E172*$P$223+F172*$P$224+G172*$P$225+H172*$P$226+I172*$P$227+J172*$P$228+K172*$P$229)*$T$218</f>
        <v>0</v>
      </c>
      <c r="N172" s="38" t="s">
        <v>184</v>
      </c>
      <c r="X172" s="1" t="n">
        <f aca="false">COUNTIF($L$2:L172,"&lt;&gt;"&amp;"")</f>
        <v>21</v>
      </c>
      <c r="Y172" s="1" t="n">
        <f aca="false">SUMIF($X$2:$X$214,X172,$A$2:$A$214)</f>
        <v>7171808.12672176</v>
      </c>
      <c r="AB172" s="37" t="b">
        <f aca="false">TRUE()</f>
        <v>1</v>
      </c>
      <c r="AC172" s="1" t="n">
        <f aca="false">IF(L172="",0,IF(AB172=FALSE(),0,Y172))</f>
        <v>0</v>
      </c>
    </row>
    <row r="173" customFormat="false" ht="15.75" hidden="false" customHeight="true" outlineLevel="0" collapsed="false">
      <c r="A173" s="1" t="n">
        <f aca="false">(B173*$P$220+C173*$P$221+D173*$P$222+E173*$P$223+F173*$P$224+G173*$P$225+H173*$P$226+I173*$P$227+J173*$P$228+K173*$P$229)*$T$218</f>
        <v>1785039.31129477</v>
      </c>
      <c r="E173" s="1" t="n">
        <v>1.5</v>
      </c>
      <c r="F173" s="1" t="n">
        <v>1</v>
      </c>
      <c r="G173" s="1" t="n">
        <v>1</v>
      </c>
      <c r="M173" s="33" t="s">
        <v>185</v>
      </c>
      <c r="X173" s="1" t="n">
        <f aca="false">COUNTIF($L$2:L173,"&lt;&gt;"&amp;"")</f>
        <v>21</v>
      </c>
      <c r="Y173" s="1" t="n">
        <f aca="false">SUMIF($X$2:$X$214,X173,$A$2:$A$214)</f>
        <v>7171808.12672176</v>
      </c>
      <c r="AB173" s="37" t="b">
        <f aca="false">TRUE()</f>
        <v>1</v>
      </c>
      <c r="AC173" s="1" t="n">
        <f aca="false">IF(L173="",0,IF(AB173=FALSE(),0,Y173))</f>
        <v>0</v>
      </c>
    </row>
    <row r="174" customFormat="false" ht="15.75" hidden="false" customHeight="true" outlineLevel="0" collapsed="false">
      <c r="A174" s="1" t="n">
        <f aca="false">(B174*$P$220+C174*$P$221+D174*$P$222+E174*$P$223+F174*$P$224+G174*$P$225+H174*$P$226+I174*$P$227+J174*$P$228+K174*$P$229)*$T$218</f>
        <v>0</v>
      </c>
      <c r="N174" s="38" t="s">
        <v>186</v>
      </c>
      <c r="X174" s="1" t="n">
        <f aca="false">COUNTIF($L$2:L174,"&lt;&gt;"&amp;"")</f>
        <v>21</v>
      </c>
      <c r="Y174" s="1" t="n">
        <f aca="false">SUMIF($X$2:$X$214,X174,$A$2:$A$214)</f>
        <v>7171808.12672176</v>
      </c>
      <c r="AB174" s="37" t="b">
        <f aca="false">TRUE()</f>
        <v>1</v>
      </c>
      <c r="AC174" s="1" t="n">
        <f aca="false">IF(L174="",0,IF(AB174=FALSE(),0,Y174))</f>
        <v>0</v>
      </c>
    </row>
    <row r="175" customFormat="false" ht="15.75" hidden="false" customHeight="true" outlineLevel="0" collapsed="false">
      <c r="A175" s="1" t="n">
        <f aca="false">(B175*$P$220+C175*$P$221+D175*$P$222+E175*$P$223+F175*$P$224+G175*$P$225+H175*$P$226+I175*$P$227+J175*$P$228+K175*$P$229)*$T$218</f>
        <v>1150059.50413223</v>
      </c>
      <c r="B175" s="1" t="n">
        <v>1.5</v>
      </c>
      <c r="M175" s="33" t="s">
        <v>187</v>
      </c>
      <c r="X175" s="1" t="n">
        <f aca="false">COUNTIF($L$2:L175,"&lt;&gt;"&amp;"")</f>
        <v>21</v>
      </c>
      <c r="Y175" s="1" t="n">
        <f aca="false">SUMIF($X$2:$X$214,X175,$A$2:$A$214)</f>
        <v>7171808.12672176</v>
      </c>
      <c r="AB175" s="37" t="b">
        <f aca="false">TRUE()</f>
        <v>1</v>
      </c>
      <c r="AC175" s="1" t="n">
        <f aca="false">IF(L175="",0,IF(AB175=FALSE(),0,Y175))</f>
        <v>0</v>
      </c>
    </row>
    <row r="176" customFormat="false" ht="15.75" hidden="false" customHeight="true" outlineLevel="0" collapsed="false">
      <c r="A176" s="1" t="n">
        <f aca="false">(B176*$P$220+C176*$P$221+D176*$P$222+E176*$P$223+F176*$P$224+G176*$P$225+H176*$P$226+I176*$P$227+J176*$P$228+K176*$P$229)*$T$218</f>
        <v>0</v>
      </c>
      <c r="N176" s="38" t="s">
        <v>188</v>
      </c>
      <c r="X176" s="1" t="n">
        <f aca="false">COUNTIF($L$2:L176,"&lt;&gt;"&amp;"")</f>
        <v>21</v>
      </c>
      <c r="Y176" s="1" t="n">
        <f aca="false">SUMIF($X$2:$X$214,X176,$A$2:$A$214)</f>
        <v>7171808.12672176</v>
      </c>
      <c r="AB176" s="37" t="b">
        <f aca="false">TRUE()</f>
        <v>1</v>
      </c>
      <c r="AC176" s="1" t="n">
        <f aca="false">IF(L176="",0,IF(AB176=FALSE(),0,Y176))</f>
        <v>0</v>
      </c>
    </row>
    <row r="177" customFormat="false" ht="15.75" hidden="false" customHeight="true" outlineLevel="0" collapsed="false">
      <c r="A177" s="1" t="n">
        <f aca="false">(B177*$P$220+C177*$P$221+D177*$P$222+E177*$P$223+F177*$P$224+G177*$P$225+H177*$P$226+I177*$P$227+J177*$P$228+K177*$P$229)*$T$218</f>
        <v>1616611.23966942</v>
      </c>
      <c r="H177" s="1" t="n">
        <v>4</v>
      </c>
      <c r="M177" s="33" t="s">
        <v>189</v>
      </c>
      <c r="X177" s="1" t="n">
        <f aca="false">COUNTIF($L$2:L177,"&lt;&gt;"&amp;"")</f>
        <v>21</v>
      </c>
      <c r="Y177" s="1" t="n">
        <f aca="false">SUMIF($X$2:$X$214,X177,$A$2:$A$214)</f>
        <v>7171808.12672176</v>
      </c>
      <c r="AB177" s="37" t="b">
        <f aca="false">TRUE()</f>
        <v>1</v>
      </c>
      <c r="AC177" s="1" t="n">
        <f aca="false">IF(L177="",0,IF(AB177=FALSE(),0,Y177))</f>
        <v>0</v>
      </c>
    </row>
    <row r="178" customFormat="false" ht="15.75" hidden="false" customHeight="true" outlineLevel="0" collapsed="false">
      <c r="A178" s="1" t="n">
        <f aca="false">(B178*$P$220+C178*$P$221+D178*$P$222+E178*$P$223+F178*$P$224+G178*$P$225+H178*$P$226+I178*$P$227+J178*$P$228+K178*$P$229)*$T$218</f>
        <v>0</v>
      </c>
      <c r="N178" s="38" t="s">
        <v>190</v>
      </c>
      <c r="X178" s="1" t="n">
        <f aca="false">COUNTIF($L$2:L178,"&lt;&gt;"&amp;"")</f>
        <v>21</v>
      </c>
      <c r="Y178" s="1" t="n">
        <f aca="false">SUMIF($X$2:$X$214,X178,$A$2:$A$214)</f>
        <v>7171808.12672176</v>
      </c>
      <c r="AB178" s="37" t="b">
        <f aca="false">TRUE()</f>
        <v>1</v>
      </c>
      <c r="AC178" s="1" t="n">
        <f aca="false">IF(L178="",0,IF(AB178=FALSE(),0,Y178))</f>
        <v>0</v>
      </c>
    </row>
    <row r="179" customFormat="false" ht="15.75" hidden="false" customHeight="true" outlineLevel="0" collapsed="false">
      <c r="A179" s="1" t="n">
        <f aca="false">(B179*$P$220+C179*$P$221+D179*$P$222+E179*$P$223+F179*$P$224+G179*$P$225+H179*$P$226+I179*$P$227+J179*$P$228+K179*$P$229)*$T$218</f>
        <v>0</v>
      </c>
      <c r="L179" s="39" t="s">
        <v>191</v>
      </c>
      <c r="X179" s="1" t="n">
        <f aca="false">COUNTIF($L$2:L179,"&lt;&gt;"&amp;"")</f>
        <v>22</v>
      </c>
      <c r="Y179" s="1" t="n">
        <f aca="false">SUMIF($X$2:$X$214,X179,$A$2:$A$214)</f>
        <v>2960997.10743802</v>
      </c>
      <c r="AB179" s="37" t="b">
        <f aca="false">TRUE()</f>
        <v>1</v>
      </c>
      <c r="AC179" s="1" t="n">
        <f aca="false">IF(L179="",0,IF(AB179=FALSE(),0,Y179))</f>
        <v>2960997.10743802</v>
      </c>
    </row>
    <row r="180" customFormat="false" ht="15.75" hidden="false" customHeight="true" outlineLevel="0" collapsed="false">
      <c r="A180" s="1" t="n">
        <f aca="false">(B180*$P$220+C180*$P$221+D180*$P$222+E180*$P$223+F180*$P$224+G180*$P$225+H180*$P$226+I180*$P$227+J180*$P$228+K180*$P$229)*$T$218</f>
        <v>1216326.19834711</v>
      </c>
      <c r="G180" s="1" t="n">
        <v>1</v>
      </c>
      <c r="H180" s="1" t="n">
        <v>2</v>
      </c>
      <c r="M180" s="33" t="s">
        <v>192</v>
      </c>
      <c r="X180" s="1" t="n">
        <f aca="false">COUNTIF($L$2:L180,"&lt;&gt;"&amp;"")</f>
        <v>22</v>
      </c>
      <c r="Y180" s="1" t="n">
        <f aca="false">SUMIF($X$2:$X$214,X180,$A$2:$A$214)</f>
        <v>2960997.10743802</v>
      </c>
      <c r="AB180" s="37" t="b">
        <f aca="false">TRUE()</f>
        <v>1</v>
      </c>
      <c r="AC180" s="1" t="n">
        <f aca="false">IF(L180="",0,IF(AB180=FALSE(),0,Y180))</f>
        <v>0</v>
      </c>
    </row>
    <row r="181" customFormat="false" ht="15.75" hidden="false" customHeight="true" outlineLevel="0" collapsed="false">
      <c r="A181" s="1" t="n">
        <f aca="false">(B181*$P$220+C181*$P$221+D181*$P$222+E181*$P$223+F181*$P$224+G181*$P$225+H181*$P$226+I181*$P$227+J181*$P$228+K181*$P$229)*$T$218</f>
        <v>0</v>
      </c>
      <c r="N181" s="38" t="s">
        <v>193</v>
      </c>
      <c r="X181" s="1" t="n">
        <f aca="false">COUNTIF($L$2:L181,"&lt;&gt;"&amp;"")</f>
        <v>22</v>
      </c>
      <c r="Y181" s="1" t="n">
        <f aca="false">SUMIF($X$2:$X$214,X181,$A$2:$A$214)</f>
        <v>2960997.10743802</v>
      </c>
      <c r="AB181" s="37" t="b">
        <f aca="false">TRUE()</f>
        <v>1</v>
      </c>
      <c r="AC181" s="1" t="n">
        <f aca="false">IF(L181="",0,IF(AB181=FALSE(),0,Y181))</f>
        <v>0</v>
      </c>
    </row>
    <row r="182" customFormat="false" ht="15.75" hidden="false" customHeight="true" outlineLevel="0" collapsed="false">
      <c r="A182" s="1" t="n">
        <f aca="false">(B182*$P$220+C182*$P$221+D182*$P$222+E182*$P$223+F182*$P$224+G182*$P$225+H182*$P$226+I182*$P$227+J182*$P$228+K182*$P$229)*$T$218</f>
        <v>1340518.09917355</v>
      </c>
      <c r="E182" s="1" t="n">
        <v>1.5</v>
      </c>
      <c r="K182" s="1" t="n">
        <v>1</v>
      </c>
      <c r="M182" s="33" t="s">
        <v>194</v>
      </c>
      <c r="X182" s="1" t="n">
        <f aca="false">COUNTIF($L$2:L182,"&lt;&gt;"&amp;"")</f>
        <v>22</v>
      </c>
      <c r="Y182" s="1" t="n">
        <f aca="false">SUMIF($X$2:$X$214,X182,$A$2:$A$214)</f>
        <v>2960997.10743802</v>
      </c>
      <c r="AB182" s="37" t="b">
        <f aca="false">TRUE()</f>
        <v>1</v>
      </c>
      <c r="AC182" s="1" t="n">
        <f aca="false">IF(L182="",0,IF(AB182=FALSE(),0,Y182))</f>
        <v>0</v>
      </c>
    </row>
    <row r="183" customFormat="false" ht="15.75" hidden="false" customHeight="true" outlineLevel="0" collapsed="false">
      <c r="A183" s="1" t="n">
        <f aca="false">(B183*$P$220+C183*$P$221+D183*$P$222+E183*$P$223+F183*$P$224+G183*$P$225+H183*$P$226+I183*$P$227+J183*$P$228+K183*$P$229)*$T$218</f>
        <v>0</v>
      </c>
      <c r="N183" s="38" t="s">
        <v>195</v>
      </c>
      <c r="X183" s="1" t="n">
        <f aca="false">COUNTIF($L$2:L183,"&lt;&gt;"&amp;"")</f>
        <v>22</v>
      </c>
      <c r="Y183" s="1" t="n">
        <f aca="false">SUMIF($X$2:$X$214,X183,$A$2:$A$214)</f>
        <v>2960997.10743802</v>
      </c>
      <c r="AB183" s="37" t="b">
        <f aca="false">TRUE()</f>
        <v>1</v>
      </c>
      <c r="AC183" s="1" t="n">
        <f aca="false">IF(L183="",0,IF(AB183=FALSE(),0,Y183))</f>
        <v>0</v>
      </c>
    </row>
    <row r="184" customFormat="false" ht="15.75" hidden="false" customHeight="true" outlineLevel="0" collapsed="false">
      <c r="A184" s="1" t="n">
        <f aca="false">(B184*$P$220+C184*$P$221+D184*$P$222+E184*$P$223+F184*$P$224+G184*$P$225+H184*$P$226+I184*$P$227+J184*$P$228+K184*$P$229)*$T$218</f>
        <v>404152.809917355</v>
      </c>
      <c r="H184" s="1" t="n">
        <v>1</v>
      </c>
      <c r="M184" s="33" t="s">
        <v>196</v>
      </c>
      <c r="X184" s="1" t="n">
        <f aca="false">COUNTIF($L$2:L184,"&lt;&gt;"&amp;"")</f>
        <v>22</v>
      </c>
      <c r="Y184" s="1" t="n">
        <f aca="false">SUMIF($X$2:$X$214,X184,$A$2:$A$214)</f>
        <v>2960997.10743802</v>
      </c>
      <c r="AB184" s="37" t="b">
        <f aca="false">TRUE()</f>
        <v>1</v>
      </c>
      <c r="AC184" s="1" t="n">
        <f aca="false">IF(L184="",0,IF(AB184=FALSE(),0,Y184))</f>
        <v>0</v>
      </c>
    </row>
    <row r="185" customFormat="false" ht="15.75" hidden="false" customHeight="true" outlineLevel="0" collapsed="false">
      <c r="A185" s="1" t="n">
        <f aca="false">(B185*$P$220+C185*$P$221+D185*$P$222+E185*$P$223+F185*$P$224+G185*$P$225+H185*$P$226+I185*$P$227+J185*$P$228+K185*$P$229)*$T$218</f>
        <v>0</v>
      </c>
      <c r="N185" s="38" t="s">
        <v>197</v>
      </c>
      <c r="X185" s="1" t="n">
        <f aca="false">COUNTIF($L$2:L185,"&lt;&gt;"&amp;"")</f>
        <v>22</v>
      </c>
      <c r="Y185" s="1" t="n">
        <f aca="false">SUMIF($X$2:$X$214,X185,$A$2:$A$214)</f>
        <v>2960997.10743802</v>
      </c>
      <c r="AB185" s="37" t="b">
        <f aca="false">TRUE()</f>
        <v>1</v>
      </c>
      <c r="AC185" s="1" t="n">
        <f aca="false">IF(L185="",0,IF(AB185=FALSE(),0,Y185))</f>
        <v>0</v>
      </c>
    </row>
    <row r="186" customFormat="false" ht="15.75" hidden="false" customHeight="true" outlineLevel="0" collapsed="false">
      <c r="A186" s="1" t="n">
        <f aca="false">(B186*$P$220+C186*$P$221+D186*$P$222+E186*$P$223+F186*$P$224+G186*$P$225+H186*$P$226+I186*$P$227+J186*$P$228+K186*$P$229)*$T$218</f>
        <v>0</v>
      </c>
      <c r="L186" s="39" t="s">
        <v>198</v>
      </c>
      <c r="X186" s="1" t="n">
        <f aca="false">COUNTIF($L$2:L186,"&lt;&gt;"&amp;"")</f>
        <v>23</v>
      </c>
      <c r="Y186" s="1" t="n">
        <f aca="false">SUMIF($X$2:$X$214,X186,$A$2:$A$214)</f>
        <v>4053040.08264463</v>
      </c>
      <c r="AB186" s="37" t="b">
        <f aca="false">TRUE()</f>
        <v>1</v>
      </c>
      <c r="AC186" s="1" t="n">
        <f aca="false">IF(L186="",0,IF(AB186=FALSE(),0,Y186))</f>
        <v>4053040.08264463</v>
      </c>
    </row>
    <row r="187" customFormat="false" ht="15.75" hidden="false" customHeight="true" outlineLevel="0" collapsed="false">
      <c r="A187" s="1" t="n">
        <f aca="false">(B187*$P$220+C187*$P$221+D187*$P$222+E187*$P$223+F187*$P$224+G187*$P$225+H187*$P$226+I187*$P$227+J187*$P$228+K187*$P$229)*$T$218</f>
        <v>2028408.26446281</v>
      </c>
      <c r="B187" s="1" t="n">
        <v>2</v>
      </c>
      <c r="F187" s="1" t="n">
        <v>1</v>
      </c>
      <c r="M187" s="33" t="s">
        <v>199</v>
      </c>
      <c r="X187" s="1" t="n">
        <f aca="false">COUNTIF($L$2:L187,"&lt;&gt;"&amp;"")</f>
        <v>23</v>
      </c>
      <c r="Y187" s="1" t="n">
        <f aca="false">SUMIF($X$2:$X$214,X187,$A$2:$A$214)</f>
        <v>4053040.08264463</v>
      </c>
      <c r="AB187" s="37" t="b">
        <f aca="false">TRUE()</f>
        <v>1</v>
      </c>
      <c r="AC187" s="1" t="n">
        <f aca="false">IF(L187="",0,IF(AB187=FALSE(),0,Y187))</f>
        <v>0</v>
      </c>
    </row>
    <row r="188" customFormat="false" ht="15.75" hidden="false" customHeight="true" outlineLevel="0" collapsed="false">
      <c r="A188" s="1" t="n">
        <f aca="false">(B188*$P$220+C188*$P$221+D188*$P$222+E188*$P$223+F188*$P$224+G188*$P$225+H188*$P$226+I188*$P$227+J188*$P$228+K188*$P$229)*$T$218</f>
        <v>0</v>
      </c>
      <c r="N188" s="38" t="s">
        <v>200</v>
      </c>
      <c r="X188" s="1" t="n">
        <f aca="false">COUNTIF($L$2:L188,"&lt;&gt;"&amp;"")</f>
        <v>23</v>
      </c>
      <c r="Y188" s="1" t="n">
        <f aca="false">SUMIF($X$2:$X$214,X188,$A$2:$A$214)</f>
        <v>4053040.08264463</v>
      </c>
      <c r="AB188" s="37" t="b">
        <f aca="false">TRUE()</f>
        <v>1</v>
      </c>
      <c r="AC188" s="1" t="n">
        <f aca="false">IF(L188="",0,IF(AB188=FALSE(),0,Y188))</f>
        <v>0</v>
      </c>
    </row>
    <row r="189" customFormat="false" ht="15.75" hidden="false" customHeight="true" outlineLevel="0" collapsed="false">
      <c r="A189" s="1" t="n">
        <f aca="false">(B189*$P$220+C189*$P$221+D189*$P$222+E189*$P$223+F189*$P$224+G189*$P$225+H189*$P$226+I189*$P$227+J189*$P$228+K189*$P$229)*$T$218</f>
        <v>1620479.00826446</v>
      </c>
      <c r="G189" s="1" t="n">
        <v>1</v>
      </c>
      <c r="H189" s="1" t="n">
        <v>3</v>
      </c>
      <c r="M189" s="33" t="s">
        <v>201</v>
      </c>
      <c r="X189" s="1" t="n">
        <f aca="false">COUNTIF($L$2:L189,"&lt;&gt;"&amp;"")</f>
        <v>23</v>
      </c>
      <c r="Y189" s="1" t="n">
        <f aca="false">SUMIF($X$2:$X$214,X189,$A$2:$A$214)</f>
        <v>4053040.08264463</v>
      </c>
      <c r="AB189" s="37" t="b">
        <f aca="false">TRUE()</f>
        <v>1</v>
      </c>
      <c r="AC189" s="1" t="n">
        <f aca="false">IF(L189="",0,IF(AB189=FALSE(),0,Y189))</f>
        <v>0</v>
      </c>
    </row>
    <row r="190" customFormat="false" ht="15.75" hidden="false" customHeight="true" outlineLevel="0" collapsed="false">
      <c r="A190" s="1" t="n">
        <f aca="false">(B190*$P$220+C190*$P$221+D190*$P$222+E190*$P$223+F190*$P$224+G190*$P$225+H190*$P$226+I190*$P$227+J190*$P$228+K190*$P$229)*$T$218</f>
        <v>0</v>
      </c>
      <c r="N190" s="38" t="s">
        <v>202</v>
      </c>
      <c r="X190" s="1" t="n">
        <f aca="false">COUNTIF($L$2:L190,"&lt;&gt;"&amp;"")</f>
        <v>23</v>
      </c>
      <c r="Y190" s="1" t="n">
        <f aca="false">SUMIF($X$2:$X$214,X190,$A$2:$A$214)</f>
        <v>4053040.08264463</v>
      </c>
      <c r="AB190" s="37" t="b">
        <f aca="false">TRUE()</f>
        <v>1</v>
      </c>
      <c r="AC190" s="1" t="n">
        <f aca="false">IF(L190="",0,IF(AB190=FALSE(),0,Y190))</f>
        <v>0</v>
      </c>
    </row>
    <row r="191" customFormat="false" ht="15.75" hidden="false" customHeight="true" outlineLevel="0" collapsed="false">
      <c r="A191" s="1" t="n">
        <f aca="false">(B191*$P$220+C191*$P$221+D191*$P$222+E191*$P$223+F191*$P$224+G191*$P$225+H191*$P$226+I191*$P$227+J191*$P$228+K191*$P$229)*$T$218</f>
        <v>404152.809917355</v>
      </c>
      <c r="H191" s="1" t="n">
        <v>1</v>
      </c>
      <c r="M191" s="33" t="s">
        <v>203</v>
      </c>
      <c r="X191" s="1" t="n">
        <f aca="false">COUNTIF($L$2:L191,"&lt;&gt;"&amp;"")</f>
        <v>23</v>
      </c>
      <c r="Y191" s="1" t="n">
        <f aca="false">SUMIF($X$2:$X$214,X191,$A$2:$A$214)</f>
        <v>4053040.08264463</v>
      </c>
      <c r="AB191" s="37" t="b">
        <f aca="false">TRUE()</f>
        <v>1</v>
      </c>
      <c r="AC191" s="1" t="n">
        <f aca="false">IF(L191="",0,IF(AB191=FALSE(),0,Y191))</f>
        <v>0</v>
      </c>
    </row>
    <row r="192" customFormat="false" ht="15.75" hidden="false" customHeight="true" outlineLevel="0" collapsed="false">
      <c r="A192" s="1" t="n">
        <f aca="false">(B192*$P$220+C192*$P$221+D192*$P$222+E192*$P$223+F192*$P$224+G192*$P$225+H192*$P$226+I192*$P$227+J192*$P$228+K192*$P$229)*$T$218</f>
        <v>0</v>
      </c>
      <c r="N192" s="38" t="s">
        <v>204</v>
      </c>
      <c r="X192" s="1" t="n">
        <f aca="false">COUNTIF($L$2:L192,"&lt;&gt;"&amp;"")</f>
        <v>23</v>
      </c>
      <c r="Y192" s="1" t="n">
        <f aca="false">SUMIF($X$2:$X$214,X192,$A$2:$A$214)</f>
        <v>4053040.08264463</v>
      </c>
      <c r="AB192" s="37" t="b">
        <f aca="false">TRUE()</f>
        <v>1</v>
      </c>
      <c r="AC192" s="1" t="n">
        <f aca="false">IF(L192="",0,IF(AB192=FALSE(),0,Y192))</f>
        <v>0</v>
      </c>
    </row>
    <row r="193" customFormat="false" ht="15.75" hidden="false" customHeight="true" outlineLevel="0" collapsed="false">
      <c r="A193" s="1" t="n">
        <f aca="false">(B193*$P$220+C193*$P$221+D193*$P$222+E193*$P$223+F193*$P$224+G193*$P$225+H193*$P$226+I193*$P$227+J193*$P$228+K193*$P$229)*$T$218</f>
        <v>0</v>
      </c>
      <c r="L193" s="39" t="s">
        <v>205</v>
      </c>
      <c r="X193" s="1" t="n">
        <f aca="false">COUNTIF($L$2:L193,"&lt;&gt;"&amp;"")</f>
        <v>24</v>
      </c>
      <c r="Y193" s="1" t="n">
        <f aca="false">SUMIF($X$2:$X$214,X193,$A$2:$A$214)</f>
        <v>2222840.45454545</v>
      </c>
      <c r="AB193" s="37" t="b">
        <f aca="false">TRUE()</f>
        <v>1</v>
      </c>
      <c r="AC193" s="1" t="n">
        <f aca="false">IF(L193="",0,IF(AB193=FALSE(),0,Y193))</f>
        <v>2222840.45454545</v>
      </c>
    </row>
    <row r="194" customFormat="false" ht="15.75" hidden="false" customHeight="true" outlineLevel="0" collapsed="false">
      <c r="A194" s="1" t="n">
        <f aca="false">(B194*$P$220+C194*$P$221+D194*$P$222+E194*$P$223+F194*$P$224+G194*$P$225+H194*$P$226+I194*$P$227+J194*$P$228+K194*$P$229)*$T$218</f>
        <v>808305.619834711</v>
      </c>
      <c r="H194" s="1" t="n">
        <v>2</v>
      </c>
      <c r="M194" s="33" t="s">
        <v>206</v>
      </c>
      <c r="X194" s="1" t="n">
        <f aca="false">COUNTIF($L$2:L194,"&lt;&gt;"&amp;"")</f>
        <v>24</v>
      </c>
      <c r="Y194" s="1" t="n">
        <f aca="false">SUMIF($X$2:$X$214,X194,$A$2:$A$214)</f>
        <v>2222840.45454545</v>
      </c>
      <c r="AB194" s="37" t="b">
        <f aca="false">TRUE()</f>
        <v>1</v>
      </c>
      <c r="AC194" s="1" t="n">
        <f aca="false">IF(L194="",0,IF(AB194=FALSE(),0,Y194))</f>
        <v>0</v>
      </c>
    </row>
    <row r="195" customFormat="false" ht="15.75" hidden="false" customHeight="true" outlineLevel="0" collapsed="false">
      <c r="A195" s="1" t="n">
        <f aca="false">(B195*$P$220+C195*$P$221+D195*$P$222+E195*$P$223+F195*$P$224+G195*$P$225+H195*$P$226+I195*$P$227+J195*$P$228+K195*$P$229)*$T$218</f>
        <v>0</v>
      </c>
      <c r="N195" s="38" t="s">
        <v>207</v>
      </c>
      <c r="X195" s="1" t="n">
        <f aca="false">COUNTIF($L$2:L195,"&lt;&gt;"&amp;"")</f>
        <v>24</v>
      </c>
      <c r="Y195" s="1" t="n">
        <f aca="false">SUMIF($X$2:$X$214,X195,$A$2:$A$214)</f>
        <v>2222840.45454545</v>
      </c>
      <c r="AB195" s="37" t="b">
        <f aca="false">TRUE()</f>
        <v>1</v>
      </c>
      <c r="AC195" s="1" t="n">
        <f aca="false">IF(L195="",0,IF(AB195=FALSE(),0,Y195))</f>
        <v>0</v>
      </c>
    </row>
    <row r="196" customFormat="false" ht="15.75" hidden="false" customHeight="true" outlineLevel="0" collapsed="false">
      <c r="A196" s="1" t="n">
        <f aca="false">(B196*$P$220+C196*$P$221+D196*$P$222+E196*$P$223+F196*$P$224+G196*$P$225+H196*$P$226+I196*$P$227+J196*$P$228+K196*$P$229)*$T$218</f>
        <v>606229.214876033</v>
      </c>
      <c r="H196" s="1" t="n">
        <v>1.5</v>
      </c>
      <c r="M196" s="33" t="s">
        <v>208</v>
      </c>
      <c r="X196" s="1" t="n">
        <f aca="false">COUNTIF($L$2:L196,"&lt;&gt;"&amp;"")</f>
        <v>24</v>
      </c>
      <c r="Y196" s="1" t="n">
        <f aca="false">SUMIF($X$2:$X$214,X196,$A$2:$A$214)</f>
        <v>2222840.45454545</v>
      </c>
      <c r="AB196" s="37" t="b">
        <f aca="false">TRUE()</f>
        <v>1</v>
      </c>
      <c r="AC196" s="1" t="n">
        <f aca="false">IF(L196="",0,IF(AB196=FALSE(),0,Y196))</f>
        <v>0</v>
      </c>
    </row>
    <row r="197" customFormat="false" ht="15.75" hidden="false" customHeight="true" outlineLevel="0" collapsed="false">
      <c r="A197" s="1" t="n">
        <f aca="false">(B197*$P$220+C197*$P$221+D197*$P$222+E197*$P$223+F197*$P$224+G197*$P$225+H197*$P$226+I197*$P$227+J197*$P$228+K197*$P$229)*$T$218</f>
        <v>0</v>
      </c>
      <c r="N197" s="38" t="s">
        <v>209</v>
      </c>
      <c r="X197" s="1" t="n">
        <f aca="false">COUNTIF($L$2:L197,"&lt;&gt;"&amp;"")</f>
        <v>24</v>
      </c>
      <c r="Y197" s="1" t="n">
        <f aca="false">SUMIF($X$2:$X$214,X197,$A$2:$A$214)</f>
        <v>2222840.45454545</v>
      </c>
      <c r="AB197" s="37" t="b">
        <f aca="false">TRUE()</f>
        <v>1</v>
      </c>
      <c r="AC197" s="1" t="n">
        <f aca="false">IF(L197="",0,IF(AB197=FALSE(),0,Y197))</f>
        <v>0</v>
      </c>
    </row>
    <row r="198" customFormat="false" ht="15.75" hidden="false" customHeight="true" outlineLevel="0" collapsed="false">
      <c r="A198" s="1" t="n">
        <f aca="false">(B198*$P$220+C198*$P$221+D198*$P$222+E198*$P$223+F198*$P$224+G198*$P$225+H198*$P$226+I198*$P$227+J198*$P$228+K198*$P$229)*$T$218</f>
        <v>404152.809917355</v>
      </c>
      <c r="H198" s="1" t="n">
        <v>1</v>
      </c>
      <c r="M198" s="33" t="s">
        <v>210</v>
      </c>
      <c r="X198" s="1" t="n">
        <f aca="false">COUNTIF($L$2:L198,"&lt;&gt;"&amp;"")</f>
        <v>24</v>
      </c>
      <c r="Y198" s="1" t="n">
        <f aca="false">SUMIF($X$2:$X$214,X198,$A$2:$A$214)</f>
        <v>2222840.45454545</v>
      </c>
      <c r="AB198" s="37" t="b">
        <f aca="false">TRUE()</f>
        <v>1</v>
      </c>
      <c r="AC198" s="1" t="n">
        <f aca="false">IF(L198="",0,IF(AB198=FALSE(),0,Y198))</f>
        <v>0</v>
      </c>
    </row>
    <row r="199" customFormat="false" ht="15.75" hidden="false" customHeight="true" outlineLevel="0" collapsed="false">
      <c r="A199" s="1" t="n">
        <f aca="false">(B199*$P$220+C199*$P$221+D199*$P$222+E199*$P$223+F199*$P$224+G199*$P$225+H199*$P$226+I199*$P$227+J199*$P$228+K199*$P$229)*$T$218</f>
        <v>0</v>
      </c>
      <c r="N199" s="38" t="s">
        <v>211</v>
      </c>
      <c r="X199" s="1" t="n">
        <f aca="false">COUNTIF($L$2:L199,"&lt;&gt;"&amp;"")</f>
        <v>24</v>
      </c>
      <c r="Y199" s="1" t="n">
        <f aca="false">SUMIF($X$2:$X$214,X199,$A$2:$A$214)</f>
        <v>2222840.45454545</v>
      </c>
      <c r="AB199" s="37" t="b">
        <f aca="false">TRUE()</f>
        <v>1</v>
      </c>
      <c r="AC199" s="1" t="n">
        <f aca="false">IF(L199="",0,IF(AB199=FALSE(),0,Y199))</f>
        <v>0</v>
      </c>
    </row>
    <row r="200" customFormat="false" ht="15.75" hidden="false" customHeight="true" outlineLevel="0" collapsed="false">
      <c r="A200" s="1" t="n">
        <f aca="false">(B200*$P$220+C200*$P$221+D200*$P$222+E200*$P$223+F200*$P$224+G200*$P$225+H200*$P$226+I200*$P$227+J200*$P$228+K200*$P$229)*$T$218</f>
        <v>404152.809917355</v>
      </c>
      <c r="H200" s="1" t="n">
        <v>1</v>
      </c>
      <c r="M200" s="33" t="s">
        <v>212</v>
      </c>
      <c r="X200" s="1" t="n">
        <f aca="false">COUNTIF($L$2:L200,"&lt;&gt;"&amp;"")</f>
        <v>24</v>
      </c>
      <c r="Y200" s="1" t="n">
        <f aca="false">SUMIF($X$2:$X$214,X200,$A$2:$A$214)</f>
        <v>2222840.45454545</v>
      </c>
      <c r="AB200" s="37" t="b">
        <f aca="false">TRUE()</f>
        <v>1</v>
      </c>
      <c r="AC200" s="1" t="n">
        <f aca="false">IF(L200="",0,IF(AB200=FALSE(),0,Y200))</f>
        <v>0</v>
      </c>
    </row>
    <row r="201" customFormat="false" ht="15.75" hidden="false" customHeight="true" outlineLevel="0" collapsed="false">
      <c r="A201" s="1" t="n">
        <f aca="false">(B201*$P$220+C201*$P$221+D201*$P$222+E201*$P$223+F201*$P$224+G201*$P$225+H201*$P$226+I201*$P$227+J201*$P$228+K201*$P$229)*$T$218</f>
        <v>0</v>
      </c>
      <c r="N201" s="38" t="s">
        <v>213</v>
      </c>
      <c r="X201" s="1" t="n">
        <f aca="false">COUNTIF($L$2:L201,"&lt;&gt;"&amp;"")</f>
        <v>24</v>
      </c>
      <c r="Y201" s="1" t="n">
        <f aca="false">SUMIF($X$2:$X$214,X201,$A$2:$A$214)</f>
        <v>2222840.45454545</v>
      </c>
      <c r="AB201" s="37" t="b">
        <f aca="false">TRUE()</f>
        <v>1</v>
      </c>
      <c r="AC201" s="1" t="n">
        <f aca="false">IF(L201="",0,IF(AB201=FALSE(),0,Y201))</f>
        <v>0</v>
      </c>
    </row>
    <row r="202" customFormat="false" ht="15.75" hidden="false" customHeight="true" outlineLevel="0" collapsed="false">
      <c r="A202" s="1" t="n">
        <f aca="false">(B202*$P$220+C202*$P$221+D202*$P$222+E202*$P$223+F202*$P$224+G202*$P$225+H202*$P$226+I202*$P$227+J202*$P$228+K202*$P$229)*$T$218</f>
        <v>0</v>
      </c>
      <c r="L202" s="39" t="s">
        <v>214</v>
      </c>
      <c r="X202" s="1" t="n">
        <f aca="false">COUNTIF($L$2:L202,"&lt;&gt;"&amp;"")</f>
        <v>25</v>
      </c>
      <c r="Y202" s="1" t="n">
        <f aca="false">SUMIF($X$2:$X$214,X202,$A$2:$A$214)</f>
        <v>1818687.6446281</v>
      </c>
      <c r="AB202" s="37" t="b">
        <f aca="false">TRUE()</f>
        <v>1</v>
      </c>
      <c r="AC202" s="1" t="n">
        <f aca="false">IF(L202="",0,IF(AB202=FALSE(),0,Y202))</f>
        <v>1818687.6446281</v>
      </c>
    </row>
    <row r="203" customFormat="false" ht="15.75" hidden="false" customHeight="true" outlineLevel="0" collapsed="false">
      <c r="A203" s="1" t="n">
        <f aca="false">(B203*$P$220+C203*$P$221+D203*$P$222+E203*$P$223+F203*$P$224+G203*$P$225+H203*$P$226+I203*$P$227+J203*$P$228+K203*$P$229)*$T$218</f>
        <v>606229.214876033</v>
      </c>
      <c r="H203" s="1" t="n">
        <v>1.5</v>
      </c>
      <c r="M203" s="33" t="s">
        <v>215</v>
      </c>
      <c r="X203" s="1" t="n">
        <f aca="false">COUNTIF($L$2:L203,"&lt;&gt;"&amp;"")</f>
        <v>25</v>
      </c>
      <c r="Y203" s="1" t="n">
        <f aca="false">SUMIF($X$2:$X$214,X203,$A$2:$A$214)</f>
        <v>1818687.6446281</v>
      </c>
      <c r="AB203" s="37" t="b">
        <f aca="false">TRUE()</f>
        <v>1</v>
      </c>
      <c r="AC203" s="1" t="n">
        <f aca="false">IF(L203="",0,IF(AB203=FALSE(),0,Y203))</f>
        <v>0</v>
      </c>
    </row>
    <row r="204" customFormat="false" ht="15.75" hidden="false" customHeight="true" outlineLevel="0" collapsed="false">
      <c r="A204" s="1" t="n">
        <f aca="false">(B204*$P$220+C204*$P$221+D204*$P$222+E204*$P$223+F204*$P$224+G204*$P$225+H204*$P$226+I204*$P$227+J204*$P$228+K204*$P$229)*$T$218</f>
        <v>0</v>
      </c>
      <c r="N204" s="38" t="s">
        <v>216</v>
      </c>
      <c r="X204" s="1" t="n">
        <f aca="false">COUNTIF($L$2:L204,"&lt;&gt;"&amp;"")</f>
        <v>25</v>
      </c>
      <c r="Y204" s="1" t="n">
        <f aca="false">SUMIF($X$2:$X$214,X204,$A$2:$A$214)</f>
        <v>1818687.6446281</v>
      </c>
      <c r="AB204" s="37" t="b">
        <f aca="false">TRUE()</f>
        <v>1</v>
      </c>
      <c r="AC204" s="1" t="n">
        <f aca="false">IF(L204="",0,IF(AB204=FALSE(),0,Y204))</f>
        <v>0</v>
      </c>
    </row>
    <row r="205" customFormat="false" ht="15.75" hidden="false" customHeight="true" outlineLevel="0" collapsed="false">
      <c r="A205" s="1" t="n">
        <f aca="false">(B205*$P$220+C205*$P$221+D205*$P$222+E205*$P$223+F205*$P$224+G205*$P$225+H205*$P$226+I205*$P$227+J205*$P$228+K205*$P$229)*$T$218</f>
        <v>808305.619834711</v>
      </c>
      <c r="H205" s="1" t="n">
        <v>2</v>
      </c>
      <c r="M205" s="33" t="s">
        <v>217</v>
      </c>
      <c r="X205" s="1" t="n">
        <f aca="false">COUNTIF($L$2:L205,"&lt;&gt;"&amp;"")</f>
        <v>25</v>
      </c>
      <c r="Y205" s="1" t="n">
        <f aca="false">SUMIF($X$2:$X$214,X205,$A$2:$A$214)</f>
        <v>1818687.6446281</v>
      </c>
      <c r="AB205" s="37" t="b">
        <f aca="false">TRUE()</f>
        <v>1</v>
      </c>
      <c r="AC205" s="1" t="n">
        <f aca="false">IF(L205="",0,IF(AB205=FALSE(),0,Y205))</f>
        <v>0</v>
      </c>
    </row>
    <row r="206" customFormat="false" ht="15.75" hidden="false" customHeight="true" outlineLevel="0" collapsed="false">
      <c r="A206" s="1" t="n">
        <f aca="false">(B206*$P$220+C206*$P$221+D206*$P$222+E206*$P$223+F206*$P$224+G206*$P$225+H206*$P$226+I206*$P$227+J206*$P$228+K206*$P$229)*$T$218</f>
        <v>0</v>
      </c>
      <c r="N206" s="38" t="s">
        <v>218</v>
      </c>
      <c r="X206" s="1" t="n">
        <f aca="false">COUNTIF($L$2:L206,"&lt;&gt;"&amp;"")</f>
        <v>25</v>
      </c>
      <c r="Y206" s="1" t="n">
        <f aca="false">SUMIF($X$2:$X$214,X206,$A$2:$A$214)</f>
        <v>1818687.6446281</v>
      </c>
      <c r="AB206" s="37" t="b">
        <f aca="false">TRUE()</f>
        <v>1</v>
      </c>
      <c r="AC206" s="1" t="n">
        <f aca="false">IF(L206="",0,IF(AB206=FALSE(),0,Y206))</f>
        <v>0</v>
      </c>
    </row>
    <row r="207" customFormat="false" ht="15.75" hidden="false" customHeight="true" outlineLevel="0" collapsed="false">
      <c r="A207" s="1" t="n">
        <f aca="false">(B207*$P$220+C207*$P$221+D207*$P$222+E207*$P$223+F207*$P$224+G207*$P$225+H207*$P$226+I207*$P$227+J207*$P$228+K207*$P$229)*$T$218</f>
        <v>404152.809917355</v>
      </c>
      <c r="H207" s="1" t="n">
        <v>1</v>
      </c>
      <c r="M207" s="33" t="s">
        <v>219</v>
      </c>
      <c r="X207" s="1" t="n">
        <f aca="false">COUNTIF($L$2:L207,"&lt;&gt;"&amp;"")</f>
        <v>25</v>
      </c>
      <c r="Y207" s="1" t="n">
        <f aca="false">SUMIF($X$2:$X$214,X207,$A$2:$A$214)</f>
        <v>1818687.6446281</v>
      </c>
      <c r="AB207" s="37" t="b">
        <f aca="false">TRUE()</f>
        <v>1</v>
      </c>
      <c r="AC207" s="1" t="n">
        <f aca="false">IF(L207="",0,IF(AB207=FALSE(),0,Y207))</f>
        <v>0</v>
      </c>
    </row>
    <row r="208" customFormat="false" ht="15.75" hidden="false" customHeight="true" outlineLevel="0" collapsed="false">
      <c r="A208" s="1" t="n">
        <f aca="false">(B208*$P$220+C208*$P$221+D208*$P$222+E208*$P$223+F208*$P$224+G208*$P$225+H208*$P$226+I208*$P$227+J208*$P$228+K208*$P$229)*$T$218</f>
        <v>0</v>
      </c>
      <c r="N208" s="38" t="s">
        <v>220</v>
      </c>
      <c r="X208" s="1" t="n">
        <f aca="false">COUNTIF($L$2:L208,"&lt;&gt;"&amp;"")</f>
        <v>25</v>
      </c>
      <c r="Y208" s="1" t="n">
        <f aca="false">SUMIF($X$2:$X$214,X208,$A$2:$A$214)</f>
        <v>1818687.6446281</v>
      </c>
      <c r="AB208" s="37" t="b">
        <f aca="false">TRUE()</f>
        <v>1</v>
      </c>
      <c r="AC208" s="1" t="n">
        <f aca="false">IF(L208="",0,IF(AB208=FALSE(),0,Y208))</f>
        <v>0</v>
      </c>
    </row>
    <row r="209" customFormat="false" ht="15.75" hidden="false" customHeight="true" outlineLevel="0" collapsed="false">
      <c r="A209" s="1" t="n">
        <f aca="false">(B209*$P$220+C209*$P$221+D209*$P$222+E209*$P$223+F209*$P$224+G209*$P$225+H209*$P$226+I209*$P$227+J209*$P$228+K209*$P$229)*$T$218</f>
        <v>0</v>
      </c>
      <c r="L209" s="39" t="s">
        <v>221</v>
      </c>
      <c r="X209" s="1" t="n">
        <f aca="false">COUNTIF($L$2:L209,"&lt;&gt;"&amp;"")</f>
        <v>26</v>
      </c>
      <c r="Y209" s="1" t="n">
        <f aca="false">SUMIF($X$2:$X$214,X209,$A$2:$A$214)</f>
        <v>1212458.42975207</v>
      </c>
      <c r="AB209" s="37" t="b">
        <f aca="false">TRUE()</f>
        <v>1</v>
      </c>
      <c r="AC209" s="1" t="n">
        <f aca="false">IF(L209="",0,IF(AB209=FALSE(),0,Y209))</f>
        <v>1212458.42975207</v>
      </c>
    </row>
    <row r="210" customFormat="false" ht="15.75" hidden="false" customHeight="true" outlineLevel="0" collapsed="false">
      <c r="A210" s="1" t="n">
        <f aca="false">(B210*$P$220+C210*$P$221+D210*$P$222+E210*$P$223+F210*$P$224+G210*$P$225+H210*$P$226+I210*$P$227+J210*$P$228+K210*$P$229)*$T$218</f>
        <v>1212458.42975207</v>
      </c>
      <c r="H210" s="1" t="n">
        <v>3</v>
      </c>
      <c r="M210" s="33" t="s">
        <v>222</v>
      </c>
      <c r="X210" s="1" t="n">
        <f aca="false">COUNTIF($L$2:L210,"&lt;&gt;"&amp;"")</f>
        <v>26</v>
      </c>
      <c r="Y210" s="1" t="n">
        <f aca="false">SUMIF($X$2:$X$214,X210,$A$2:$A$214)</f>
        <v>1212458.42975207</v>
      </c>
      <c r="AB210" s="37" t="b">
        <f aca="false">TRUE()</f>
        <v>1</v>
      </c>
      <c r="AC210" s="1" t="n">
        <f aca="false">IF(L210="",0,IF(AB210=FALSE(),0,Y210))</f>
        <v>0</v>
      </c>
    </row>
    <row r="211" customFormat="false" ht="15.75" hidden="false" customHeight="true" outlineLevel="0" collapsed="false">
      <c r="A211" s="1" t="n">
        <f aca="false">(B211*$P$220+C211*$P$221+D211*$P$222+E211*$P$223+F211*$P$224+G211*$P$225+H211*$P$226+I211*$P$227+J211*$P$228+K211*$P$229)*$T$218</f>
        <v>0</v>
      </c>
      <c r="N211" s="38" t="s">
        <v>223</v>
      </c>
      <c r="X211" s="1" t="n">
        <f aca="false">COUNTIF($L$2:L211,"&lt;&gt;"&amp;"")</f>
        <v>26</v>
      </c>
      <c r="Y211" s="1" t="n">
        <f aca="false">SUMIF($X$2:$X$214,X211,$A$2:$A$214)</f>
        <v>1212458.42975207</v>
      </c>
      <c r="AB211" s="37" t="b">
        <f aca="false">TRUE()</f>
        <v>1</v>
      </c>
      <c r="AC211" s="1" t="n">
        <f aca="false">IF(L211="",0,IF(AB211=FALSE(),0,Y211))</f>
        <v>0</v>
      </c>
    </row>
    <row r="212" customFormat="false" ht="15.75" hidden="false" customHeight="true" outlineLevel="0" collapsed="false">
      <c r="A212" s="1" t="n">
        <f aca="false">(B212*$P$220+C212*$P$221+D212*$P$222+E212*$P$223+F212*$P$224+G212*$P$225+H212*$P$226+I212*$P$227+J212*$P$228+K212*$P$229)*$T$218</f>
        <v>0</v>
      </c>
      <c r="L212" s="39" t="s">
        <v>224</v>
      </c>
      <c r="X212" s="1" t="n">
        <f aca="false">COUNTIF($L$2:L212,"&lt;&gt;"&amp;"")</f>
        <v>27</v>
      </c>
      <c r="Y212" s="1" t="n">
        <f aca="false">SUMIF($X$2:$X$214,X212,$A$2:$A$214)</f>
        <v>0</v>
      </c>
      <c r="AB212" s="37" t="b">
        <f aca="false">TRUE()</f>
        <v>1</v>
      </c>
      <c r="AC212" s="1" t="n">
        <f aca="false">IF(L212="",0,IF(AB212=FALSE(),0,Y212))</f>
        <v>0</v>
      </c>
    </row>
    <row r="213" customFormat="false" ht="15.75" hidden="false" customHeight="true" outlineLevel="0" collapsed="false">
      <c r="A213" s="1" t="n">
        <f aca="false">(B213*$P$220+C213*$P$221+D213*$P$222+E213*$P$223+F213*$P$224+G213*$P$225+H213*$P$226+I213*$P$227+J213*$P$228+K213*$P$229)*$T$218</f>
        <v>0</v>
      </c>
      <c r="M213" s="33" t="s">
        <v>225</v>
      </c>
      <c r="X213" s="1" t="n">
        <f aca="false">COUNTIF($L$2:L213,"&lt;&gt;"&amp;"")</f>
        <v>27</v>
      </c>
      <c r="Y213" s="1" t="n">
        <f aca="false">SUMIF($X$2:$X$214,X213,$A$2:$A$214)</f>
        <v>0</v>
      </c>
      <c r="AB213" s="37" t="b">
        <f aca="false">TRUE()</f>
        <v>1</v>
      </c>
      <c r="AC213" s="1" t="n">
        <f aca="false">IF(L213="",0,IF(AB213=FALSE(),0,Y213))</f>
        <v>0</v>
      </c>
    </row>
    <row r="214" customFormat="false" ht="15.75" hidden="false" customHeight="true" outlineLevel="0" collapsed="false">
      <c r="A214" s="1" t="n">
        <f aca="false">(B214*$P$220+C214*$P$221+D214*$P$222+E214*$P$223+F214*$P$224+G214*$P$225+H214*$P$226+I214*$P$227+J214*$P$228+K214*$P$229)*$T$218</f>
        <v>0</v>
      </c>
      <c r="N214" s="38" t="s">
        <v>226</v>
      </c>
      <c r="X214" s="1" t="n">
        <f aca="false">COUNTIF($L$2:L214,"&lt;&gt;"&amp;"")</f>
        <v>27</v>
      </c>
      <c r="Y214" s="1" t="n">
        <f aca="false">SUMIF($X$2:$X$214,X214,$A$2:$A$214)</f>
        <v>0</v>
      </c>
      <c r="AB214" s="37" t="b">
        <f aca="false">TRUE()</f>
        <v>1</v>
      </c>
      <c r="AC214" s="1" t="n">
        <f aca="false">IF(L214="",0,IF(AB214=FALSE(),0,Y214))</f>
        <v>0</v>
      </c>
    </row>
    <row r="215" customFormat="false" ht="15.75" hidden="false" customHeight="true" outlineLevel="0" collapsed="false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1"/>
      <c r="M215" s="41"/>
      <c r="N215" s="42"/>
      <c r="O215" s="42" t="s">
        <v>227</v>
      </c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15"/>
      <c r="AE215" s="15"/>
    </row>
    <row r="216" customFormat="false" ht="15.75" hidden="false" customHeight="true" outlineLevel="0" collapsed="false">
      <c r="A216" s="43" t="n">
        <f aca="false">ROW()</f>
        <v>216</v>
      </c>
      <c r="B216" s="15" t="n">
        <f aca="false">SUM(B2:B214)</f>
        <v>44</v>
      </c>
      <c r="C216" s="15" t="n">
        <f aca="false">SUM(C2:C214)</f>
        <v>10.5</v>
      </c>
      <c r="D216" s="15" t="n">
        <f aca="false">SUM(D2:D214)</f>
        <v>1.5</v>
      </c>
      <c r="E216" s="15" t="n">
        <f aca="false">SUM(E2:E214)</f>
        <v>65.5</v>
      </c>
      <c r="F216" s="15" t="n">
        <f aca="false">SUM(F2:F214)</f>
        <v>9.5</v>
      </c>
      <c r="G216" s="15" t="n">
        <f aca="false">SUM(G2:G214)</f>
        <v>19</v>
      </c>
      <c r="H216" s="15" t="n">
        <f aca="false">SUM(H2:H214)</f>
        <v>34.5</v>
      </c>
      <c r="I216" s="15" t="n">
        <f aca="false">SUM(I2:I214)</f>
        <v>0</v>
      </c>
      <c r="J216" s="15" t="n">
        <f aca="false">SUM(J2:J214)</f>
        <v>0</v>
      </c>
      <c r="K216" s="15" t="n">
        <f aca="false">SUM(K2:K214)</f>
        <v>37</v>
      </c>
      <c r="L216" s="25"/>
      <c r="M216" s="18"/>
      <c r="N216" s="18"/>
      <c r="O216" s="18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44"/>
      <c r="AD216" s="15"/>
      <c r="AE216" s="15"/>
    </row>
    <row r="217" customFormat="false" ht="15.75" hidden="false" customHeight="true" outlineLevel="0" collapsed="false">
      <c r="A217" s="15"/>
      <c r="B217" s="15"/>
      <c r="C217" s="45"/>
      <c r="D217" s="45"/>
      <c r="E217" s="45"/>
      <c r="F217" s="45"/>
      <c r="G217" s="45"/>
      <c r="H217" s="45"/>
      <c r="I217" s="46" t="s">
        <v>228</v>
      </c>
      <c r="J217" s="46"/>
      <c r="K217" s="46"/>
      <c r="L217" s="46"/>
      <c r="M217" s="47" t="n">
        <f aca="false">400000+120000</f>
        <v>520000</v>
      </c>
      <c r="N217" s="47"/>
      <c r="O217" s="47"/>
      <c r="P217" s="15"/>
      <c r="Q217" s="15"/>
      <c r="R217" s="15"/>
      <c r="S217" s="45"/>
      <c r="T217" s="45"/>
      <c r="U217" s="45"/>
      <c r="V217" s="15"/>
      <c r="W217" s="15"/>
      <c r="X217" s="15"/>
      <c r="Y217" s="15" t="n">
        <f aca="false">Y1/0.6</f>
        <v>201083885.10101</v>
      </c>
      <c r="Z217" s="15"/>
      <c r="AA217" s="15"/>
      <c r="AB217" s="15"/>
      <c r="AC217" s="44"/>
      <c r="AD217" s="15"/>
      <c r="AE217" s="15"/>
    </row>
    <row r="218" customFormat="false" ht="15.75" hidden="false" customHeight="true" outlineLevel="0" collapsed="false">
      <c r="A218" s="15"/>
      <c r="B218" s="15"/>
      <c r="C218" s="45"/>
      <c r="D218" s="48" t="s">
        <v>229</v>
      </c>
      <c r="E218" s="49" t="n">
        <v>1750905</v>
      </c>
      <c r="F218" s="50" t="s">
        <v>230</v>
      </c>
      <c r="G218" s="51" t="n">
        <v>249095</v>
      </c>
      <c r="H218" s="45"/>
      <c r="I218" s="52" t="s">
        <v>231</v>
      </c>
      <c r="J218" s="53" t="n">
        <v>0.18</v>
      </c>
      <c r="K218" s="53"/>
      <c r="L218" s="54" t="s">
        <v>232</v>
      </c>
      <c r="M218" s="55" t="n">
        <f aca="false">2.7/12</f>
        <v>0.225</v>
      </c>
      <c r="N218" s="56" t="s">
        <v>233</v>
      </c>
      <c r="O218" s="57" t="n">
        <f aca="false">40*4.2*((244-2)/260)</f>
        <v>156.369230769231</v>
      </c>
      <c r="P218" s="45"/>
      <c r="Q218" s="52" t="s">
        <v>234</v>
      </c>
      <c r="R218" s="58" t="n">
        <v>0.4</v>
      </c>
      <c r="S218" s="45"/>
      <c r="T218" s="59" t="n">
        <v>8</v>
      </c>
      <c r="U218" s="60" t="s">
        <v>235</v>
      </c>
      <c r="V218" s="61"/>
      <c r="W218" s="15"/>
      <c r="X218" s="15"/>
      <c r="Y218" s="15"/>
      <c r="Z218" s="15"/>
      <c r="AA218" s="15"/>
      <c r="AB218" s="15"/>
      <c r="AC218" s="44"/>
      <c r="AD218" s="15"/>
      <c r="AE218" s="15"/>
    </row>
    <row r="219" customFormat="false" ht="15.75" hidden="false" customHeight="true" outlineLevel="0" collapsed="false">
      <c r="A219" s="15"/>
      <c r="B219" s="15"/>
      <c r="C219" s="62" t="s">
        <v>236</v>
      </c>
      <c r="D219" s="62"/>
      <c r="E219" s="62"/>
      <c r="F219" s="62" t="s">
        <v>237</v>
      </c>
      <c r="G219" s="62"/>
      <c r="H219" s="62"/>
      <c r="I219" s="62" t="s">
        <v>238</v>
      </c>
      <c r="J219" s="62"/>
      <c r="K219" s="62"/>
      <c r="L219" s="62"/>
      <c r="M219" s="62" t="s">
        <v>239</v>
      </c>
      <c r="N219" s="62"/>
      <c r="O219" s="62"/>
      <c r="P219" s="62" t="s">
        <v>240</v>
      </c>
      <c r="Q219" s="62"/>
      <c r="R219" s="62"/>
      <c r="S219" s="45"/>
      <c r="T219" s="45"/>
      <c r="U219" s="63" t="s">
        <v>233</v>
      </c>
      <c r="V219" s="62" t="s">
        <v>241</v>
      </c>
      <c r="W219" s="62"/>
      <c r="X219" s="62"/>
      <c r="Y219" s="15"/>
      <c r="Z219" s="15"/>
      <c r="AA219" s="15"/>
      <c r="AB219" s="15"/>
      <c r="AC219" s="44"/>
      <c r="AD219" s="15"/>
      <c r="AE219" s="15"/>
    </row>
    <row r="220" customFormat="false" ht="15.75" hidden="false" customHeight="true" outlineLevel="0" collapsed="false">
      <c r="A220" s="27" t="s">
        <v>242</v>
      </c>
      <c r="B220" s="63" t="str">
        <f aca="false">B1</f>
        <v>DB</v>
      </c>
      <c r="C220" s="64" t="n">
        <v>6480000</v>
      </c>
      <c r="D220" s="64"/>
      <c r="E220" s="64"/>
      <c r="F220" s="64" t="n">
        <v>1080000</v>
      </c>
      <c r="G220" s="64"/>
      <c r="H220" s="64"/>
      <c r="I220" s="64" t="n">
        <v>0</v>
      </c>
      <c r="J220" s="64"/>
      <c r="K220" s="64"/>
      <c r="L220" s="64"/>
      <c r="M220" s="64" t="n">
        <f aca="false">C220*(1+$J$218+$M$218)+F220+I220+$M$217+IF(($E$218*2)&gt;=C220,$G$218,0)</f>
        <v>10704400</v>
      </c>
      <c r="N220" s="64"/>
      <c r="O220" s="64"/>
      <c r="P220" s="65" t="n">
        <f aca="false">M220/$O$218*(1+$R$218)</f>
        <v>95838.2920110193</v>
      </c>
      <c r="Q220" s="65"/>
      <c r="R220" s="65"/>
      <c r="S220" s="45"/>
      <c r="T220" s="45"/>
      <c r="U220" s="15" t="n">
        <f aca="false">HLOOKUP(B220,$B$1:$K$216,$A$216,0)*$T$218</f>
        <v>352</v>
      </c>
      <c r="W220" s="66" t="n">
        <f aca="false">P220*U220</f>
        <v>33735078.7878788</v>
      </c>
      <c r="Y220" s="15"/>
      <c r="Z220" s="15"/>
      <c r="AA220" s="15"/>
      <c r="AB220" s="15"/>
      <c r="AC220" s="44"/>
      <c r="AD220" s="15"/>
      <c r="AE220" s="15"/>
    </row>
    <row r="221" customFormat="false" ht="15.75" hidden="false" customHeight="true" outlineLevel="0" collapsed="false">
      <c r="A221" s="27" t="s">
        <v>243</v>
      </c>
      <c r="B221" s="63" t="str">
        <f aca="false">C1</f>
        <v>UX</v>
      </c>
      <c r="C221" s="64" t="n">
        <v>3240000</v>
      </c>
      <c r="D221" s="64"/>
      <c r="E221" s="64"/>
      <c r="F221" s="64" t="n">
        <v>540000</v>
      </c>
      <c r="G221" s="64"/>
      <c r="H221" s="64"/>
      <c r="I221" s="64" t="n">
        <v>0</v>
      </c>
      <c r="J221" s="64"/>
      <c r="K221" s="64"/>
      <c r="L221" s="64"/>
      <c r="M221" s="64" t="n">
        <f aca="false">C221*(1+$J$218+$M$218)+F221+I221+$M$217+IF(($E$218*2)&gt;=C221,$G$218,0)</f>
        <v>5861295</v>
      </c>
      <c r="N221" s="64"/>
      <c r="O221" s="64"/>
      <c r="P221" s="65" t="n">
        <f aca="false">M221/$O$218*(1+$R$218)</f>
        <v>52477.1590909091</v>
      </c>
      <c r="Q221" s="65"/>
      <c r="R221" s="65"/>
      <c r="S221" s="45"/>
      <c r="T221" s="45"/>
      <c r="U221" s="15" t="n">
        <f aca="false">HLOOKUP(B221,$B$1:$K$216,$A$216,0)*$T$218</f>
        <v>84</v>
      </c>
      <c r="W221" s="66" t="n">
        <f aca="false">P221*U221</f>
        <v>4408081.36363636</v>
      </c>
      <c r="Y221" s="15"/>
      <c r="Z221" s="15"/>
      <c r="AA221" s="15"/>
      <c r="AB221" s="15"/>
      <c r="AC221" s="44"/>
      <c r="AD221" s="15"/>
      <c r="AE221" s="15"/>
    </row>
    <row r="222" customFormat="false" ht="15.75" hidden="false" customHeight="true" outlineLevel="0" collapsed="false">
      <c r="A222" s="27" t="s">
        <v>244</v>
      </c>
      <c r="B222" s="63" t="str">
        <f aca="false">D1</f>
        <v>FM</v>
      </c>
      <c r="C222" s="64" t="n">
        <v>3240000</v>
      </c>
      <c r="D222" s="64"/>
      <c r="E222" s="64"/>
      <c r="F222" s="64" t="n">
        <v>540000</v>
      </c>
      <c r="G222" s="64"/>
      <c r="H222" s="64"/>
      <c r="I222" s="64" t="n">
        <v>0</v>
      </c>
      <c r="J222" s="64"/>
      <c r="K222" s="64"/>
      <c r="L222" s="64"/>
      <c r="M222" s="64" t="n">
        <f aca="false">C222*(1+$J$218+$M$218)+F222+I222+$M$217+IF(($E$218*2)&gt;=C222,$G$218,0)</f>
        <v>5861295</v>
      </c>
      <c r="N222" s="64"/>
      <c r="O222" s="64"/>
      <c r="P222" s="65" t="n">
        <f aca="false">M222/$O$218*(1+$R$218)</f>
        <v>52477.1590909091</v>
      </c>
      <c r="Q222" s="65"/>
      <c r="R222" s="65"/>
      <c r="S222" s="45"/>
      <c r="T222" s="45"/>
      <c r="U222" s="15" t="n">
        <f aca="false">HLOOKUP(B222,$B$1:$K$216,$A$216,0)*$T$218</f>
        <v>12</v>
      </c>
      <c r="W222" s="66" t="n">
        <f aca="false">P222*U222</f>
        <v>629725.909090909</v>
      </c>
      <c r="Y222" s="15"/>
      <c r="Z222" s="15"/>
      <c r="AA222" s="15"/>
      <c r="AB222" s="15"/>
      <c r="AC222" s="44"/>
      <c r="AD222" s="15"/>
      <c r="AE222" s="15"/>
    </row>
    <row r="223" customFormat="false" ht="15.75" hidden="false" customHeight="true" outlineLevel="0" collapsed="false">
      <c r="A223" s="27" t="s">
        <v>245</v>
      </c>
      <c r="B223" s="63" t="str">
        <f aca="false">E1</f>
        <v>BS</v>
      </c>
      <c r="C223" s="64" t="n">
        <v>4320000</v>
      </c>
      <c r="D223" s="64"/>
      <c r="E223" s="64"/>
      <c r="F223" s="64" t="n">
        <v>1620000</v>
      </c>
      <c r="G223" s="64"/>
      <c r="H223" s="64"/>
      <c r="I223" s="64" t="n">
        <v>0</v>
      </c>
      <c r="J223" s="64"/>
      <c r="K223" s="64"/>
      <c r="L223" s="64"/>
      <c r="M223" s="64" t="n">
        <f aca="false">C223*(1+$J$218+$M$218)+F223+I223+$M$217+IF(($E$218*2)&gt;=C223,$G$218,0)</f>
        <v>8209600</v>
      </c>
      <c r="N223" s="64"/>
      <c r="O223" s="64"/>
      <c r="P223" s="65" t="n">
        <f aca="false">M223/$O$218*(1+$R$218)</f>
        <v>73501.9283746557</v>
      </c>
      <c r="Q223" s="65"/>
      <c r="R223" s="65"/>
      <c r="S223" s="45"/>
      <c r="T223" s="45"/>
      <c r="U223" s="15" t="n">
        <f aca="false">HLOOKUP(B223,$B$1:$K$216,$A$216,0)*$T$218</f>
        <v>524</v>
      </c>
      <c r="W223" s="66" t="n">
        <f aca="false">P223*U223</f>
        <v>38515010.4683196</v>
      </c>
      <c r="Y223" s="15"/>
      <c r="Z223" s="15"/>
      <c r="AA223" s="15"/>
      <c r="AB223" s="15"/>
      <c r="AC223" s="44"/>
      <c r="AD223" s="15"/>
      <c r="AE223" s="15"/>
    </row>
    <row r="224" customFormat="false" ht="15.75" hidden="false" customHeight="true" outlineLevel="0" collapsed="false">
      <c r="A224" s="27" t="s">
        <v>246</v>
      </c>
      <c r="B224" s="63" t="str">
        <f aca="false">F1</f>
        <v>BM</v>
      </c>
      <c r="C224" s="64" t="n">
        <v>3780000</v>
      </c>
      <c r="D224" s="64"/>
      <c r="E224" s="64"/>
      <c r="F224" s="64" t="n">
        <v>1080000</v>
      </c>
      <c r="G224" s="64"/>
      <c r="H224" s="64"/>
      <c r="I224" s="64" t="n">
        <v>0</v>
      </c>
      <c r="J224" s="64"/>
      <c r="K224" s="64"/>
      <c r="L224" s="64"/>
      <c r="M224" s="64" t="n">
        <f aca="false">C224*(1+$J$218+$M$218)+F224+I224+$M$217+IF(($E$218*2)&gt;=C224,$G$218,0)</f>
        <v>6910900</v>
      </c>
      <c r="N224" s="64"/>
      <c r="O224" s="64"/>
      <c r="P224" s="65" t="n">
        <f aca="false">M224/$O$218*(1+$R$218)</f>
        <v>61874.4490358127</v>
      </c>
      <c r="Q224" s="65"/>
      <c r="R224" s="65"/>
      <c r="S224" s="45"/>
      <c r="T224" s="45"/>
      <c r="U224" s="15" t="n">
        <f aca="false">HLOOKUP(B224,$B$1:$K$216,$A$216,0)*$T$218</f>
        <v>76</v>
      </c>
      <c r="W224" s="66" t="n">
        <f aca="false">P224*U224</f>
        <v>4702458.12672176</v>
      </c>
      <c r="Y224" s="15"/>
      <c r="Z224" s="15"/>
      <c r="AA224" s="15"/>
      <c r="AB224" s="15"/>
      <c r="AC224" s="44"/>
      <c r="AD224" s="15"/>
      <c r="AE224" s="15"/>
    </row>
    <row r="225" customFormat="false" ht="15.75" hidden="false" customHeight="true" outlineLevel="0" collapsed="false">
      <c r="A225" s="27" t="s">
        <v>247</v>
      </c>
      <c r="B225" s="63" t="str">
        <f aca="false">G1</f>
        <v>QA</v>
      </c>
      <c r="C225" s="64" t="n">
        <v>2700000</v>
      </c>
      <c r="D225" s="64"/>
      <c r="E225" s="64"/>
      <c r="F225" s="64" t="n">
        <v>1080000</v>
      </c>
      <c r="G225" s="64"/>
      <c r="H225" s="64"/>
      <c r="I225" s="64" t="n">
        <v>54000</v>
      </c>
      <c r="J225" s="64"/>
      <c r="K225" s="64"/>
      <c r="L225" s="64"/>
      <c r="M225" s="64" t="n">
        <f aca="false">C225*(1+$J$218+$M$218)+F225+I225+$M$217+IF(($E$218*2)&gt;=C225,$G$218,0)</f>
        <v>5696595</v>
      </c>
      <c r="N225" s="64"/>
      <c r="O225" s="64"/>
      <c r="P225" s="65" t="n">
        <f aca="false">M225/$O$218*(1+$R$218)</f>
        <v>51002.5723140496</v>
      </c>
      <c r="Q225" s="65"/>
      <c r="R225" s="65"/>
      <c r="S225" s="45"/>
      <c r="T225" s="45"/>
      <c r="U225" s="15" t="n">
        <f aca="false">HLOOKUP(B225,$B$1:$K$216,$A$216,0)*$T$218</f>
        <v>152</v>
      </c>
      <c r="W225" s="66" t="n">
        <f aca="false">P225*U225</f>
        <v>7752390.99173554</v>
      </c>
      <c r="Y225" s="15"/>
      <c r="Z225" s="15"/>
      <c r="AA225" s="15"/>
      <c r="AB225" s="15"/>
      <c r="AC225" s="44"/>
      <c r="AD225" s="15"/>
      <c r="AE225" s="15"/>
    </row>
    <row r="226" customFormat="false" ht="15.75" hidden="false" customHeight="true" outlineLevel="0" collapsed="false">
      <c r="A226" s="27" t="s">
        <v>248</v>
      </c>
      <c r="B226" s="63" t="str">
        <f aca="false">H1</f>
        <v>IM</v>
      </c>
      <c r="C226" s="64" t="n">
        <v>2700000</v>
      </c>
      <c r="D226" s="64"/>
      <c r="E226" s="64"/>
      <c r="F226" s="64" t="n">
        <v>1080000</v>
      </c>
      <c r="G226" s="64"/>
      <c r="H226" s="64"/>
      <c r="I226" s="64" t="n">
        <v>0</v>
      </c>
      <c r="J226" s="64"/>
      <c r="K226" s="64"/>
      <c r="L226" s="64"/>
      <c r="M226" s="64" t="n">
        <f aca="false">C226*(1+$J$218+$M$218)+F226+I226+$M$217+IF(($E$218*2)&gt;=C226,$G$218,0)</f>
        <v>5642595</v>
      </c>
      <c r="N226" s="64"/>
      <c r="O226" s="64"/>
      <c r="P226" s="65" t="n">
        <f aca="false">M226/$O$218*(1+$R$218)</f>
        <v>50519.1012396694</v>
      </c>
      <c r="Q226" s="65"/>
      <c r="R226" s="65"/>
      <c r="S226" s="45"/>
      <c r="T226" s="45"/>
      <c r="U226" s="15" t="n">
        <f aca="false">HLOOKUP(B226,$B$1:$K$216,$A$216,0)*$T$218</f>
        <v>276</v>
      </c>
      <c r="W226" s="66" t="n">
        <f aca="false">P226*U226</f>
        <v>13943271.9421488</v>
      </c>
      <c r="Y226" s="15"/>
      <c r="Z226" s="15"/>
      <c r="AA226" s="15"/>
      <c r="AB226" s="15"/>
      <c r="AC226" s="44"/>
      <c r="AD226" s="15"/>
      <c r="AE226" s="15"/>
    </row>
    <row r="227" customFormat="false" ht="15.75" hidden="false" customHeight="true" outlineLevel="0" collapsed="false">
      <c r="A227" s="27" t="s">
        <v>249</v>
      </c>
      <c r="B227" s="63" t="str">
        <f aca="false">I1</f>
        <v>MS</v>
      </c>
      <c r="C227" s="64" t="n">
        <v>8100000</v>
      </c>
      <c r="D227" s="64"/>
      <c r="E227" s="64"/>
      <c r="F227" s="64" t="n">
        <v>2160000</v>
      </c>
      <c r="G227" s="64"/>
      <c r="H227" s="64"/>
      <c r="I227" s="64" t="n">
        <v>132000</v>
      </c>
      <c r="J227" s="64"/>
      <c r="K227" s="64"/>
      <c r="L227" s="64"/>
      <c r="M227" s="64" t="n">
        <f aca="false">C227*(1+$J$218+$M$218)+F227+I227+$M$217+IF(($E$218*2)&gt;=C227,$G$218,0)</f>
        <v>14192500</v>
      </c>
      <c r="N227" s="64"/>
      <c r="O227" s="64"/>
      <c r="P227" s="65" t="n">
        <f aca="false">M227/$O$218*(1+$R$218)</f>
        <v>127067.837465565</v>
      </c>
      <c r="Q227" s="65"/>
      <c r="R227" s="65"/>
      <c r="S227" s="45"/>
      <c r="T227" s="45"/>
      <c r="U227" s="15" t="n">
        <f aca="false">HLOOKUP(B227,$B$1:$K$216,$A$216,0)*$T$218</f>
        <v>0</v>
      </c>
      <c r="W227" s="66" t="n">
        <f aca="false">P227*U227</f>
        <v>0</v>
      </c>
      <c r="Y227" s="15"/>
      <c r="Z227" s="15"/>
      <c r="AA227" s="15"/>
      <c r="AB227" s="15"/>
      <c r="AC227" s="44"/>
      <c r="AD227" s="15"/>
      <c r="AE227" s="15"/>
    </row>
    <row r="228" customFormat="false" ht="15.75" hidden="false" customHeight="true" outlineLevel="0" collapsed="false">
      <c r="A228" s="27" t="s">
        <v>250</v>
      </c>
      <c r="B228" s="63" t="str">
        <f aca="false">J1</f>
        <v>MM</v>
      </c>
      <c r="C228" s="64" t="n">
        <v>3240000</v>
      </c>
      <c r="D228" s="64"/>
      <c r="E228" s="64"/>
      <c r="F228" s="64" t="n">
        <v>1080000</v>
      </c>
      <c r="G228" s="64"/>
      <c r="H228" s="64"/>
      <c r="I228" s="64" t="n">
        <v>132000</v>
      </c>
      <c r="J228" s="64"/>
      <c r="K228" s="64"/>
      <c r="L228" s="64"/>
      <c r="M228" s="64" t="n">
        <f aca="false">C228*(1+$J$218+$M$218)+F228+I228+$M$217+IF(($E$218*2)&gt;=C228,$G$218,0)</f>
        <v>6533295</v>
      </c>
      <c r="N228" s="64"/>
      <c r="O228" s="64"/>
      <c r="P228" s="65" t="n">
        <f aca="false">M228/$O$218*(1+$R$218)</f>
        <v>58493.6880165289</v>
      </c>
      <c r="Q228" s="65"/>
      <c r="R228" s="65"/>
      <c r="S228" s="45"/>
      <c r="T228" s="45"/>
      <c r="U228" s="15" t="n">
        <f aca="false">HLOOKUP(B228,$B$1:$K$216,$A$216,0)*$T$218</f>
        <v>0</v>
      </c>
      <c r="W228" s="66" t="n">
        <f aca="false">P228*U228</f>
        <v>0</v>
      </c>
      <c r="Y228" s="15"/>
      <c r="Z228" s="15"/>
      <c r="AA228" s="15"/>
      <c r="AB228" s="15"/>
      <c r="AC228" s="44"/>
      <c r="AD228" s="15"/>
      <c r="AE228" s="15"/>
    </row>
    <row r="229" customFormat="false" ht="15.75" hidden="false" customHeight="true" outlineLevel="0" collapsed="false">
      <c r="A229" s="27" t="s">
        <v>251</v>
      </c>
      <c r="B229" s="63" t="s">
        <v>10</v>
      </c>
      <c r="C229" s="64" t="n">
        <v>3240000</v>
      </c>
      <c r="D229" s="64"/>
      <c r="E229" s="64"/>
      <c r="F229" s="64" t="n">
        <v>1080000</v>
      </c>
      <c r="G229" s="64"/>
      <c r="H229" s="64"/>
      <c r="I229" s="64"/>
      <c r="J229" s="64"/>
      <c r="K229" s="64"/>
      <c r="L229" s="64"/>
      <c r="M229" s="64" t="n">
        <f aca="false">C229*(1+$J$218+$M$218)+F229+I229+$M$217+IF(($E$218*2)&gt;=C229,$G$218,0)</f>
        <v>6401295</v>
      </c>
      <c r="N229" s="64"/>
      <c r="O229" s="64"/>
      <c r="P229" s="65" t="n">
        <f aca="false">M229/$O$218*(1+$R$218)</f>
        <v>57311.8698347107</v>
      </c>
      <c r="Q229" s="65"/>
      <c r="R229" s="65"/>
      <c r="S229" s="45"/>
      <c r="T229" s="45"/>
      <c r="U229" s="15" t="n">
        <f aca="false">HLOOKUP(B229,$B$1:$K$216,$A$216,0)*$T$218</f>
        <v>296</v>
      </c>
      <c r="W229" s="66" t="n">
        <f aca="false">P229*U229</f>
        <v>16964313.4710744</v>
      </c>
      <c r="Y229" s="15"/>
      <c r="Z229" s="15"/>
      <c r="AA229" s="15"/>
      <c r="AB229" s="15"/>
      <c r="AC229" s="44"/>
      <c r="AD229" s="15"/>
      <c r="AE229" s="15"/>
    </row>
    <row r="230" customFormat="false" ht="15.75" hidden="false" customHeight="true" outlineLevel="0" collapsed="false">
      <c r="A230" s="27"/>
      <c r="B230" s="63"/>
      <c r="C230" s="45"/>
      <c r="D230" s="45"/>
      <c r="E230" s="45"/>
      <c r="F230" s="45"/>
      <c r="G230" s="45"/>
      <c r="H230" s="45"/>
      <c r="I230" s="15"/>
      <c r="J230" s="15"/>
      <c r="K230" s="15"/>
      <c r="L230" s="15"/>
      <c r="M230" s="15"/>
      <c r="N230" s="15"/>
      <c r="O230" s="15"/>
      <c r="P230" s="67" t="n">
        <f aca="false">SUM(P220:P229)</f>
        <v>680564.056473829</v>
      </c>
      <c r="Q230" s="67"/>
      <c r="R230" s="67"/>
      <c r="S230" s="45"/>
      <c r="T230" s="45"/>
      <c r="U230" s="45"/>
      <c r="W230" s="68" t="n">
        <f aca="false">SUM(W220:W229)</f>
        <v>120650331.060606</v>
      </c>
      <c r="Y230" s="15"/>
      <c r="Z230" s="15"/>
      <c r="AA230" s="15"/>
      <c r="AB230" s="15"/>
      <c r="AC230" s="44"/>
      <c r="AD230" s="15"/>
      <c r="AE230" s="15"/>
    </row>
    <row r="231" customFormat="false" ht="15.75" hidden="false" customHeight="true" outlineLevel="0" collapsed="false">
      <c r="A231" s="15"/>
      <c r="B231" s="15"/>
      <c r="C231" s="69"/>
      <c r="D231" s="69"/>
      <c r="E231" s="15"/>
      <c r="F231" s="15"/>
      <c r="G231" s="15"/>
      <c r="H231" s="45"/>
      <c r="I231" s="15"/>
      <c r="J231" s="15"/>
      <c r="K231" s="15"/>
      <c r="L231" s="4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44"/>
      <c r="AD231" s="15"/>
      <c r="AE231" s="15"/>
    </row>
    <row r="232" customFormat="false" ht="15.75" hidden="false" customHeight="true" outlineLevel="0" collapsed="false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44"/>
      <c r="AD232" s="15"/>
      <c r="AE232" s="15"/>
    </row>
    <row r="233" customFormat="false" ht="15.75" hidden="false" customHeight="true" outlineLevel="0" collapsed="false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1"/>
      <c r="AD233" s="70"/>
      <c r="AE233" s="70"/>
    </row>
    <row r="234" customFormat="false" ht="15.75" hidden="false" customHeight="true" outlineLevel="0" collapsed="false">
      <c r="A234" s="70"/>
      <c r="B234" s="70"/>
      <c r="C234" s="72"/>
      <c r="D234" s="72"/>
      <c r="E234" s="72"/>
      <c r="F234" s="72"/>
      <c r="G234" s="73"/>
      <c r="H234" s="73"/>
      <c r="I234" s="73"/>
      <c r="J234" s="73"/>
      <c r="K234" s="73"/>
      <c r="L234" s="74"/>
      <c r="M234" s="74"/>
      <c r="N234" s="74"/>
      <c r="O234" s="74"/>
      <c r="P234" s="73"/>
      <c r="Q234" s="73"/>
      <c r="R234" s="73"/>
      <c r="S234" s="73"/>
      <c r="T234" s="74"/>
      <c r="U234" s="74"/>
      <c r="V234" s="74"/>
      <c r="W234" s="74"/>
      <c r="X234" s="73"/>
      <c r="Y234" s="73"/>
      <c r="Z234" s="73"/>
      <c r="AA234" s="74"/>
      <c r="AB234" s="74"/>
      <c r="AC234" s="74"/>
      <c r="AD234" s="74"/>
      <c r="AE234" s="70"/>
    </row>
    <row r="235" customFormat="false" ht="15.75" hidden="false" customHeight="true" outlineLevel="0" collapsed="false">
      <c r="A235" s="75"/>
      <c r="B235" s="76"/>
      <c r="C235" s="77"/>
      <c r="D235" s="77"/>
      <c r="E235" s="77"/>
      <c r="F235" s="78"/>
      <c r="G235" s="79" t="s">
        <v>252</v>
      </c>
      <c r="H235" s="79" t="s">
        <v>253</v>
      </c>
      <c r="I235" s="79" t="s">
        <v>254</v>
      </c>
      <c r="J235" s="79" t="s">
        <v>255</v>
      </c>
      <c r="K235" s="79" t="s">
        <v>256</v>
      </c>
      <c r="L235" s="80" t="s">
        <v>257</v>
      </c>
      <c r="M235" s="80" t="s">
        <v>258</v>
      </c>
      <c r="N235" s="80" t="s">
        <v>259</v>
      </c>
      <c r="O235" s="80" t="s">
        <v>260</v>
      </c>
      <c r="P235" s="79" t="s">
        <v>261</v>
      </c>
      <c r="Q235" s="79"/>
      <c r="R235" s="79"/>
      <c r="S235" s="79"/>
      <c r="T235" s="80"/>
      <c r="U235" s="80"/>
      <c r="V235" s="80"/>
      <c r="W235" s="80"/>
      <c r="X235" s="79"/>
      <c r="Y235" s="79"/>
      <c r="Z235" s="79"/>
      <c r="AA235" s="80"/>
      <c r="AB235" s="80"/>
      <c r="AC235" s="81"/>
      <c r="AD235" s="80"/>
      <c r="AE235" s="70"/>
    </row>
    <row r="236" customFormat="false" ht="15.75" hidden="false" customHeight="true" outlineLevel="0" collapsed="false">
      <c r="A236" s="82" t="e">
        <f aca="false">#ERR520!</f>
        <v>#N/A</v>
      </c>
      <c r="B236" s="83"/>
      <c r="C236" s="83"/>
      <c r="D236" s="83" t="s">
        <v>262</v>
      </c>
      <c r="E236" s="83"/>
      <c r="F236" s="84"/>
      <c r="G236" s="85"/>
      <c r="H236" s="85"/>
      <c r="I236" s="85"/>
      <c r="J236" s="85"/>
      <c r="K236" s="85"/>
      <c r="L236" s="86"/>
      <c r="M236" s="86"/>
      <c r="N236" s="86"/>
      <c r="O236" s="86"/>
      <c r="P236" s="85"/>
      <c r="Q236" s="85"/>
      <c r="R236" s="85"/>
      <c r="S236" s="85"/>
      <c r="T236" s="86"/>
      <c r="U236" s="86"/>
      <c r="V236" s="86"/>
      <c r="W236" s="86"/>
      <c r="X236" s="85"/>
      <c r="Y236" s="85"/>
      <c r="Z236" s="85"/>
      <c r="AA236" s="86"/>
      <c r="AB236" s="86"/>
      <c r="AC236" s="87"/>
      <c r="AD236" s="86"/>
      <c r="AE236" s="70"/>
    </row>
    <row r="237" customFormat="false" ht="15.75" hidden="false" customHeight="true" outlineLevel="0" collapsed="false">
      <c r="A237" s="82" t="e">
        <f aca="false">#ERR520!</f>
        <v>#N/A</v>
      </c>
      <c r="B237" s="83"/>
      <c r="C237" s="83"/>
      <c r="D237" s="83"/>
      <c r="E237" s="83"/>
      <c r="F237" s="84"/>
      <c r="G237" s="85"/>
      <c r="H237" s="85"/>
      <c r="I237" s="85"/>
      <c r="J237" s="85"/>
      <c r="K237" s="85"/>
      <c r="L237" s="86"/>
      <c r="M237" s="86"/>
      <c r="N237" s="86"/>
      <c r="O237" s="86"/>
      <c r="P237" s="85"/>
      <c r="Q237" s="85"/>
      <c r="R237" s="85"/>
      <c r="S237" s="85"/>
      <c r="T237" s="86"/>
      <c r="U237" s="86"/>
      <c r="V237" s="86"/>
      <c r="W237" s="86"/>
      <c r="X237" s="85"/>
      <c r="Y237" s="85"/>
      <c r="Z237" s="85"/>
      <c r="AA237" s="86"/>
      <c r="AB237" s="86"/>
      <c r="AC237" s="87"/>
      <c r="AD237" s="86"/>
      <c r="AE237" s="70"/>
    </row>
    <row r="238" customFormat="false" ht="15.75" hidden="false" customHeight="true" outlineLevel="0" collapsed="false">
      <c r="A238" s="82" t="e">
        <f aca="false">#ERR520!</f>
        <v>#N/A</v>
      </c>
      <c r="B238" s="83"/>
      <c r="C238" s="83"/>
      <c r="D238" s="83"/>
      <c r="E238" s="83"/>
      <c r="F238" s="84"/>
      <c r="G238" s="85"/>
      <c r="H238" s="85"/>
      <c r="I238" s="85"/>
      <c r="J238" s="85"/>
      <c r="K238" s="85"/>
      <c r="L238" s="86"/>
      <c r="M238" s="86"/>
      <c r="N238" s="86"/>
      <c r="O238" s="86"/>
      <c r="P238" s="85"/>
      <c r="Q238" s="85"/>
      <c r="R238" s="85"/>
      <c r="S238" s="85"/>
      <c r="T238" s="86"/>
      <c r="U238" s="86"/>
      <c r="V238" s="86"/>
      <c r="W238" s="86"/>
      <c r="X238" s="85"/>
      <c r="Y238" s="85"/>
      <c r="Z238" s="85"/>
      <c r="AA238" s="86"/>
      <c r="AB238" s="86"/>
      <c r="AC238" s="87"/>
      <c r="AD238" s="86"/>
      <c r="AE238" s="70"/>
    </row>
    <row r="239" customFormat="false" ht="15.75" hidden="false" customHeight="true" outlineLevel="0" collapsed="false">
      <c r="A239" s="82" t="e">
        <f aca="false">#ERR520!</f>
        <v>#N/A</v>
      </c>
      <c r="B239" s="83"/>
      <c r="C239" s="83"/>
      <c r="D239" s="83"/>
      <c r="E239" s="83"/>
      <c r="F239" s="84"/>
      <c r="G239" s="85"/>
      <c r="H239" s="85"/>
      <c r="I239" s="85"/>
      <c r="J239" s="85"/>
      <c r="K239" s="85"/>
      <c r="L239" s="86"/>
      <c r="M239" s="86"/>
      <c r="N239" s="86"/>
      <c r="O239" s="86"/>
      <c r="P239" s="85"/>
      <c r="Q239" s="85"/>
      <c r="R239" s="85"/>
      <c r="S239" s="85"/>
      <c r="T239" s="86"/>
      <c r="U239" s="86"/>
      <c r="V239" s="86"/>
      <c r="W239" s="86"/>
      <c r="X239" s="85"/>
      <c r="Y239" s="85"/>
      <c r="Z239" s="85"/>
      <c r="AA239" s="86"/>
      <c r="AB239" s="86"/>
      <c r="AC239" s="87"/>
      <c r="AD239" s="86"/>
      <c r="AE239" s="70"/>
    </row>
    <row r="240" customFormat="false" ht="15.75" hidden="false" customHeight="true" outlineLevel="0" collapsed="false">
      <c r="A240" s="82"/>
      <c r="B240" s="83"/>
      <c r="C240" s="83"/>
      <c r="D240" s="83"/>
      <c r="E240" s="83"/>
      <c r="F240" s="84"/>
      <c r="G240" s="85"/>
      <c r="H240" s="85"/>
      <c r="I240" s="85"/>
      <c r="J240" s="85"/>
      <c r="K240" s="85"/>
      <c r="L240" s="86"/>
      <c r="M240" s="86"/>
      <c r="N240" s="86"/>
      <c r="O240" s="86"/>
      <c r="P240" s="85"/>
      <c r="Q240" s="85"/>
      <c r="R240" s="85"/>
      <c r="S240" s="85"/>
      <c r="T240" s="86"/>
      <c r="U240" s="86"/>
      <c r="V240" s="86"/>
      <c r="W240" s="86"/>
      <c r="X240" s="85"/>
      <c r="Y240" s="85"/>
      <c r="Z240" s="85"/>
      <c r="AA240" s="86"/>
      <c r="AB240" s="86"/>
      <c r="AC240" s="87"/>
      <c r="AD240" s="86"/>
      <c r="AE240" s="70"/>
    </row>
    <row r="241" customFormat="false" ht="15.75" hidden="false" customHeight="true" outlineLevel="0" collapsed="false">
      <c r="A241" s="82"/>
      <c r="B241" s="83"/>
      <c r="C241" s="83"/>
      <c r="D241" s="83"/>
      <c r="E241" s="83"/>
      <c r="F241" s="84"/>
      <c r="G241" s="85"/>
      <c r="H241" s="85"/>
      <c r="I241" s="85"/>
      <c r="J241" s="85"/>
      <c r="K241" s="85"/>
      <c r="L241" s="86"/>
      <c r="M241" s="86"/>
      <c r="N241" s="86"/>
      <c r="O241" s="86"/>
      <c r="P241" s="85"/>
      <c r="Q241" s="85"/>
      <c r="R241" s="85"/>
      <c r="S241" s="85"/>
      <c r="T241" s="86"/>
      <c r="U241" s="86"/>
      <c r="V241" s="86"/>
      <c r="W241" s="86"/>
      <c r="X241" s="85"/>
      <c r="Y241" s="85"/>
      <c r="Z241" s="85"/>
      <c r="AA241" s="86"/>
      <c r="AB241" s="86"/>
      <c r="AC241" s="87"/>
      <c r="AD241" s="86"/>
      <c r="AE241" s="70"/>
    </row>
    <row r="242" customFormat="false" ht="15.75" hidden="false" customHeight="true" outlineLevel="0" collapsed="false">
      <c r="A242" s="82"/>
      <c r="B242" s="83"/>
      <c r="C242" s="83"/>
      <c r="D242" s="83"/>
      <c r="E242" s="83"/>
      <c r="F242" s="84"/>
      <c r="G242" s="85"/>
      <c r="H242" s="85"/>
      <c r="I242" s="85"/>
      <c r="J242" s="85"/>
      <c r="K242" s="85"/>
      <c r="L242" s="86"/>
      <c r="M242" s="86"/>
      <c r="N242" s="86"/>
      <c r="O242" s="86"/>
      <c r="P242" s="85"/>
      <c r="Q242" s="85"/>
      <c r="R242" s="85"/>
      <c r="S242" s="85"/>
      <c r="T242" s="86"/>
      <c r="U242" s="86"/>
      <c r="V242" s="86"/>
      <c r="W242" s="86"/>
      <c r="X242" s="85"/>
      <c r="Y242" s="85"/>
      <c r="Z242" s="85"/>
      <c r="AA242" s="86"/>
      <c r="AB242" s="86"/>
      <c r="AC242" s="87"/>
      <c r="AD242" s="86"/>
      <c r="AE242" s="70"/>
    </row>
    <row r="243" customFormat="false" ht="15.75" hidden="false" customHeight="true" outlineLevel="0" collapsed="false">
      <c r="A243" s="82"/>
      <c r="B243" s="83"/>
      <c r="C243" s="83"/>
      <c r="D243" s="83"/>
      <c r="E243" s="83"/>
      <c r="F243" s="84"/>
      <c r="G243" s="85"/>
      <c r="H243" s="85"/>
      <c r="I243" s="85"/>
      <c r="J243" s="85"/>
      <c r="K243" s="85"/>
      <c r="L243" s="86"/>
      <c r="M243" s="86"/>
      <c r="N243" s="86"/>
      <c r="O243" s="86"/>
      <c r="P243" s="85"/>
      <c r="Q243" s="85"/>
      <c r="R243" s="85"/>
      <c r="S243" s="85"/>
      <c r="T243" s="86"/>
      <c r="U243" s="86"/>
      <c r="V243" s="86"/>
      <c r="W243" s="86"/>
      <c r="X243" s="85"/>
      <c r="Y243" s="85"/>
      <c r="Z243" s="85"/>
      <c r="AA243" s="86"/>
      <c r="AB243" s="86"/>
      <c r="AC243" s="87"/>
      <c r="AD243" s="86"/>
      <c r="AE243" s="70"/>
    </row>
    <row r="244" customFormat="false" ht="15.75" hidden="false" customHeight="true" outlineLevel="0" collapsed="false">
      <c r="A244" s="82"/>
      <c r="B244" s="83"/>
      <c r="C244" s="83"/>
      <c r="D244" s="83"/>
      <c r="E244" s="83"/>
      <c r="F244" s="84"/>
      <c r="G244" s="85"/>
      <c r="H244" s="85"/>
      <c r="I244" s="85"/>
      <c r="J244" s="85"/>
      <c r="K244" s="85"/>
      <c r="L244" s="86"/>
      <c r="M244" s="86"/>
      <c r="N244" s="86"/>
      <c r="O244" s="86"/>
      <c r="P244" s="85"/>
      <c r="Q244" s="85"/>
      <c r="R244" s="85"/>
      <c r="S244" s="85"/>
      <c r="T244" s="86"/>
      <c r="U244" s="86"/>
      <c r="V244" s="86"/>
      <c r="W244" s="86"/>
      <c r="X244" s="85"/>
      <c r="Y244" s="85"/>
      <c r="Z244" s="85"/>
      <c r="AA244" s="86"/>
      <c r="AB244" s="86"/>
      <c r="AC244" s="87"/>
      <c r="AD244" s="86"/>
      <c r="AE244" s="70"/>
    </row>
    <row r="245" customFormat="false" ht="15.75" hidden="false" customHeight="true" outlineLevel="0" collapsed="false">
      <c r="A245" s="82"/>
      <c r="B245" s="83"/>
      <c r="C245" s="83"/>
      <c r="D245" s="83"/>
      <c r="E245" s="83"/>
      <c r="F245" s="84"/>
      <c r="G245" s="85"/>
      <c r="H245" s="85"/>
      <c r="I245" s="85"/>
      <c r="J245" s="85"/>
      <c r="K245" s="85"/>
      <c r="L245" s="86"/>
      <c r="M245" s="86"/>
      <c r="N245" s="86"/>
      <c r="O245" s="86"/>
      <c r="P245" s="85"/>
      <c r="Q245" s="85"/>
      <c r="R245" s="85"/>
      <c r="S245" s="85"/>
      <c r="T245" s="86"/>
      <c r="U245" s="86"/>
      <c r="V245" s="86"/>
      <c r="W245" s="86"/>
      <c r="X245" s="85"/>
      <c r="Y245" s="85"/>
      <c r="Z245" s="85"/>
      <c r="AA245" s="86"/>
      <c r="AB245" s="86"/>
      <c r="AC245" s="87"/>
      <c r="AD245" s="86"/>
      <c r="AE245" s="70"/>
    </row>
    <row r="246" customFormat="false" ht="15.75" hidden="false" customHeight="true" outlineLevel="0" collapsed="false">
      <c r="A246" s="82"/>
      <c r="B246" s="83"/>
      <c r="C246" s="83"/>
      <c r="D246" s="83"/>
      <c r="E246" s="83"/>
      <c r="F246" s="84"/>
      <c r="G246" s="85"/>
      <c r="H246" s="85"/>
      <c r="I246" s="85"/>
      <c r="J246" s="85"/>
      <c r="K246" s="85"/>
      <c r="L246" s="86"/>
      <c r="M246" s="86"/>
      <c r="N246" s="86"/>
      <c r="O246" s="86"/>
      <c r="P246" s="85"/>
      <c r="Q246" s="85"/>
      <c r="R246" s="85"/>
      <c r="S246" s="85"/>
      <c r="T246" s="86"/>
      <c r="U246" s="86"/>
      <c r="V246" s="86"/>
      <c r="W246" s="86"/>
      <c r="X246" s="85"/>
      <c r="Y246" s="85"/>
      <c r="Z246" s="85"/>
      <c r="AA246" s="86"/>
      <c r="AB246" s="86"/>
      <c r="AC246" s="87"/>
      <c r="AD246" s="86"/>
      <c r="AE246" s="70"/>
    </row>
    <row r="247" customFormat="false" ht="15.75" hidden="false" customHeight="true" outlineLevel="0" collapsed="false">
      <c r="A247" s="82"/>
      <c r="B247" s="83"/>
      <c r="C247" s="83"/>
      <c r="D247" s="83"/>
      <c r="E247" s="83"/>
      <c r="F247" s="84"/>
      <c r="G247" s="85"/>
      <c r="H247" s="85"/>
      <c r="I247" s="85"/>
      <c r="J247" s="85"/>
      <c r="K247" s="85"/>
      <c r="L247" s="86"/>
      <c r="M247" s="86"/>
      <c r="N247" s="86"/>
      <c r="O247" s="86"/>
      <c r="P247" s="85"/>
      <c r="Q247" s="85"/>
      <c r="R247" s="85"/>
      <c r="S247" s="85"/>
      <c r="T247" s="86"/>
      <c r="U247" s="86"/>
      <c r="V247" s="86"/>
      <c r="W247" s="86"/>
      <c r="X247" s="85"/>
      <c r="Y247" s="85"/>
      <c r="Z247" s="85"/>
      <c r="AA247" s="86"/>
      <c r="AB247" s="86"/>
      <c r="AC247" s="87"/>
      <c r="AD247" s="86"/>
      <c r="AE247" s="70"/>
    </row>
    <row r="248" customFormat="false" ht="15.75" hidden="false" customHeight="true" outlineLevel="0" collapsed="false">
      <c r="A248" s="82"/>
      <c r="B248" s="83"/>
      <c r="C248" s="83"/>
      <c r="D248" s="83"/>
      <c r="E248" s="83"/>
      <c r="F248" s="84"/>
      <c r="G248" s="85"/>
      <c r="H248" s="85"/>
      <c r="I248" s="85"/>
      <c r="J248" s="85"/>
      <c r="K248" s="85"/>
      <c r="L248" s="86"/>
      <c r="M248" s="86"/>
      <c r="N248" s="86"/>
      <c r="O248" s="86"/>
      <c r="P248" s="85"/>
      <c r="Q248" s="85"/>
      <c r="R248" s="85"/>
      <c r="S248" s="85"/>
      <c r="T248" s="86"/>
      <c r="U248" s="86"/>
      <c r="V248" s="86"/>
      <c r="W248" s="86"/>
      <c r="X248" s="85"/>
      <c r="Y248" s="85"/>
      <c r="Z248" s="85"/>
      <c r="AA248" s="86"/>
      <c r="AB248" s="86"/>
      <c r="AC248" s="87"/>
      <c r="AD248" s="86"/>
      <c r="AE248" s="70"/>
    </row>
    <row r="249" customFormat="false" ht="15.75" hidden="false" customHeight="true" outlineLevel="0" collapsed="false">
      <c r="A249" s="82"/>
      <c r="B249" s="83"/>
      <c r="C249" s="83"/>
      <c r="D249" s="83"/>
      <c r="E249" s="83"/>
      <c r="F249" s="84"/>
      <c r="G249" s="85"/>
      <c r="H249" s="85"/>
      <c r="I249" s="85"/>
      <c r="J249" s="85"/>
      <c r="K249" s="85"/>
      <c r="L249" s="86"/>
      <c r="M249" s="86"/>
      <c r="N249" s="86"/>
      <c r="O249" s="86"/>
      <c r="P249" s="85"/>
      <c r="Q249" s="85"/>
      <c r="R249" s="85"/>
      <c r="S249" s="85"/>
      <c r="T249" s="86"/>
      <c r="U249" s="86"/>
      <c r="V249" s="86"/>
      <c r="W249" s="86"/>
      <c r="X249" s="85"/>
      <c r="Y249" s="85"/>
      <c r="Z249" s="85"/>
      <c r="AA249" s="86"/>
      <c r="AB249" s="86"/>
      <c r="AC249" s="87"/>
      <c r="AD249" s="86"/>
      <c r="AE249" s="70"/>
    </row>
    <row r="250" customFormat="false" ht="15.75" hidden="false" customHeight="true" outlineLevel="0" collapsed="false">
      <c r="A250" s="82"/>
      <c r="B250" s="83"/>
      <c r="C250" s="83"/>
      <c r="D250" s="83"/>
      <c r="E250" s="83"/>
      <c r="F250" s="84"/>
      <c r="G250" s="85"/>
      <c r="H250" s="85"/>
      <c r="I250" s="85"/>
      <c r="J250" s="85"/>
      <c r="K250" s="85"/>
      <c r="L250" s="86"/>
      <c r="M250" s="86"/>
      <c r="N250" s="86"/>
      <c r="O250" s="86"/>
      <c r="P250" s="85"/>
      <c r="Q250" s="85"/>
      <c r="R250" s="85"/>
      <c r="S250" s="85"/>
      <c r="T250" s="86"/>
      <c r="U250" s="86"/>
      <c r="V250" s="86"/>
      <c r="W250" s="86"/>
      <c r="X250" s="85"/>
      <c r="Y250" s="85"/>
      <c r="Z250" s="85"/>
      <c r="AA250" s="86"/>
      <c r="AB250" s="86"/>
      <c r="AC250" s="87"/>
      <c r="AD250" s="86"/>
      <c r="AE250" s="70"/>
    </row>
    <row r="251" customFormat="false" ht="15.75" hidden="false" customHeight="true" outlineLevel="0" collapsed="false">
      <c r="A251" s="82"/>
      <c r="B251" s="83"/>
      <c r="C251" s="83"/>
      <c r="D251" s="83"/>
      <c r="E251" s="83"/>
      <c r="F251" s="84"/>
      <c r="G251" s="85"/>
      <c r="H251" s="85"/>
      <c r="I251" s="85"/>
      <c r="J251" s="85"/>
      <c r="K251" s="85"/>
      <c r="L251" s="86"/>
      <c r="M251" s="86"/>
      <c r="N251" s="86"/>
      <c r="O251" s="86"/>
      <c r="P251" s="85"/>
      <c r="Q251" s="85"/>
      <c r="R251" s="85"/>
      <c r="S251" s="85"/>
      <c r="T251" s="86"/>
      <c r="U251" s="86"/>
      <c r="V251" s="86"/>
      <c r="W251" s="86"/>
      <c r="X251" s="85"/>
      <c r="Y251" s="85"/>
      <c r="Z251" s="85"/>
      <c r="AA251" s="86"/>
      <c r="AB251" s="86"/>
      <c r="AC251" s="87"/>
      <c r="AD251" s="86"/>
      <c r="AE251" s="70"/>
    </row>
    <row r="252" customFormat="false" ht="15.75" hidden="false" customHeight="true" outlineLevel="0" collapsed="false">
      <c r="A252" s="82"/>
      <c r="B252" s="83"/>
      <c r="C252" s="83"/>
      <c r="D252" s="83"/>
      <c r="E252" s="83"/>
      <c r="F252" s="84"/>
      <c r="G252" s="85"/>
      <c r="H252" s="85"/>
      <c r="I252" s="85"/>
      <c r="J252" s="85"/>
      <c r="K252" s="85"/>
      <c r="L252" s="86"/>
      <c r="M252" s="86"/>
      <c r="N252" s="86"/>
      <c r="O252" s="86"/>
      <c r="P252" s="85"/>
      <c r="Q252" s="85"/>
      <c r="R252" s="85"/>
      <c r="S252" s="85"/>
      <c r="T252" s="86"/>
      <c r="U252" s="86"/>
      <c r="V252" s="86"/>
      <c r="W252" s="86"/>
      <c r="X252" s="85"/>
      <c r="Y252" s="85"/>
      <c r="Z252" s="85"/>
      <c r="AA252" s="86"/>
      <c r="AB252" s="86"/>
      <c r="AC252" s="87"/>
      <c r="AD252" s="86"/>
      <c r="AE252" s="70"/>
    </row>
    <row r="253" customFormat="false" ht="15.75" hidden="false" customHeight="true" outlineLevel="0" collapsed="false">
      <c r="A253" s="82"/>
      <c r="B253" s="83"/>
      <c r="C253" s="83"/>
      <c r="D253" s="83"/>
      <c r="E253" s="83"/>
      <c r="F253" s="84"/>
      <c r="G253" s="85"/>
      <c r="H253" s="85"/>
      <c r="I253" s="85"/>
      <c r="J253" s="85"/>
      <c r="K253" s="85"/>
      <c r="L253" s="86"/>
      <c r="M253" s="86"/>
      <c r="N253" s="86"/>
      <c r="O253" s="86"/>
      <c r="P253" s="85"/>
      <c r="Q253" s="85"/>
      <c r="R253" s="85"/>
      <c r="S253" s="85"/>
      <c r="T253" s="86"/>
      <c r="U253" s="86"/>
      <c r="V253" s="86"/>
      <c r="W253" s="86"/>
      <c r="X253" s="85"/>
      <c r="Y253" s="85"/>
      <c r="Z253" s="85"/>
      <c r="AA253" s="86"/>
      <c r="AB253" s="86"/>
      <c r="AC253" s="87"/>
      <c r="AD253" s="86"/>
      <c r="AE253" s="70"/>
    </row>
    <row r="254" customFormat="false" ht="15.75" hidden="false" customHeight="true" outlineLevel="0" collapsed="false">
      <c r="A254" s="82"/>
      <c r="B254" s="83"/>
      <c r="C254" s="83"/>
      <c r="D254" s="83"/>
      <c r="E254" s="83"/>
      <c r="F254" s="84"/>
      <c r="G254" s="85"/>
      <c r="H254" s="85"/>
      <c r="I254" s="85"/>
      <c r="J254" s="85"/>
      <c r="K254" s="85"/>
      <c r="L254" s="86"/>
      <c r="M254" s="86"/>
      <c r="N254" s="86"/>
      <c r="O254" s="86"/>
      <c r="P254" s="85"/>
      <c r="Q254" s="85"/>
      <c r="R254" s="85"/>
      <c r="S254" s="85"/>
      <c r="T254" s="86"/>
      <c r="U254" s="86"/>
      <c r="V254" s="86"/>
      <c r="W254" s="86"/>
      <c r="X254" s="85"/>
      <c r="Y254" s="85"/>
      <c r="Z254" s="85"/>
      <c r="AA254" s="86"/>
      <c r="AB254" s="86"/>
      <c r="AC254" s="87"/>
      <c r="AD254" s="86"/>
      <c r="AE254" s="70"/>
    </row>
    <row r="255" customFormat="false" ht="15.75" hidden="false" customHeight="true" outlineLevel="0" collapsed="false">
      <c r="A255" s="82"/>
      <c r="B255" s="83"/>
      <c r="C255" s="83"/>
      <c r="D255" s="83"/>
      <c r="E255" s="83"/>
      <c r="F255" s="84"/>
      <c r="G255" s="85"/>
      <c r="H255" s="85"/>
      <c r="I255" s="85"/>
      <c r="J255" s="85"/>
      <c r="K255" s="85"/>
      <c r="L255" s="86"/>
      <c r="M255" s="86"/>
      <c r="N255" s="86"/>
      <c r="O255" s="86"/>
      <c r="P255" s="85"/>
      <c r="Q255" s="85"/>
      <c r="R255" s="85"/>
      <c r="S255" s="85"/>
      <c r="T255" s="86"/>
      <c r="U255" s="86"/>
      <c r="V255" s="86"/>
      <c r="W255" s="86"/>
      <c r="X255" s="85"/>
      <c r="Y255" s="85"/>
      <c r="Z255" s="85"/>
      <c r="AA255" s="86"/>
      <c r="AB255" s="86"/>
      <c r="AC255" s="87"/>
      <c r="AD255" s="86"/>
      <c r="AE255" s="70"/>
    </row>
    <row r="256" customFormat="false" ht="15.75" hidden="false" customHeight="true" outlineLevel="0" collapsed="false">
      <c r="A256" s="82"/>
      <c r="B256" s="83"/>
      <c r="C256" s="83"/>
      <c r="D256" s="83"/>
      <c r="E256" s="83"/>
      <c r="F256" s="84"/>
      <c r="G256" s="85"/>
      <c r="H256" s="85"/>
      <c r="I256" s="85"/>
      <c r="J256" s="85"/>
      <c r="K256" s="85"/>
      <c r="L256" s="86"/>
      <c r="M256" s="86"/>
      <c r="N256" s="86"/>
      <c r="O256" s="86"/>
      <c r="P256" s="85"/>
      <c r="Q256" s="85"/>
      <c r="R256" s="85"/>
      <c r="S256" s="85"/>
      <c r="T256" s="86"/>
      <c r="U256" s="86"/>
      <c r="V256" s="86"/>
      <c r="W256" s="86"/>
      <c r="X256" s="85"/>
      <c r="Y256" s="85"/>
      <c r="Z256" s="85"/>
      <c r="AA256" s="86"/>
      <c r="AB256" s="86"/>
      <c r="AC256" s="87"/>
      <c r="AD256" s="86"/>
      <c r="AE256" s="70"/>
    </row>
    <row r="257" customFormat="false" ht="15.75" hidden="false" customHeight="true" outlineLevel="0" collapsed="false">
      <c r="A257" s="82"/>
      <c r="B257" s="83"/>
      <c r="C257" s="83"/>
      <c r="D257" s="83"/>
      <c r="E257" s="83"/>
      <c r="F257" s="84"/>
      <c r="G257" s="85"/>
      <c r="H257" s="85"/>
      <c r="I257" s="85"/>
      <c r="J257" s="85"/>
      <c r="K257" s="85"/>
      <c r="L257" s="86"/>
      <c r="M257" s="86"/>
      <c r="N257" s="86"/>
      <c r="O257" s="86"/>
      <c r="P257" s="85"/>
      <c r="Q257" s="85"/>
      <c r="R257" s="85"/>
      <c r="S257" s="85"/>
      <c r="T257" s="86"/>
      <c r="U257" s="86"/>
      <c r="V257" s="86"/>
      <c r="W257" s="86"/>
      <c r="X257" s="85"/>
      <c r="Y257" s="85"/>
      <c r="Z257" s="85"/>
      <c r="AA257" s="86"/>
      <c r="AB257" s="86"/>
      <c r="AC257" s="87"/>
      <c r="AD257" s="86"/>
      <c r="AE257" s="70"/>
    </row>
    <row r="258" customFormat="false" ht="15.75" hidden="false" customHeight="true" outlineLevel="0" collapsed="false">
      <c r="A258" s="82"/>
      <c r="B258" s="83"/>
      <c r="C258" s="83"/>
      <c r="D258" s="83"/>
      <c r="E258" s="83"/>
      <c r="F258" s="84"/>
      <c r="G258" s="85"/>
      <c r="H258" s="85"/>
      <c r="I258" s="85"/>
      <c r="J258" s="85"/>
      <c r="K258" s="85"/>
      <c r="L258" s="86"/>
      <c r="M258" s="86"/>
      <c r="N258" s="86"/>
      <c r="O258" s="86"/>
      <c r="P258" s="85"/>
      <c r="Q258" s="85"/>
      <c r="R258" s="85"/>
      <c r="S258" s="85"/>
      <c r="T258" s="86"/>
      <c r="U258" s="86"/>
      <c r="V258" s="86"/>
      <c r="W258" s="86"/>
      <c r="X258" s="85"/>
      <c r="Y258" s="85"/>
      <c r="Z258" s="85"/>
      <c r="AA258" s="86"/>
      <c r="AB258" s="86"/>
      <c r="AC258" s="87"/>
      <c r="AD258" s="86"/>
      <c r="AE258" s="70"/>
    </row>
    <row r="259" customFormat="false" ht="15.75" hidden="false" customHeight="true" outlineLevel="0" collapsed="false">
      <c r="A259" s="82"/>
      <c r="B259" s="83"/>
      <c r="C259" s="83"/>
      <c r="D259" s="83"/>
      <c r="E259" s="83"/>
      <c r="F259" s="84"/>
      <c r="G259" s="85"/>
      <c r="H259" s="85"/>
      <c r="I259" s="85"/>
      <c r="J259" s="85"/>
      <c r="K259" s="85"/>
      <c r="L259" s="86"/>
      <c r="M259" s="86"/>
      <c r="N259" s="86"/>
      <c r="O259" s="86"/>
      <c r="P259" s="85"/>
      <c r="Q259" s="85"/>
      <c r="R259" s="85"/>
      <c r="S259" s="85"/>
      <c r="T259" s="86"/>
      <c r="U259" s="86"/>
      <c r="V259" s="86"/>
      <c r="W259" s="86"/>
      <c r="X259" s="85"/>
      <c r="Y259" s="85"/>
      <c r="Z259" s="85"/>
      <c r="AA259" s="86"/>
      <c r="AB259" s="86"/>
      <c r="AC259" s="87"/>
      <c r="AD259" s="86"/>
      <c r="AE259" s="70"/>
    </row>
    <row r="260" customFormat="false" ht="15.75" hidden="false" customHeight="true" outlineLevel="0" collapsed="false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44"/>
      <c r="AD260" s="15"/>
      <c r="AE260" s="70"/>
    </row>
    <row r="261" customFormat="false" ht="15.75" hidden="false" customHeight="true" outlineLevel="0" collapsed="false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44"/>
      <c r="AD261" s="15"/>
      <c r="AE261" s="15"/>
    </row>
    <row r="262" customFormat="false" ht="15.75" hidden="false" customHeight="true" outlineLevel="0" collapsed="false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44"/>
      <c r="AD262" s="15"/>
      <c r="AE262" s="15"/>
    </row>
  </sheetData>
  <mergeCells count="68">
    <mergeCell ref="M1:N1"/>
    <mergeCell ref="O1:U1"/>
    <mergeCell ref="I217:L217"/>
    <mergeCell ref="M217:O217"/>
    <mergeCell ref="C219:E219"/>
    <mergeCell ref="F219:H219"/>
    <mergeCell ref="I219:L219"/>
    <mergeCell ref="M219:O219"/>
    <mergeCell ref="P219:R219"/>
    <mergeCell ref="V219:X219"/>
    <mergeCell ref="C220:E220"/>
    <mergeCell ref="F220:H220"/>
    <mergeCell ref="I220:L220"/>
    <mergeCell ref="M220:O220"/>
    <mergeCell ref="P220:R220"/>
    <mergeCell ref="C221:E221"/>
    <mergeCell ref="F221:H221"/>
    <mergeCell ref="I221:L221"/>
    <mergeCell ref="M221:O221"/>
    <mergeCell ref="P221:R221"/>
    <mergeCell ref="C222:E222"/>
    <mergeCell ref="F222:H222"/>
    <mergeCell ref="I222:L222"/>
    <mergeCell ref="M222:O222"/>
    <mergeCell ref="P222:R222"/>
    <mergeCell ref="C223:E223"/>
    <mergeCell ref="F223:H223"/>
    <mergeCell ref="I223:L223"/>
    <mergeCell ref="M223:O223"/>
    <mergeCell ref="P223:R223"/>
    <mergeCell ref="C224:E224"/>
    <mergeCell ref="F224:H224"/>
    <mergeCell ref="I224:L224"/>
    <mergeCell ref="M224:O224"/>
    <mergeCell ref="P224:R224"/>
    <mergeCell ref="C225:E225"/>
    <mergeCell ref="F225:H225"/>
    <mergeCell ref="I225:L225"/>
    <mergeCell ref="M225:O225"/>
    <mergeCell ref="P225:R225"/>
    <mergeCell ref="C226:E226"/>
    <mergeCell ref="F226:H226"/>
    <mergeCell ref="I226:L226"/>
    <mergeCell ref="M226:O226"/>
    <mergeCell ref="P226:R226"/>
    <mergeCell ref="C227:E227"/>
    <mergeCell ref="F227:H227"/>
    <mergeCell ref="I227:L227"/>
    <mergeCell ref="M227:O227"/>
    <mergeCell ref="P227:R227"/>
    <mergeCell ref="C228:E228"/>
    <mergeCell ref="F228:H228"/>
    <mergeCell ref="I228:L228"/>
    <mergeCell ref="M228:O228"/>
    <mergeCell ref="P228:R228"/>
    <mergeCell ref="C229:E229"/>
    <mergeCell ref="F229:H229"/>
    <mergeCell ref="I229:L229"/>
    <mergeCell ref="M229:O229"/>
    <mergeCell ref="P229:R229"/>
    <mergeCell ref="P230:R230"/>
    <mergeCell ref="C234:F234"/>
    <mergeCell ref="G234:J234"/>
    <mergeCell ref="L234:O234"/>
    <mergeCell ref="P234:S234"/>
    <mergeCell ref="T234:W234"/>
    <mergeCell ref="X234:Z234"/>
    <mergeCell ref="AA234:AC234"/>
  </mergeCells>
  <conditionalFormatting sqref="Y2:Y214">
    <cfRule type="expression" priority="2" aboveAverage="0" equalAverage="0" bottom="0" percent="0" rank="0" text="" dxfId="0">
      <formula>$L2&lt;&gt;""</formula>
    </cfRule>
  </conditionalFormatting>
  <conditionalFormatting sqref="Z1:Z214">
    <cfRule type="expression" priority="3" aboveAverage="0" equalAverage="0" bottom="0" percent="0" rank="0" text="" dxfId="1">
      <formula>LEN(TRIM(Z1))&gt;0</formula>
    </cfRule>
  </conditionalFormatting>
  <conditionalFormatting sqref="AA1:AA214">
    <cfRule type="expression" priority="4" aboveAverage="0" equalAverage="0" bottom="0" percent="0" rank="0" text="" dxfId="2">
      <formula>LEN(TRIM(AA1))&gt;0</formula>
    </cfRule>
  </conditionalFormatting>
  <conditionalFormatting sqref="AB2:AB214">
    <cfRule type="expression" priority="5" aboveAverage="0" equalAverage="0" bottom="0" percent="0" rank="0" text="" dxfId="3">
      <formula>FALSE()</formula>
    </cfRule>
  </conditionalFormatting>
  <conditionalFormatting sqref="C236:AD259">
    <cfRule type="expression" priority="6" aboveAverage="0" equalAverage="0" bottom="0" percent="0" rank="0" text="" dxfId="4">
      <formula>LEN(TRIM(C236))&gt;0</formula>
    </cfRule>
  </conditionalFormatting>
  <dataValidations count="1">
    <dataValidation allowBlank="true" error="Debe ser un número" errorStyle="stop" operator="greaterThanOrEqual" showDropDown="false" showErrorMessage="false" showInputMessage="false" sqref="B2:K214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2026-07-27T20:02:46Z</dcterms:created>
  <dc:creator>openpyxl</dc:creator>
  <dc:description/>
  <dc:language>es-CO</dc:language>
  <cp:lastModifiedBy>Full Service</cp:lastModifiedBy>
  <dcterms:modified xsi:type="dcterms:W3CDTF">2026-07-29T21:42:43Z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