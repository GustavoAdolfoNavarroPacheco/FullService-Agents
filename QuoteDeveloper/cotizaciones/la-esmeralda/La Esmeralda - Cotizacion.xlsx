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50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50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49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57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59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60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50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49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50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50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<sst xmlns="http://schemas.openxmlformats.org/spreadsheetml/2006/main" count="197" uniqueCount="195">
  <si>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</si>
  <si>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</si>
  <si>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</si>
  <si>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</si>
  <si>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</si>
  <si>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</si>
  <si>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</si>
  <si>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</si>
  <si>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</si>
  <si>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</si>
  <si>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</si>
  <si>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</si>
  <si>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</si>
  <si>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</si>
  <si>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</si>
  <si>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</si>
  <si>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</si>
  <si>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</si>
  <si>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</si>
  <si>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</si>
  <si>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SEGURIDAD, USUARIOS Y AUDITORÍA - Acceso por rol, trazabilidad de acciones y configuración</t>
  </si>
  <si>
    <t xml:space="preserve">Creación de usuarios y asignación de roles</t>
  </si>
  <si>
    <t xml:space="preserve">Como administrador, para controlar el acceso: usuario activo, rol asignado, acceso restringido y registro en auditoría.</t>
  </si>
  <si>
    <t xml:space="preserve">Definición de permisos por módulo y acción</t>
  </si>
  <si>
    <t xml:space="preserve">Como líder, para aplicar segregación de funciones: permisos de consultar, crear, aprobar, ajustar y exportar, con pruebas por rol.</t>
  </si>
  <si>
    <t xml:space="preserve">Consulta de auditoría de creación y modificación</t>
  </si>
  <si>
    <t xml:space="preserve">Como auditor, para investigar diferencias: fecha, hora, usuario, valor anterior, valor nuevo y motivo visibles.</t>
  </si>
  <si>
    <t xml:space="preserve">Ingreso desde tablet o computador</t>
  </si>
  <si>
    <t xml:space="preserve">Como usuario, para registrar en el punto de operación: interfaz adaptable, sesión segura y operación en navegadores aprobados.</t>
  </si>
  <si>
    <t xml:space="preserve">DATOS MAESTROS Y CONVERSIONES - Productos, unidades, presentaciones, rutas, materiales, capacidades y reglas</t>
  </si>
  <si>
    <t xml:space="preserve">Mantenimiento de productos y presentaciones</t>
  </si>
  <si>
    <t xml:space="preserve">Como administrador, para evitar conversiones manuales: código, nombre, unidad, empaque, vigencia y estado configurables.</t>
  </si>
  <si>
    <t xml:space="preserve">Configuración de conversiones de empaque</t>
  </si>
  <si>
    <t xml:space="preserve">Como planeador, entre six-pack, cajas, cestillos, canastillas, arrumes y estibas: conversión por referencia, fechas de vigencia y validación automática.</t>
  </si>
  <si>
    <t xml:space="preserve">Registro de rutas, proveedores, ubicaciones, equipos y silos</t>
  </si>
  <si>
    <t xml:space="preserve">Como administrador: catálogos con código único, estado y responsable.</t>
  </si>
  <si>
    <t xml:space="preserve">Configuración de mínimos, máximos, capacidades y tolerancias</t>
  </si>
  <si>
    <t xml:space="preserve">Como líder: parámetros versionados, historial de cambios y vigencia.</t>
  </si>
  <si>
    <t xml:space="preserve">CESTILLOS Y CANASTILLAS - Recepción, aprobación, cargue, saldos, inventario y ubicación</t>
  </si>
  <si>
    <t xml:space="preserve">Consulta de saldo de cestillos por ruta</t>
  </si>
  <si>
    <t xml:space="preserve">Como receptor, antes de registrar la devolución: saldo actual visible por tipo y movimientos pendientes identificados.</t>
  </si>
  <si>
    <t xml:space="preserve">Registro en tablet de cestillos devueltos</t>
  </si>
  <si>
    <t xml:space="preserve">Como receptor, para eliminar el recibo azul: ruta, vehículo, responsable, cantidad, tipo, fecha y evidencia guardados.</t>
  </si>
  <si>
    <t xml:space="preserve">Aprobación de devolución de cestillos</t>
  </si>
  <si>
    <t xml:space="preserve">Como despachador, para habilitar el nuevo cargue: aprobación con usuario y hora, rechazo con motivo y notificación al receptor.</t>
  </si>
  <si>
    <t xml:space="preserve">Registro de nuevo cargue y cálculo de saldo</t>
  </si>
  <si>
    <t xml:space="preserve">Como despachador: conversión automática, saldo actualizado y no duplicidad.</t>
  </si>
  <si>
    <t xml:space="preserve">Consulta global de ubicación de cestillos</t>
  </si>
  <si>
    <t xml:space="preserve">Como líder, para conciliar el inventario global: vista por planta, bodega, ruta, estado y antigüedad.</t>
  </si>
  <si>
    <t xml:space="preserve">Registro de conteos físicos y diferencias</t>
  </si>
  <si>
    <t xml:space="preserve">Como inventarista, para cerrar diariamente: conteo por ubicación, diferencia calculada y ajuste con autorización.</t>
  </si>
  <si>
    <t xml:space="preserve">MATERIAS PRIMAS E INSUMOS - Recepción, lotes, inventario, reconversión y consumos</t>
  </si>
  <si>
    <t xml:space="preserve">Registro de entrada de materia prima</t>
  </si>
  <si>
    <t xml:space="preserve">Como receptor, con lote y proveedor: cantidad, unidad, fecha, calidad, lote, proveedor y evidencia obligatorios.</t>
  </si>
  <si>
    <t xml:space="preserve">Aprobación o bloqueo de lote</t>
  </si>
  <si>
    <t xml:space="preserve">Como calidad, para controlar su uso: estados recibido, en análisis, liberado, bloqueado y rechazado.</t>
  </si>
  <si>
    <t xml:space="preserve">Asociación de consumos a orden de producción</t>
  </si>
  <si>
    <t xml:space="preserve">Como producción: solo lotes disponibles, descuento automático, responsable y turno.</t>
  </si>
  <si>
    <t xml:space="preserve">Registro de reconversión de leche reconstituida</t>
  </si>
  <si>
    <t xml:space="preserve">Como producción, para rastrear la reconversión: insumos, porcentaje, cantidad resultante, lote nuevo y destino registrados.</t>
  </si>
  <si>
    <t xml:space="preserve">Comparación de inventario teórico vs. físico</t>
  </si>
  <si>
    <t xml:space="preserve">Como inventarista, diariamente: diferencia por material y lote, con tolerancia y flujo de justificación.</t>
  </si>
  <si>
    <t xml:space="preserve">PEDIDOS Y PROGRAMACIÓN - Demanda, mínimos/máximos, capacidad y plan diario/semanal</t>
  </si>
  <si>
    <t xml:space="preserve">Registro de pedidos</t>
  </si>
  <si>
    <t xml:space="preserve">Como comercial, con cliente, referencia, cantidad y fecha: validación de campos, estados e historial de cambios.</t>
  </si>
  <si>
    <t xml:space="preserve">Consolidación de pedidos por semana y referencia</t>
  </si>
  <si>
    <t xml:space="preserve">Como planeador: totales automáticos, filtros e identificación de pedidos diarios.</t>
  </si>
  <si>
    <t xml:space="preserve">Consulta de inventario disponible convertido a unidad de programación</t>
  </si>
  <si>
    <t xml:space="preserve">Como planeador: conversión automática, reserva de pedidos e inventario comprometido.</t>
  </si>
  <si>
    <t xml:space="preserve">Propuesta de producción diaria viable</t>
  </si>
  <si>
    <t xml:space="preserve">Como planeador: considera demanda, inventario, leche, empaques, cestillos, silos, equipos y personal.</t>
  </si>
  <si>
    <t xml:space="preserve">Simulación de escenarios de producción</t>
  </si>
  <si>
    <t xml:space="preserve">Como planeador, para evaluar pedidos adicionales o reprogramaciones: escenario sin afectar el plan aprobado y comparación de impacto.</t>
  </si>
  <si>
    <t xml:space="preserve">Aprobación y publicación del plan de producción</t>
  </si>
  <si>
    <t xml:space="preserve">Como líder, para que las áreas trabajen sobre una versión oficial: versión, aprobador, fecha, comentarios y notificación.</t>
  </si>
  <si>
    <t xml:space="preserve">PRODUCCIÓN Y RENDIMIENTO - Órdenes, consumos, empacado, rendimiento, paradas y diferencias</t>
  </si>
  <si>
    <t xml:space="preserve">Creación y ejecución de órdenes de producción</t>
  </si>
  <si>
    <t xml:space="preserve">Como producción: referencia, cantidad, formulación, turno, equipo, fechas y estado.</t>
  </si>
  <si>
    <t xml:space="preserve">Registro de cantidades entregadas y empacadas</t>
  </si>
  <si>
    <t xml:space="preserve">Como producción, por pasteurización: comparación automática y diferencia calculada.</t>
  </si>
  <si>
    <t xml:space="preserve">Registro de paradas y causas</t>
  </si>
  <si>
    <t xml:space="preserve">Como supervisor, para medir rendimiento: inicio, fin, equipo, causa, responsable y observación.</t>
  </si>
  <si>
    <t xml:space="preserve">Consulta de rendimiento por equipo y alertas</t>
  </si>
  <si>
    <t xml:space="preserve">Como gerente: indicador configurable con desglose por turno, producto y causa.</t>
  </si>
  <si>
    <t xml:space="preserve">BODEGA Y DESPACHOS - Producto terminado, movimientos, cierres y conciliación</t>
  </si>
  <si>
    <t xml:space="preserve">Recepción de producto terminado desde producción</t>
  </si>
  <si>
    <t xml:space="preserve">Como bodega: orden, lote, cantidad, ubicación, estado y usuario registrados.</t>
  </si>
  <si>
    <t xml:space="preserve">Registro y cierre de despachos el mismo día</t>
  </si>
  <si>
    <t xml:space="preserve">Como despachador: fecha operativa y fecha de cierre, alerta de abiertos y cantidades por referencia.</t>
  </si>
  <si>
    <t xml:space="preserve">Conciliación de inventario inicial, entradas, salidas, roturas y final</t>
  </si>
  <si>
    <t xml:space="preserve">Como inventarista: cálculo por referencia y ubicación, con diferencias visibles.</t>
  </si>
  <si>
    <t xml:space="preserve">INCIDENCIAS Y DESPERDICIOS - Roturas, devoluciones, reprocesos, muestras y causas</t>
  </si>
  <si>
    <t xml:space="preserve">Registro de rotura, devolución, muestra o reproceso</t>
  </si>
  <si>
    <t xml:space="preserve">Como usuario: tipo, origen, producto, lote, cantidad, causa, evidencia y destino.</t>
  </si>
  <si>
    <t xml:space="preserve">Separación del registro operativo y el efecto contable</t>
  </si>
  <si>
    <t xml:space="preserve">Como contabilidad: bandera y tratamiento contable, sin duplicidad y con soporte obligatorio.</t>
  </si>
  <si>
    <t xml:space="preserve">Trazabilidad del reproceso hasta la orden de consumo</t>
  </si>
  <si>
    <t xml:space="preserve">Como producción: lote de reproceso, cantidad disponible, consumo y saldo.</t>
  </si>
  <si>
    <t xml:space="preserve">Registro de desperdicio por orden, máquina y causa</t>
  </si>
  <si>
    <t xml:space="preserve">Como supervisor: comparación con tolerancia, alerta y acción correctiva.</t>
  </si>
  <si>
    <t xml:space="preserve">EMPAQUES, COMPRAS Y PROVEEDORES - Inventario, cobertura, sugerencias, órdenes y entregas</t>
  </si>
  <si>
    <t xml:space="preserve">Registro de entradas y salidas reales de empaques</t>
  </si>
  <si>
    <t xml:space="preserve">Como almacén: material, lote, proveedor, cantidad, orden y saldo.</t>
  </si>
  <si>
    <t xml:space="preserve">Consulta de días de cobertura y materiales críticos</t>
  </si>
  <si>
    <t xml:space="preserve">Como compras: consumo real/promedio, pedidos en tránsito y semáforo.</t>
  </si>
  <si>
    <t xml:space="preserve">Sugerencia de compra respetando mínimos y plazo</t>
  </si>
  <si>
    <t xml:space="preserve">Como compras: cantidad sugerida, mínimo, cobertura objetivo y fecha requerida.</t>
  </si>
  <si>
    <t xml:space="preserve">Programación de entregas parciales por proveedor</t>
  </si>
  <si>
    <t xml:space="preserve">Como compras: fechas, cantidades, capacidad de bodega y estado de entrega.</t>
  </si>
  <si>
    <t xml:space="preserve">Evaluación de precio, calidad y cumplimiento de proveedores</t>
  </si>
  <si>
    <t xml:space="preserve">Como gerente: indicadores por proveedor y periodo.</t>
  </si>
  <si>
    <t xml:space="preserve">ALERTAS, REPORTES E INTEGRACIÓN - Tableros, cierres, exportaciones y WMS</t>
  </si>
  <si>
    <t xml:space="preserve">Alertas según rol del usuario</t>
  </si>
  <si>
    <t xml:space="preserve">Como usuario: inventario bajo, diferencia, atraso, bajo rendimiento y movimiento pendiente.</t>
  </si>
  <si>
    <t xml:space="preserve">Tablero ejecutivo diario</t>
  </si>
  <si>
    <t xml:space="preserve">Como gerente: inventarios, producción, cumplimiento, diferencias, desperdicios y alertas.</t>
  </si>
  <si>
    <t xml:space="preserve">Exportación de cierres mensuales</t>
  </si>
  <si>
    <t xml:space="preserve">Como contabilidad: formato definido, periodo cerrado y trazabilidad al detalle.</t>
  </si>
  <si>
    <t xml:space="preserve">Importación de datos iniciales desde Excel</t>
  </si>
  <si>
    <t xml:space="preserve">Como administrador: plantilla validada, errores reportados y no duplicidad.</t>
  </si>
  <si>
    <t xml:space="preserve">Integración futura con el WMS</t>
  </si>
  <si>
    <t xml:space="preserve">Como organización, cuando se confirme el mecanismo técnico: API, base de datos o archivos, con sincronización y manejo de errores.</t>
  </si>
  <si>
    <t xml:space="preserve">Búsqueda y filtro de movimientos históricos</t>
  </si>
  <si>
    <t xml:space="preserve">Como usuario: filtros combinables, exportación autorizada y respuesta oportuna.</t>
  </si>
  <si>
    <t xml:space="preserve">Configuración de cierres diarios, quincenales y mensuales</t>
  </si>
  <si>
    <t xml:space="preserve">Como administrador: bloqueo de periodos, reapertura autorizada y auditoría.</t>
  </si>
  <si>
    <t xml:space="preserve">REQUISITOS NO FUNCIONALES - Atributos de calidad transversales: seguridad, desempeño, disponibilidad y mantenibilidad</t>
  </si>
  <si>
    <t xml:space="preserve">Seguridad</t>
  </si>
  <si>
    <t xml:space="preserve">Autenticación segura, contraseñas robustas y control de sesión.</t>
  </si>
  <si>
    <t xml:space="preserve">Autorización</t>
  </si>
  <si>
    <t xml:space="preserve">Permisos por rol, módulo, acción y ubicación.</t>
  </si>
  <si>
    <t xml:space="preserve">Auditoría</t>
  </si>
  <si>
    <t xml:space="preserve">Conservar creación, modificación, aprobación, ajuste, exportación e inicio de sesión.</t>
  </si>
  <si>
    <t xml:space="preserve">Disponibilidad</t>
  </si>
  <si>
    <t xml:space="preserve">Objetivo inicial de 99,5% mensual, sujeto a infraestructura contratada.</t>
  </si>
  <si>
    <t xml:space="preserve">Rendimiento</t>
  </si>
  <si>
    <t xml:space="preserve">Operaciones frecuentes en menos de 3 segundos en condiciones normales.</t>
  </si>
  <si>
    <t xml:space="preserve">Usabilidad</t>
  </si>
  <si>
    <t xml:space="preserve">Diseño responsive para tablet y computador, con formularios simples y validaciones claras.</t>
  </si>
  <si>
    <t xml:space="preserve">Integridad</t>
  </si>
  <si>
    <t xml:space="preserve">Transacciones atómicas, control de duplicidad y restricciones de consistencia.</t>
  </si>
  <si>
    <t xml:space="preserve">Respaldo</t>
  </si>
  <si>
    <t xml:space="preserve">Copias automáticas, política de retención y pruebas de restauración.</t>
  </si>
  <si>
    <t xml:space="preserve">Trazabilidad</t>
  </si>
  <si>
    <t xml:space="preserve">Todo saldo debe poder explicarse mediante movimientos identificables.</t>
  </si>
  <si>
    <t xml:space="preserve">Escalabilidad</t>
  </si>
  <si>
    <t xml:space="preserve">Arquitectura modular para nuevas plantas, bodegas, rutas y referencias.</t>
  </si>
  <si>
    <t xml:space="preserve">Interoperabilidad</t>
  </si>
  <si>
    <t xml:space="preserve">API y mecanismos de importación/exportación documentados.</t>
  </si>
  <si>
    <t xml:space="preserve">Privacidad</t>
  </si>
  <si>
    <t xml:space="preserve">Protección de información empresarial y uso conforme a políticas internas.</t>
  </si>
  <si>
    <t xml:space="preserve">Mantenibilidad</t>
  </si>
  <si>
    <t xml:space="preserve">Código versionado, pruebas, documentación técnica y ambientes separados.</t>
  </si>
  <si>
    <t xml:space="preserve">Observabilidad</t>
  </si>
  <si>
    <t xml:space="preserve">Logs, monitoreo, métricas y alertas técnicas.</t>
  </si>
  <si>
    <t xml:space="preserve">Accesibilidad</t>
  </si>
  <si>
    <t xml:space="preserve">Contraste, tamaño de controles y navegación adecuados para operación en planta.</t>
  </si>
  <si>
    <t xml:space="preserve">Continuidad</t>
  </si>
  <si>
    <t xml:space="preserve">Modo de contingencia documentado ante pérdida temporal de conectividad.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</si>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</sst>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\ mmmm\ yyyy"/>
    <numFmt numFmtId="166" formatCode="\$#,##0"/>
    <numFmt numFmtId="167" formatCode="0\ %"/>
    <numFmt numFmtId="168" formatCode="#,##0"/>
    <numFmt numFmtId="169" formatCode="0.00"/>
    <numFmt numFmtId="170" formatCode="#,##0_);[RED]#,##0"/>
    <numFmt numFmtId="171" formatCode="0"/>
    <numFmt numFmtId="172" formatCode="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C128" activeCellId="0" sqref="AC128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SUMIFS(Y2:Y147,L2:L147,"&lt;&gt;"&amp;"")</f>
        <v>113327295.330579</v>
      </c>
      <c r="Z1" s="3" t="s">
        <v>13</v>
      </c>
      <c r="AA1" s="8" t="s">
        <v>14</v>
      </c>
      <c r="AB1" s="9" t="s">
        <v>15</v>
      </c>
      <c r="AC1" s="10" t="n">
        <f aca="false">SUM(AC2:AC147)</f>
        <v>113327295.330579</v>
      </c>
      <c r="AD1" s="3"/>
      <c r="AE1" s="3"/>
    </row>
    <row r="2" customFormat="false" ht="15.75" hidden="false" customHeight="true" outlineLevel="0" collapsed="false">
      <c r="A2" s="11" t="n">
        <f aca="false">(B2*$P$152+C2*$P$153+D2*$P$154+E2*$P$155+F2*$P$156+G2*$P$157+H2*$P$158+I2*$P$159+J2*$P$160+K2*$P$161)*$T$150</f>
        <v>6133650.68870524</v>
      </c>
      <c r="B2" s="12" t="n">
        <v>8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SUMIF($X$2:$X$147,X2,$A$2:$A$147)</f>
        <v>6133650.68870524</v>
      </c>
      <c r="Z2" s="19"/>
      <c r="AA2" s="20"/>
      <c r="AB2" s="21" t="b">
        <f aca="false">TRUE()</f>
        <v>1</v>
      </c>
      <c r="AC2" s="22" t="n">
        <f aca="false">IF(L2="",0,IF(AB2=FALSE(),0,Y2))</f>
        <v>6133650.68870524</v>
      </c>
      <c r="AD2" s="14"/>
      <c r="AE2" s="14"/>
    </row>
    <row r="3" customFormat="false" ht="15.75" hidden="false" customHeight="true" outlineLevel="0" collapsed="false">
      <c r="A3" s="11" t="n">
        <f aca="false">(B3*$P$152+C3*$P$153+D3*$P$154+E3*$P$155+F3*$P$156+G3*$P$157+H3*$P$158+I3*$P$159+J3*$P$160+K3*$P$161)*$T$150</f>
        <v>2518903.63636364</v>
      </c>
      <c r="B3" s="13"/>
      <c r="C3" s="12" t="n">
        <v>6</v>
      </c>
      <c r="D3" s="23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SUMIF($X$2:$X$147,X3,$A$2:$A$147)</f>
        <v>2518903.63636364</v>
      </c>
      <c r="Z3" s="19"/>
      <c r="AA3" s="20"/>
      <c r="AB3" s="21" t="b">
        <f aca="false">TRUE()</f>
        <v>1</v>
      </c>
      <c r="AC3" s="22" t="n">
        <f aca="false">IF(L3="",0,IF(AB3=FALSE(),0,Y3))</f>
        <v>2518903.63636364</v>
      </c>
      <c r="AD3" s="14"/>
      <c r="AE3" s="14"/>
    </row>
    <row r="4" customFormat="false" ht="15.75" hidden="false" customHeight="true" outlineLevel="0" collapsed="false">
      <c r="A4" s="11" t="n">
        <f aca="false">(B4*$P$152+C4*$P$153+D4*$P$154+E4*$P$155+F4*$P$156+G4*$P$157+H4*$P$158+I4*$P$159+J4*$P$160+K4*$P$161)*$T$150</f>
        <v>2020764.04958678</v>
      </c>
      <c r="B4" s="13"/>
      <c r="C4" s="13"/>
      <c r="D4" s="13"/>
      <c r="E4" s="13"/>
      <c r="F4" s="13"/>
      <c r="G4" s="13"/>
      <c r="H4" s="12" t="n">
        <v>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SUMIF($X$2:$X$147,X4,$A$2:$A$147)</f>
        <v>2020764.04958678</v>
      </c>
      <c r="Z4" s="19"/>
      <c r="AA4" s="24"/>
      <c r="AB4" s="21" t="b">
        <f aca="false">TRUE()</f>
        <v>1</v>
      </c>
      <c r="AC4" s="22" t="n">
        <f aca="false">IF(L4="",0,IF(AB4=FALSE(),0,Y4))</f>
        <v>2020764.04958678</v>
      </c>
      <c r="AD4" s="14"/>
      <c r="AE4" s="14"/>
    </row>
    <row r="5" customFormat="false" ht="15.75" hidden="false" customHeight="true" outlineLevel="0" collapsed="false">
      <c r="A5" s="11" t="n">
        <f aca="false">(B5*$P$152+C5*$P$153+D5*$P$154+E5*$P$155+F5*$P$156+G5*$P$157+H5*$P$158+I5*$P$159+J5*$P$160+K5*$P$161)*$T$150</f>
        <v>229247.479338843</v>
      </c>
      <c r="B5" s="14"/>
      <c r="C5" s="14"/>
      <c r="D5" s="14"/>
      <c r="E5" s="14"/>
      <c r="F5" s="14"/>
      <c r="G5" s="14"/>
      <c r="H5" s="14"/>
      <c r="I5" s="14"/>
      <c r="J5" s="14"/>
      <c r="K5" s="25" t="n">
        <v>0.5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SUMIF($X$2:$X$147,X5,$A$2:$A$147)</f>
        <v>229247.479338843</v>
      </c>
      <c r="Z5" s="19"/>
      <c r="AA5" s="24"/>
      <c r="AB5" s="21" t="b">
        <f aca="false">TRUE()</f>
        <v>1</v>
      </c>
      <c r="AC5" s="22" t="n">
        <f aca="false">IF(L5="",0,IF(AB5=FALSE(),0,Y5))</f>
        <v>229247.479338843</v>
      </c>
      <c r="AD5" s="14"/>
      <c r="AE5" s="14"/>
    </row>
    <row r="6" customFormat="false" ht="15" hidden="false" customHeight="true" outlineLevel="0" collapsed="false">
      <c r="A6" s="11" t="n">
        <f aca="false">(B6*$P$152+C6*$P$153+D6*$P$154+E6*$P$155+F6*$P$156+G6*$P$157+H6*$P$158+I6*$P$159+J6*$P$160+K6*$P$161)*$T$150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6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SUMIF($X$2:$X$147,X6,$A$2:$A$147)</f>
        <v>229247.479338843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(B7*$P$152+C7*$P$153+D7*$P$154+E7*$P$155+F7*$P$156+G7*$P$157+H7*$P$158+I7*$P$159+J7*$P$160+K7*$P$161)*$T$150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6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SUMIF($X$2:$X$147,X7,$A$2:$A$147)</f>
        <v>229247.479338843</v>
      </c>
      <c r="Z7" s="19"/>
      <c r="AA7" s="24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(B8*$P$152+C8*$P$153+D8*$P$154+E8*$P$155+F8*$P$156+G8*$P$157+H8*$P$158+I8*$P$159+J8*$P$160+K8*$P$161)*$T$150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7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SUMIF($X$2:$X$147,X8,$A$2:$A$147)</f>
        <v>6652476.74931129</v>
      </c>
      <c r="Z8" s="19"/>
      <c r="AA8" s="20"/>
      <c r="AB8" s="21" t="b">
        <f aca="false">TRUE()</f>
        <v>1</v>
      </c>
      <c r="AC8" s="22" t="n">
        <f aca="false">IF(L8="",0,IF(AB8=FALSE(),0,Y8))</f>
        <v>6652476.74931129</v>
      </c>
      <c r="AD8" s="28"/>
      <c r="AE8" s="28"/>
    </row>
    <row r="9" customFormat="false" ht="12.75" hidden="false" customHeight="true" outlineLevel="0" collapsed="false">
      <c r="A9" s="11" t="n">
        <f aca="false">(B9*$P$152+C9*$P$153+D9*$P$154+E9*$P$155+F9*$P$156+G9*$P$157+H9*$P$158+I9*$P$159+J9*$P$160+K9*$P$161)*$T$150</f>
        <v>1889203.87052342</v>
      </c>
      <c r="B9" s="25" t="n">
        <v>0.5</v>
      </c>
      <c r="C9" s="14"/>
      <c r="D9" s="25" t="n">
        <v>1</v>
      </c>
      <c r="E9" s="25" t="n">
        <v>1.5</v>
      </c>
      <c r="F9" s="14"/>
      <c r="G9" s="25" t="n">
        <v>0.5</v>
      </c>
      <c r="H9" s="14"/>
      <c r="I9" s="14"/>
      <c r="J9" s="14"/>
      <c r="K9" s="14"/>
      <c r="L9" s="17"/>
      <c r="M9" s="29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SUMIF($X$2:$X$147,X9,$A$2:$A$147)</f>
        <v>6652476.74931129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8"/>
      <c r="AE9" s="28"/>
    </row>
    <row r="10" customFormat="false" ht="12.75" hidden="false" customHeight="true" outlineLevel="0" collapsed="false">
      <c r="A10" s="11" t="n">
        <f aca="false">(B10*$P$152+C10*$P$153+D10*$P$154+E10*$P$155+F10*$P$156+G10*$P$157+H10*$P$158+I10*$P$159+J10*$P$160+K10*$P$161)*$T$150</f>
        <v>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7"/>
      <c r="M10" s="17"/>
      <c r="N10" s="30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SUMIF($X$2:$X$147,X10,$A$2:$A$147)</f>
        <v>6652476.74931129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8"/>
      <c r="AE10" s="28"/>
    </row>
    <row r="11" customFormat="false" ht="12.75" hidden="false" customHeight="true" outlineLevel="0" collapsed="false">
      <c r="A11" s="11" t="n">
        <f aca="false">(B11*$P$152+C11*$P$153+D11*$P$154+E11*$P$155+F11*$P$156+G11*$P$157+H11*$P$158+I11*$P$159+J11*$P$160+K11*$P$161)*$T$150</f>
        <v>2003868.70523416</v>
      </c>
      <c r="B11" s="14"/>
      <c r="C11" s="14"/>
      <c r="D11" s="25" t="n">
        <v>1</v>
      </c>
      <c r="E11" s="25" t="n">
        <v>2</v>
      </c>
      <c r="F11" s="14"/>
      <c r="G11" s="25" t="n">
        <v>1</v>
      </c>
      <c r="H11" s="14"/>
      <c r="I11" s="14"/>
      <c r="J11" s="14"/>
      <c r="K11" s="14"/>
      <c r="L11" s="17"/>
      <c r="M11" s="29" t="s">
        <v>23</v>
      </c>
      <c r="N11" s="31"/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SUMIF($X$2:$X$147,X11,$A$2:$A$147)</f>
        <v>6652476.74931129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8"/>
      <c r="AE11" s="28"/>
    </row>
    <row r="12" customFormat="false" ht="12.75" hidden="false" customHeight="true" outlineLevel="0" collapsed="false">
      <c r="A12" s="11" t="n">
        <f aca="false">(B12*$P$152+C12*$P$153+D12*$P$154+E12*$P$155+F12*$P$156+G12*$P$157+H12*$P$158+I12*$P$159+J12*$P$160+K12*$P$161)*$T$150</f>
        <v>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7"/>
      <c r="M12" s="32"/>
      <c r="N12" s="30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SUMIF($X$2:$X$147,X12,$A$2:$A$147)</f>
        <v>6652476.74931129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8"/>
      <c r="AE12" s="28"/>
    </row>
    <row r="13" customFormat="false" ht="12.75" hidden="false" customHeight="true" outlineLevel="0" collapsed="false">
      <c r="A13" s="11" t="n">
        <f aca="false">(B13*$P$152+C13*$P$153+D13*$P$154+E13*$P$155+F13*$P$156+G13*$P$157+H13*$P$158+I13*$P$159+J13*$P$160+K13*$P$161)*$T$150</f>
        <v>1505850.70247934</v>
      </c>
      <c r="B13" s="14"/>
      <c r="C13" s="14"/>
      <c r="D13" s="25" t="n">
        <v>1</v>
      </c>
      <c r="E13" s="25" t="n">
        <v>1.5</v>
      </c>
      <c r="F13" s="14"/>
      <c r="G13" s="25" t="n">
        <v>0.5</v>
      </c>
      <c r="H13" s="14"/>
      <c r="I13" s="14"/>
      <c r="J13" s="14"/>
      <c r="K13" s="14"/>
      <c r="L13" s="17"/>
      <c r="M13" s="29" t="s">
        <v>25</v>
      </c>
      <c r="N13" s="31"/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SUMIF($X$2:$X$147,X13,$A$2:$A$147)</f>
        <v>6652476.74931129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8"/>
      <c r="AE13" s="28"/>
    </row>
    <row r="14" customFormat="false" ht="15" hidden="false" customHeight="true" outlineLevel="0" collapsed="false">
      <c r="A14" s="11" t="n">
        <f aca="false">(B14*$P$152+C14*$P$153+D14*$P$154+E14*$P$155+F14*$P$156+G14*$P$157+H14*$P$158+I14*$P$159+J14*$P$160+K14*$P$161)*$T$150</f>
        <v>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6"/>
      <c r="M14" s="17"/>
      <c r="N14" s="30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SUMIF($X$2:$X$147,X14,$A$2:$A$147)</f>
        <v>6652476.74931129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8"/>
      <c r="AE14" s="28"/>
    </row>
    <row r="15" customFormat="false" ht="12.75" hidden="false" customHeight="true" outlineLevel="0" collapsed="false">
      <c r="A15" s="11" t="n">
        <f aca="false">(B15*$P$152+C15*$P$153+D15*$P$154+E15*$P$155+F15*$P$156+G15*$P$157+H15*$P$158+I15*$P$159+J15*$P$160+K15*$P$161)*$T$150</f>
        <v>1253553.47107438</v>
      </c>
      <c r="B15" s="14"/>
      <c r="C15" s="25" t="n">
        <v>1</v>
      </c>
      <c r="D15" s="25" t="n">
        <v>1.5</v>
      </c>
      <c r="E15" s="14"/>
      <c r="F15" s="14"/>
      <c r="G15" s="25" t="n">
        <v>0.5</v>
      </c>
      <c r="H15" s="14"/>
      <c r="I15" s="14"/>
      <c r="J15" s="14"/>
      <c r="K15" s="14"/>
      <c r="L15" s="17"/>
      <c r="M15" s="29" t="s">
        <v>27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SUMIF($X$2:$X$147,X15,$A$2:$A$147)</f>
        <v>6652476.74931129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8"/>
      <c r="AE15" s="28"/>
    </row>
    <row r="16" customFormat="false" ht="12.75" hidden="false" customHeight="true" outlineLevel="0" collapsed="false">
      <c r="A16" s="11" t="n">
        <f aca="false">(B16*$P$152+C16*$P$153+D16*$P$154+E16*$P$155+F16*$P$156+G16*$P$157+H16*$P$158+I16*$P$159+J16*$P$160+K16*$P$161)*$T$150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17"/>
      <c r="N16" s="30" t="s">
        <v>28</v>
      </c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SUMIF($X$2:$X$147,X16,$A$2:$A$147)</f>
        <v>6652476.74931129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8"/>
      <c r="AE16" s="28"/>
    </row>
    <row r="17" customFormat="false" ht="12.75" hidden="false" customHeight="true" outlineLevel="0" collapsed="false">
      <c r="A17" s="11" t="n">
        <f aca="false">(B17*$P$152+C17*$P$153+D17*$P$154+E17*$P$155+F17*$P$156+G17*$P$157+H17*$P$158+I17*$P$159+J17*$P$160+K17*$P$161)*$T$150</f>
        <v>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33" t="s">
        <v>29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6</v>
      </c>
      <c r="Y17" s="18" t="n">
        <f aca="false">SUMIF($X$2:$X$147,X17,$A$2:$A$147)</f>
        <v>8147182.72727273</v>
      </c>
      <c r="Z17" s="19"/>
      <c r="AA17" s="20"/>
      <c r="AB17" s="21" t="b">
        <f aca="false">TRUE()</f>
        <v>1</v>
      </c>
      <c r="AC17" s="22" t="n">
        <f aca="false">IF(L17="",0,IF(AB17=FALSE(),0,Y17))</f>
        <v>8147182.72727273</v>
      </c>
      <c r="AD17" s="28"/>
      <c r="AE17" s="28"/>
    </row>
    <row r="18" customFormat="false" ht="12.75" hidden="false" customHeight="true" outlineLevel="0" collapsed="false">
      <c r="A18" s="11" t="n">
        <f aca="false">(B18*$P$152+C18*$P$153+D18*$P$154+E18*$P$155+F18*$P$156+G18*$P$157+H18*$P$158+I18*$P$159+J18*$P$160+K18*$P$161)*$T$150</f>
        <v>1715759.33884298</v>
      </c>
      <c r="B18" s="14"/>
      <c r="C18" s="25" t="n">
        <v>0.5</v>
      </c>
      <c r="D18" s="25" t="n">
        <v>1</v>
      </c>
      <c r="E18" s="25" t="n">
        <v>1.5</v>
      </c>
      <c r="F18" s="14"/>
      <c r="G18" s="25" t="n">
        <v>0.5</v>
      </c>
      <c r="H18" s="14"/>
      <c r="I18" s="14"/>
      <c r="J18" s="14"/>
      <c r="K18" s="14"/>
      <c r="L18" s="17"/>
      <c r="M18" s="29" t="s">
        <v>30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6</v>
      </c>
      <c r="Y18" s="18" t="n">
        <f aca="false">SUMIF($X$2:$X$147,X18,$A$2:$A$147)</f>
        <v>8147182.72727273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8"/>
      <c r="AE18" s="28"/>
    </row>
    <row r="19" customFormat="false" ht="15" hidden="false" customHeight="true" outlineLevel="0" collapsed="false">
      <c r="A19" s="11" t="n">
        <f aca="false">(B19*$P$152+C19*$P$153+D19*$P$154+E19*$P$155+F19*$P$156+G19*$P$157+H19*$P$158+I19*$P$159+J19*$P$160+K19*$P$161)*$T$150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26"/>
      <c r="M19" s="17"/>
      <c r="N19" s="30" t="s">
        <v>31</v>
      </c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6</v>
      </c>
      <c r="Y19" s="18" t="n">
        <f aca="false">SUMIF($X$2:$X$147,X19,$A$2:$A$147)</f>
        <v>8147182.72727273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8"/>
      <c r="AE19" s="28"/>
    </row>
    <row r="20" customFormat="false" ht="12.75" hidden="false" customHeight="true" outlineLevel="0" collapsed="false">
      <c r="A20" s="11" t="n">
        <f aca="false">(B20*$P$152+C20*$P$153+D20*$P$154+E20*$P$155+F20*$P$156+G20*$P$157+H20*$P$158+I20*$P$159+J20*$P$160+K20*$P$161)*$T$150</f>
        <v>2003868.70523416</v>
      </c>
      <c r="B20" s="14"/>
      <c r="C20" s="14"/>
      <c r="D20" s="25" t="n">
        <v>1</v>
      </c>
      <c r="E20" s="25" t="n">
        <v>2</v>
      </c>
      <c r="F20" s="14"/>
      <c r="G20" s="25" t="n">
        <v>1</v>
      </c>
      <c r="H20" s="14"/>
      <c r="I20" s="14"/>
      <c r="J20" s="14"/>
      <c r="K20" s="14"/>
      <c r="L20" s="17"/>
      <c r="M20" s="29" t="s">
        <v>32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6</v>
      </c>
      <c r="Y20" s="18" t="n">
        <f aca="false">SUMIF($X$2:$X$147,X20,$A$2:$A$147)</f>
        <v>8147182.72727273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8"/>
      <c r="AE20" s="28"/>
    </row>
    <row r="21" customFormat="false" ht="12.75" hidden="false" customHeight="true" outlineLevel="0" collapsed="false">
      <c r="A21" s="11" t="n">
        <f aca="false">(B21*$P$152+C21*$P$153+D21*$P$154+E21*$P$155+F21*$P$156+G21*$P$157+H21*$P$158+I21*$P$159+J21*$P$160+K21*$P$161)*$T$150</f>
        <v>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7"/>
      <c r="M21" s="17"/>
      <c r="N21" s="30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6</v>
      </c>
      <c r="Y21" s="18" t="n">
        <f aca="false">SUMIF($X$2:$X$147,X21,$A$2:$A$147)</f>
        <v>8147182.72727273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8"/>
      <c r="AE21" s="28"/>
    </row>
    <row r="22" customFormat="false" ht="12.75" hidden="false" customHeight="true" outlineLevel="0" collapsed="false">
      <c r="A22" s="11" t="n">
        <f aca="false">(B22*$P$152+C22*$P$153+D22*$P$154+E22*$P$155+F22*$P$156+G22*$P$157+H22*$P$158+I22*$P$159+J22*$P$160+K22*$P$161)*$T$150</f>
        <v>2423685.97796143</v>
      </c>
      <c r="B22" s="14"/>
      <c r="C22" s="25" t="n">
        <v>0.5</v>
      </c>
      <c r="D22" s="25" t="n">
        <v>1.5</v>
      </c>
      <c r="E22" s="25" t="n">
        <v>2</v>
      </c>
      <c r="F22" s="14"/>
      <c r="G22" s="25" t="n">
        <v>1</v>
      </c>
      <c r="H22" s="14"/>
      <c r="I22" s="14"/>
      <c r="J22" s="14"/>
      <c r="K22" s="14"/>
      <c r="L22" s="17"/>
      <c r="M22" s="29" t="s">
        <v>34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6</v>
      </c>
      <c r="Y22" s="18" t="n">
        <f aca="false">SUMIF($X$2:$X$147,X22,$A$2:$A$147)</f>
        <v>8147182.72727273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8"/>
      <c r="AE22" s="28"/>
    </row>
    <row r="23" customFormat="false" ht="12.75" hidden="false" customHeight="true" outlineLevel="0" collapsed="false">
      <c r="A23" s="11" t="n">
        <f aca="false">(B23*$P$152+C23*$P$153+D23*$P$154+E23*$P$155+F23*$P$156+G23*$P$157+H23*$P$158+I23*$P$159+J23*$P$160+K23*$P$161)*$T$150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7"/>
      <c r="M23" s="17"/>
      <c r="N23" s="30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SUMIF($X$2:$X$147,X23,$A$2:$A$147)</f>
        <v>8147182.72727273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8"/>
      <c r="AE23" s="28"/>
    </row>
    <row r="24" customFormat="false" ht="12.75" hidden="false" customHeight="true" outlineLevel="0" collapsed="false">
      <c r="A24" s="11" t="n">
        <f aca="false">(B24*$P$152+C24*$P$153+D24*$P$154+E24*$P$155+F24*$P$156+G24*$P$157+H24*$P$158+I24*$P$159+J24*$P$160+K24*$P$161)*$T$150</f>
        <v>2003868.70523416</v>
      </c>
      <c r="B24" s="14"/>
      <c r="C24" s="14"/>
      <c r="D24" s="25" t="n">
        <v>1</v>
      </c>
      <c r="E24" s="25" t="n">
        <v>2</v>
      </c>
      <c r="F24" s="14"/>
      <c r="G24" s="25" t="n">
        <v>1</v>
      </c>
      <c r="H24" s="14"/>
      <c r="I24" s="14"/>
      <c r="J24" s="14"/>
      <c r="K24" s="14"/>
      <c r="L24" s="17"/>
      <c r="M24" s="34" t="s">
        <v>36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SUMIF($X$2:$X$147,X24,$A$2:$A$147)</f>
        <v>8147182.72727273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8"/>
      <c r="AE24" s="28"/>
    </row>
    <row r="25" customFormat="false" ht="15" hidden="false" customHeight="true" outlineLevel="0" collapsed="false">
      <c r="A25" s="11" t="n">
        <f aca="false">(B25*$P$152+C25*$P$153+D25*$P$154+E25*$P$155+F25*$P$156+G25*$P$157+H25*$P$158+I25*$P$159+J25*$P$160+K25*$P$161)*$T$150</f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6"/>
      <c r="M25" s="17"/>
      <c r="N25" s="30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SUMIF($X$2:$X$147,X25,$A$2:$A$147)</f>
        <v>8147182.72727273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8"/>
      <c r="AE25" s="28"/>
    </row>
    <row r="26" customFormat="false" ht="15" hidden="false" customHeight="true" outlineLevel="0" collapsed="false">
      <c r="A26" s="11" t="n">
        <f aca="false">(B26*$P$152+C26*$P$153+D26*$P$154+E26*$P$155+F26*$P$156+G26*$P$157+H26*$P$158+I26*$P$159+J26*$P$160+K26*$P$161)*$T$150</f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33" t="s">
        <v>38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7</v>
      </c>
      <c r="Y26" s="18" t="n">
        <f aca="false">SUMIF($X$2:$X$147,X26,$A$2:$A$147)</f>
        <v>10990685.9779614</v>
      </c>
      <c r="Z26" s="19"/>
      <c r="AA26" s="20"/>
      <c r="AB26" s="21" t="b">
        <f aca="false">TRUE()</f>
        <v>1</v>
      </c>
      <c r="AC26" s="22" t="n">
        <f aca="false">IF(L26="",0,IF(AB26=FALSE(),0,Y26))</f>
        <v>10990685.9779614</v>
      </c>
      <c r="AD26" s="28"/>
      <c r="AE26" s="28"/>
    </row>
    <row r="27" customFormat="false" ht="15" hidden="false" customHeight="true" outlineLevel="0" collapsed="false">
      <c r="A27" s="11" t="n">
        <f aca="false">(B27*$P$152+C27*$P$153+D27*$P$154+E27*$P$155+F27*$P$156+G27*$P$157+H27*$P$158+I27*$P$159+J27*$P$160+K27*$P$161)*$T$150</f>
        <v>1211842.98898072</v>
      </c>
      <c r="B27" s="14"/>
      <c r="C27" s="14"/>
      <c r="D27" s="25" t="n">
        <v>1</v>
      </c>
      <c r="E27" s="25" t="n">
        <v>1</v>
      </c>
      <c r="F27" s="14"/>
      <c r="G27" s="25" t="n">
        <v>0.5</v>
      </c>
      <c r="H27" s="14"/>
      <c r="I27" s="14"/>
      <c r="J27" s="14"/>
      <c r="K27" s="14"/>
      <c r="L27" s="26"/>
      <c r="M27" s="29" t="s">
        <v>39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7</v>
      </c>
      <c r="Y27" s="18" t="n">
        <f aca="false">SUMIF($X$2:$X$147,X27,$A$2:$A$147)</f>
        <v>10990685.9779614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8"/>
      <c r="AE27" s="28"/>
    </row>
    <row r="28" customFormat="false" ht="15" hidden="false" customHeight="true" outlineLevel="0" collapsed="false">
      <c r="A28" s="11" t="n">
        <f aca="false">(B28*$P$152+C28*$P$153+D28*$P$154+E28*$P$155+F28*$P$156+G28*$P$157+H28*$P$158+I28*$P$159+J28*$P$160+K28*$P$161)*$T$150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6"/>
      <c r="M28" s="17"/>
      <c r="N28" s="30" t="s">
        <v>40</v>
      </c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7</v>
      </c>
      <c r="Y28" s="18" t="n">
        <f aca="false">SUMIF($X$2:$X$147,X28,$A$2:$A$147)</f>
        <v>10990685.9779614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8"/>
      <c r="AE28" s="28"/>
    </row>
    <row r="29" customFormat="false" ht="15" hidden="false" customHeight="true" outlineLevel="0" collapsed="false">
      <c r="A29" s="11" t="n">
        <f aca="false">(B29*$P$152+C29*$P$153+D29*$P$154+E29*$P$155+F29*$P$156+G29*$P$157+H29*$P$158+I29*$P$159+J29*$P$160+K29*$P$161)*$T$150</f>
        <v>2339586.90082645</v>
      </c>
      <c r="B29" s="14"/>
      <c r="C29" s="25" t="n">
        <v>1</v>
      </c>
      <c r="D29" s="25" t="n">
        <v>1.5</v>
      </c>
      <c r="E29" s="25" t="n">
        <v>1.5</v>
      </c>
      <c r="F29" s="14"/>
      <c r="G29" s="25" t="n">
        <v>1</v>
      </c>
      <c r="H29" s="14"/>
      <c r="I29" s="14"/>
      <c r="J29" s="14"/>
      <c r="K29" s="14"/>
      <c r="L29" s="26"/>
      <c r="M29" s="29" t="s">
        <v>41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7</v>
      </c>
      <c r="Y29" s="18" t="n">
        <f aca="false">SUMIF($X$2:$X$147,X29,$A$2:$A$147)</f>
        <v>10990685.9779614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8"/>
      <c r="AE29" s="28"/>
    </row>
    <row r="30" customFormat="false" ht="15" hidden="false" customHeight="true" outlineLevel="0" collapsed="false">
      <c r="A30" s="11" t="n">
        <f aca="false">(B30*$P$152+C30*$P$153+D30*$P$154+E30*$P$155+F30*$P$156+G30*$P$157+H30*$P$158+I30*$P$159+J30*$P$160+K30*$P$161)*$T$150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6"/>
      <c r="M30" s="17"/>
      <c r="N30" s="30" t="s">
        <v>42</v>
      </c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7</v>
      </c>
      <c r="Y30" s="18" t="n">
        <f aca="false">SUMIF($X$2:$X$147,X30,$A$2:$A$147)</f>
        <v>10990685.9779614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8"/>
      <c r="AE30" s="28"/>
    </row>
    <row r="31" customFormat="false" ht="15" hidden="false" customHeight="true" outlineLevel="0" collapsed="false">
      <c r="A31" s="11" t="n">
        <f aca="false">(B31*$P$152+C31*$P$153+D31*$P$154+E31*$P$155+F31*$P$156+G31*$P$157+H31*$P$158+I31*$P$159+J31*$P$160+K31*$P$161)*$T$150</f>
        <v>1505850.70247934</v>
      </c>
      <c r="B31" s="14"/>
      <c r="C31" s="14"/>
      <c r="D31" s="25" t="n">
        <v>1</v>
      </c>
      <c r="E31" s="25" t="n">
        <v>1.5</v>
      </c>
      <c r="F31" s="14"/>
      <c r="G31" s="25" t="n">
        <v>0.5</v>
      </c>
      <c r="H31" s="14"/>
      <c r="I31" s="14"/>
      <c r="J31" s="14"/>
      <c r="K31" s="14"/>
      <c r="L31" s="26"/>
      <c r="M31" s="29" t="s">
        <v>43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7</v>
      </c>
      <c r="Y31" s="18" t="n">
        <f aca="false">SUMIF($X$2:$X$147,X31,$A$2:$A$147)</f>
        <v>10990685.9779614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8"/>
      <c r="AE31" s="28"/>
    </row>
    <row r="32" customFormat="false" ht="15" hidden="false" customHeight="true" outlineLevel="0" collapsed="false">
      <c r="A32" s="11" t="n">
        <f aca="false">(B32*$P$152+C32*$P$153+D32*$P$154+E32*$P$155+F32*$P$156+G32*$P$157+H32*$P$158+I32*$P$159+J32*$P$160+K32*$P$161)*$T$150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6"/>
      <c r="M32" s="17"/>
      <c r="N32" s="30" t="s">
        <v>44</v>
      </c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7</v>
      </c>
      <c r="Y32" s="18" t="n">
        <f aca="false">SUMIF($X$2:$X$147,X32,$A$2:$A$147)</f>
        <v>10990685.9779614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8"/>
      <c r="AE32" s="28"/>
    </row>
    <row r="33" customFormat="false" ht="15" hidden="false" customHeight="true" outlineLevel="0" collapsed="false">
      <c r="A33" s="11" t="n">
        <f aca="false">(B33*$P$152+C33*$P$153+D33*$P$154+E33*$P$155+F33*$P$156+G33*$P$157+H33*$P$158+I33*$P$159+J33*$P$160+K33*$P$161)*$T$150</f>
        <v>2003868.70523416</v>
      </c>
      <c r="B33" s="14"/>
      <c r="C33" s="14"/>
      <c r="D33" s="25" t="n">
        <v>1</v>
      </c>
      <c r="E33" s="25" t="n">
        <v>2</v>
      </c>
      <c r="F33" s="14"/>
      <c r="G33" s="25" t="n">
        <v>1</v>
      </c>
      <c r="H33" s="14"/>
      <c r="I33" s="14"/>
      <c r="J33" s="14"/>
      <c r="K33" s="14"/>
      <c r="L33" s="26"/>
      <c r="M33" s="29" t="s">
        <v>45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7</v>
      </c>
      <c r="Y33" s="18" t="n">
        <f aca="false">SUMIF($X$2:$X$147,X33,$A$2:$A$147)</f>
        <v>10990685.9779614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8"/>
      <c r="AE33" s="28"/>
    </row>
    <row r="34" customFormat="false" ht="15" hidden="false" customHeight="true" outlineLevel="0" collapsed="false">
      <c r="A34" s="11" t="n">
        <f aca="false">(B34*$P$152+C34*$P$153+D34*$P$154+E34*$P$155+F34*$P$156+G34*$P$157+H34*$P$158+I34*$P$159+J34*$P$160+K34*$P$161)*$T$150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6"/>
      <c r="M34" s="26"/>
      <c r="N34" s="30" t="s">
        <v>46</v>
      </c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7</v>
      </c>
      <c r="Y34" s="18" t="n">
        <f aca="false">SUMIF($X$2:$X$147,X34,$A$2:$A$147)</f>
        <v>10990685.9779614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8"/>
      <c r="AE34" s="28"/>
    </row>
    <row r="35" customFormat="false" ht="15" hidden="false" customHeight="true" outlineLevel="0" collapsed="false">
      <c r="A35" s="11" t="n">
        <f aca="false">(B35*$P$152+C35*$P$153+D35*$P$154+E35*$P$155+F35*$P$156+G35*$P$157+H35*$P$158+I35*$P$159+J35*$P$160+K35*$P$161)*$T$150</f>
        <v>1715759.33884298</v>
      </c>
      <c r="B35" s="14"/>
      <c r="C35" s="14"/>
      <c r="D35" s="25" t="n">
        <v>1.5</v>
      </c>
      <c r="E35" s="25" t="n">
        <v>1.5</v>
      </c>
      <c r="F35" s="14"/>
      <c r="G35" s="25" t="n">
        <v>0.5</v>
      </c>
      <c r="H35" s="14"/>
      <c r="I35" s="14"/>
      <c r="J35" s="14"/>
      <c r="K35" s="14"/>
      <c r="L35" s="26"/>
      <c r="M35" s="29" t="s">
        <v>47</v>
      </c>
      <c r="N35" s="35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7</v>
      </c>
      <c r="Y35" s="18" t="n">
        <f aca="false">SUMIF($X$2:$X$147,X35,$A$2:$A$147)</f>
        <v>10990685.9779614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8"/>
      <c r="AE35" s="28"/>
    </row>
    <row r="36" customFormat="false" ht="15" hidden="false" customHeight="true" outlineLevel="0" collapsed="false">
      <c r="A36" s="11" t="n">
        <f aca="false">(B36*$P$152+C36*$P$153+D36*$P$154+E36*$P$155+F36*$P$156+G36*$P$157+H36*$P$158+I36*$P$159+J36*$P$160+K36*$P$161)*$T$150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6"/>
      <c r="M36" s="17"/>
      <c r="N36" s="30" t="s">
        <v>48</v>
      </c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7</v>
      </c>
      <c r="Y36" s="18" t="n">
        <f aca="false">SUMIF($X$2:$X$147,X36,$A$2:$A$147)</f>
        <v>10990685.9779614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8"/>
      <c r="AE36" s="28"/>
    </row>
    <row r="37" customFormat="false" ht="15" hidden="false" customHeight="true" outlineLevel="0" collapsed="false">
      <c r="A37" s="11" t="n">
        <f aca="false">(B37*$P$152+C37*$P$153+D37*$P$154+E37*$P$155+F37*$P$156+G37*$P$157+H37*$P$158+I37*$P$159+J37*$P$160+K37*$P$161)*$T$150</f>
        <v>2213777.3415978</v>
      </c>
      <c r="B37" s="14"/>
      <c r="C37" s="14"/>
      <c r="D37" s="25" t="n">
        <v>1.5</v>
      </c>
      <c r="E37" s="25" t="n">
        <v>2</v>
      </c>
      <c r="F37" s="14"/>
      <c r="G37" s="25" t="n">
        <v>1</v>
      </c>
      <c r="H37" s="14"/>
      <c r="I37" s="14"/>
      <c r="J37" s="14"/>
      <c r="K37" s="14"/>
      <c r="L37" s="26"/>
      <c r="M37" s="29" t="s">
        <v>49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7</v>
      </c>
      <c r="Y37" s="18" t="n">
        <f aca="false">SUMIF($X$2:$X$147,X37,$A$2:$A$147)</f>
        <v>10990685.9779614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8"/>
      <c r="AE37" s="28"/>
    </row>
    <row r="38" customFormat="false" ht="15" hidden="false" customHeight="true" outlineLevel="0" collapsed="false">
      <c r="A38" s="11" t="n">
        <f aca="false">(B38*$P$152+C38*$P$153+D38*$P$154+E38*$P$155+F38*$P$156+G38*$P$157+H38*$P$158+I38*$P$159+J38*$P$160+K38*$P$161)*$T$150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6"/>
      <c r="M38" s="17"/>
      <c r="N38" s="30" t="s">
        <v>50</v>
      </c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7</v>
      </c>
      <c r="Y38" s="18" t="n">
        <f aca="false">SUMIF($X$2:$X$147,X38,$A$2:$A$147)</f>
        <v>10990685.9779614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6"/>
      <c r="AE38" s="36"/>
    </row>
    <row r="39" customFormat="false" ht="15" hidden="false" customHeight="true" outlineLevel="0" collapsed="false">
      <c r="A39" s="11" t="n">
        <f aca="false">(B39*$P$152+C39*$P$153+D39*$P$154+E39*$P$155+F39*$P$156+G39*$P$157+H39*$P$158+I39*$P$159+J39*$P$160+K39*$P$161)*$T$150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33" t="s">
        <v>51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8</v>
      </c>
      <c r="Y39" s="18" t="n">
        <f aca="false">SUMIF($X$2:$X$147,X39,$A$2:$A$147)</f>
        <v>10235150.5096419</v>
      </c>
      <c r="Z39" s="19"/>
      <c r="AA39" s="20"/>
      <c r="AB39" s="21" t="b">
        <f aca="false">TRUE()</f>
        <v>1</v>
      </c>
      <c r="AC39" s="22" t="n">
        <f aca="false">IF(L39="",0,IF(AB39=FALSE(),0,Y39))</f>
        <v>10235150.5096419</v>
      </c>
      <c r="AD39" s="28"/>
      <c r="AE39" s="28"/>
    </row>
    <row r="40" customFormat="false" ht="15" hidden="false" customHeight="true" outlineLevel="0" collapsed="false">
      <c r="A40" s="11" t="n">
        <f aca="false">(B40*$P$152+C40*$P$153+D40*$P$154+E40*$P$155+F40*$P$156+G40*$P$157+H40*$P$158+I40*$P$159+J40*$P$160+K40*$P$161)*$T$150</f>
        <v>2423685.97796143</v>
      </c>
      <c r="B40" s="14"/>
      <c r="C40" s="25" t="n">
        <v>0.5</v>
      </c>
      <c r="D40" s="25" t="n">
        <v>1.5</v>
      </c>
      <c r="E40" s="25" t="n">
        <v>2</v>
      </c>
      <c r="F40" s="14"/>
      <c r="G40" s="25" t="n">
        <v>1</v>
      </c>
      <c r="H40" s="14"/>
      <c r="I40" s="14"/>
      <c r="J40" s="14"/>
      <c r="K40" s="14"/>
      <c r="L40" s="26"/>
      <c r="M40" s="29" t="s">
        <v>52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8</v>
      </c>
      <c r="Y40" s="18" t="n">
        <f aca="false">SUMIF($X$2:$X$147,X40,$A$2:$A$147)</f>
        <v>10235150.5096419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6"/>
      <c r="AE40" s="36"/>
    </row>
    <row r="41" customFormat="false" ht="15" hidden="false" customHeight="true" outlineLevel="0" collapsed="false">
      <c r="A41" s="11" t="n">
        <f aca="false">(B41*$P$152+C41*$P$153+D41*$P$154+E41*$P$155+F41*$P$156+G41*$P$157+H41*$P$158+I41*$P$159+J41*$P$160+K41*$P$161)*$T$150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6"/>
      <c r="M41" s="17"/>
      <c r="N41" s="30" t="s">
        <v>53</v>
      </c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8</v>
      </c>
      <c r="Y41" s="18" t="n">
        <f aca="false">SUMIF($X$2:$X$147,X41,$A$2:$A$147)</f>
        <v>10235150.5096419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6"/>
      <c r="AE41" s="36"/>
    </row>
    <row r="42" customFormat="false" ht="15" hidden="false" customHeight="true" outlineLevel="0" collapsed="false">
      <c r="A42" s="11" t="n">
        <f aca="false">(B42*$P$152+C42*$P$153+D42*$P$154+E42*$P$155+F42*$P$156+G42*$P$157+H42*$P$158+I42*$P$159+J42*$P$160+K42*$P$161)*$T$150</f>
        <v>1505850.70247934</v>
      </c>
      <c r="B42" s="14"/>
      <c r="C42" s="14"/>
      <c r="D42" s="25" t="n">
        <v>1</v>
      </c>
      <c r="E42" s="25" t="n">
        <v>1.5</v>
      </c>
      <c r="F42" s="14"/>
      <c r="G42" s="25" t="n">
        <v>0.5</v>
      </c>
      <c r="H42" s="14"/>
      <c r="I42" s="14"/>
      <c r="J42" s="14"/>
      <c r="K42" s="14"/>
      <c r="L42" s="26"/>
      <c r="M42" s="29" t="s">
        <v>54</v>
      </c>
      <c r="N42" s="37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8</v>
      </c>
      <c r="Y42" s="18" t="n">
        <f aca="false">SUMIF($X$2:$X$147,X42,$A$2:$A$147)</f>
        <v>10235150.5096419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8"/>
      <c r="AE42" s="28"/>
    </row>
    <row r="43" customFormat="false" ht="15" hidden="false" customHeight="true" outlineLevel="0" collapsed="false">
      <c r="A43" s="11" t="n">
        <f aca="false">(B43*$P$152+C43*$P$153+D43*$P$154+E43*$P$155+F43*$P$156+G43*$P$157+H43*$P$158+I43*$P$159+J43*$P$160+K43*$P$161)*$T$150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6"/>
      <c r="M43" s="26"/>
      <c r="N43" s="30" t="s">
        <v>55</v>
      </c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8</v>
      </c>
      <c r="Y43" s="18" t="n">
        <f aca="false">SUMIF($X$2:$X$147,X43,$A$2:$A$147)</f>
        <v>10235150.5096419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8"/>
      <c r="AE43" s="28"/>
    </row>
    <row r="44" customFormat="false" ht="15" hidden="false" customHeight="true" outlineLevel="0" collapsed="false">
      <c r="A44" s="11" t="n">
        <f aca="false">(B44*$P$152+C44*$P$153+D44*$P$154+E44*$P$155+F44*$P$156+G44*$P$157+H44*$P$158+I44*$P$159+J44*$P$160+K44*$P$161)*$T$150</f>
        <v>2003868.70523416</v>
      </c>
      <c r="B44" s="14"/>
      <c r="C44" s="14"/>
      <c r="D44" s="25" t="n">
        <v>1</v>
      </c>
      <c r="E44" s="25" t="n">
        <v>2</v>
      </c>
      <c r="F44" s="14"/>
      <c r="G44" s="25" t="n">
        <v>1</v>
      </c>
      <c r="H44" s="14"/>
      <c r="I44" s="14"/>
      <c r="J44" s="14"/>
      <c r="K44" s="14"/>
      <c r="L44" s="26"/>
      <c r="M44" s="29" t="s">
        <v>56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8</v>
      </c>
      <c r="Y44" s="18" t="n">
        <f aca="false">SUMIF($X$2:$X$147,X44,$A$2:$A$147)</f>
        <v>10235150.5096419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8"/>
      <c r="AE44" s="28"/>
    </row>
    <row r="45" customFormat="false" ht="15" hidden="false" customHeight="true" outlineLevel="0" collapsed="false">
      <c r="A45" s="11" t="n">
        <f aca="false">(B45*$P$152+C45*$P$153+D45*$P$154+E45*$P$155+F45*$P$156+G45*$P$157+H45*$P$158+I45*$P$159+J45*$P$160+K45*$P$161)*$T$150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6"/>
      <c r="M45" s="17"/>
      <c r="N45" s="30" t="s">
        <v>57</v>
      </c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8</v>
      </c>
      <c r="Y45" s="18" t="n">
        <f aca="false">SUMIF($X$2:$X$147,X45,$A$2:$A$147)</f>
        <v>10235150.5096419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8"/>
      <c r="AE45" s="28"/>
    </row>
    <row r="46" customFormat="false" ht="15" hidden="false" customHeight="true" outlineLevel="0" collapsed="false">
      <c r="A46" s="11" t="n">
        <f aca="false">(B46*$P$152+C46*$P$153+D46*$P$154+E46*$P$155+F46*$P$156+G46*$P$157+H46*$P$158+I46*$P$159+J46*$P$160+K46*$P$161)*$T$150</f>
        <v>2297876.41873278</v>
      </c>
      <c r="B46" s="14"/>
      <c r="C46" s="14"/>
      <c r="D46" s="25" t="n">
        <v>1</v>
      </c>
      <c r="E46" s="25" t="n">
        <v>2.5</v>
      </c>
      <c r="F46" s="14"/>
      <c r="G46" s="25" t="n">
        <v>1</v>
      </c>
      <c r="H46" s="14"/>
      <c r="I46" s="14"/>
      <c r="J46" s="14"/>
      <c r="K46" s="14"/>
      <c r="L46" s="26"/>
      <c r="M46" s="29" t="s">
        <v>58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8</v>
      </c>
      <c r="Y46" s="18" t="n">
        <f aca="false">SUMIF($X$2:$X$147,X46,$A$2:$A$147)</f>
        <v>10235150.5096419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8"/>
      <c r="AE46" s="28"/>
    </row>
    <row r="47" customFormat="false" ht="15" hidden="false" customHeight="true" outlineLevel="0" collapsed="false">
      <c r="A47" s="11" t="n">
        <f aca="false">(B47*$P$152+C47*$P$153+D47*$P$154+E47*$P$155+F47*$P$156+G47*$P$157+H47*$P$158+I47*$P$159+J47*$P$160+K47*$P$161)*$T$150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6"/>
      <c r="M47" s="17"/>
      <c r="N47" s="30" t="s">
        <v>59</v>
      </c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8</v>
      </c>
      <c r="Y47" s="18" t="n">
        <f aca="false">SUMIF($X$2:$X$147,X47,$A$2:$A$147)</f>
        <v>10235150.5096419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8"/>
      <c r="AE47" s="28"/>
    </row>
    <row r="48" customFormat="false" ht="15" hidden="false" customHeight="true" outlineLevel="0" collapsed="false">
      <c r="A48" s="11" t="n">
        <f aca="false">(B48*$P$152+C48*$P$153+D48*$P$154+E48*$P$155+F48*$P$156+G48*$P$157+H48*$P$158+I48*$P$159+J48*$P$160+K48*$P$161)*$T$150</f>
        <v>2003868.70523416</v>
      </c>
      <c r="B48" s="14"/>
      <c r="C48" s="14"/>
      <c r="D48" s="25" t="n">
        <v>1</v>
      </c>
      <c r="E48" s="25" t="n">
        <v>2</v>
      </c>
      <c r="F48" s="14"/>
      <c r="G48" s="25" t="n">
        <v>1</v>
      </c>
      <c r="H48" s="14"/>
      <c r="I48" s="14"/>
      <c r="J48" s="14"/>
      <c r="K48" s="14"/>
      <c r="L48" s="26"/>
      <c r="M48" s="29" t="s">
        <v>60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8</v>
      </c>
      <c r="Y48" s="18" t="n">
        <f aca="false">SUMIF($X$2:$X$147,X48,$A$2:$A$147)</f>
        <v>10235150.5096419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6"/>
      <c r="AE48" s="36"/>
    </row>
    <row r="49" customFormat="false" ht="15" hidden="false" customHeight="true" outlineLevel="0" collapsed="false">
      <c r="A49" s="11" t="n">
        <f aca="false">(B49*$P$152+C49*$P$153+D49*$P$154+E49*$P$155+F49*$P$156+G49*$P$157+H49*$P$158+I49*$P$159+J49*$P$160+K49*$P$161)*$T$150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6"/>
      <c r="M49" s="17"/>
      <c r="N49" s="30" t="s">
        <v>61</v>
      </c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8</v>
      </c>
      <c r="Y49" s="18" t="n">
        <f aca="false">SUMIF($X$2:$X$147,X49,$A$2:$A$147)</f>
        <v>10235150.5096419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6"/>
      <c r="AE49" s="36"/>
    </row>
    <row r="50" customFormat="false" ht="15" hidden="false" customHeight="true" outlineLevel="0" collapsed="false">
      <c r="A50" s="11" t="n">
        <f aca="false">(B50*$P$152+C50*$P$153+D50*$P$154+E50*$P$155+F50*$P$156+G50*$P$157+H50*$P$158+I50*$P$159+J50*$P$160+K50*$P$161)*$T$150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33" t="s">
        <v>62</v>
      </c>
      <c r="M50" s="26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9</v>
      </c>
      <c r="Y50" s="18" t="n">
        <f aca="false">SUMIF($X$2:$X$147,X50,$A$2:$A$147)</f>
        <v>14103555.6749311</v>
      </c>
      <c r="Z50" s="19"/>
      <c r="AA50" s="20"/>
      <c r="AB50" s="21" t="b">
        <f aca="false">TRUE()</f>
        <v>1</v>
      </c>
      <c r="AC50" s="22" t="n">
        <f aca="false">IF(L50="",0,IF(AB50=FALSE(),0,Y50))</f>
        <v>14103555.6749311</v>
      </c>
      <c r="AD50" s="36"/>
      <c r="AE50" s="36"/>
    </row>
    <row r="51" customFormat="false" ht="15" hidden="false" customHeight="true" outlineLevel="0" collapsed="false">
      <c r="A51" s="11" t="n">
        <f aca="false">(B51*$P$152+C51*$P$153+D51*$P$154+E51*$P$155+F51*$P$156+G51*$P$157+H51*$P$158+I51*$P$159+J51*$P$160+K51*$P$161)*$T$150</f>
        <v>1925667.97520661</v>
      </c>
      <c r="B51" s="14"/>
      <c r="C51" s="25" t="n">
        <v>0.5</v>
      </c>
      <c r="D51" s="25" t="n">
        <v>1.5</v>
      </c>
      <c r="E51" s="25" t="n">
        <v>1.5</v>
      </c>
      <c r="F51" s="14"/>
      <c r="G51" s="25" t="n">
        <v>0.5</v>
      </c>
      <c r="H51" s="14"/>
      <c r="I51" s="14"/>
      <c r="J51" s="14"/>
      <c r="K51" s="14"/>
      <c r="L51" s="26"/>
      <c r="M51" s="29" t="s">
        <v>63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9</v>
      </c>
      <c r="Y51" s="18" t="n">
        <f aca="false">SUMIF($X$2:$X$147,X51,$A$2:$A$147)</f>
        <v>14103555.6749311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6"/>
      <c r="AE51" s="36"/>
    </row>
    <row r="52" customFormat="false" ht="15" hidden="false" customHeight="true" outlineLevel="0" collapsed="false">
      <c r="A52" s="11" t="n">
        <f aca="false">(B52*$P$152+C52*$P$153+D52*$P$154+E52*$P$155+F52*$P$156+G52*$P$157+H52*$P$158+I52*$P$159+J52*$P$160+K52*$P$161)*$T$150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6"/>
      <c r="M52" s="17"/>
      <c r="N52" s="30" t="s">
        <v>64</v>
      </c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9</v>
      </c>
      <c r="Y52" s="18" t="n">
        <f aca="false">SUMIF($X$2:$X$147,X52,$A$2:$A$147)</f>
        <v>14103555.6749311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6"/>
      <c r="AE52" s="36"/>
    </row>
    <row r="53" customFormat="false" ht="15" hidden="false" customHeight="true" outlineLevel="0" collapsed="false">
      <c r="A53" s="11" t="n">
        <f aca="false">(B53*$P$152+C53*$P$153+D53*$P$154+E53*$P$155+F53*$P$156+G53*$P$157+H53*$P$158+I53*$P$159+J53*$P$160+K53*$P$161)*$T$150</f>
        <v>1505850.70247934</v>
      </c>
      <c r="B53" s="14"/>
      <c r="C53" s="14"/>
      <c r="D53" s="25" t="n">
        <v>1</v>
      </c>
      <c r="E53" s="25" t="n">
        <v>1.5</v>
      </c>
      <c r="F53" s="14"/>
      <c r="G53" s="25" t="n">
        <v>0.5</v>
      </c>
      <c r="H53" s="14"/>
      <c r="I53" s="14"/>
      <c r="J53" s="14"/>
      <c r="K53" s="14"/>
      <c r="L53" s="26"/>
      <c r="M53" s="29" t="s">
        <v>65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9</v>
      </c>
      <c r="Y53" s="18" t="n">
        <f aca="false">SUMIF($X$2:$X$147,X53,$A$2:$A$147)</f>
        <v>14103555.6749311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6"/>
      <c r="AE53" s="36"/>
    </row>
    <row r="54" customFormat="false" ht="15" hidden="false" customHeight="true" outlineLevel="0" collapsed="false">
      <c r="A54" s="11" t="n">
        <f aca="false">(B54*$P$152+C54*$P$153+D54*$P$154+E54*$P$155+F54*$P$156+G54*$P$157+H54*$P$158+I54*$P$159+J54*$P$160+K54*$P$161)*$T$150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6"/>
      <c r="M54" s="17"/>
      <c r="N54" s="30" t="s">
        <v>66</v>
      </c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9</v>
      </c>
      <c r="Y54" s="18" t="n">
        <f aca="false">SUMIF($X$2:$X$147,X54,$A$2:$A$147)</f>
        <v>14103555.6749311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6"/>
      <c r="AE54" s="36"/>
    </row>
    <row r="55" customFormat="false" ht="15" hidden="false" customHeight="true" outlineLevel="0" collapsed="false">
      <c r="A55" s="11" t="n">
        <f aca="false">(B55*$P$152+C55*$P$153+D55*$P$154+E55*$P$155+F55*$P$156+G55*$P$157+H55*$P$158+I55*$P$159+J55*$P$160+K55*$P$161)*$T$150</f>
        <v>2003868.70523416</v>
      </c>
      <c r="B55" s="14"/>
      <c r="C55" s="14"/>
      <c r="D55" s="25" t="n">
        <v>1</v>
      </c>
      <c r="E55" s="25" t="n">
        <v>2</v>
      </c>
      <c r="F55" s="14"/>
      <c r="G55" s="25" t="n">
        <v>1</v>
      </c>
      <c r="H55" s="14"/>
      <c r="I55" s="14"/>
      <c r="J55" s="14"/>
      <c r="K55" s="14"/>
      <c r="L55" s="26"/>
      <c r="M55" s="29" t="s">
        <v>67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9</v>
      </c>
      <c r="Y55" s="18" t="n">
        <f aca="false">SUMIF($X$2:$X$147,X55,$A$2:$A$147)</f>
        <v>14103555.6749311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6"/>
      <c r="AE55" s="36"/>
    </row>
    <row r="56" customFormat="false" ht="15" hidden="false" customHeight="true" outlineLevel="0" collapsed="false">
      <c r="A56" s="11" t="n">
        <f aca="false">(B56*$P$152+C56*$P$153+D56*$P$154+E56*$P$155+F56*$P$156+G56*$P$157+H56*$P$158+I56*$P$159+J56*$P$160+K56*$P$161)*$T$150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6"/>
      <c r="M56" s="17"/>
      <c r="N56" s="30" t="s">
        <v>68</v>
      </c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9</v>
      </c>
      <c r="Y56" s="18" t="n">
        <f aca="false">SUMIF($X$2:$X$147,X56,$A$2:$A$147)</f>
        <v>14103555.6749311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6"/>
      <c r="AE56" s="36"/>
    </row>
    <row r="57" customFormat="false" ht="15" hidden="false" customHeight="true" outlineLevel="0" collapsed="false">
      <c r="A57" s="11" t="n">
        <f aca="false">(B57*$P$152+C57*$P$153+D57*$P$154+E57*$P$155+F57*$P$156+G57*$P$157+H57*$P$158+I57*$P$159+J57*$P$160+K57*$P$161)*$T$150</f>
        <v>4360524.82093664</v>
      </c>
      <c r="B57" s="25" t="n">
        <v>1</v>
      </c>
      <c r="C57" s="14"/>
      <c r="D57" s="25" t="n">
        <v>1.5</v>
      </c>
      <c r="E57" s="25" t="n">
        <v>4</v>
      </c>
      <c r="F57" s="14"/>
      <c r="G57" s="25" t="n">
        <v>1.5</v>
      </c>
      <c r="H57" s="14"/>
      <c r="I57" s="14"/>
      <c r="J57" s="14"/>
      <c r="K57" s="14"/>
      <c r="L57" s="26"/>
      <c r="M57" s="29" t="s">
        <v>69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9</v>
      </c>
      <c r="Y57" s="18" t="n">
        <f aca="false">SUMIF($X$2:$X$147,X57,$A$2:$A$147)</f>
        <v>14103555.6749311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6"/>
      <c r="AE57" s="36"/>
    </row>
    <row r="58" customFormat="false" ht="15" hidden="false" customHeight="true" outlineLevel="0" collapsed="false">
      <c r="A58" s="11" t="n">
        <f aca="false">(B58*$P$152+C58*$P$153+D58*$P$154+E58*$P$155+F58*$P$156+G58*$P$157+H58*$P$158+I58*$P$159+J58*$P$160+K58*$P$161)*$T$150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6"/>
      <c r="M58" s="17"/>
      <c r="N58" s="30" t="s">
        <v>70</v>
      </c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9</v>
      </c>
      <c r="Y58" s="18" t="n">
        <f aca="false">SUMIF($X$2:$X$147,X58,$A$2:$A$147)</f>
        <v>14103555.6749311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6"/>
      <c r="AE58" s="36"/>
    </row>
    <row r="59" customFormat="false" ht="15" hidden="false" customHeight="true" outlineLevel="0" collapsed="false">
      <c r="A59" s="11" t="n">
        <f aca="false">(B59*$P$152+C59*$P$153+D59*$P$154+E59*$P$155+F59*$P$156+G59*$P$157+H59*$P$158+I59*$P$159+J59*$P$160+K59*$P$161)*$T$150</f>
        <v>2801792.76859504</v>
      </c>
      <c r="B59" s="14"/>
      <c r="C59" s="14"/>
      <c r="D59" s="25" t="n">
        <v>1.5</v>
      </c>
      <c r="E59" s="25" t="n">
        <v>3</v>
      </c>
      <c r="F59" s="14"/>
      <c r="G59" s="25" t="n">
        <v>1</v>
      </c>
      <c r="H59" s="14"/>
      <c r="I59" s="14"/>
      <c r="J59" s="14"/>
      <c r="K59" s="14"/>
      <c r="L59" s="26"/>
      <c r="M59" s="29" t="s">
        <v>71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9</v>
      </c>
      <c r="Y59" s="18" t="n">
        <f aca="false">SUMIF($X$2:$X$147,X59,$A$2:$A$147)</f>
        <v>14103555.6749311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6"/>
      <c r="AE59" s="36"/>
    </row>
    <row r="60" customFormat="false" ht="15" hidden="false" customHeight="true" outlineLevel="0" collapsed="false">
      <c r="A60" s="11" t="n">
        <f aca="false">(B60*$P$152+C60*$P$153+D60*$P$154+E60*$P$155+F60*$P$156+G60*$P$157+H60*$P$158+I60*$P$159+J60*$P$160+K60*$P$161)*$T$150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6"/>
      <c r="M60" s="17"/>
      <c r="N60" s="30" t="s">
        <v>72</v>
      </c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9</v>
      </c>
      <c r="Y60" s="18" t="n">
        <f aca="false">SUMIF($X$2:$X$147,X60,$A$2:$A$147)</f>
        <v>14103555.6749311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6"/>
      <c r="AE60" s="36"/>
    </row>
    <row r="61" customFormat="false" ht="15" hidden="false" customHeight="true" outlineLevel="0" collapsed="false">
      <c r="A61" s="11" t="n">
        <f aca="false">(B61*$P$152+C61*$P$153+D61*$P$154+E61*$P$155+F61*$P$156+G61*$P$157+H61*$P$158+I61*$P$159+J61*$P$160+K61*$P$161)*$T$150</f>
        <v>1505850.70247934</v>
      </c>
      <c r="B61" s="14"/>
      <c r="C61" s="14"/>
      <c r="D61" s="25" t="n">
        <v>1</v>
      </c>
      <c r="E61" s="25" t="n">
        <v>1.5</v>
      </c>
      <c r="F61" s="14"/>
      <c r="G61" s="25" t="n">
        <v>0.5</v>
      </c>
      <c r="H61" s="14"/>
      <c r="I61" s="14"/>
      <c r="J61" s="14"/>
      <c r="K61" s="14"/>
      <c r="L61" s="26"/>
      <c r="M61" s="29" t="s">
        <v>73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9</v>
      </c>
      <c r="Y61" s="18" t="n">
        <f aca="false">SUMIF($X$2:$X$147,X61,$A$2:$A$147)</f>
        <v>14103555.6749311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6"/>
      <c r="AE61" s="36"/>
    </row>
    <row r="62" customFormat="false" ht="15" hidden="false" customHeight="true" outlineLevel="0" collapsed="false">
      <c r="A62" s="11" t="n">
        <f aca="false">(B62*$P$152+C62*$P$153+D62*$P$154+E62*$P$155+F62*$P$156+G62*$P$157+H62*$P$158+I62*$P$159+J62*$P$160+K62*$P$161)*$T$150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6"/>
      <c r="M62" s="17"/>
      <c r="N62" s="30" t="s">
        <v>74</v>
      </c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9</v>
      </c>
      <c r="Y62" s="18" t="n">
        <f aca="false">SUMIF($X$2:$X$147,X62,$A$2:$A$147)</f>
        <v>14103555.6749311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6"/>
      <c r="AE62" s="36"/>
    </row>
    <row r="63" customFormat="false" ht="15" hidden="false" customHeight="true" outlineLevel="0" collapsed="false">
      <c r="A63" s="11" t="n">
        <f aca="false">(B63*$P$152+C63*$P$153+D63*$P$154+E63*$P$155+F63*$P$156+G63*$P$157+H63*$P$158+I63*$P$159+J63*$P$160+K63*$P$161)*$T$150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33" t="s">
        <v>75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10</v>
      </c>
      <c r="Y63" s="18" t="n">
        <f aca="false">SUMIF($X$2:$X$147,X63,$A$2:$A$147)</f>
        <v>7943172.43801653</v>
      </c>
      <c r="Z63" s="19"/>
      <c r="AA63" s="20"/>
      <c r="AB63" s="21" t="b">
        <f aca="false">TRUE()</f>
        <v>1</v>
      </c>
      <c r="AC63" s="22" t="n">
        <f aca="false">IF(L63="",0,IF(AB63=FALSE(),0,Y63))</f>
        <v>7943172.43801653</v>
      </c>
      <c r="AD63" s="36"/>
      <c r="AE63" s="36"/>
    </row>
    <row r="64" customFormat="false" ht="15" hidden="false" customHeight="true" outlineLevel="0" collapsed="false">
      <c r="A64" s="11" t="n">
        <f aca="false">(B64*$P$152+C64*$P$153+D64*$P$154+E64*$P$155+F64*$P$156+G64*$P$157+H64*$P$158+I64*$P$159+J64*$P$160+K64*$P$161)*$T$150</f>
        <v>2717693.69146006</v>
      </c>
      <c r="B64" s="14"/>
      <c r="C64" s="25" t="n">
        <v>0.5</v>
      </c>
      <c r="D64" s="25" t="n">
        <v>1.5</v>
      </c>
      <c r="E64" s="25" t="n">
        <v>2.5</v>
      </c>
      <c r="F64" s="14"/>
      <c r="G64" s="25" t="n">
        <v>1</v>
      </c>
      <c r="H64" s="14"/>
      <c r="I64" s="14"/>
      <c r="J64" s="14"/>
      <c r="K64" s="14"/>
      <c r="L64" s="26"/>
      <c r="M64" s="29" t="s">
        <v>76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10</v>
      </c>
      <c r="Y64" s="18" t="n">
        <f aca="false">SUMIF($X$2:$X$147,X64,$A$2:$A$147)</f>
        <v>7943172.43801653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8"/>
      <c r="AE64" s="28"/>
    </row>
    <row r="65" customFormat="false" ht="15" hidden="false" customHeight="true" outlineLevel="0" collapsed="false">
      <c r="A65" s="11" t="n">
        <f aca="false">(B65*$P$152+C65*$P$153+D65*$P$154+E65*$P$155+F65*$P$156+G65*$P$157+H65*$P$158+I65*$P$159+J65*$P$160+K65*$P$161)*$T$150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6"/>
      <c r="M65" s="17"/>
      <c r="N65" s="30" t="s">
        <v>77</v>
      </c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10</v>
      </c>
      <c r="Y65" s="18" t="n">
        <f aca="false">SUMIF($X$2:$X$147,X65,$A$2:$A$147)</f>
        <v>7943172.43801653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6"/>
      <c r="AE65" s="36"/>
    </row>
    <row r="66" customFormat="false" ht="15" hidden="false" customHeight="true" outlineLevel="0" collapsed="false">
      <c r="A66" s="11" t="n">
        <f aca="false">(B66*$P$152+C66*$P$153+D66*$P$154+E66*$P$155+F66*$P$156+G66*$P$157+H66*$P$158+I66*$P$159+J66*$P$160+K66*$P$161)*$T$150</f>
        <v>1505850.70247934</v>
      </c>
      <c r="B66" s="14"/>
      <c r="C66" s="14"/>
      <c r="D66" s="25" t="n">
        <v>1</v>
      </c>
      <c r="E66" s="25" t="n">
        <v>1.5</v>
      </c>
      <c r="F66" s="14"/>
      <c r="G66" s="25" t="n">
        <v>0.5</v>
      </c>
      <c r="H66" s="14"/>
      <c r="I66" s="14"/>
      <c r="J66" s="14"/>
      <c r="K66" s="14"/>
      <c r="L66" s="26"/>
      <c r="M66" s="29" t="s">
        <v>78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10</v>
      </c>
      <c r="Y66" s="18" t="n">
        <f aca="false">SUMIF($X$2:$X$147,X66,$A$2:$A$147)</f>
        <v>7943172.43801653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6"/>
      <c r="AE66" s="36"/>
    </row>
    <row r="67" customFormat="false" ht="15" hidden="false" customHeight="true" outlineLevel="0" collapsed="false">
      <c r="A67" s="11" t="n">
        <f aca="false">(B67*$P$152+C67*$P$153+D67*$P$154+E67*$P$155+F67*$P$156+G67*$P$157+H67*$P$158+I67*$P$159+J67*$P$160+K67*$P$161)*$T$150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6"/>
      <c r="M67" s="17"/>
      <c r="N67" s="30" t="s">
        <v>79</v>
      </c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10</v>
      </c>
      <c r="Y67" s="18" t="n">
        <f aca="false">SUMIF($X$2:$X$147,X67,$A$2:$A$147)</f>
        <v>7943172.43801653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6"/>
      <c r="AE67" s="36"/>
    </row>
    <row r="68" customFormat="false" ht="15" hidden="false" customHeight="true" outlineLevel="0" collapsed="false">
      <c r="A68" s="11" t="n">
        <f aca="false">(B68*$P$152+C68*$P$153+D68*$P$154+E68*$P$155+F68*$P$156+G68*$P$157+H68*$P$158+I68*$P$159+J68*$P$160+K68*$P$161)*$T$150</f>
        <v>1505850.70247934</v>
      </c>
      <c r="B68" s="14"/>
      <c r="C68" s="14"/>
      <c r="D68" s="25" t="n">
        <v>1</v>
      </c>
      <c r="E68" s="25" t="n">
        <v>1.5</v>
      </c>
      <c r="F68" s="14"/>
      <c r="G68" s="25" t="n">
        <v>0.5</v>
      </c>
      <c r="H68" s="14"/>
      <c r="I68" s="14"/>
      <c r="J68" s="14"/>
      <c r="K68" s="14"/>
      <c r="L68" s="26"/>
      <c r="M68" s="29" t="s">
        <v>80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10</v>
      </c>
      <c r="Y68" s="18" t="n">
        <f aca="false">SUMIF($X$2:$X$147,X68,$A$2:$A$147)</f>
        <v>7943172.43801653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6"/>
      <c r="AE68" s="36"/>
    </row>
    <row r="69" customFormat="false" ht="15" hidden="false" customHeight="true" outlineLevel="0" collapsed="false">
      <c r="A69" s="11" t="n">
        <f aca="false">(B69*$P$152+C69*$P$153+D69*$P$154+E69*$P$155+F69*$P$156+G69*$P$157+H69*$P$158+I69*$P$159+J69*$P$160+K69*$P$161)*$T$150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6"/>
      <c r="M69" s="17"/>
      <c r="N69" s="30" t="s">
        <v>81</v>
      </c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10</v>
      </c>
      <c r="Y69" s="18" t="n">
        <f aca="false">SUMIF($X$2:$X$147,X69,$A$2:$A$147)</f>
        <v>7943172.43801653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6"/>
      <c r="AE69" s="36"/>
    </row>
    <row r="70" customFormat="false" ht="15" hidden="false" customHeight="true" outlineLevel="0" collapsed="false">
      <c r="A70" s="11" t="n">
        <f aca="false">(B70*$P$152+C70*$P$153+D70*$P$154+E70*$P$155+F70*$P$156+G70*$P$157+H70*$P$158+I70*$P$159+J70*$P$160+K70*$P$161)*$T$150</f>
        <v>2213777.3415978</v>
      </c>
      <c r="B70" s="14"/>
      <c r="C70" s="14"/>
      <c r="D70" s="25" t="n">
        <v>1.5</v>
      </c>
      <c r="E70" s="25" t="n">
        <v>2</v>
      </c>
      <c r="F70" s="14"/>
      <c r="G70" s="25" t="n">
        <v>1</v>
      </c>
      <c r="H70" s="14"/>
      <c r="I70" s="14"/>
      <c r="J70" s="14"/>
      <c r="K70" s="14"/>
      <c r="L70" s="26"/>
      <c r="M70" s="29" t="s">
        <v>82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10</v>
      </c>
      <c r="Y70" s="18" t="n">
        <f aca="false">SUMIF($X$2:$X$147,X70,$A$2:$A$147)</f>
        <v>7943172.43801653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6"/>
      <c r="AE70" s="36"/>
    </row>
    <row r="71" customFormat="false" ht="15" hidden="false" customHeight="true" outlineLevel="0" collapsed="false">
      <c r="A71" s="11" t="n">
        <f aca="false">(B71*$P$152+C71*$P$153+D71*$P$154+E71*$P$155+F71*$P$156+G71*$P$157+H71*$P$158+I71*$P$159+J71*$P$160+K71*$P$161)*$T$150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6"/>
      <c r="M71" s="17"/>
      <c r="N71" s="30" t="s">
        <v>83</v>
      </c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10</v>
      </c>
      <c r="Y71" s="18" t="n">
        <f aca="false">SUMIF($X$2:$X$147,X71,$A$2:$A$147)</f>
        <v>7943172.43801653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6"/>
      <c r="AE71" s="36"/>
    </row>
    <row r="72" customFormat="false" ht="15" hidden="false" customHeight="true" outlineLevel="0" collapsed="false">
      <c r="A72" s="11" t="n">
        <f aca="false">(B72*$P$152+C72*$P$153+D72*$P$154+E72*$P$155+F72*$P$156+G72*$P$157+H72*$P$158+I72*$P$159+J72*$P$160+K72*$P$161)*$T$150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33" t="s">
        <v>84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11</v>
      </c>
      <c r="Y72" s="18" t="n">
        <f aca="false">SUMIF($X$2:$X$147,X72,$A$2:$A$147)</f>
        <v>6227413.09917355</v>
      </c>
      <c r="Z72" s="19"/>
      <c r="AA72" s="20"/>
      <c r="AB72" s="21" t="b">
        <f aca="false">TRUE()</f>
        <v>1</v>
      </c>
      <c r="AC72" s="22" t="n">
        <f aca="false">IF(L72="",0,IF(AB72=FALSE(),0,Y72))</f>
        <v>6227413.09917355</v>
      </c>
      <c r="AD72" s="36"/>
      <c r="AE72" s="36"/>
    </row>
    <row r="73" customFormat="false" ht="15" hidden="false" customHeight="true" outlineLevel="0" collapsed="false">
      <c r="A73" s="11" t="n">
        <f aca="false">(B73*$P$152+C73*$P$153+D73*$P$154+E73*$P$155+F73*$P$156+G73*$P$157+H73*$P$158+I73*$P$159+J73*$P$160+K73*$P$161)*$T$150</f>
        <v>1505850.70247934</v>
      </c>
      <c r="B73" s="14"/>
      <c r="C73" s="14"/>
      <c r="D73" s="25" t="n">
        <v>1</v>
      </c>
      <c r="E73" s="25" t="n">
        <v>1.5</v>
      </c>
      <c r="F73" s="14"/>
      <c r="G73" s="25" t="n">
        <v>0.5</v>
      </c>
      <c r="H73" s="14"/>
      <c r="I73" s="14"/>
      <c r="J73" s="14"/>
      <c r="K73" s="14"/>
      <c r="L73" s="26"/>
      <c r="M73" s="29" t="s">
        <v>85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11</v>
      </c>
      <c r="Y73" s="18" t="n">
        <f aca="false">SUMIF($X$2:$X$147,X73,$A$2:$A$147)</f>
        <v>6227413.09917355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6"/>
      <c r="AE73" s="36"/>
    </row>
    <row r="74" customFormat="false" ht="15" hidden="false" customHeight="true" outlineLevel="0" collapsed="false">
      <c r="A74" s="11" t="n">
        <f aca="false">(B74*$P$152+C74*$P$153+D74*$P$154+E74*$P$155+F74*$P$156+G74*$P$157+H74*$P$158+I74*$P$159+J74*$P$160+K74*$P$161)*$T$150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6"/>
      <c r="M74" s="26"/>
      <c r="N74" s="30" t="s">
        <v>86</v>
      </c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11</v>
      </c>
      <c r="Y74" s="18" t="n">
        <f aca="false">SUMIF($X$2:$X$147,X74,$A$2:$A$147)</f>
        <v>6227413.09917355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6"/>
      <c r="AE74" s="36"/>
    </row>
    <row r="75" customFormat="false" ht="15" hidden="false" customHeight="true" outlineLevel="0" collapsed="false">
      <c r="A75" s="11" t="n">
        <f aca="false">(B75*$P$152+C75*$P$153+D75*$P$154+E75*$P$155+F75*$P$156+G75*$P$157+H75*$P$158+I75*$P$159+J75*$P$160+K75*$P$161)*$T$150</f>
        <v>2213777.3415978</v>
      </c>
      <c r="B75" s="14"/>
      <c r="C75" s="14"/>
      <c r="D75" s="25" t="n">
        <v>1.5</v>
      </c>
      <c r="E75" s="25" t="n">
        <v>2</v>
      </c>
      <c r="F75" s="14"/>
      <c r="G75" s="25" t="n">
        <v>1</v>
      </c>
      <c r="H75" s="14"/>
      <c r="I75" s="14"/>
      <c r="J75" s="14"/>
      <c r="K75" s="14"/>
      <c r="L75" s="26"/>
      <c r="M75" s="29" t="s">
        <v>87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11</v>
      </c>
      <c r="Y75" s="18" t="n">
        <f aca="false">SUMIF($X$2:$X$147,X75,$A$2:$A$147)</f>
        <v>6227413.09917355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8"/>
      <c r="AE75" s="28"/>
    </row>
    <row r="76" customFormat="false" ht="15" hidden="false" customHeight="true" outlineLevel="0" collapsed="false">
      <c r="A76" s="11" t="n">
        <f aca="false">(B76*$P$152+C76*$P$153+D76*$P$154+E76*$P$155+F76*$P$156+G76*$P$157+H76*$P$158+I76*$P$159+J76*$P$160+K76*$P$161)*$T$150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6"/>
      <c r="M76" s="17"/>
      <c r="N76" s="30" t="s">
        <v>88</v>
      </c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11</v>
      </c>
      <c r="Y76" s="18" t="n">
        <f aca="false">SUMIF($X$2:$X$147,X76,$A$2:$A$147)</f>
        <v>6227413.09917355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8"/>
      <c r="AE76" s="28"/>
    </row>
    <row r="77" customFormat="false" ht="15" hidden="false" customHeight="true" outlineLevel="0" collapsed="false">
      <c r="A77" s="11" t="n">
        <f aca="false">(B77*$P$152+C77*$P$153+D77*$P$154+E77*$P$155+F77*$P$156+G77*$P$157+H77*$P$158+I77*$P$159+J77*$P$160+K77*$P$161)*$T$150</f>
        <v>2507785.05509642</v>
      </c>
      <c r="B77" s="14"/>
      <c r="C77" s="14"/>
      <c r="D77" s="25" t="n">
        <v>1.5</v>
      </c>
      <c r="E77" s="25" t="n">
        <v>2.5</v>
      </c>
      <c r="F77" s="14"/>
      <c r="G77" s="25" t="n">
        <v>1</v>
      </c>
      <c r="H77" s="14"/>
      <c r="I77" s="14"/>
      <c r="J77" s="14"/>
      <c r="K77" s="14"/>
      <c r="L77" s="26"/>
      <c r="M77" s="29" t="s">
        <v>89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11</v>
      </c>
      <c r="Y77" s="18" t="n">
        <f aca="false">SUMIF($X$2:$X$147,X77,$A$2:$A$147)</f>
        <v>6227413.09917355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8"/>
      <c r="AE77" s="28"/>
    </row>
    <row r="78" customFormat="false" ht="15" hidden="false" customHeight="true" outlineLevel="0" collapsed="false">
      <c r="A78" s="11" t="n">
        <f aca="false">(B78*$P$152+C78*$P$153+D78*$P$154+E78*$P$155+F78*$P$156+G78*$P$157+H78*$P$158+I78*$P$159+J78*$P$160+K78*$P$161)*$T$150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6"/>
      <c r="M78" s="17"/>
      <c r="N78" s="30" t="s">
        <v>90</v>
      </c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11</v>
      </c>
      <c r="Y78" s="18" t="n">
        <f aca="false">SUMIF($X$2:$X$147,X78,$A$2:$A$147)</f>
        <v>6227413.09917355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8"/>
      <c r="AE78" s="28"/>
    </row>
    <row r="79" customFormat="false" ht="15" hidden="false" customHeight="true" outlineLevel="0" collapsed="false">
      <c r="A79" s="11" t="n">
        <f aca="false">(B79*$P$152+C79*$P$153+D79*$P$154+E79*$P$155+F79*$P$156+G79*$P$157+H79*$P$158+I79*$P$159+J79*$P$160+K79*$P$161)*$T$150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33" t="s">
        <v>91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12</v>
      </c>
      <c r="Y79" s="18" t="n">
        <f aca="false">SUMIF($X$2:$X$147,X79,$A$2:$A$147)</f>
        <v>7900809.9862259</v>
      </c>
      <c r="Z79" s="19"/>
      <c r="AA79" s="20"/>
      <c r="AB79" s="21" t="b">
        <f aca="false">TRUE()</f>
        <v>1</v>
      </c>
      <c r="AC79" s="22" t="n">
        <f aca="false">IF(L79="",0,IF(AB79=FALSE(),0,Y79))</f>
        <v>7900809.9862259</v>
      </c>
      <c r="AD79" s="28"/>
      <c r="AE79" s="28"/>
    </row>
    <row r="80" customFormat="false" ht="15" hidden="false" customHeight="true" outlineLevel="0" collapsed="false">
      <c r="A80" s="11" t="n">
        <f aca="false">(B80*$P$152+C80*$P$153+D80*$P$154+E80*$P$155+F80*$P$156+G80*$P$157+H80*$P$158+I80*$P$159+J80*$P$160+K80*$P$161)*$T$150</f>
        <v>2423685.97796143</v>
      </c>
      <c r="B80" s="14"/>
      <c r="C80" s="25" t="n">
        <v>0.5</v>
      </c>
      <c r="D80" s="25" t="n">
        <v>1.5</v>
      </c>
      <c r="E80" s="25" t="n">
        <v>2</v>
      </c>
      <c r="F80" s="14"/>
      <c r="G80" s="25" t="n">
        <v>1</v>
      </c>
      <c r="H80" s="14"/>
      <c r="I80" s="14"/>
      <c r="J80" s="14"/>
      <c r="K80" s="14"/>
      <c r="L80" s="26"/>
      <c r="M80" s="29" t="s">
        <v>92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12</v>
      </c>
      <c r="Y80" s="18" t="n">
        <f aca="false">SUMIF($X$2:$X$147,X80,$A$2:$A$147)</f>
        <v>7900809.9862259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(B81*$P$152+C81*$P$153+D81*$P$154+E81*$P$155+F81*$P$156+G81*$P$157+H81*$P$158+I81*$P$159+J81*$P$160+K81*$P$161)*$T$150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6"/>
      <c r="M81" s="17"/>
      <c r="N81" s="30" t="s">
        <v>93</v>
      </c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12</v>
      </c>
      <c r="Y81" s="18" t="n">
        <f aca="false">SUMIF($X$2:$X$147,X81,$A$2:$A$147)</f>
        <v>7900809.9862259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(B82*$P$152+C82*$P$153+D82*$P$154+E82*$P$155+F82*$P$156+G82*$P$157+H82*$P$158+I82*$P$159+J82*$P$160+K82*$P$161)*$T$150</f>
        <v>1967404.60055096</v>
      </c>
      <c r="B82" s="25" t="n">
        <v>0.5</v>
      </c>
      <c r="C82" s="14"/>
      <c r="D82" s="14"/>
      <c r="E82" s="25" t="n">
        <v>2</v>
      </c>
      <c r="F82" s="14"/>
      <c r="G82" s="25" t="n">
        <v>1</v>
      </c>
      <c r="H82" s="14"/>
      <c r="I82" s="14"/>
      <c r="J82" s="14"/>
      <c r="K82" s="14"/>
      <c r="L82" s="26"/>
      <c r="M82" s="29" t="s">
        <v>94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12</v>
      </c>
      <c r="Y82" s="18" t="n">
        <f aca="false">SUMIF($X$2:$X$147,X82,$A$2:$A$147)</f>
        <v>7900809.9862259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(B83*$P$152+C83*$P$153+D83*$P$154+E83*$P$155+F83*$P$156+G83*$P$157+H83*$P$158+I83*$P$159+J83*$P$160+K83*$P$161)*$T$150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6"/>
      <c r="M83" s="17"/>
      <c r="N83" s="30" t="s">
        <v>95</v>
      </c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12</v>
      </c>
      <c r="Y83" s="18" t="n">
        <f aca="false">SUMIF($X$2:$X$147,X83,$A$2:$A$147)</f>
        <v>7900809.9862259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(B84*$P$152+C84*$P$153+D84*$P$154+E84*$P$155+F84*$P$156+G84*$P$157+H84*$P$158+I84*$P$159+J84*$P$160+K84*$P$161)*$T$150</f>
        <v>2003868.70523416</v>
      </c>
      <c r="B84" s="14"/>
      <c r="C84" s="14"/>
      <c r="D84" s="25" t="n">
        <v>1</v>
      </c>
      <c r="E84" s="25" t="n">
        <v>2</v>
      </c>
      <c r="F84" s="14"/>
      <c r="G84" s="25" t="n">
        <v>1</v>
      </c>
      <c r="H84" s="14"/>
      <c r="I84" s="14"/>
      <c r="J84" s="14"/>
      <c r="K84" s="14"/>
      <c r="L84" s="26"/>
      <c r="M84" s="29" t="s">
        <v>96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12</v>
      </c>
      <c r="Y84" s="18" t="n">
        <f aca="false">SUMIF($X$2:$X$147,X84,$A$2:$A$147)</f>
        <v>7900809.9862259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(B85*$P$152+C85*$P$153+D85*$P$154+E85*$P$155+F85*$P$156+G85*$P$157+H85*$P$158+I85*$P$159+J85*$P$160+K85*$P$161)*$T$150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6"/>
      <c r="M85" s="17"/>
      <c r="N85" s="30" t="s">
        <v>97</v>
      </c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12</v>
      </c>
      <c r="Y85" s="18" t="n">
        <f aca="false">SUMIF($X$2:$X$147,X85,$A$2:$A$147)</f>
        <v>7900809.9862259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6"/>
      <c r="AE85" s="36"/>
    </row>
    <row r="86" customFormat="false" ht="15" hidden="false" customHeight="true" outlineLevel="0" collapsed="false">
      <c r="A86" s="11" t="n">
        <f aca="false">(B86*$P$152+C86*$P$153+D86*$P$154+E86*$P$155+F86*$P$156+G86*$P$157+H86*$P$158+I86*$P$159+J86*$P$160+K86*$P$161)*$T$150</f>
        <v>1505850.70247934</v>
      </c>
      <c r="B86" s="14"/>
      <c r="C86" s="14"/>
      <c r="D86" s="25" t="n">
        <v>1</v>
      </c>
      <c r="E86" s="25" t="n">
        <v>1.5</v>
      </c>
      <c r="F86" s="14"/>
      <c r="G86" s="25" t="n">
        <v>0.5</v>
      </c>
      <c r="H86" s="14"/>
      <c r="I86" s="14"/>
      <c r="J86" s="14"/>
      <c r="K86" s="14"/>
      <c r="L86" s="26"/>
      <c r="M86" s="29" t="s">
        <v>98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12</v>
      </c>
      <c r="Y86" s="18" t="n">
        <f aca="false">SUMIF($X$2:$X$147,X86,$A$2:$A$147)</f>
        <v>7900809.9862259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6"/>
      <c r="AE86" s="36"/>
    </row>
    <row r="87" customFormat="false" ht="15" hidden="false" customHeight="true" outlineLevel="0" collapsed="false">
      <c r="A87" s="11" t="n">
        <f aca="false">(B87*$P$152+C87*$P$153+D87*$P$154+E87*$P$155+F87*$P$156+G87*$P$157+H87*$P$158+I87*$P$159+J87*$P$160+K87*$P$161)*$T$150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6"/>
      <c r="M87" s="17"/>
      <c r="N87" s="30" t="s">
        <v>99</v>
      </c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12</v>
      </c>
      <c r="Y87" s="18" t="n">
        <f aca="false">SUMIF($X$2:$X$147,X87,$A$2:$A$147)</f>
        <v>7900809.9862259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6"/>
      <c r="AE87" s="36"/>
    </row>
    <row r="88" customFormat="false" ht="15" hidden="false" customHeight="true" outlineLevel="0" collapsed="false">
      <c r="A88" s="11" t="n">
        <f aca="false">(B88*$P$152+C88*$P$153+D88*$P$154+E88*$P$155+F88*$P$156+G88*$P$157+H88*$P$158+I88*$P$159+J88*$P$160+K88*$P$161)*$T$150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33" t="s">
        <v>100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13</v>
      </c>
      <c r="Y88" s="18" t="n">
        <f aca="false">SUMIF($X$2:$X$147,X88,$A$2:$A$147)</f>
        <v>8819297.23140496</v>
      </c>
      <c r="Z88" s="19"/>
      <c r="AA88" s="20"/>
      <c r="AB88" s="21" t="b">
        <f aca="false">TRUE()</f>
        <v>1</v>
      </c>
      <c r="AC88" s="22" t="n">
        <f aca="false">IF(L88="",0,IF(AB88=FALSE(),0,Y88))</f>
        <v>8819297.23140496</v>
      </c>
      <c r="AD88" s="36"/>
      <c r="AE88" s="36"/>
    </row>
    <row r="89" customFormat="false" ht="15" hidden="false" customHeight="true" outlineLevel="0" collapsed="false">
      <c r="A89" s="11" t="n">
        <f aca="false">(B89*$P$152+C89*$P$153+D89*$P$154+E89*$P$155+F89*$P$156+G89*$P$157+H89*$P$158+I89*$P$159+J89*$P$160+K89*$P$161)*$T$150</f>
        <v>1505850.70247934</v>
      </c>
      <c r="B89" s="14"/>
      <c r="C89" s="14"/>
      <c r="D89" s="25" t="n">
        <v>1</v>
      </c>
      <c r="E89" s="25" t="n">
        <v>1.5</v>
      </c>
      <c r="F89" s="14"/>
      <c r="G89" s="25" t="n">
        <v>0.5</v>
      </c>
      <c r="H89" s="14"/>
      <c r="I89" s="14"/>
      <c r="J89" s="14"/>
      <c r="K89" s="14"/>
      <c r="L89" s="26"/>
      <c r="M89" s="29" t="s">
        <v>101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13</v>
      </c>
      <c r="Y89" s="18" t="n">
        <f aca="false">SUMIF($X$2:$X$147,X89,$A$2:$A$147)</f>
        <v>8819297.23140496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6"/>
      <c r="AE89" s="36"/>
    </row>
    <row r="90" customFormat="false" ht="15" hidden="false" customHeight="true" outlineLevel="0" collapsed="false">
      <c r="A90" s="11" t="n">
        <f aca="false">(B90*$P$152+C90*$P$153+D90*$P$154+E90*$P$155+F90*$P$156+G90*$P$157+H90*$P$158+I90*$P$159+J90*$P$160+K90*$P$161)*$T$150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6"/>
      <c r="M90" s="17"/>
      <c r="N90" s="30" t="s">
        <v>102</v>
      </c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13</v>
      </c>
      <c r="Y90" s="18" t="n">
        <f aca="false">SUMIF($X$2:$X$147,X90,$A$2:$A$147)</f>
        <v>8819297.23140496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6"/>
      <c r="AE90" s="36"/>
    </row>
    <row r="91" customFormat="false" ht="15" hidden="false" customHeight="true" outlineLevel="0" collapsed="false">
      <c r="A91" s="11" t="n">
        <f aca="false">(B91*$P$152+C91*$P$153+D91*$P$154+E91*$P$155+F91*$P$156+G91*$P$157+H91*$P$158+I91*$P$159+J91*$P$160+K91*$P$161)*$T$150</f>
        <v>2003868.70523416</v>
      </c>
      <c r="B91" s="14"/>
      <c r="C91" s="14"/>
      <c r="D91" s="25" t="n">
        <v>1</v>
      </c>
      <c r="E91" s="25" t="n">
        <v>2</v>
      </c>
      <c r="F91" s="14"/>
      <c r="G91" s="25" t="n">
        <v>1</v>
      </c>
      <c r="H91" s="14"/>
      <c r="I91" s="14"/>
      <c r="J91" s="14"/>
      <c r="K91" s="14"/>
      <c r="L91" s="26"/>
      <c r="M91" s="29" t="s">
        <v>103</v>
      </c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13</v>
      </c>
      <c r="Y91" s="18" t="n">
        <f aca="false">SUMIF($X$2:$X$147,X91,$A$2:$A$147)</f>
        <v>8819297.23140496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6"/>
      <c r="AE91" s="36"/>
    </row>
    <row r="92" customFormat="false" ht="15" hidden="false" customHeight="true" outlineLevel="0" collapsed="false">
      <c r="A92" s="11" t="n">
        <f aca="false">(B92*$P$152+C92*$P$153+D92*$P$154+E92*$P$155+F92*$P$156+G92*$P$157+H92*$P$158+I92*$P$159+J92*$P$160+K92*$P$161)*$T$150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6"/>
      <c r="M92" s="17"/>
      <c r="N92" s="30" t="s">
        <v>104</v>
      </c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13</v>
      </c>
      <c r="Y92" s="18" t="n">
        <f aca="false">SUMIF($X$2:$X$147,X92,$A$2:$A$147)</f>
        <v>8819297.23140496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6"/>
      <c r="AE92" s="36"/>
    </row>
    <row r="93" customFormat="false" ht="15" hidden="false" customHeight="true" outlineLevel="0" collapsed="false">
      <c r="A93" s="11" t="n">
        <f aca="false">(B93*$P$152+C93*$P$153+D93*$P$154+E93*$P$155+F93*$P$156+G93*$P$157+H93*$P$158+I93*$P$159+J93*$P$160+K93*$P$161)*$T$150</f>
        <v>2297876.41873278</v>
      </c>
      <c r="B93" s="14"/>
      <c r="C93" s="14"/>
      <c r="D93" s="25" t="n">
        <v>1</v>
      </c>
      <c r="E93" s="25" t="n">
        <v>2.5</v>
      </c>
      <c r="F93" s="14"/>
      <c r="G93" s="25" t="n">
        <v>1</v>
      </c>
      <c r="H93" s="14"/>
      <c r="I93" s="14"/>
      <c r="J93" s="14"/>
      <c r="K93" s="14"/>
      <c r="L93" s="26"/>
      <c r="M93" s="29" t="s">
        <v>105</v>
      </c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13</v>
      </c>
      <c r="Y93" s="18" t="n">
        <f aca="false">SUMIF($X$2:$X$147,X93,$A$2:$A$147)</f>
        <v>8819297.23140496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6"/>
      <c r="AE93" s="36"/>
    </row>
    <row r="94" customFormat="false" ht="15" hidden="false" customHeight="true" outlineLevel="0" collapsed="false">
      <c r="A94" s="11" t="n">
        <f aca="false">(B94*$P$152+C94*$P$153+D94*$P$154+E94*$P$155+F94*$P$156+G94*$P$157+H94*$P$158+I94*$P$159+J94*$P$160+K94*$P$161)*$T$150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6"/>
      <c r="M94" s="17"/>
      <c r="N94" s="30" t="s">
        <v>106</v>
      </c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13</v>
      </c>
      <c r="Y94" s="18" t="n">
        <f aca="false">SUMIF($X$2:$X$147,X94,$A$2:$A$147)</f>
        <v>8819297.23140496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6"/>
      <c r="AE94" s="36"/>
    </row>
    <row r="95" customFormat="false" ht="15" hidden="false" customHeight="true" outlineLevel="0" collapsed="false">
      <c r="A95" s="11" t="n">
        <f aca="false">(B95*$P$152+C95*$P$153+D95*$P$154+E95*$P$155+F95*$P$156+G95*$P$157+H95*$P$158+I95*$P$159+J95*$P$160+K95*$P$161)*$T$150</f>
        <v>1505850.70247934</v>
      </c>
      <c r="B95" s="14"/>
      <c r="C95" s="14"/>
      <c r="D95" s="25" t="n">
        <v>1</v>
      </c>
      <c r="E95" s="25" t="n">
        <v>1.5</v>
      </c>
      <c r="F95" s="14"/>
      <c r="G95" s="25" t="n">
        <v>0.5</v>
      </c>
      <c r="H95" s="14"/>
      <c r="I95" s="14"/>
      <c r="J95" s="14"/>
      <c r="K95" s="14"/>
      <c r="L95" s="26"/>
      <c r="M95" s="29" t="s">
        <v>107</v>
      </c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13</v>
      </c>
      <c r="Y95" s="18" t="n">
        <f aca="false">SUMIF($X$2:$X$147,X95,$A$2:$A$147)</f>
        <v>8819297.23140496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6"/>
      <c r="AE95" s="36"/>
    </row>
    <row r="96" customFormat="false" ht="15" hidden="false" customHeight="true" outlineLevel="0" collapsed="false">
      <c r="A96" s="11" t="n">
        <f aca="false">(B96*$P$152+C96*$P$153+D96*$P$154+E96*$P$155+F96*$P$156+G96*$P$157+H96*$P$158+I96*$P$159+J96*$P$160+K96*$P$161)*$T$150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6"/>
      <c r="M96" s="17"/>
      <c r="N96" s="30" t="s">
        <v>108</v>
      </c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13</v>
      </c>
      <c r="Y96" s="18" t="n">
        <f aca="false">SUMIF($X$2:$X$147,X96,$A$2:$A$147)</f>
        <v>8819297.23140496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6"/>
      <c r="AE96" s="36"/>
    </row>
    <row r="97" customFormat="false" ht="15" hidden="false" customHeight="true" outlineLevel="0" collapsed="false">
      <c r="A97" s="11" t="n">
        <f aca="false">(B97*$P$152+C97*$P$153+D97*$P$154+E97*$P$155+F97*$P$156+G97*$P$157+H97*$P$158+I97*$P$159+J97*$P$160+K97*$P$161)*$T$150</f>
        <v>1505850.70247934</v>
      </c>
      <c r="B97" s="14"/>
      <c r="C97" s="14"/>
      <c r="D97" s="25" t="n">
        <v>1</v>
      </c>
      <c r="E97" s="25" t="n">
        <v>1.5</v>
      </c>
      <c r="F97" s="14"/>
      <c r="G97" s="25" t="n">
        <v>0.5</v>
      </c>
      <c r="H97" s="14"/>
      <c r="I97" s="14"/>
      <c r="J97" s="14"/>
      <c r="K97" s="14"/>
      <c r="L97" s="26"/>
      <c r="M97" s="29" t="s">
        <v>109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13</v>
      </c>
      <c r="Y97" s="18" t="n">
        <f aca="false">SUMIF($X$2:$X$147,X97,$A$2:$A$147)</f>
        <v>8819297.23140496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6"/>
      <c r="AE97" s="36"/>
    </row>
    <row r="98" customFormat="false" ht="15" hidden="false" customHeight="true" outlineLevel="0" collapsed="false">
      <c r="A98" s="11" t="n">
        <f aca="false">(B98*$P$152+C98*$P$153+D98*$P$154+E98*$P$155+F98*$P$156+G98*$P$157+H98*$P$158+I98*$P$159+J98*$P$160+K98*$P$161)*$T$150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6"/>
      <c r="M98" s="17"/>
      <c r="N98" s="30" t="s">
        <v>110</v>
      </c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13</v>
      </c>
      <c r="Y98" s="18" t="n">
        <f aca="false">SUMIF($X$2:$X$147,X98,$A$2:$A$147)</f>
        <v>8819297.23140496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6"/>
      <c r="AE98" s="36"/>
    </row>
    <row r="99" customFormat="false" ht="15" hidden="false" customHeight="true" outlineLevel="0" collapsed="false">
      <c r="A99" s="11" t="n">
        <f aca="false">(B99*$P$152+C99*$P$153+D99*$P$154+E99*$P$155+F99*$P$156+G99*$P$157+H99*$P$158+I99*$P$159+J99*$P$160+K99*$P$161)*$T$150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33" t="s">
        <v>111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14</v>
      </c>
      <c r="Y99" s="18" t="n">
        <f aca="false">SUMIF($X$2:$X$147,X99,$A$2:$A$147)</f>
        <v>12561240.8677686</v>
      </c>
      <c r="Z99" s="19"/>
      <c r="AA99" s="20"/>
      <c r="AB99" s="21" t="b">
        <f aca="false">TRUE()</f>
        <v>1</v>
      </c>
      <c r="AC99" s="22" t="n">
        <f aca="false">IF(L99="",0,IF(AB99=FALSE(),0,Y99))</f>
        <v>12561240.8677686</v>
      </c>
      <c r="AD99" s="36"/>
      <c r="AE99" s="36"/>
    </row>
    <row r="100" customFormat="false" ht="15" hidden="false" customHeight="true" outlineLevel="0" collapsed="false">
      <c r="A100" s="11" t="n">
        <f aca="false">(B100*$P$152+C100*$P$153+D100*$P$154+E100*$P$155+F100*$P$156+G100*$P$157+H100*$P$158+I100*$P$159+J100*$P$160+K100*$P$161)*$T$150</f>
        <v>2387221.87327824</v>
      </c>
      <c r="B100" s="25" t="n">
        <v>0.5</v>
      </c>
      <c r="C100" s="14"/>
      <c r="D100" s="25" t="n">
        <v>1</v>
      </c>
      <c r="E100" s="25" t="n">
        <v>2</v>
      </c>
      <c r="F100" s="14"/>
      <c r="G100" s="25" t="n">
        <v>1</v>
      </c>
      <c r="H100" s="14"/>
      <c r="I100" s="14"/>
      <c r="J100" s="14"/>
      <c r="K100" s="14"/>
      <c r="L100" s="26"/>
      <c r="M100" s="29" t="s">
        <v>112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14</v>
      </c>
      <c r="Y100" s="18" t="n">
        <f aca="false">SUMIF($X$2:$X$147,X100,$A$2:$A$147)</f>
        <v>12561240.8677686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6"/>
      <c r="AE100" s="36"/>
    </row>
    <row r="101" customFormat="false" ht="15" hidden="false" customHeight="true" outlineLevel="0" collapsed="false">
      <c r="A101" s="11" t="n">
        <f aca="false">(B101*$P$152+C101*$P$153+D101*$P$154+E101*$P$155+F101*$P$156+G101*$P$157+H101*$P$158+I101*$P$159+J101*$P$160+K101*$P$161)*$T$150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6"/>
      <c r="M101" s="17"/>
      <c r="N101" s="30" t="s">
        <v>113</v>
      </c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14</v>
      </c>
      <c r="Y101" s="18" t="n">
        <f aca="false">SUMIF($X$2:$X$147,X101,$A$2:$A$147)</f>
        <v>12561240.8677686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(B102*$P$152+C102*$P$153+D102*$P$154+E102*$P$155+F102*$P$156+G102*$P$157+H102*$P$158+I102*$P$159+J102*$P$160+K102*$P$161)*$T$150</f>
        <v>2843503.25068871</v>
      </c>
      <c r="B102" s="14"/>
      <c r="C102" s="25" t="n">
        <v>1</v>
      </c>
      <c r="D102" s="25" t="n">
        <v>2</v>
      </c>
      <c r="E102" s="25" t="n">
        <v>2</v>
      </c>
      <c r="F102" s="14"/>
      <c r="G102" s="25" t="n">
        <v>1</v>
      </c>
      <c r="H102" s="14"/>
      <c r="I102" s="14"/>
      <c r="J102" s="14"/>
      <c r="K102" s="14"/>
      <c r="L102" s="26"/>
      <c r="M102" s="29" t="s">
        <v>114</v>
      </c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14</v>
      </c>
      <c r="Y102" s="18" t="n">
        <f aca="false">SUMIF($X$2:$X$147,X102,$A$2:$A$147)</f>
        <v>12561240.8677686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(B103*$P$152+C103*$P$153+D103*$P$154+E103*$P$155+F103*$P$156+G103*$P$157+H103*$P$158+I103*$P$159+J103*$P$160+K103*$P$161)*$T$150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6"/>
      <c r="M103" s="17"/>
      <c r="N103" s="30" t="s">
        <v>115</v>
      </c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14</v>
      </c>
      <c r="Y103" s="18" t="n">
        <f aca="false">SUMIF($X$2:$X$147,X103,$A$2:$A$147)</f>
        <v>12561240.8677686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6"/>
      <c r="AE103" s="36"/>
    </row>
    <row r="104" customFormat="false" ht="15" hidden="false" customHeight="true" outlineLevel="0" collapsed="false">
      <c r="A104" s="11" t="n">
        <f aca="false">(B104*$P$152+C104*$P$153+D104*$P$154+E104*$P$155+F104*$P$156+G104*$P$157+H104*$P$158+I104*$P$159+J104*$P$160+K104*$P$161)*$T$150</f>
        <v>1295942.0661157</v>
      </c>
      <c r="B104" s="14"/>
      <c r="C104" s="14"/>
      <c r="D104" s="25" t="n">
        <v>0.5</v>
      </c>
      <c r="E104" s="25" t="n">
        <v>1.5</v>
      </c>
      <c r="F104" s="14"/>
      <c r="G104" s="25" t="n">
        <v>0.5</v>
      </c>
      <c r="H104" s="14"/>
      <c r="I104" s="14"/>
      <c r="J104" s="14"/>
      <c r="K104" s="14"/>
      <c r="L104" s="26"/>
      <c r="M104" s="29" t="s">
        <v>116</v>
      </c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14</v>
      </c>
      <c r="Y104" s="18" t="n">
        <f aca="false">SUMIF($X$2:$X$147,X104,$A$2:$A$147)</f>
        <v>12561240.8677686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6"/>
      <c r="AE104" s="36"/>
    </row>
    <row r="105" customFormat="false" ht="15" hidden="false" customHeight="true" outlineLevel="0" collapsed="false">
      <c r="A105" s="11" t="n">
        <f aca="false">(B105*$P$152+C105*$P$153+D105*$P$154+E105*$P$155+F105*$P$156+G105*$P$157+H105*$P$158+I105*$P$159+J105*$P$160+K105*$P$161)*$T$150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6"/>
      <c r="M105" s="17"/>
      <c r="N105" s="30" t="s">
        <v>117</v>
      </c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14</v>
      </c>
      <c r="Y105" s="18" t="n">
        <f aca="false">SUMIF($X$2:$X$147,X105,$A$2:$A$147)</f>
        <v>12561240.8677686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6"/>
      <c r="AE105" s="36"/>
    </row>
    <row r="106" customFormat="false" ht="15" hidden="false" customHeight="true" outlineLevel="0" collapsed="false">
      <c r="A106" s="11" t="n">
        <f aca="false">(B106*$P$152+C106*$P$153+D106*$P$154+E106*$P$155+F106*$P$156+G106*$P$157+H106*$P$158+I106*$P$159+J106*$P$160+K106*$P$161)*$T$150</f>
        <v>1584051.43250689</v>
      </c>
      <c r="B106" s="14"/>
      <c r="C106" s="14"/>
      <c r="D106" s="14"/>
      <c r="E106" s="25" t="n">
        <v>2</v>
      </c>
      <c r="F106" s="14"/>
      <c r="G106" s="25" t="n">
        <v>1</v>
      </c>
      <c r="H106" s="14"/>
      <c r="I106" s="14"/>
      <c r="J106" s="14"/>
      <c r="K106" s="14"/>
      <c r="L106" s="26"/>
      <c r="M106" s="29" t="s">
        <v>118</v>
      </c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14</v>
      </c>
      <c r="Y106" s="18" t="n">
        <f aca="false">SUMIF($X$2:$X$147,X106,$A$2:$A$147)</f>
        <v>12561240.8677686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6"/>
      <c r="AE106" s="36"/>
    </row>
    <row r="107" customFormat="false" ht="15" hidden="false" customHeight="true" outlineLevel="0" collapsed="false">
      <c r="A107" s="11" t="n">
        <f aca="false">(B107*$P$152+C107*$P$153+D107*$P$154+E107*$P$155+F107*$P$156+G107*$P$157+H107*$P$158+I107*$P$159+J107*$P$160+K107*$P$161)*$T$150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6"/>
      <c r="M107" s="17"/>
      <c r="N107" s="30" t="s">
        <v>119</v>
      </c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14</v>
      </c>
      <c r="Y107" s="18" t="n">
        <f aca="false">SUMIF($X$2:$X$147,X107,$A$2:$A$147)</f>
        <v>12561240.8677686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(B108*$P$152+C108*$P$153+D108*$P$154+E108*$P$155+F108*$P$156+G108*$P$157+H108*$P$158+I108*$P$159+J108*$P$160+K108*$P$161)*$T$150</f>
        <v>1648729.47658402</v>
      </c>
      <c r="B108" s="25" t="n">
        <v>1</v>
      </c>
      <c r="C108" s="14"/>
      <c r="D108" s="14"/>
      <c r="E108" s="25" t="n">
        <v>1.5</v>
      </c>
      <c r="F108" s="14"/>
      <c r="G108" s="14"/>
      <c r="H108" s="14"/>
      <c r="I108" s="14"/>
      <c r="J108" s="14"/>
      <c r="K108" s="14"/>
      <c r="L108" s="26"/>
      <c r="M108" s="29" t="s">
        <v>120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14</v>
      </c>
      <c r="Y108" s="18" t="n">
        <f aca="false">SUMIF($X$2:$X$147,X108,$A$2:$A$147)</f>
        <v>12561240.8677686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(B109*$P$152+C109*$P$153+D109*$P$154+E109*$P$155+F109*$P$156+G109*$P$157+H109*$P$158+I109*$P$159+J109*$P$160+K109*$P$161)*$T$150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6"/>
      <c r="M109" s="17"/>
      <c r="N109" s="30" t="s">
        <v>121</v>
      </c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14</v>
      </c>
      <c r="Y109" s="18" t="n">
        <f aca="false">SUMIF($X$2:$X$147,X109,$A$2:$A$147)</f>
        <v>12561240.8677686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(B110*$P$152+C110*$P$153+D110*$P$154+E110*$P$155+F110*$P$156+G110*$P$157+H110*$P$158+I110*$P$159+J110*$P$160+K110*$P$161)*$T$150</f>
        <v>1505850.70247934</v>
      </c>
      <c r="B110" s="14"/>
      <c r="C110" s="14"/>
      <c r="D110" s="25" t="n">
        <v>1</v>
      </c>
      <c r="E110" s="25" t="n">
        <v>1.5</v>
      </c>
      <c r="F110" s="14"/>
      <c r="G110" s="25" t="n">
        <v>0.5</v>
      </c>
      <c r="H110" s="14"/>
      <c r="I110" s="14"/>
      <c r="J110" s="14"/>
      <c r="K110" s="14"/>
      <c r="L110" s="26"/>
      <c r="M110" s="29" t="s">
        <v>122</v>
      </c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14</v>
      </c>
      <c r="Y110" s="18" t="n">
        <f aca="false">SUMIF($X$2:$X$147,X110,$A$2:$A$147)</f>
        <v>12561240.8677686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(B111*$P$152+C111*$P$153+D111*$P$154+E111*$P$155+F111*$P$156+G111*$P$157+H111*$P$158+I111*$P$159+J111*$P$160+K111*$P$161)*$T$150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6"/>
      <c r="M111" s="17"/>
      <c r="N111" s="30" t="s">
        <v>123</v>
      </c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14</v>
      </c>
      <c r="Y111" s="18" t="n">
        <f aca="false">SUMIF($X$2:$X$147,X111,$A$2:$A$147)</f>
        <v>12561240.8677686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(B112*$P$152+C112*$P$153+D112*$P$154+E112*$P$155+F112*$P$156+G112*$P$157+H112*$P$158+I112*$P$159+J112*$P$160+K112*$P$161)*$T$150</f>
        <v>1295942.0661157</v>
      </c>
      <c r="B112" s="14"/>
      <c r="C112" s="14"/>
      <c r="D112" s="25" t="n">
        <v>0.5</v>
      </c>
      <c r="E112" s="25" t="n">
        <v>1.5</v>
      </c>
      <c r="F112" s="14"/>
      <c r="G112" s="25" t="n">
        <v>0.5</v>
      </c>
      <c r="H112" s="14"/>
      <c r="I112" s="14"/>
      <c r="J112" s="14"/>
      <c r="K112" s="14"/>
      <c r="L112" s="26"/>
      <c r="M112" s="29" t="s">
        <v>124</v>
      </c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14</v>
      </c>
      <c r="Y112" s="18" t="n">
        <f aca="false">SUMIF($X$2:$X$147,X112,$A$2:$A$147)</f>
        <v>12561240.8677686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(B113*$P$152+C113*$P$153+D113*$P$154+E113*$P$155+F113*$P$156+G113*$P$157+H113*$P$158+I113*$P$159+J113*$P$160+K113*$P$161)*$T$150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6"/>
      <c r="M113" s="17"/>
      <c r="N113" s="30" t="s">
        <v>125</v>
      </c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14</v>
      </c>
      <c r="Y113" s="18" t="n">
        <f aca="false">SUMIF($X$2:$X$147,X113,$A$2:$A$147)</f>
        <v>12561240.8677686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(B114*$P$152+C114*$P$153+D114*$P$154+E114*$P$155+F114*$P$156+G114*$P$157+H114*$P$158+I114*$P$159+J114*$P$160+K114*$P$161)*$T$150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33" t="s">
        <v>126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15</v>
      </c>
      <c r="Y114" s="18" t="n">
        <f aca="false">SUMIF($X$2:$X$147,X114,$A$2:$A$147)</f>
        <v>8843744.21487603</v>
      </c>
      <c r="Z114" s="19"/>
      <c r="AA114" s="20"/>
      <c r="AB114" s="21" t="b">
        <f aca="false">TRUE()</f>
        <v>1</v>
      </c>
      <c r="AC114" s="22" t="n">
        <f aca="false">IF(L114="",0,IF(AB114=FALSE(),0,Y114))</f>
        <v>8843744.21487603</v>
      </c>
      <c r="AD114" s="14"/>
      <c r="AE114" s="14"/>
    </row>
    <row r="115" customFormat="false" ht="15" hidden="false" customHeight="true" outlineLevel="0" collapsed="false">
      <c r="A115" s="11" t="n">
        <f aca="false">(B115*$P$152+C115*$P$153+D115*$P$154+E115*$P$155+F115*$P$156+G115*$P$157+H115*$P$158+I115*$P$159+J115*$P$160+K115*$P$161)*$T$150</f>
        <v>1086033.42975207</v>
      </c>
      <c r="B115" s="14"/>
      <c r="C115" s="14"/>
      <c r="D115" s="14"/>
      <c r="E115" s="25" t="n">
        <v>1.5</v>
      </c>
      <c r="F115" s="14"/>
      <c r="G115" s="25" t="n">
        <v>0.5</v>
      </c>
      <c r="H115" s="14"/>
      <c r="I115" s="14"/>
      <c r="J115" s="14"/>
      <c r="K115" s="14"/>
      <c r="L115" s="26"/>
      <c r="M115" s="29" t="s">
        <v>127</v>
      </c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15</v>
      </c>
      <c r="Y115" s="18" t="n">
        <f aca="false">SUMIF($X$2:$X$147,X115,$A$2:$A$147)</f>
        <v>8843744.21487603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(B116*$P$152+C116*$P$153+D116*$P$154+E116*$P$155+F116*$P$156+G116*$P$157+H116*$P$158+I116*$P$159+J116*$P$160+K116*$P$161)*$T$150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6"/>
      <c r="M116" s="17"/>
      <c r="N116" s="30" t="s">
        <v>128</v>
      </c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15</v>
      </c>
      <c r="Y116" s="18" t="n">
        <f aca="false">SUMIF($X$2:$X$147,X116,$A$2:$A$147)</f>
        <v>8843744.21487603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(B117*$P$152+C117*$P$153+D117*$P$154+E117*$P$155+F117*$P$156+G117*$P$157+H117*$P$158+I117*$P$159+J117*$P$160+K117*$P$161)*$T$150</f>
        <v>792025.716253444</v>
      </c>
      <c r="B117" s="14"/>
      <c r="C117" s="14"/>
      <c r="D117" s="14"/>
      <c r="E117" s="25" t="n">
        <v>1</v>
      </c>
      <c r="F117" s="14"/>
      <c r="G117" s="25" t="n">
        <v>0.5</v>
      </c>
      <c r="H117" s="14"/>
      <c r="I117" s="14"/>
      <c r="J117" s="14"/>
      <c r="K117" s="14"/>
      <c r="L117" s="26"/>
      <c r="M117" s="29" t="s">
        <v>129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15</v>
      </c>
      <c r="Y117" s="18" t="n">
        <f aca="false">SUMIF($X$2:$X$147,X117,$A$2:$A$147)</f>
        <v>8843744.21487603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(B118*$P$152+C118*$P$153+D118*$P$154+E118*$P$155+F118*$P$156+G118*$P$157+H118*$P$158+I118*$P$159+J118*$P$160+K118*$P$161)*$T$150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6"/>
      <c r="M118" s="17"/>
      <c r="N118" s="30" t="s">
        <v>130</v>
      </c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15</v>
      </c>
      <c r="Y118" s="18" t="n">
        <f aca="false">SUMIF($X$2:$X$147,X118,$A$2:$A$147)</f>
        <v>8843744.21487603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(B119*$P$152+C119*$P$153+D119*$P$154+E119*$P$155+F119*$P$156+G119*$P$157+H119*$P$158+I119*$P$159+J119*$P$160+K119*$P$161)*$T$150</f>
        <v>971368.595041322</v>
      </c>
      <c r="B119" s="25" t="n">
        <v>0.5</v>
      </c>
      <c r="C119" s="14"/>
      <c r="D119" s="14"/>
      <c r="E119" s="25" t="n">
        <v>1</v>
      </c>
      <c r="F119" s="14"/>
      <c r="G119" s="14"/>
      <c r="H119" s="14"/>
      <c r="I119" s="14"/>
      <c r="J119" s="14"/>
      <c r="K119" s="14"/>
      <c r="L119" s="38"/>
      <c r="M119" s="39" t="s">
        <v>131</v>
      </c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 t="n">
        <f aca="false">COUNTIF($L$2:L119,"&lt;&gt;"&amp;"")</f>
        <v>15</v>
      </c>
      <c r="Y119" s="41" t="n">
        <f aca="false">SUMIF($X$2:$X$147,X119,$A$2:$A$147)</f>
        <v>8843744.21487603</v>
      </c>
      <c r="Z119" s="42"/>
      <c r="AA119" s="43"/>
      <c r="AB119" s="44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0" t="n">
        <f aca="false">(B120*$P$152+C120*$P$153+D120*$P$154+E120*$P$155+F120*$P$156+G120*$P$157+H120*$P$158+I120*$P$159+J120*$P$160+K120*$P$161)*$T$150</f>
        <v>0</v>
      </c>
      <c r="L120" s="45"/>
      <c r="M120" s="45"/>
      <c r="N120" s="46" t="s">
        <v>132</v>
      </c>
      <c r="O120" s="45"/>
      <c r="P120" s="45"/>
      <c r="Q120" s="45"/>
      <c r="R120" s="45"/>
      <c r="S120" s="45"/>
      <c r="T120" s="45"/>
      <c r="U120" s="45"/>
      <c r="V120" s="45"/>
      <c r="W120" s="45"/>
      <c r="X120" s="45" t="n">
        <f aca="false">COUNTIF($L$2:L120,"&lt;&gt;"&amp;"")</f>
        <v>15</v>
      </c>
      <c r="Y120" s="47" t="n">
        <f aca="false">SUMIF($X$2:$X$147,X120,$A$2:$A$147)</f>
        <v>8843744.21487603</v>
      </c>
      <c r="Z120" s="45"/>
      <c r="AA120" s="45"/>
      <c r="AB120" s="48" t="b">
        <f aca="false">TRUE()</f>
        <v>1</v>
      </c>
      <c r="AC120" s="0" t="n">
        <f aca="false">IF(L120="",0,IF(AB120=FALSE(),0,Y120))</f>
        <v>0</v>
      </c>
    </row>
    <row r="121" customFormat="false" ht="15" hidden="false" customHeight="true" outlineLevel="0" collapsed="false">
      <c r="A121" s="0" t="n">
        <f aca="false">(B121*$P$152+C121*$P$153+D121*$P$154+E121*$P$155+F121*$P$156+G121*$P$157+H121*$P$158+I121*$P$159+J121*$P$160+K121*$P$161)*$T$150</f>
        <v>202076.404958678</v>
      </c>
      <c r="H121" s="34" t="n">
        <v>0.5</v>
      </c>
      <c r="L121" s="45"/>
      <c r="M121" s="49" t="s">
        <v>133</v>
      </c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 t="n">
        <f aca="false">COUNTIF($L$2:L121,"&lt;&gt;"&amp;"")</f>
        <v>15</v>
      </c>
      <c r="Y121" s="47" t="n">
        <f aca="false">SUMIF($X$2:$X$147,X121,$A$2:$A$147)</f>
        <v>8843744.21487603</v>
      </c>
      <c r="Z121" s="45"/>
      <c r="AA121" s="45"/>
      <c r="AB121" s="48" t="b">
        <f aca="false">TRUE()</f>
        <v>1</v>
      </c>
      <c r="AC121" s="0" t="n">
        <f aca="false">IF(L121="",0,IF(AB121=FALSE(),0,Y121))</f>
        <v>0</v>
      </c>
    </row>
    <row r="122" customFormat="false" ht="12.75" hidden="false" customHeight="true" outlineLevel="0" collapsed="false">
      <c r="A122" s="0" t="n">
        <f aca="false">(B122*$P$152+C122*$P$153+D122*$P$154+E122*$P$155+F122*$P$156+G122*$P$157+H122*$P$158+I122*$P$159+J122*$P$160+K122*$P$161)*$T$150</f>
        <v>0</v>
      </c>
      <c r="L122" s="45"/>
      <c r="M122" s="45"/>
      <c r="N122" s="46" t="s">
        <v>134</v>
      </c>
      <c r="O122" s="45"/>
      <c r="P122" s="45"/>
      <c r="Q122" s="45"/>
      <c r="R122" s="45"/>
      <c r="S122" s="45"/>
      <c r="T122" s="45"/>
      <c r="U122" s="45"/>
      <c r="V122" s="45"/>
      <c r="W122" s="45"/>
      <c r="X122" s="45" t="n">
        <f aca="false">COUNTIF($L$2:L122,"&lt;&gt;"&amp;"")</f>
        <v>15</v>
      </c>
      <c r="Y122" s="47" t="n">
        <f aca="false">SUMIF($X$2:$X$147,X122,$A$2:$A$147)</f>
        <v>8843744.21487603</v>
      </c>
      <c r="Z122" s="45"/>
      <c r="AA122" s="45"/>
      <c r="AB122" s="48" t="b">
        <f aca="false">TRUE()</f>
        <v>1</v>
      </c>
      <c r="AC122" s="0" t="n">
        <f aca="false">IF(L122="",0,IF(AB122=FALSE(),0,Y122))</f>
        <v>0</v>
      </c>
    </row>
    <row r="123" customFormat="false" ht="15" hidden="false" customHeight="true" outlineLevel="0" collapsed="false">
      <c r="A123" s="0" t="n">
        <f aca="false">(B123*$P$152+C123*$P$153+D123*$P$154+E123*$P$155+F123*$P$156+G123*$P$157+H123*$P$158+I123*$P$159+J123*$P$160+K123*$P$161)*$T$150</f>
        <v>792025.716253444</v>
      </c>
      <c r="E123" s="34" t="n">
        <v>1</v>
      </c>
      <c r="G123" s="34" t="n">
        <v>0.5</v>
      </c>
      <c r="L123" s="45"/>
      <c r="M123" s="49" t="s">
        <v>135</v>
      </c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 t="n">
        <f aca="false">COUNTIF($L$2:L123,"&lt;&gt;"&amp;"")</f>
        <v>15</v>
      </c>
      <c r="Y123" s="47" t="n">
        <f aca="false">SUMIF($X$2:$X$147,X123,$A$2:$A$147)</f>
        <v>8843744.21487603</v>
      </c>
      <c r="Z123" s="45"/>
      <c r="AA123" s="45"/>
      <c r="AB123" s="48" t="b">
        <f aca="false">TRUE()</f>
        <v>1</v>
      </c>
      <c r="AC123" s="0" t="n">
        <f aca="false">IF(L123="",0,IF(AB123=FALSE(),0,Y123))</f>
        <v>0</v>
      </c>
    </row>
    <row r="124" customFormat="false" ht="12.75" hidden="false" customHeight="true" outlineLevel="0" collapsed="false">
      <c r="A124" s="0" t="n">
        <f aca="false">(B124*$P$152+C124*$P$153+D124*$P$154+E124*$P$155+F124*$P$156+G124*$P$157+H124*$P$158+I124*$P$159+J124*$P$160+K124*$P$161)*$T$150</f>
        <v>0</v>
      </c>
      <c r="L124" s="45"/>
      <c r="M124" s="45"/>
      <c r="N124" s="46" t="s">
        <v>136</v>
      </c>
      <c r="O124" s="45"/>
      <c r="P124" s="45"/>
      <c r="Q124" s="45"/>
      <c r="R124" s="45"/>
      <c r="S124" s="45"/>
      <c r="T124" s="45"/>
      <c r="U124" s="45"/>
      <c r="V124" s="45"/>
      <c r="W124" s="45"/>
      <c r="X124" s="45" t="n">
        <f aca="false">COUNTIF($L$2:L124,"&lt;&gt;"&amp;"")</f>
        <v>15</v>
      </c>
      <c r="Y124" s="47" t="n">
        <f aca="false">SUMIF($X$2:$X$147,X124,$A$2:$A$147)</f>
        <v>8843744.21487603</v>
      </c>
      <c r="Z124" s="45"/>
      <c r="AA124" s="45"/>
      <c r="AB124" s="48" t="b">
        <f aca="false">TRUE()</f>
        <v>1</v>
      </c>
      <c r="AC124" s="0" t="n">
        <f aca="false">IF(L124="",0,IF(AB124=FALSE(),0,Y124))</f>
        <v>0</v>
      </c>
    </row>
    <row r="125" customFormat="false" ht="12.75" hidden="false" customHeight="true" outlineLevel="0" collapsed="false">
      <c r="A125" s="0" t="n">
        <f aca="false">(B125*$P$152+C125*$P$153+D125*$P$154+E125*$P$155+F125*$P$156+G125*$P$157+H125*$P$158+I125*$P$159+J125*$P$160+K125*$P$161)*$T$150</f>
        <v>209908.636363636</v>
      </c>
      <c r="C125" s="34" t="n">
        <v>0.5</v>
      </c>
      <c r="L125" s="45"/>
      <c r="M125" s="49" t="s">
        <v>137</v>
      </c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 t="n">
        <f aca="false">COUNTIF($L$2:L125,"&lt;&gt;"&amp;"")</f>
        <v>15</v>
      </c>
      <c r="Y125" s="47" t="n">
        <f aca="false">SUMIF($X$2:$X$147,X125,$A$2:$A$147)</f>
        <v>8843744.21487603</v>
      </c>
      <c r="Z125" s="45"/>
      <c r="AA125" s="45"/>
      <c r="AB125" s="48" t="b">
        <f aca="false">TRUE()</f>
        <v>1</v>
      </c>
      <c r="AC125" s="0" t="n">
        <f aca="false">IF(L125="",0,IF(AB125=FALSE(),0,Y125))</f>
        <v>0</v>
      </c>
    </row>
    <row r="126" customFormat="false" ht="12.75" hidden="false" customHeight="true" outlineLevel="0" collapsed="false">
      <c r="A126" s="0" t="n">
        <f aca="false">(B126*$P$152+C126*$P$153+D126*$P$154+E126*$P$155+F126*$P$156+G126*$P$157+H126*$P$158+I126*$P$159+J126*$P$160+K126*$P$161)*$T$150</f>
        <v>0</v>
      </c>
      <c r="L126" s="45"/>
      <c r="M126" s="45"/>
      <c r="N126" s="46" t="s">
        <v>138</v>
      </c>
      <c r="O126" s="45"/>
      <c r="P126" s="45"/>
      <c r="Q126" s="45"/>
      <c r="R126" s="45"/>
      <c r="S126" s="45"/>
      <c r="T126" s="45"/>
      <c r="U126" s="45"/>
      <c r="V126" s="45"/>
      <c r="W126" s="45"/>
      <c r="X126" s="45" t="n">
        <f aca="false">COUNTIF($L$2:L126,"&lt;&gt;"&amp;"")</f>
        <v>15</v>
      </c>
      <c r="Y126" s="47" t="n">
        <f aca="false">SUMIF($X$2:$X$147,X126,$A$2:$A$147)</f>
        <v>8843744.21487603</v>
      </c>
      <c r="Z126" s="45"/>
      <c r="AA126" s="45"/>
      <c r="AB126" s="48" t="b">
        <f aca="false">TRUE()</f>
        <v>1</v>
      </c>
      <c r="AC126" s="0" t="n">
        <f aca="false">IF(L126="",0,IF(AB126=FALSE(),0,Y126))</f>
        <v>0</v>
      </c>
    </row>
    <row r="127" customFormat="false" ht="12.75" hidden="false" customHeight="true" outlineLevel="0" collapsed="false">
      <c r="A127" s="0" t="n">
        <f aca="false">(B127*$P$152+C127*$P$153+D127*$P$154+E127*$P$155+F127*$P$156+G127*$P$157+H127*$P$158+I127*$P$159+J127*$P$160+K127*$P$161)*$T$150</f>
        <v>588015.426997245</v>
      </c>
      <c r="E127" s="34" t="n">
        <v>1</v>
      </c>
      <c r="L127" s="45"/>
      <c r="M127" s="49" t="s">
        <v>139</v>
      </c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 t="n">
        <f aca="false">COUNTIF($L$2:L127,"&lt;&gt;"&amp;"")</f>
        <v>15</v>
      </c>
      <c r="Y127" s="47" t="n">
        <f aca="false">SUMIF($X$2:$X$147,X127,$A$2:$A$147)</f>
        <v>8843744.21487603</v>
      </c>
      <c r="Z127" s="45"/>
      <c r="AA127" s="45"/>
      <c r="AB127" s="48" t="b">
        <f aca="false">TRUE()</f>
        <v>1</v>
      </c>
      <c r="AC127" s="0" t="n">
        <f aca="false">IF(L127="",0,IF(AB127=FALSE(),0,Y127))</f>
        <v>0</v>
      </c>
    </row>
    <row r="128" customFormat="false" ht="12.75" hidden="false" customHeight="true" outlineLevel="0" collapsed="false">
      <c r="A128" s="0" t="n">
        <f aca="false">(B128*$P$152+C128*$P$153+D128*$P$154+E128*$P$155+F128*$P$156+G128*$P$157+H128*$P$158+I128*$P$159+J128*$P$160+K128*$P$161)*$T$150</f>
        <v>0</v>
      </c>
      <c r="L128" s="45"/>
      <c r="M128" s="45"/>
      <c r="N128" s="46" t="s">
        <v>140</v>
      </c>
      <c r="O128" s="45"/>
      <c r="P128" s="45"/>
      <c r="Q128" s="45"/>
      <c r="R128" s="45"/>
      <c r="S128" s="45"/>
      <c r="T128" s="45"/>
      <c r="U128" s="45"/>
      <c r="V128" s="45"/>
      <c r="W128" s="45"/>
      <c r="X128" s="45" t="n">
        <f aca="false">COUNTIF($L$2:L128,"&lt;&gt;"&amp;"")</f>
        <v>15</v>
      </c>
      <c r="Y128" s="47" t="n">
        <f aca="false">SUMIF($X$2:$X$147,X128,$A$2:$A$147)</f>
        <v>8843744.21487603</v>
      </c>
      <c r="Z128" s="45"/>
      <c r="AA128" s="45"/>
      <c r="AB128" s="48" t="b">
        <f aca="false">TRUE()</f>
        <v>1</v>
      </c>
      <c r="AC128" s="0" t="n">
        <f aca="false">IF(L128="",0,IF(AB128=FALSE(),0,Y128))</f>
        <v>0</v>
      </c>
    </row>
    <row r="129" customFormat="false" ht="12.75" hidden="false" customHeight="true" outlineLevel="0" collapsed="false">
      <c r="A129" s="0" t="n">
        <f aca="false">(B129*$P$152+C129*$P$153+D129*$P$154+E129*$P$155+F129*$P$156+G129*$P$157+H129*$P$158+I129*$P$159+J129*$P$160+K129*$P$161)*$T$150</f>
        <v>585429.573002755</v>
      </c>
      <c r="B129" s="34" t="n">
        <v>0.5</v>
      </c>
      <c r="H129" s="34" t="n">
        <v>0.5</v>
      </c>
      <c r="L129" s="45"/>
      <c r="M129" s="49" t="s">
        <v>141</v>
      </c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 t="n">
        <f aca="false">COUNTIF($L$2:L129,"&lt;&gt;"&amp;"")</f>
        <v>15</v>
      </c>
      <c r="Y129" s="47" t="n">
        <f aca="false">SUMIF($X$2:$X$147,X129,$A$2:$A$147)</f>
        <v>8843744.21487603</v>
      </c>
      <c r="Z129" s="45"/>
      <c r="AA129" s="45"/>
      <c r="AB129" s="48" t="b">
        <f aca="false">TRUE()</f>
        <v>1</v>
      </c>
      <c r="AC129" s="0" t="n">
        <f aca="false">IF(L129="",0,IF(AB129=FALSE(),0,Y129))</f>
        <v>0</v>
      </c>
    </row>
    <row r="130" customFormat="false" ht="12.75" hidden="false" customHeight="true" outlineLevel="0" collapsed="false">
      <c r="A130" s="0" t="n">
        <f aca="false">(B130*$P$152+C130*$P$153+D130*$P$154+E130*$P$155+F130*$P$156+G130*$P$157+H130*$P$158+I130*$P$159+J130*$P$160+K130*$P$161)*$T$150</f>
        <v>0</v>
      </c>
      <c r="L130" s="45"/>
      <c r="M130" s="45"/>
      <c r="N130" s="46" t="s">
        <v>142</v>
      </c>
      <c r="O130" s="45"/>
      <c r="P130" s="45"/>
      <c r="Q130" s="45"/>
      <c r="R130" s="45"/>
      <c r="S130" s="45"/>
      <c r="T130" s="45"/>
      <c r="U130" s="45"/>
      <c r="V130" s="45"/>
      <c r="W130" s="45"/>
      <c r="X130" s="45" t="n">
        <f aca="false">COUNTIF($L$2:L130,"&lt;&gt;"&amp;"")</f>
        <v>15</v>
      </c>
      <c r="Y130" s="47" t="n">
        <f aca="false">SUMIF($X$2:$X$147,X130,$A$2:$A$147)</f>
        <v>8843744.21487603</v>
      </c>
      <c r="Z130" s="45"/>
      <c r="AA130" s="45"/>
      <c r="AB130" s="48" t="b">
        <f aca="false">TRUE()</f>
        <v>1</v>
      </c>
      <c r="AC130" s="0" t="n">
        <f aca="false">IF(L130="",0,IF(AB130=FALSE(),0,Y130))</f>
        <v>0</v>
      </c>
    </row>
    <row r="131" customFormat="false" ht="12.75" hidden="false" customHeight="true" outlineLevel="0" collapsed="false">
      <c r="A131" s="0" t="n">
        <f aca="false">(B131*$P$152+C131*$P$153+D131*$P$154+E131*$P$155+F131*$P$156+G131*$P$157+H131*$P$158+I131*$P$159+J131*$P$160+K131*$P$161)*$T$150</f>
        <v>294007.713498623</v>
      </c>
      <c r="E131" s="34" t="n">
        <v>0.5</v>
      </c>
      <c r="L131" s="45"/>
      <c r="M131" s="49" t="s">
        <v>143</v>
      </c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 t="n">
        <f aca="false">COUNTIF($L$2:L131,"&lt;&gt;"&amp;"")</f>
        <v>15</v>
      </c>
      <c r="Y131" s="47" t="n">
        <f aca="false">SUMIF($X$2:$X$147,X131,$A$2:$A$147)</f>
        <v>8843744.21487603</v>
      </c>
      <c r="Z131" s="45"/>
      <c r="AA131" s="45"/>
      <c r="AB131" s="48" t="b">
        <f aca="false">TRUE()</f>
        <v>1</v>
      </c>
      <c r="AC131" s="0" t="n">
        <f aca="false">IF(L131="",0,IF(AB131=FALSE(),0,Y131))</f>
        <v>0</v>
      </c>
    </row>
    <row r="132" customFormat="false" ht="12.75" hidden="false" customHeight="true" outlineLevel="0" collapsed="false">
      <c r="A132" s="0" t="n">
        <f aca="false">(B132*$P$152+C132*$P$153+D132*$P$154+E132*$P$155+F132*$P$156+G132*$P$157+H132*$P$158+I132*$P$159+J132*$P$160+K132*$P$161)*$T$150</f>
        <v>0</v>
      </c>
      <c r="L132" s="45"/>
      <c r="M132" s="45"/>
      <c r="N132" s="46" t="s">
        <v>144</v>
      </c>
      <c r="O132" s="45"/>
      <c r="P132" s="45"/>
      <c r="Q132" s="45"/>
      <c r="R132" s="45"/>
      <c r="S132" s="45"/>
      <c r="T132" s="45"/>
      <c r="U132" s="45"/>
      <c r="V132" s="45"/>
      <c r="W132" s="45"/>
      <c r="X132" s="45" t="n">
        <f aca="false">COUNTIF($L$2:L132,"&lt;&gt;"&amp;"")</f>
        <v>15</v>
      </c>
      <c r="Y132" s="47" t="n">
        <f aca="false">SUMIF($X$2:$X$147,X132,$A$2:$A$147)</f>
        <v>8843744.21487603</v>
      </c>
      <c r="Z132" s="45"/>
      <c r="AA132" s="45"/>
      <c r="AB132" s="48" t="b">
        <f aca="false">TRUE()</f>
        <v>1</v>
      </c>
      <c r="AC132" s="0" t="n">
        <f aca="false">IF(L132="",0,IF(AB132=FALSE(),0,Y132))</f>
        <v>0</v>
      </c>
    </row>
    <row r="133" customFormat="false" ht="12.75" hidden="false" customHeight="true" outlineLevel="0" collapsed="false">
      <c r="A133" s="0" t="n">
        <f aca="false">(B133*$P$152+C133*$P$153+D133*$P$154+E133*$P$155+F133*$P$156+G133*$P$157+H133*$P$158+I133*$P$159+J133*$P$160+K133*$P$161)*$T$150</f>
        <v>383353.168044077</v>
      </c>
      <c r="B133" s="34" t="n">
        <v>0.5</v>
      </c>
      <c r="L133" s="45"/>
      <c r="M133" s="49" t="s">
        <v>145</v>
      </c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 t="n">
        <f aca="false">COUNTIF($L$2:L133,"&lt;&gt;"&amp;"")</f>
        <v>15</v>
      </c>
      <c r="Y133" s="47" t="n">
        <f aca="false">SUMIF($X$2:$X$147,X133,$A$2:$A$147)</f>
        <v>8843744.21487603</v>
      </c>
      <c r="Z133" s="45"/>
      <c r="AA133" s="45"/>
      <c r="AB133" s="48" t="b">
        <f aca="false">TRUE()</f>
        <v>1</v>
      </c>
      <c r="AC133" s="0" t="n">
        <f aca="false">IF(L133="",0,IF(AB133=FALSE(),0,Y133))</f>
        <v>0</v>
      </c>
    </row>
    <row r="134" customFormat="false" ht="12.75" hidden="false" customHeight="true" outlineLevel="0" collapsed="false">
      <c r="A134" s="0" t="n">
        <f aca="false">(B134*$P$152+C134*$P$153+D134*$P$154+E134*$P$155+F134*$P$156+G134*$P$157+H134*$P$158+I134*$P$159+J134*$P$160+K134*$P$161)*$T$150</f>
        <v>0</v>
      </c>
      <c r="L134" s="45"/>
      <c r="M134" s="45"/>
      <c r="N134" s="46" t="s">
        <v>146</v>
      </c>
      <c r="O134" s="45"/>
      <c r="P134" s="45"/>
      <c r="Q134" s="45"/>
      <c r="R134" s="45"/>
      <c r="S134" s="45"/>
      <c r="T134" s="45"/>
      <c r="U134" s="45"/>
      <c r="V134" s="45"/>
      <c r="W134" s="45"/>
      <c r="X134" s="45" t="n">
        <f aca="false">COUNTIF($L$2:L134,"&lt;&gt;"&amp;"")</f>
        <v>15</v>
      </c>
      <c r="Y134" s="47" t="n">
        <f aca="false">SUMIF($X$2:$X$147,X134,$A$2:$A$147)</f>
        <v>8843744.21487603</v>
      </c>
      <c r="Z134" s="45"/>
      <c r="AA134" s="45"/>
      <c r="AB134" s="48" t="b">
        <f aca="false">TRUE()</f>
        <v>1</v>
      </c>
      <c r="AC134" s="0" t="n">
        <f aca="false">IF(L134="",0,IF(AB134=FALSE(),0,Y134))</f>
        <v>0</v>
      </c>
    </row>
    <row r="135" customFormat="false" ht="12.75" hidden="false" customHeight="true" outlineLevel="0" collapsed="false">
      <c r="A135" s="0" t="n">
        <f aca="false">(B135*$P$152+C135*$P$153+D135*$P$154+E135*$P$155+F135*$P$156+G135*$P$157+H135*$P$158+I135*$P$159+J135*$P$160+K135*$P$161)*$T$150</f>
        <v>588015.426997245</v>
      </c>
      <c r="E135" s="34" t="n">
        <v>1</v>
      </c>
      <c r="L135" s="45"/>
      <c r="M135" s="49" t="s">
        <v>147</v>
      </c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 t="n">
        <f aca="false">COUNTIF($L$2:L135,"&lt;&gt;"&amp;"")</f>
        <v>15</v>
      </c>
      <c r="Y135" s="47" t="n">
        <f aca="false">SUMIF($X$2:$X$147,X135,$A$2:$A$147)</f>
        <v>8843744.21487603</v>
      </c>
      <c r="Z135" s="45"/>
      <c r="AA135" s="45"/>
      <c r="AB135" s="48" t="b">
        <f aca="false">TRUE()</f>
        <v>1</v>
      </c>
      <c r="AC135" s="0" t="n">
        <f aca="false">IF(L135="",0,IF(AB135=FALSE(),0,Y135))</f>
        <v>0</v>
      </c>
    </row>
    <row r="136" customFormat="false" ht="12.75" hidden="false" customHeight="true" outlineLevel="0" collapsed="false">
      <c r="A136" s="0" t="n">
        <f aca="false">(B136*$P$152+C136*$P$153+D136*$P$154+E136*$P$155+F136*$P$156+G136*$P$157+H136*$P$158+I136*$P$159+J136*$P$160+K136*$P$161)*$T$150</f>
        <v>0</v>
      </c>
      <c r="L136" s="45"/>
      <c r="M136" s="45"/>
      <c r="N136" s="46" t="s">
        <v>148</v>
      </c>
      <c r="O136" s="45"/>
      <c r="P136" s="45"/>
      <c r="Q136" s="45"/>
      <c r="R136" s="45"/>
      <c r="S136" s="45"/>
      <c r="T136" s="45"/>
      <c r="U136" s="45"/>
      <c r="V136" s="45"/>
      <c r="W136" s="45"/>
      <c r="X136" s="45" t="n">
        <f aca="false">COUNTIF($L$2:L136,"&lt;&gt;"&amp;"")</f>
        <v>15</v>
      </c>
      <c r="Y136" s="47" t="n">
        <f aca="false">SUMIF($X$2:$X$147,X136,$A$2:$A$147)</f>
        <v>8843744.21487603</v>
      </c>
      <c r="Z136" s="45"/>
      <c r="AA136" s="45"/>
      <c r="AB136" s="48" t="b">
        <f aca="false">TRUE()</f>
        <v>1</v>
      </c>
      <c r="AC136" s="0" t="n">
        <f aca="false">IF(L136="",0,IF(AB136=FALSE(),0,Y136))</f>
        <v>0</v>
      </c>
    </row>
    <row r="137" customFormat="false" ht="12.75" hidden="false" customHeight="true" outlineLevel="0" collapsed="false">
      <c r="A137" s="0" t="n">
        <f aca="false">(B137*$P$152+C137*$P$153+D137*$P$154+E137*$P$155+F137*$P$156+G137*$P$157+H137*$P$158+I137*$P$159+J137*$P$160+K137*$P$161)*$T$150</f>
        <v>383353.168044077</v>
      </c>
      <c r="B137" s="34" t="n">
        <v>0.5</v>
      </c>
      <c r="L137" s="45"/>
      <c r="M137" s="49" t="s">
        <v>149</v>
      </c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 t="n">
        <f aca="false">COUNTIF($L$2:L137,"&lt;&gt;"&amp;"")</f>
        <v>15</v>
      </c>
      <c r="Y137" s="47" t="n">
        <f aca="false">SUMIF($X$2:$X$147,X137,$A$2:$A$147)</f>
        <v>8843744.21487603</v>
      </c>
      <c r="Z137" s="45"/>
      <c r="AA137" s="45"/>
      <c r="AB137" s="48" t="b">
        <f aca="false">TRUE()</f>
        <v>1</v>
      </c>
      <c r="AC137" s="0" t="n">
        <f aca="false">IF(L137="",0,IF(AB137=FALSE(),0,Y137))</f>
        <v>0</v>
      </c>
    </row>
    <row r="138" customFormat="false" ht="12.75" hidden="false" customHeight="true" outlineLevel="0" collapsed="false">
      <c r="A138" s="0" t="n">
        <f aca="false">(B138*$P$152+C138*$P$153+D138*$P$154+E138*$P$155+F138*$P$156+G138*$P$157+H138*$P$158+I138*$P$159+J138*$P$160+K138*$P$161)*$T$150</f>
        <v>0</v>
      </c>
      <c r="L138" s="45"/>
      <c r="M138" s="45"/>
      <c r="N138" s="46" t="s">
        <v>150</v>
      </c>
      <c r="O138" s="45"/>
      <c r="P138" s="45"/>
      <c r="Q138" s="45"/>
      <c r="R138" s="45"/>
      <c r="S138" s="45"/>
      <c r="T138" s="45"/>
      <c r="U138" s="45"/>
      <c r="V138" s="45"/>
      <c r="W138" s="45"/>
      <c r="X138" s="45" t="n">
        <f aca="false">COUNTIF($L$2:L138,"&lt;&gt;"&amp;"")</f>
        <v>15</v>
      </c>
      <c r="Y138" s="47" t="n">
        <f aca="false">SUMIF($X$2:$X$147,X138,$A$2:$A$147)</f>
        <v>8843744.21487603</v>
      </c>
      <c r="Z138" s="45"/>
      <c r="AA138" s="45"/>
      <c r="AB138" s="48" t="b">
        <f aca="false">TRUE()</f>
        <v>1</v>
      </c>
      <c r="AC138" s="0" t="n">
        <f aca="false">IF(L138="",0,IF(AB138=FALSE(),0,Y138))</f>
        <v>0</v>
      </c>
    </row>
    <row r="139" customFormat="false" ht="15" hidden="false" customHeight="true" outlineLevel="0" collapsed="false">
      <c r="A139" s="0" t="n">
        <f aca="false">(B139*$P$152+C139*$P$153+D139*$P$154+E139*$P$155+F139*$P$156+G139*$P$157+H139*$P$158+I139*$P$159+J139*$P$160+K139*$P$161)*$T$150</f>
        <v>587363.457300276</v>
      </c>
      <c r="B139" s="34" t="n">
        <v>0.5</v>
      </c>
      <c r="G139" s="34" t="n">
        <v>0.5</v>
      </c>
      <c r="L139" s="45"/>
      <c r="M139" s="49" t="s">
        <v>151</v>
      </c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 t="n">
        <f aca="false">COUNTIF($L$2:L139,"&lt;&gt;"&amp;"")</f>
        <v>15</v>
      </c>
      <c r="Y139" s="47" t="n">
        <f aca="false">SUMIF($X$2:$X$147,X139,$A$2:$A$147)</f>
        <v>8843744.21487603</v>
      </c>
      <c r="Z139" s="45"/>
      <c r="AA139" s="45"/>
      <c r="AB139" s="48" t="b">
        <f aca="false">TRUE()</f>
        <v>1</v>
      </c>
      <c r="AC139" s="0" t="n">
        <f aca="false">IF(L139="",0,IF(AB139=FALSE(),0,Y139))</f>
        <v>0</v>
      </c>
    </row>
    <row r="140" customFormat="false" ht="12.75" hidden="false" customHeight="true" outlineLevel="0" collapsed="false">
      <c r="A140" s="0" t="n">
        <f aca="false">(B140*$P$152+C140*$P$153+D140*$P$154+E140*$P$155+F140*$P$156+G140*$P$157+H140*$P$158+I140*$P$159+J140*$P$160+K140*$P$161)*$T$150</f>
        <v>0</v>
      </c>
      <c r="L140" s="45"/>
      <c r="M140" s="45"/>
      <c r="N140" s="46" t="s">
        <v>152</v>
      </c>
      <c r="O140" s="45"/>
      <c r="P140" s="45"/>
      <c r="Q140" s="45"/>
      <c r="R140" s="45"/>
      <c r="S140" s="45"/>
      <c r="T140" s="45"/>
      <c r="U140" s="45"/>
      <c r="V140" s="45"/>
      <c r="W140" s="45"/>
      <c r="X140" s="45" t="n">
        <f aca="false">COUNTIF($L$2:L140,"&lt;&gt;"&amp;"")</f>
        <v>15</v>
      </c>
      <c r="Y140" s="47" t="n">
        <f aca="false">SUMIF($X$2:$X$147,X140,$A$2:$A$147)</f>
        <v>8843744.21487603</v>
      </c>
      <c r="Z140" s="45"/>
      <c r="AA140" s="45"/>
      <c r="AB140" s="48" t="b">
        <f aca="false">TRUE()</f>
        <v>1</v>
      </c>
      <c r="AC140" s="0" t="n">
        <f aca="false">IF(L140="",0,IF(AB140=FALSE(),0,Y140))</f>
        <v>0</v>
      </c>
    </row>
    <row r="141" customFormat="false" ht="12.75" hidden="false" customHeight="true" outlineLevel="0" collapsed="false">
      <c r="A141" s="0" t="n">
        <f aca="false">(B141*$P$152+C141*$P$153+D141*$P$154+E141*$P$155+F141*$P$156+G141*$P$157+H141*$P$158+I141*$P$159+J141*$P$160+K141*$P$161)*$T$150</f>
        <v>968782.741046832</v>
      </c>
      <c r="B141" s="34" t="n">
        <v>1</v>
      </c>
      <c r="H141" s="34" t="n">
        <v>0.5</v>
      </c>
      <c r="L141" s="45"/>
      <c r="M141" s="49" t="s">
        <v>153</v>
      </c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 t="n">
        <f aca="false">COUNTIF($L$2:L141,"&lt;&gt;"&amp;"")</f>
        <v>15</v>
      </c>
      <c r="Y141" s="47" t="n">
        <f aca="false">SUMIF($X$2:$X$147,X141,$A$2:$A$147)</f>
        <v>8843744.21487603</v>
      </c>
      <c r="Z141" s="45"/>
      <c r="AA141" s="45"/>
      <c r="AB141" s="48" t="b">
        <f aca="false">TRUE()</f>
        <v>1</v>
      </c>
      <c r="AC141" s="0" t="n">
        <f aca="false">IF(L141="",0,IF(AB141=FALSE(),0,Y141))</f>
        <v>0</v>
      </c>
    </row>
    <row r="142" customFormat="false" ht="12.75" hidden="false" customHeight="true" outlineLevel="0" collapsed="false">
      <c r="A142" s="0" t="n">
        <f aca="false">(B142*$P$152+C142*$P$153+D142*$P$154+E142*$P$155+F142*$P$156+G142*$P$157+H142*$P$158+I142*$P$159+J142*$P$160+K142*$P$161)*$T$150</f>
        <v>0</v>
      </c>
      <c r="L142" s="45"/>
      <c r="M142" s="45"/>
      <c r="N142" s="46" t="s">
        <v>154</v>
      </c>
      <c r="O142" s="45"/>
      <c r="P142" s="45"/>
      <c r="Q142" s="45"/>
      <c r="R142" s="45"/>
      <c r="S142" s="45"/>
      <c r="T142" s="45"/>
      <c r="U142" s="45"/>
      <c r="V142" s="45"/>
      <c r="W142" s="45"/>
      <c r="X142" s="45" t="n">
        <f aca="false">COUNTIF($L$2:L142,"&lt;&gt;"&amp;"")</f>
        <v>15</v>
      </c>
      <c r="Y142" s="47" t="n">
        <f aca="false">SUMIF($X$2:$X$147,X142,$A$2:$A$147)</f>
        <v>8843744.21487603</v>
      </c>
      <c r="Z142" s="45"/>
      <c r="AA142" s="45"/>
      <c r="AB142" s="48" t="b">
        <f aca="false">TRUE()</f>
        <v>1</v>
      </c>
      <c r="AC142" s="0" t="n">
        <f aca="false">IF(L142="",0,IF(AB142=FALSE(),0,Y142))</f>
        <v>0</v>
      </c>
    </row>
    <row r="143" customFormat="false" ht="12.75" hidden="false" customHeight="true" outlineLevel="0" collapsed="false">
      <c r="A143" s="0" t="n">
        <f aca="false">(B143*$P$152+C143*$P$153+D143*$P$154+E143*$P$155+F143*$P$156+G143*$P$157+H143*$P$158+I143*$P$159+J143*$P$160+K143*$P$161)*$T$150</f>
        <v>209908.636363636</v>
      </c>
      <c r="C143" s="34" t="n">
        <v>0.5</v>
      </c>
      <c r="L143" s="45"/>
      <c r="M143" s="49" t="s">
        <v>155</v>
      </c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 t="n">
        <f aca="false">COUNTIF($L$2:L143,"&lt;&gt;"&amp;"")</f>
        <v>15</v>
      </c>
      <c r="Y143" s="47" t="n">
        <f aca="false">SUMIF($X$2:$X$147,X143,$A$2:$A$147)</f>
        <v>8843744.21487603</v>
      </c>
      <c r="Z143" s="45"/>
      <c r="AA143" s="45"/>
      <c r="AB143" s="48" t="b">
        <f aca="false">TRUE()</f>
        <v>1</v>
      </c>
      <c r="AC143" s="0" t="n">
        <f aca="false">IF(L143="",0,IF(AB143=FALSE(),0,Y143))</f>
        <v>0</v>
      </c>
    </row>
    <row r="144" customFormat="false" ht="12.75" hidden="false" customHeight="true" outlineLevel="0" collapsed="false">
      <c r="A144" s="0" t="n">
        <f aca="false">(B144*$P$152+C144*$P$153+D144*$P$154+E144*$P$155+F144*$P$156+G144*$P$157+H144*$P$158+I144*$P$159+J144*$P$160+K144*$P$161)*$T$150</f>
        <v>0</v>
      </c>
      <c r="L144" s="45"/>
      <c r="M144" s="45"/>
      <c r="N144" s="46" t="s">
        <v>156</v>
      </c>
      <c r="O144" s="45"/>
      <c r="P144" s="45"/>
      <c r="Q144" s="45"/>
      <c r="R144" s="45"/>
      <c r="S144" s="45"/>
      <c r="T144" s="45"/>
      <c r="U144" s="45"/>
      <c r="V144" s="45"/>
      <c r="W144" s="45"/>
      <c r="X144" s="45" t="n">
        <f aca="false">COUNTIF($L$2:L144,"&lt;&gt;"&amp;"")</f>
        <v>15</v>
      </c>
      <c r="Y144" s="47" t="n">
        <f aca="false">SUMIF($X$2:$X$147,X144,$A$2:$A$147)</f>
        <v>8843744.21487603</v>
      </c>
      <c r="Z144" s="45"/>
      <c r="AA144" s="45"/>
      <c r="AB144" s="48" t="b">
        <f aca="false">TRUE()</f>
        <v>1</v>
      </c>
      <c r="AC144" s="0" t="n">
        <f aca="false">IF(L144="",0,IF(AB144=FALSE(),0,Y144))</f>
        <v>0</v>
      </c>
    </row>
    <row r="145" customFormat="false" ht="12.75" hidden="false" customHeight="true" outlineLevel="0" collapsed="false">
      <c r="A145" s="0" t="n">
        <f aca="false">(B145*$P$152+C145*$P$153+D145*$P$154+E145*$P$155+F145*$P$156+G145*$P$157+H145*$P$158+I145*$P$159+J145*$P$160+K145*$P$161)*$T$150</f>
        <v>202076.404958678</v>
      </c>
      <c r="H145" s="34" t="n">
        <v>0.5</v>
      </c>
      <c r="L145" s="45"/>
      <c r="M145" s="49" t="s">
        <v>157</v>
      </c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 t="n">
        <f aca="false">COUNTIF($L$2:L145,"&lt;&gt;"&amp;"")</f>
        <v>15</v>
      </c>
      <c r="Y145" s="47" t="n">
        <f aca="false">SUMIF($X$2:$X$147,X145,$A$2:$A$147)</f>
        <v>8843744.21487603</v>
      </c>
      <c r="Z145" s="45"/>
      <c r="AA145" s="45"/>
      <c r="AB145" s="48" t="b">
        <f aca="false">TRUE()</f>
        <v>1</v>
      </c>
      <c r="AC145" s="0" t="n">
        <f aca="false">IF(L145="",0,IF(AB145=FALSE(),0,Y145))</f>
        <v>0</v>
      </c>
    </row>
    <row r="146" customFormat="false" ht="12.75" hidden="false" customHeight="true" outlineLevel="0" collapsed="false">
      <c r="A146" s="0" t="n">
        <f aca="false">(B146*$P$152+C146*$P$153+D146*$P$154+E146*$P$155+F146*$P$156+G146*$P$157+H146*$P$158+I146*$P$159+J146*$P$160+K146*$P$161)*$T$150</f>
        <v>0</v>
      </c>
      <c r="L146" s="45"/>
      <c r="M146" s="45"/>
      <c r="N146" s="46" t="s">
        <v>158</v>
      </c>
      <c r="O146" s="45"/>
      <c r="P146" s="45"/>
      <c r="Q146" s="45"/>
      <c r="R146" s="45"/>
      <c r="S146" s="45"/>
      <c r="T146" s="45"/>
      <c r="U146" s="45"/>
      <c r="V146" s="45"/>
      <c r="W146" s="45"/>
      <c r="X146" s="45" t="n">
        <f aca="false">COUNTIF($L$2:L146,"&lt;&gt;"&amp;"")</f>
        <v>15</v>
      </c>
      <c r="Y146" s="47" t="n">
        <f aca="false">SUMIF($X$2:$X$147,X146,$A$2:$A$147)</f>
        <v>8843744.21487603</v>
      </c>
      <c r="Z146" s="45"/>
      <c r="AA146" s="45"/>
      <c r="AB146" s="48" t="b">
        <f aca="false">TRUE()</f>
        <v>1</v>
      </c>
      <c r="AC146" s="0" t="n">
        <f aca="false">IF(L146="",0,IF(AB146=FALSE(),0,Y146))</f>
        <v>0</v>
      </c>
    </row>
    <row r="147" customFormat="false" ht="12.75" hidden="false" customHeight="true" outlineLevel="0" collapsed="false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1"/>
      <c r="M147" s="51"/>
      <c r="N147" s="52"/>
      <c r="O147" s="52" t="s">
        <v>159</v>
      </c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14"/>
      <c r="AE147" s="14"/>
    </row>
    <row r="148" customFormat="false" ht="12.75" hidden="false" customHeight="true" outlineLevel="0" collapsed="false">
      <c r="A148" s="53" t="n">
        <f aca="false">ROW()</f>
        <v>148</v>
      </c>
      <c r="B148" s="14" t="n">
        <f aca="false">SUM(B2:B147)</f>
        <v>15</v>
      </c>
      <c r="C148" s="14" t="n">
        <f aca="false">SUM(C2:C147)</f>
        <v>13</v>
      </c>
      <c r="D148" s="14" t="n">
        <f aca="false">SUM(D2:D147)</f>
        <v>52</v>
      </c>
      <c r="E148" s="14" t="n">
        <f aca="false">SUM(E2:E147)</f>
        <v>94.5</v>
      </c>
      <c r="F148" s="14" t="n">
        <f aca="false">SUM(F2:F147)</f>
        <v>0</v>
      </c>
      <c r="G148" s="14" t="n">
        <f aca="false">SUM(G2:G147)</f>
        <v>39</v>
      </c>
      <c r="H148" s="14" t="n">
        <f aca="false">SUM(H2:H147)</f>
        <v>7</v>
      </c>
      <c r="I148" s="14" t="n">
        <f aca="false">SUM(I2:I147)</f>
        <v>0</v>
      </c>
      <c r="J148" s="14" t="n">
        <f aca="false">SUM(J2:J147)</f>
        <v>0</v>
      </c>
      <c r="K148" s="14" t="n">
        <f aca="false">SUM(K2:K147)</f>
        <v>0.5</v>
      </c>
      <c r="L148" s="26"/>
      <c r="M148" s="17"/>
      <c r="N148" s="17"/>
      <c r="O148" s="17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54"/>
      <c r="AD148" s="14"/>
      <c r="AE148" s="14"/>
    </row>
    <row r="149" customFormat="false" ht="12.75" hidden="false" customHeight="true" outlineLevel="0" collapsed="false">
      <c r="A149" s="14"/>
      <c r="B149" s="14"/>
      <c r="C149" s="55"/>
      <c r="D149" s="55"/>
      <c r="E149" s="55"/>
      <c r="F149" s="55"/>
      <c r="G149" s="55"/>
      <c r="H149" s="55"/>
      <c r="I149" s="56" t="s">
        <v>160</v>
      </c>
      <c r="J149" s="56"/>
      <c r="K149" s="56"/>
      <c r="L149" s="56"/>
      <c r="M149" s="57" t="n">
        <f aca="false">400000+120000</f>
        <v>520000</v>
      </c>
      <c r="N149" s="57"/>
      <c r="O149" s="57"/>
      <c r="P149" s="14"/>
      <c r="Q149" s="14"/>
      <c r="R149" s="14"/>
      <c r="S149" s="55"/>
      <c r="T149" s="55"/>
      <c r="U149" s="55"/>
      <c r="V149" s="14"/>
      <c r="W149" s="14"/>
      <c r="X149" s="14"/>
      <c r="Y149" s="14" t="n">
        <f aca="false">Y1/0.6</f>
        <v>188878825.550964</v>
      </c>
      <c r="Z149" s="14"/>
      <c r="AA149" s="14"/>
      <c r="AB149" s="14"/>
      <c r="AC149" s="54"/>
      <c r="AD149" s="14"/>
      <c r="AE149" s="14"/>
    </row>
    <row r="150" customFormat="false" ht="12.75" hidden="false" customHeight="true" outlineLevel="0" collapsed="false">
      <c r="A150" s="14"/>
      <c r="B150" s="14"/>
      <c r="C150" s="55"/>
      <c r="D150" s="58" t="s">
        <v>161</v>
      </c>
      <c r="E150" s="59" t="n">
        <v>1750905</v>
      </c>
      <c r="F150" s="60" t="s">
        <v>162</v>
      </c>
      <c r="G150" s="61" t="n">
        <v>249095</v>
      </c>
      <c r="H150" s="55"/>
      <c r="I150" s="62" t="s">
        <v>163</v>
      </c>
      <c r="J150" s="63" t="n">
        <v>0.18</v>
      </c>
      <c r="K150" s="63"/>
      <c r="L150" s="64" t="s">
        <v>164</v>
      </c>
      <c r="M150" s="65" t="n">
        <f aca="false">2.7/12</f>
        <v>0.225</v>
      </c>
      <c r="N150" s="66" t="s">
        <v>165</v>
      </c>
      <c r="O150" s="67" t="n">
        <f aca="false">40*4.2*((244-2)/260)</f>
        <v>156.369230769231</v>
      </c>
      <c r="P150" s="55"/>
      <c r="Q150" s="62" t="s">
        <v>166</v>
      </c>
      <c r="R150" s="68" t="n">
        <v>0.4</v>
      </c>
      <c r="S150" s="55"/>
      <c r="T150" s="69" t="n">
        <v>8</v>
      </c>
      <c r="U150" s="70" t="s">
        <v>167</v>
      </c>
      <c r="V150" s="71"/>
      <c r="W150" s="14"/>
      <c r="X150" s="14"/>
      <c r="Y150" s="14"/>
      <c r="Z150" s="14"/>
      <c r="AA150" s="14"/>
      <c r="AB150" s="14"/>
      <c r="AC150" s="54"/>
      <c r="AD150" s="14"/>
      <c r="AE150" s="14"/>
    </row>
    <row r="151" customFormat="false" ht="12.75" hidden="false" customHeight="true" outlineLevel="0" collapsed="false">
      <c r="A151" s="14"/>
      <c r="B151" s="14"/>
      <c r="C151" s="72" t="s">
        <v>168</v>
      </c>
      <c r="D151" s="72"/>
      <c r="E151" s="72"/>
      <c r="F151" s="72" t="s">
        <v>169</v>
      </c>
      <c r="G151" s="72"/>
      <c r="H151" s="72"/>
      <c r="I151" s="72" t="s">
        <v>170</v>
      </c>
      <c r="J151" s="72"/>
      <c r="K151" s="72"/>
      <c r="L151" s="72"/>
      <c r="M151" s="72" t="s">
        <v>171</v>
      </c>
      <c r="N151" s="72"/>
      <c r="O151" s="72"/>
      <c r="P151" s="72" t="s">
        <v>172</v>
      </c>
      <c r="Q151" s="72"/>
      <c r="R151" s="72"/>
      <c r="S151" s="55"/>
      <c r="T151" s="55"/>
      <c r="U151" s="73" t="s">
        <v>165</v>
      </c>
      <c r="V151" s="72" t="s">
        <v>173</v>
      </c>
      <c r="W151" s="72"/>
      <c r="X151" s="72"/>
      <c r="Y151" s="14"/>
      <c r="Z151" s="14"/>
      <c r="AA151" s="14"/>
      <c r="AB151" s="14"/>
      <c r="AC151" s="54"/>
      <c r="AD151" s="14"/>
      <c r="AE151" s="14"/>
    </row>
    <row r="152" customFormat="false" ht="12.75" hidden="false" customHeight="true" outlineLevel="0" collapsed="false">
      <c r="A152" s="28" t="s">
        <v>174</v>
      </c>
      <c r="B152" s="73" t="str">
        <f aca="false">B1</f>
        <v>DB</v>
      </c>
      <c r="C152" s="74" t="n">
        <v>6480000</v>
      </c>
      <c r="D152" s="74"/>
      <c r="E152" s="74"/>
      <c r="F152" s="74" t="n">
        <v>1080000</v>
      </c>
      <c r="G152" s="74"/>
      <c r="H152" s="74"/>
      <c r="I152" s="74" t="n">
        <v>0</v>
      </c>
      <c r="J152" s="74"/>
      <c r="K152" s="74"/>
      <c r="L152" s="74"/>
      <c r="M152" s="74" t="n">
        <f aca="false">C152*(1+$J$150+$M$150)+F152+I152+$M$149+IF(($E$150*2)&gt;=C152,$G$150,0)</f>
        <v>10704400</v>
      </c>
      <c r="N152" s="74"/>
      <c r="O152" s="74"/>
      <c r="P152" s="75" t="n">
        <f aca="false">M152/$O$150*(1+$R$150)</f>
        <v>95838.2920110193</v>
      </c>
      <c r="Q152" s="75"/>
      <c r="R152" s="75"/>
      <c r="S152" s="55"/>
      <c r="T152" s="55"/>
      <c r="U152" s="14" t="n">
        <f aca="false">HLOOKUP(B152,$B$1:$K$148,$A$148,0)*$T$150</f>
        <v>120</v>
      </c>
      <c r="W152" s="76" t="n">
        <f aca="false">P152*U152</f>
        <v>11500595.0413223</v>
      </c>
      <c r="Y152" s="14"/>
      <c r="Z152" s="14"/>
      <c r="AA152" s="14"/>
      <c r="AB152" s="14"/>
      <c r="AC152" s="54"/>
      <c r="AD152" s="14"/>
      <c r="AE152" s="14"/>
    </row>
    <row r="153" customFormat="false" ht="12.75" hidden="false" customHeight="true" outlineLevel="0" collapsed="false">
      <c r="A153" s="28" t="s">
        <v>175</v>
      </c>
      <c r="B153" s="73" t="str">
        <f aca="false">C1</f>
        <v>UX</v>
      </c>
      <c r="C153" s="74" t="n">
        <v>3240000</v>
      </c>
      <c r="D153" s="74"/>
      <c r="E153" s="74"/>
      <c r="F153" s="74" t="n">
        <v>540000</v>
      </c>
      <c r="G153" s="74"/>
      <c r="H153" s="74"/>
      <c r="I153" s="74" t="n">
        <v>0</v>
      </c>
      <c r="J153" s="74"/>
      <c r="K153" s="74"/>
      <c r="L153" s="74"/>
      <c r="M153" s="74" t="n">
        <f aca="false">C153*(1+$J$150+$M$150)+F153+I153+$M$149+IF(($E$150*2)&gt;=C153,$G$150,0)</f>
        <v>5861295</v>
      </c>
      <c r="N153" s="74"/>
      <c r="O153" s="74"/>
      <c r="P153" s="75" t="n">
        <f aca="false">M153/$O$150*(1+$R$150)</f>
        <v>52477.1590909091</v>
      </c>
      <c r="Q153" s="75"/>
      <c r="R153" s="75"/>
      <c r="S153" s="55"/>
      <c r="T153" s="55"/>
      <c r="U153" s="14" t="n">
        <f aca="false">HLOOKUP(B153,$B$1:$K$148,$A$148,0)*$T$150</f>
        <v>104</v>
      </c>
      <c r="W153" s="76" t="n">
        <f aca="false">P153*U153</f>
        <v>5457624.54545455</v>
      </c>
      <c r="Y153" s="14"/>
      <c r="Z153" s="14"/>
      <c r="AA153" s="14"/>
      <c r="AB153" s="14"/>
      <c r="AC153" s="54"/>
      <c r="AD153" s="14"/>
      <c r="AE153" s="14"/>
    </row>
    <row r="154" customFormat="false" ht="12.75" hidden="false" customHeight="true" outlineLevel="0" collapsed="false">
      <c r="A154" s="28" t="s">
        <v>176</v>
      </c>
      <c r="B154" s="73" t="str">
        <f aca="false">D1</f>
        <v>FM</v>
      </c>
      <c r="C154" s="74" t="n">
        <v>3240000</v>
      </c>
      <c r="D154" s="74"/>
      <c r="E154" s="74"/>
      <c r="F154" s="74" t="n">
        <v>540000</v>
      </c>
      <c r="G154" s="74"/>
      <c r="H154" s="74"/>
      <c r="I154" s="74" t="n">
        <v>0</v>
      </c>
      <c r="J154" s="74"/>
      <c r="K154" s="74"/>
      <c r="L154" s="74"/>
      <c r="M154" s="74" t="n">
        <f aca="false">C154*(1+$J$150+$M$150)+F154+I154+$M$149+IF(($E$150*2)&gt;=C154,$G$150,0)</f>
        <v>5861295</v>
      </c>
      <c r="N154" s="74"/>
      <c r="O154" s="74"/>
      <c r="P154" s="75" t="n">
        <f aca="false">M154/$O$150*(1+$R$150)</f>
        <v>52477.1590909091</v>
      </c>
      <c r="Q154" s="75"/>
      <c r="R154" s="75"/>
      <c r="S154" s="55"/>
      <c r="T154" s="55"/>
      <c r="U154" s="14" t="n">
        <f aca="false">HLOOKUP(B154,$B$1:$K$148,$A$148,0)*$T$150</f>
        <v>416</v>
      </c>
      <c r="W154" s="76" t="n">
        <f aca="false">P154*U154</f>
        <v>21830498.1818182</v>
      </c>
      <c r="Y154" s="14"/>
      <c r="Z154" s="14"/>
      <c r="AA154" s="14"/>
      <c r="AB154" s="14"/>
      <c r="AC154" s="54"/>
      <c r="AD154" s="14"/>
      <c r="AE154" s="14"/>
    </row>
    <row r="155" customFormat="false" ht="12.75" hidden="false" customHeight="true" outlineLevel="0" collapsed="false">
      <c r="A155" s="28" t="s">
        <v>177</v>
      </c>
      <c r="B155" s="73" t="str">
        <f aca="false">E1</f>
        <v>BS</v>
      </c>
      <c r="C155" s="74" t="n">
        <v>4320000</v>
      </c>
      <c r="D155" s="74"/>
      <c r="E155" s="74"/>
      <c r="F155" s="74" t="n">
        <v>1620000</v>
      </c>
      <c r="G155" s="74"/>
      <c r="H155" s="74"/>
      <c r="I155" s="74" t="n">
        <v>0</v>
      </c>
      <c r="J155" s="74"/>
      <c r="K155" s="74"/>
      <c r="L155" s="74"/>
      <c r="M155" s="74" t="n">
        <f aca="false">C155*(1+$J$150+$M$150)+F155+I155+$M$149+IF(($E$150*2)&gt;=C155,$G$150,0)</f>
        <v>8209600</v>
      </c>
      <c r="N155" s="74"/>
      <c r="O155" s="74"/>
      <c r="P155" s="75" t="n">
        <f aca="false">M155/$O$150*(1+$R$150)</f>
        <v>73501.9283746557</v>
      </c>
      <c r="Q155" s="75"/>
      <c r="R155" s="75"/>
      <c r="S155" s="55"/>
      <c r="T155" s="55"/>
      <c r="U155" s="14" t="n">
        <f aca="false">HLOOKUP(B155,$B$1:$K$148,$A$148,0)*$T$150</f>
        <v>756</v>
      </c>
      <c r="W155" s="76" t="n">
        <f aca="false">P155*U155</f>
        <v>55567457.8512397</v>
      </c>
      <c r="Y155" s="14"/>
      <c r="Z155" s="14"/>
      <c r="AA155" s="14"/>
      <c r="AB155" s="14"/>
      <c r="AC155" s="54"/>
      <c r="AD155" s="14"/>
      <c r="AE155" s="14"/>
    </row>
    <row r="156" customFormat="false" ht="12.75" hidden="false" customHeight="true" outlineLevel="0" collapsed="false">
      <c r="A156" s="28" t="s">
        <v>178</v>
      </c>
      <c r="B156" s="73" t="str">
        <f aca="false">F1</f>
        <v>BM</v>
      </c>
      <c r="C156" s="74" t="n">
        <v>3780000</v>
      </c>
      <c r="D156" s="74"/>
      <c r="E156" s="74"/>
      <c r="F156" s="74" t="n">
        <v>1080000</v>
      </c>
      <c r="G156" s="74"/>
      <c r="H156" s="74"/>
      <c r="I156" s="74" t="n">
        <v>0</v>
      </c>
      <c r="J156" s="74"/>
      <c r="K156" s="74"/>
      <c r="L156" s="74"/>
      <c r="M156" s="74" t="n">
        <f aca="false">C156*(1+$J$150+$M$150)+F156+I156+$M$149+IF(($E$150*2)&gt;=C156,$G$150,0)</f>
        <v>6910900</v>
      </c>
      <c r="N156" s="74"/>
      <c r="O156" s="74"/>
      <c r="P156" s="75" t="n">
        <f aca="false">M156/$O$150*(1+$R$150)</f>
        <v>61874.4490358127</v>
      </c>
      <c r="Q156" s="75"/>
      <c r="R156" s="75"/>
      <c r="S156" s="55"/>
      <c r="T156" s="55"/>
      <c r="U156" s="14" t="n">
        <f aca="false">HLOOKUP(B156,$B$1:$K$148,$A$148,0)*$T$150</f>
        <v>0</v>
      </c>
      <c r="W156" s="76" t="n">
        <f aca="false">P156*U156</f>
        <v>0</v>
      </c>
      <c r="Y156" s="14"/>
      <c r="Z156" s="14"/>
      <c r="AA156" s="14"/>
      <c r="AB156" s="14"/>
      <c r="AC156" s="54"/>
      <c r="AD156" s="14"/>
      <c r="AE156" s="14"/>
    </row>
    <row r="157" customFormat="false" ht="12.75" hidden="false" customHeight="true" outlineLevel="0" collapsed="false">
      <c r="A157" s="28" t="s">
        <v>179</v>
      </c>
      <c r="B157" s="73" t="str">
        <f aca="false">G1</f>
        <v>QA</v>
      </c>
      <c r="C157" s="74" t="n">
        <v>2700000</v>
      </c>
      <c r="D157" s="74"/>
      <c r="E157" s="74"/>
      <c r="F157" s="74" t="n">
        <v>1080000</v>
      </c>
      <c r="G157" s="74"/>
      <c r="H157" s="74"/>
      <c r="I157" s="74" t="n">
        <v>54000</v>
      </c>
      <c r="J157" s="74"/>
      <c r="K157" s="74"/>
      <c r="L157" s="74"/>
      <c r="M157" s="74" t="n">
        <f aca="false">C157*(1+$J$150+$M$150)+F157+I157+$M$149+IF(($E$150*2)&gt;=C157,$G$150,0)</f>
        <v>5696595</v>
      </c>
      <c r="N157" s="74"/>
      <c r="O157" s="74"/>
      <c r="P157" s="75" t="n">
        <f aca="false">M157/$O$150*(1+$R$150)</f>
        <v>51002.5723140496</v>
      </c>
      <c r="Q157" s="75"/>
      <c r="R157" s="75"/>
      <c r="S157" s="55"/>
      <c r="T157" s="55"/>
      <c r="U157" s="14" t="n">
        <f aca="false">HLOOKUP(B157,$B$1:$K$148,$A$148,0)*$T$150</f>
        <v>312</v>
      </c>
      <c r="W157" s="76" t="n">
        <f aca="false">P157*U157</f>
        <v>15912802.5619835</v>
      </c>
      <c r="Y157" s="14"/>
      <c r="Z157" s="14"/>
      <c r="AA157" s="14"/>
      <c r="AB157" s="14"/>
      <c r="AC157" s="54"/>
      <c r="AD157" s="14"/>
      <c r="AE157" s="14"/>
    </row>
    <row r="158" customFormat="false" ht="12.75" hidden="false" customHeight="true" outlineLevel="0" collapsed="false">
      <c r="A158" s="28" t="s">
        <v>180</v>
      </c>
      <c r="B158" s="73" t="str">
        <f aca="false">H1</f>
        <v>IM</v>
      </c>
      <c r="C158" s="74" t="n">
        <v>2700000</v>
      </c>
      <c r="D158" s="74"/>
      <c r="E158" s="74"/>
      <c r="F158" s="74" t="n">
        <v>1080000</v>
      </c>
      <c r="G158" s="74"/>
      <c r="H158" s="74"/>
      <c r="I158" s="74" t="n">
        <v>0</v>
      </c>
      <c r="J158" s="74"/>
      <c r="K158" s="74"/>
      <c r="L158" s="74"/>
      <c r="M158" s="74" t="n">
        <f aca="false">C158*(1+$J$150+$M$150)+F158+I158+$M$149+IF(($E$150*2)&gt;=C158,$G$150,0)</f>
        <v>5642595</v>
      </c>
      <c r="N158" s="74"/>
      <c r="O158" s="74"/>
      <c r="P158" s="75" t="n">
        <f aca="false">M158/$O$150*(1+$R$150)</f>
        <v>50519.1012396694</v>
      </c>
      <c r="Q158" s="75"/>
      <c r="R158" s="75"/>
      <c r="S158" s="55"/>
      <c r="T158" s="55"/>
      <c r="U158" s="14" t="n">
        <f aca="false">HLOOKUP(B158,$B$1:$K$148,$A$148,0)*$T$150</f>
        <v>56</v>
      </c>
      <c r="W158" s="76" t="n">
        <f aca="false">P158*U158</f>
        <v>2829069.66942149</v>
      </c>
      <c r="Y158" s="14"/>
      <c r="Z158" s="14"/>
      <c r="AA158" s="14"/>
      <c r="AB158" s="14"/>
      <c r="AC158" s="54"/>
      <c r="AD158" s="14"/>
      <c r="AE158" s="14"/>
    </row>
    <row r="159" customFormat="false" ht="12.75" hidden="false" customHeight="true" outlineLevel="0" collapsed="false">
      <c r="A159" s="28" t="s">
        <v>181</v>
      </c>
      <c r="B159" s="73" t="str">
        <f aca="false">I1</f>
        <v>MS</v>
      </c>
      <c r="C159" s="74" t="n">
        <v>8100000</v>
      </c>
      <c r="D159" s="74"/>
      <c r="E159" s="74"/>
      <c r="F159" s="74" t="n">
        <v>2160000</v>
      </c>
      <c r="G159" s="74"/>
      <c r="H159" s="74"/>
      <c r="I159" s="74" t="n">
        <v>132000</v>
      </c>
      <c r="J159" s="74"/>
      <c r="K159" s="74"/>
      <c r="L159" s="74"/>
      <c r="M159" s="74" t="n">
        <f aca="false">C159*(1+$J$150+$M$150)+F159+I159+$M$149+IF(($E$150*2)&gt;=C159,$G$150,0)</f>
        <v>14192500</v>
      </c>
      <c r="N159" s="74"/>
      <c r="O159" s="74"/>
      <c r="P159" s="75" t="n">
        <f aca="false">M159/$O$150*(1+$R$150)</f>
        <v>127067.837465565</v>
      </c>
      <c r="Q159" s="75"/>
      <c r="R159" s="75"/>
      <c r="S159" s="55"/>
      <c r="T159" s="55"/>
      <c r="U159" s="14" t="n">
        <f aca="false">HLOOKUP(B159,$B$1:$K$148,$A$148,0)*$T$150</f>
        <v>0</v>
      </c>
      <c r="W159" s="76" t="n">
        <f aca="false">P159*U159</f>
        <v>0</v>
      </c>
      <c r="Y159" s="14"/>
      <c r="Z159" s="14"/>
      <c r="AA159" s="14"/>
      <c r="AB159" s="14"/>
      <c r="AC159" s="54"/>
      <c r="AD159" s="14"/>
      <c r="AE159" s="14"/>
    </row>
    <row r="160" customFormat="false" ht="12.75" hidden="false" customHeight="true" outlineLevel="0" collapsed="false">
      <c r="A160" s="28" t="s">
        <v>182</v>
      </c>
      <c r="B160" s="73" t="str">
        <f aca="false">J1</f>
        <v>MM</v>
      </c>
      <c r="C160" s="74" t="n">
        <v>3240000</v>
      </c>
      <c r="D160" s="74"/>
      <c r="E160" s="74"/>
      <c r="F160" s="74" t="n">
        <v>1080000</v>
      </c>
      <c r="G160" s="74"/>
      <c r="H160" s="74"/>
      <c r="I160" s="74" t="n">
        <v>132000</v>
      </c>
      <c r="J160" s="74"/>
      <c r="K160" s="74"/>
      <c r="L160" s="74"/>
      <c r="M160" s="74" t="n">
        <f aca="false">C160*(1+$J$150+$M$150)+F160+I160+$M$149+IF(($E$150*2)&gt;=C160,$G$150,0)</f>
        <v>6533295</v>
      </c>
      <c r="N160" s="74"/>
      <c r="O160" s="74"/>
      <c r="P160" s="75" t="n">
        <f aca="false">M160/$O$150*(1+$R$150)</f>
        <v>58493.6880165289</v>
      </c>
      <c r="Q160" s="75"/>
      <c r="R160" s="75"/>
      <c r="S160" s="55"/>
      <c r="T160" s="55"/>
      <c r="U160" s="14" t="n">
        <f aca="false">HLOOKUP(B160,$B$1:$K$148,$A$148,0)*$T$150</f>
        <v>0</v>
      </c>
      <c r="W160" s="76" t="n">
        <f aca="false">P160*U160</f>
        <v>0</v>
      </c>
      <c r="Y160" s="14"/>
      <c r="Z160" s="14"/>
      <c r="AA160" s="14"/>
      <c r="AB160" s="14"/>
      <c r="AC160" s="54"/>
      <c r="AD160" s="14"/>
      <c r="AE160" s="14"/>
    </row>
    <row r="161" customFormat="false" ht="12.75" hidden="false" customHeight="true" outlineLevel="0" collapsed="false">
      <c r="A161" s="28" t="s">
        <v>183</v>
      </c>
      <c r="B161" s="73" t="s">
        <v>10</v>
      </c>
      <c r="C161" s="74" t="n">
        <v>3240000</v>
      </c>
      <c r="D161" s="74"/>
      <c r="E161" s="74"/>
      <c r="F161" s="74" t="n">
        <v>1080000</v>
      </c>
      <c r="G161" s="74"/>
      <c r="H161" s="74"/>
      <c r="I161" s="74"/>
      <c r="J161" s="74"/>
      <c r="K161" s="74"/>
      <c r="L161" s="74"/>
      <c r="M161" s="74" t="n">
        <f aca="false">C161*(1+$J$150+$M$150)+F161+I161+$M$149+IF(($E$150*2)&gt;=C161,$G$150,0)</f>
        <v>6401295</v>
      </c>
      <c r="N161" s="74"/>
      <c r="O161" s="74"/>
      <c r="P161" s="75" t="n">
        <f aca="false">M161/$O$150*(1+$R$150)</f>
        <v>57311.8698347107</v>
      </c>
      <c r="Q161" s="75"/>
      <c r="R161" s="75"/>
      <c r="S161" s="55"/>
      <c r="T161" s="55"/>
      <c r="U161" s="14" t="n">
        <f aca="false">HLOOKUP(B161,$B$1:$K$148,$A$148,0)*$T$150</f>
        <v>4</v>
      </c>
      <c r="W161" s="76" t="n">
        <f aca="false">P161*U161</f>
        <v>229247.479338843</v>
      </c>
      <c r="Y161" s="14"/>
      <c r="Z161" s="14"/>
      <c r="AA161" s="14"/>
      <c r="AB161" s="14"/>
      <c r="AC161" s="54"/>
      <c r="AD161" s="14"/>
      <c r="AE161" s="14"/>
    </row>
    <row r="162" customFormat="false" ht="12.75" hidden="false" customHeight="true" outlineLevel="0" collapsed="false">
      <c r="A162" s="28"/>
      <c r="B162" s="73"/>
      <c r="C162" s="55"/>
      <c r="D162" s="55"/>
      <c r="E162" s="55"/>
      <c r="F162" s="55"/>
      <c r="G162" s="55"/>
      <c r="H162" s="55"/>
      <c r="I162" s="14"/>
      <c r="J162" s="14"/>
      <c r="K162" s="14"/>
      <c r="L162" s="14"/>
      <c r="M162" s="14"/>
      <c r="N162" s="14"/>
      <c r="O162" s="14"/>
      <c r="P162" s="77" t="n">
        <f aca="false">SUM(P152:P161)</f>
        <v>680564.056473829</v>
      </c>
      <c r="Q162" s="77"/>
      <c r="R162" s="77"/>
      <c r="S162" s="55"/>
      <c r="T162" s="55"/>
      <c r="U162" s="55"/>
      <c r="W162" s="78" t="n">
        <f aca="false">SUM(W152:W161)</f>
        <v>113327295.330579</v>
      </c>
      <c r="Y162" s="14"/>
      <c r="Z162" s="14"/>
      <c r="AA162" s="14"/>
      <c r="AB162" s="14"/>
      <c r="AC162" s="54"/>
      <c r="AD162" s="14"/>
      <c r="AE162" s="14"/>
    </row>
    <row r="163" customFormat="false" ht="12.75" hidden="false" customHeight="true" outlineLevel="0" collapsed="false">
      <c r="A163" s="14"/>
      <c r="B163" s="14"/>
      <c r="C163" s="79"/>
      <c r="D163" s="79"/>
      <c r="E163" s="14"/>
      <c r="F163" s="14"/>
      <c r="G163" s="14"/>
      <c r="H163" s="55"/>
      <c r="I163" s="14"/>
      <c r="J163" s="14"/>
      <c r="K163" s="14"/>
      <c r="L163" s="55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54"/>
      <c r="AD163" s="14"/>
      <c r="AE163" s="14"/>
    </row>
    <row r="164" customFormat="false" ht="12.75" hidden="false" customHeight="true" outlineLevel="0" collapsed="false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54"/>
      <c r="AD164" s="14"/>
      <c r="AE164" s="14"/>
    </row>
    <row r="165" customFormat="false" ht="12.75" hidden="false" customHeight="true" outlineLevel="0" collapsed="false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1"/>
      <c r="AD165" s="80"/>
      <c r="AE165" s="80"/>
    </row>
    <row r="166" customFormat="false" ht="12.75" hidden="false" customHeight="true" outlineLevel="0" collapsed="false">
      <c r="A166" s="80"/>
      <c r="B166" s="80"/>
      <c r="C166" s="82"/>
      <c r="D166" s="82"/>
      <c r="E166" s="82"/>
      <c r="F166" s="82"/>
      <c r="G166" s="83"/>
      <c r="H166" s="83"/>
      <c r="I166" s="83"/>
      <c r="J166" s="83"/>
      <c r="K166" s="83"/>
      <c r="L166" s="84"/>
      <c r="M166" s="84"/>
      <c r="N166" s="84"/>
      <c r="O166" s="84"/>
      <c r="P166" s="83"/>
      <c r="Q166" s="83"/>
      <c r="R166" s="83"/>
      <c r="S166" s="83"/>
      <c r="T166" s="84"/>
      <c r="U166" s="84"/>
      <c r="V166" s="84"/>
      <c r="W166" s="84"/>
      <c r="X166" s="83"/>
      <c r="Y166" s="83"/>
      <c r="Z166" s="83"/>
      <c r="AA166" s="84"/>
      <c r="AB166" s="84"/>
      <c r="AC166" s="84"/>
      <c r="AD166" s="84"/>
      <c r="AE166" s="80"/>
    </row>
    <row r="167" customFormat="false" ht="12.75" hidden="false" customHeight="true" outlineLevel="0" collapsed="false">
      <c r="A167" s="40" t="e">
        <f aca="false" t="array" ref="A167:A171">unique(L1:L147)</f>
        <v>#NAME?</v>
      </c>
      <c r="B167" s="85"/>
      <c r="C167" s="86"/>
      <c r="D167" s="86"/>
      <c r="E167" s="86"/>
      <c r="F167" s="87"/>
      <c r="G167" s="88" t="s">
        <v>184</v>
      </c>
      <c r="H167" s="88" t="s">
        <v>185</v>
      </c>
      <c r="I167" s="88" t="s">
        <v>186</v>
      </c>
      <c r="J167" s="88" t="s">
        <v>187</v>
      </c>
      <c r="K167" s="88" t="s">
        <v>188</v>
      </c>
      <c r="L167" s="89" t="s">
        <v>189</v>
      </c>
      <c r="M167" s="89" t="s">
        <v>190</v>
      </c>
      <c r="N167" s="89" t="s">
        <v>191</v>
      </c>
      <c r="O167" s="89" t="s">
        <v>192</v>
      </c>
      <c r="P167" s="88" t="s">
        <v>193</v>
      </c>
      <c r="Q167" s="88"/>
      <c r="R167" s="88"/>
      <c r="S167" s="88"/>
      <c r="T167" s="89"/>
      <c r="U167" s="89"/>
      <c r="V167" s="89"/>
      <c r="W167" s="89"/>
      <c r="X167" s="88"/>
      <c r="Y167" s="88"/>
      <c r="Z167" s="88"/>
      <c r="AA167" s="89"/>
      <c r="AB167" s="89"/>
      <c r="AC167" s="90"/>
      <c r="AD167" s="89"/>
      <c r="AE167" s="80"/>
    </row>
    <row r="168" customFormat="false" ht="12.75" hidden="false" customHeight="true" outlineLevel="0" collapsed="false">
      <c r="A168" s="91" t="e">
        <v>#NAME?</v>
      </c>
      <c r="B168" s="92"/>
      <c r="C168" s="92"/>
      <c r="D168" s="92" t="s">
        <v>194</v>
      </c>
      <c r="E168" s="92"/>
      <c r="F168" s="93"/>
      <c r="G168" s="94"/>
      <c r="H168" s="94"/>
      <c r="I168" s="94"/>
      <c r="J168" s="94"/>
      <c r="K168" s="94"/>
      <c r="L168" s="95"/>
      <c r="M168" s="95"/>
      <c r="N168" s="95"/>
      <c r="O168" s="95"/>
      <c r="P168" s="94"/>
      <c r="Q168" s="94"/>
      <c r="R168" s="94"/>
      <c r="S168" s="94"/>
      <c r="T168" s="95"/>
      <c r="U168" s="95"/>
      <c r="V168" s="95"/>
      <c r="W168" s="95"/>
      <c r="X168" s="94"/>
      <c r="Y168" s="94"/>
      <c r="Z168" s="94"/>
      <c r="AA168" s="95"/>
      <c r="AB168" s="95"/>
      <c r="AC168" s="96"/>
      <c r="AD168" s="95"/>
      <c r="AE168" s="80"/>
    </row>
    <row r="169" customFormat="false" ht="12.75" hidden="false" customHeight="true" outlineLevel="0" collapsed="false">
      <c r="A169" s="91" t="e">
        <v>#NAME?</v>
      </c>
      <c r="B169" s="92"/>
      <c r="C169" s="92"/>
      <c r="D169" s="92"/>
      <c r="E169" s="92"/>
      <c r="F169" s="93"/>
      <c r="G169" s="94"/>
      <c r="H169" s="94"/>
      <c r="I169" s="94"/>
      <c r="J169" s="94"/>
      <c r="K169" s="94"/>
      <c r="L169" s="95"/>
      <c r="M169" s="95"/>
      <c r="N169" s="95"/>
      <c r="O169" s="95"/>
      <c r="P169" s="94"/>
      <c r="Q169" s="94"/>
      <c r="R169" s="94"/>
      <c r="S169" s="94"/>
      <c r="T169" s="95"/>
      <c r="U169" s="95"/>
      <c r="V169" s="95"/>
      <c r="W169" s="95"/>
      <c r="X169" s="94"/>
      <c r="Y169" s="94"/>
      <c r="Z169" s="94"/>
      <c r="AA169" s="95"/>
      <c r="AB169" s="95"/>
      <c r="AC169" s="96"/>
      <c r="AD169" s="95"/>
      <c r="AE169" s="80"/>
    </row>
    <row r="170" customFormat="false" ht="12.75" hidden="false" customHeight="true" outlineLevel="0" collapsed="false">
      <c r="A170" s="91" t="e">
        <v>#NAME?</v>
      </c>
      <c r="B170" s="92"/>
      <c r="C170" s="92"/>
      <c r="D170" s="92"/>
      <c r="E170" s="92"/>
      <c r="F170" s="93"/>
      <c r="G170" s="94"/>
      <c r="H170" s="94"/>
      <c r="I170" s="94"/>
      <c r="J170" s="94"/>
      <c r="K170" s="94"/>
      <c r="L170" s="95"/>
      <c r="M170" s="95"/>
      <c r="N170" s="95"/>
      <c r="O170" s="95"/>
      <c r="P170" s="94"/>
      <c r="Q170" s="94"/>
      <c r="R170" s="94"/>
      <c r="S170" s="94"/>
      <c r="T170" s="95"/>
      <c r="U170" s="95"/>
      <c r="V170" s="95"/>
      <c r="W170" s="95"/>
      <c r="X170" s="94"/>
      <c r="Y170" s="94"/>
      <c r="Z170" s="94"/>
      <c r="AA170" s="95"/>
      <c r="AB170" s="95"/>
      <c r="AC170" s="96"/>
      <c r="AD170" s="95"/>
      <c r="AE170" s="80"/>
    </row>
    <row r="171" customFormat="false" ht="12.75" hidden="false" customHeight="true" outlineLevel="0" collapsed="false">
      <c r="A171" s="91" t="e">
        <v>#NAME?</v>
      </c>
      <c r="B171" s="92"/>
      <c r="C171" s="92"/>
      <c r="D171" s="92"/>
      <c r="E171" s="92"/>
      <c r="F171" s="93"/>
      <c r="G171" s="94"/>
      <c r="H171" s="94"/>
      <c r="I171" s="94"/>
      <c r="J171" s="94"/>
      <c r="K171" s="94"/>
      <c r="L171" s="95"/>
      <c r="M171" s="95"/>
      <c r="N171" s="95"/>
      <c r="O171" s="95"/>
      <c r="P171" s="94"/>
      <c r="Q171" s="94"/>
      <c r="R171" s="94"/>
      <c r="S171" s="94"/>
      <c r="T171" s="95"/>
      <c r="U171" s="95"/>
      <c r="V171" s="95"/>
      <c r="W171" s="95"/>
      <c r="X171" s="94"/>
      <c r="Y171" s="94"/>
      <c r="Z171" s="94"/>
      <c r="AA171" s="95"/>
      <c r="AB171" s="95"/>
      <c r="AC171" s="96"/>
      <c r="AD171" s="95"/>
      <c r="AE171" s="80"/>
    </row>
    <row r="172" customFormat="false" ht="12.75" hidden="false" customHeight="true" outlineLevel="0" collapsed="false">
      <c r="A172" s="91"/>
      <c r="B172" s="92"/>
      <c r="C172" s="92"/>
      <c r="D172" s="92"/>
      <c r="E172" s="92"/>
      <c r="F172" s="93"/>
      <c r="G172" s="94"/>
      <c r="H172" s="94"/>
      <c r="I172" s="94"/>
      <c r="J172" s="94"/>
      <c r="K172" s="94"/>
      <c r="L172" s="95"/>
      <c r="M172" s="95"/>
      <c r="N172" s="95"/>
      <c r="O172" s="95"/>
      <c r="P172" s="94"/>
      <c r="Q172" s="94"/>
      <c r="R172" s="94"/>
      <c r="S172" s="94"/>
      <c r="T172" s="95"/>
      <c r="U172" s="95"/>
      <c r="V172" s="95"/>
      <c r="W172" s="95"/>
      <c r="X172" s="94"/>
      <c r="Y172" s="94"/>
      <c r="Z172" s="94"/>
      <c r="AA172" s="95"/>
      <c r="AB172" s="95"/>
      <c r="AC172" s="96"/>
      <c r="AD172" s="95"/>
      <c r="AE172" s="80"/>
    </row>
    <row r="173" customFormat="false" ht="12.75" hidden="false" customHeight="true" outlineLevel="0" collapsed="false">
      <c r="A173" s="91"/>
      <c r="B173" s="92"/>
      <c r="C173" s="92"/>
      <c r="D173" s="92"/>
      <c r="E173" s="92"/>
      <c r="F173" s="93"/>
      <c r="G173" s="94"/>
      <c r="H173" s="94"/>
      <c r="I173" s="94"/>
      <c r="J173" s="94"/>
      <c r="K173" s="94"/>
      <c r="L173" s="95"/>
      <c r="M173" s="95"/>
      <c r="N173" s="95"/>
      <c r="O173" s="95"/>
      <c r="P173" s="94"/>
      <c r="Q173" s="94"/>
      <c r="R173" s="94"/>
      <c r="S173" s="94"/>
      <c r="T173" s="95"/>
      <c r="U173" s="95"/>
      <c r="V173" s="95"/>
      <c r="W173" s="95"/>
      <c r="X173" s="94"/>
      <c r="Y173" s="94"/>
      <c r="Z173" s="94"/>
      <c r="AA173" s="95"/>
      <c r="AB173" s="95"/>
      <c r="AC173" s="96"/>
      <c r="AD173" s="95"/>
      <c r="AE173" s="80"/>
    </row>
    <row r="174" customFormat="false" ht="12.75" hidden="false" customHeight="true" outlineLevel="0" collapsed="false">
      <c r="A174" s="91"/>
      <c r="B174" s="92"/>
      <c r="C174" s="92"/>
      <c r="D174" s="92"/>
      <c r="E174" s="92"/>
      <c r="F174" s="93"/>
      <c r="G174" s="94"/>
      <c r="H174" s="94"/>
      <c r="I174" s="94"/>
      <c r="J174" s="94"/>
      <c r="K174" s="94"/>
      <c r="L174" s="95"/>
      <c r="M174" s="95"/>
      <c r="N174" s="95"/>
      <c r="O174" s="95"/>
      <c r="P174" s="94"/>
      <c r="Q174" s="94"/>
      <c r="R174" s="94"/>
      <c r="S174" s="94"/>
      <c r="T174" s="95"/>
      <c r="U174" s="95"/>
      <c r="V174" s="95"/>
      <c r="W174" s="95"/>
      <c r="X174" s="94"/>
      <c r="Y174" s="94"/>
      <c r="Z174" s="94"/>
      <c r="AA174" s="95"/>
      <c r="AB174" s="95"/>
      <c r="AC174" s="96"/>
      <c r="AD174" s="95"/>
      <c r="AE174" s="80"/>
    </row>
    <row r="175" customFormat="false" ht="12.75" hidden="false" customHeight="true" outlineLevel="0" collapsed="false">
      <c r="A175" s="91"/>
      <c r="B175" s="92"/>
      <c r="C175" s="92"/>
      <c r="D175" s="92"/>
      <c r="E175" s="92"/>
      <c r="F175" s="93"/>
      <c r="G175" s="94"/>
      <c r="H175" s="94"/>
      <c r="I175" s="94"/>
      <c r="J175" s="94"/>
      <c r="K175" s="94"/>
      <c r="L175" s="95"/>
      <c r="M175" s="95"/>
      <c r="N175" s="95"/>
      <c r="O175" s="95"/>
      <c r="P175" s="94"/>
      <c r="Q175" s="94"/>
      <c r="R175" s="94"/>
      <c r="S175" s="94"/>
      <c r="T175" s="95"/>
      <c r="U175" s="95"/>
      <c r="V175" s="95"/>
      <c r="W175" s="95"/>
      <c r="X175" s="94"/>
      <c r="Y175" s="94"/>
      <c r="Z175" s="94"/>
      <c r="AA175" s="95"/>
      <c r="AB175" s="95"/>
      <c r="AC175" s="96"/>
      <c r="AD175" s="95"/>
      <c r="AE175" s="80"/>
    </row>
    <row r="176" customFormat="false" ht="12.75" hidden="false" customHeight="true" outlineLevel="0" collapsed="false">
      <c r="A176" s="91"/>
      <c r="B176" s="92"/>
      <c r="C176" s="92"/>
      <c r="D176" s="92"/>
      <c r="E176" s="92"/>
      <c r="F176" s="93"/>
      <c r="G176" s="94"/>
      <c r="H176" s="94"/>
      <c r="I176" s="94"/>
      <c r="J176" s="94"/>
      <c r="K176" s="94"/>
      <c r="L176" s="95"/>
      <c r="M176" s="95"/>
      <c r="N176" s="95"/>
      <c r="O176" s="95"/>
      <c r="P176" s="94"/>
      <c r="Q176" s="94"/>
      <c r="R176" s="94"/>
      <c r="S176" s="94"/>
      <c r="T176" s="95"/>
      <c r="U176" s="95"/>
      <c r="V176" s="95"/>
      <c r="W176" s="95"/>
      <c r="X176" s="94"/>
      <c r="Y176" s="94"/>
      <c r="Z176" s="94"/>
      <c r="AA176" s="95"/>
      <c r="AB176" s="95"/>
      <c r="AC176" s="96"/>
      <c r="AD176" s="95"/>
      <c r="AE176" s="80"/>
    </row>
    <row r="177" customFormat="false" ht="12.75" hidden="false" customHeight="true" outlineLevel="0" collapsed="false">
      <c r="A177" s="91"/>
      <c r="B177" s="92"/>
      <c r="C177" s="92"/>
      <c r="D177" s="92"/>
      <c r="E177" s="92"/>
      <c r="F177" s="93"/>
      <c r="G177" s="94"/>
      <c r="H177" s="94"/>
      <c r="I177" s="94"/>
      <c r="J177" s="94"/>
      <c r="K177" s="94"/>
      <c r="L177" s="95"/>
      <c r="M177" s="95"/>
      <c r="N177" s="95"/>
      <c r="O177" s="95"/>
      <c r="P177" s="94"/>
      <c r="Q177" s="94"/>
      <c r="R177" s="94"/>
      <c r="S177" s="94"/>
      <c r="T177" s="95"/>
      <c r="U177" s="95"/>
      <c r="V177" s="95"/>
      <c r="W177" s="95"/>
      <c r="X177" s="94"/>
      <c r="Y177" s="94"/>
      <c r="Z177" s="94"/>
      <c r="AA177" s="95"/>
      <c r="AB177" s="95"/>
      <c r="AC177" s="96"/>
      <c r="AD177" s="95"/>
      <c r="AE177" s="80"/>
    </row>
    <row r="178" customFormat="false" ht="12.75" hidden="false" customHeight="true" outlineLevel="0" collapsed="false">
      <c r="A178" s="91"/>
      <c r="B178" s="92"/>
      <c r="C178" s="92"/>
      <c r="D178" s="92"/>
      <c r="E178" s="92"/>
      <c r="F178" s="93"/>
      <c r="G178" s="94"/>
      <c r="H178" s="94"/>
      <c r="I178" s="94"/>
      <c r="J178" s="94"/>
      <c r="K178" s="94"/>
      <c r="L178" s="95"/>
      <c r="M178" s="95"/>
      <c r="N178" s="95"/>
      <c r="O178" s="95"/>
      <c r="P178" s="94"/>
      <c r="Q178" s="94"/>
      <c r="R178" s="94"/>
      <c r="S178" s="94"/>
      <c r="T178" s="95"/>
      <c r="U178" s="95"/>
      <c r="V178" s="95"/>
      <c r="W178" s="95"/>
      <c r="X178" s="94"/>
      <c r="Y178" s="94"/>
      <c r="Z178" s="94"/>
      <c r="AA178" s="95"/>
      <c r="AB178" s="95"/>
      <c r="AC178" s="96"/>
      <c r="AD178" s="95"/>
      <c r="AE178" s="80"/>
    </row>
    <row r="179" customFormat="false" ht="12.75" hidden="false" customHeight="true" outlineLevel="0" collapsed="false">
      <c r="A179" s="91"/>
      <c r="B179" s="92"/>
      <c r="C179" s="92"/>
      <c r="D179" s="92"/>
      <c r="E179" s="92"/>
      <c r="F179" s="93"/>
      <c r="G179" s="94"/>
      <c r="H179" s="94"/>
      <c r="I179" s="94"/>
      <c r="J179" s="94"/>
      <c r="K179" s="94"/>
      <c r="L179" s="95"/>
      <c r="M179" s="95"/>
      <c r="N179" s="95"/>
      <c r="O179" s="95"/>
      <c r="P179" s="94"/>
      <c r="Q179" s="94"/>
      <c r="R179" s="94"/>
      <c r="S179" s="94"/>
      <c r="T179" s="95"/>
      <c r="U179" s="95"/>
      <c r="V179" s="95"/>
      <c r="W179" s="95"/>
      <c r="X179" s="94"/>
      <c r="Y179" s="94"/>
      <c r="Z179" s="94"/>
      <c r="AA179" s="95"/>
      <c r="AB179" s="95"/>
      <c r="AC179" s="96"/>
      <c r="AD179" s="95"/>
      <c r="AE179" s="80"/>
    </row>
    <row r="180" customFormat="false" ht="12.75" hidden="false" customHeight="true" outlineLevel="0" collapsed="false">
      <c r="A180" s="91"/>
      <c r="B180" s="92"/>
      <c r="C180" s="92"/>
      <c r="D180" s="92"/>
      <c r="E180" s="92"/>
      <c r="F180" s="93"/>
      <c r="G180" s="94"/>
      <c r="H180" s="94"/>
      <c r="I180" s="94"/>
      <c r="J180" s="94"/>
      <c r="K180" s="94"/>
      <c r="L180" s="95"/>
      <c r="M180" s="95"/>
      <c r="N180" s="95"/>
      <c r="O180" s="95"/>
      <c r="P180" s="94"/>
      <c r="Q180" s="94"/>
      <c r="R180" s="94"/>
      <c r="S180" s="94"/>
      <c r="T180" s="95"/>
      <c r="U180" s="95"/>
      <c r="V180" s="95"/>
      <c r="W180" s="95"/>
      <c r="X180" s="94"/>
      <c r="Y180" s="94"/>
      <c r="Z180" s="94"/>
      <c r="AA180" s="95"/>
      <c r="AB180" s="95"/>
      <c r="AC180" s="96"/>
      <c r="AD180" s="95"/>
      <c r="AE180" s="80"/>
    </row>
    <row r="181" customFormat="false" ht="12.75" hidden="false" customHeight="true" outlineLevel="0" collapsed="false">
      <c r="A181" s="91"/>
      <c r="B181" s="92"/>
      <c r="C181" s="92"/>
      <c r="D181" s="92"/>
      <c r="E181" s="92"/>
      <c r="F181" s="93"/>
      <c r="G181" s="94"/>
      <c r="H181" s="94"/>
      <c r="I181" s="94"/>
      <c r="J181" s="94"/>
      <c r="K181" s="94"/>
      <c r="L181" s="95"/>
      <c r="M181" s="95"/>
      <c r="N181" s="95"/>
      <c r="O181" s="95"/>
      <c r="P181" s="94"/>
      <c r="Q181" s="94"/>
      <c r="R181" s="94"/>
      <c r="S181" s="94"/>
      <c r="T181" s="95"/>
      <c r="U181" s="95"/>
      <c r="V181" s="95"/>
      <c r="W181" s="95"/>
      <c r="X181" s="94"/>
      <c r="Y181" s="94"/>
      <c r="Z181" s="94"/>
      <c r="AA181" s="95"/>
      <c r="AB181" s="95"/>
      <c r="AC181" s="96"/>
      <c r="AD181" s="95"/>
      <c r="AE181" s="80"/>
    </row>
    <row r="182" customFormat="false" ht="12.75" hidden="false" customHeight="true" outlineLevel="0" collapsed="false">
      <c r="A182" s="91"/>
      <c r="B182" s="92"/>
      <c r="C182" s="92"/>
      <c r="D182" s="92"/>
      <c r="E182" s="92"/>
      <c r="F182" s="93"/>
      <c r="G182" s="94"/>
      <c r="H182" s="94"/>
      <c r="I182" s="94"/>
      <c r="J182" s="94"/>
      <c r="K182" s="94"/>
      <c r="L182" s="95"/>
      <c r="M182" s="95"/>
      <c r="N182" s="95"/>
      <c r="O182" s="95"/>
      <c r="P182" s="94"/>
      <c r="Q182" s="94"/>
      <c r="R182" s="94"/>
      <c r="S182" s="94"/>
      <c r="T182" s="95"/>
      <c r="U182" s="95"/>
      <c r="V182" s="95"/>
      <c r="W182" s="95"/>
      <c r="X182" s="94"/>
      <c r="Y182" s="94"/>
      <c r="Z182" s="94"/>
      <c r="AA182" s="95"/>
      <c r="AB182" s="95"/>
      <c r="AC182" s="96"/>
      <c r="AD182" s="95"/>
      <c r="AE182" s="80"/>
    </row>
    <row r="183" customFormat="false" ht="12.75" hidden="false" customHeight="true" outlineLevel="0" collapsed="false">
      <c r="A183" s="91"/>
      <c r="B183" s="92"/>
      <c r="C183" s="92"/>
      <c r="D183" s="92"/>
      <c r="E183" s="92"/>
      <c r="F183" s="93"/>
      <c r="G183" s="94"/>
      <c r="H183" s="94"/>
      <c r="I183" s="94"/>
      <c r="J183" s="94"/>
      <c r="K183" s="94"/>
      <c r="L183" s="95"/>
      <c r="M183" s="95"/>
      <c r="N183" s="95"/>
      <c r="O183" s="95"/>
      <c r="P183" s="94"/>
      <c r="Q183" s="94"/>
      <c r="R183" s="94"/>
      <c r="S183" s="94"/>
      <c r="T183" s="95"/>
      <c r="U183" s="95"/>
      <c r="V183" s="95"/>
      <c r="W183" s="95"/>
      <c r="X183" s="94"/>
      <c r="Y183" s="94"/>
      <c r="Z183" s="94"/>
      <c r="AA183" s="95"/>
      <c r="AB183" s="95"/>
      <c r="AC183" s="96"/>
      <c r="AD183" s="95"/>
      <c r="AE183" s="80"/>
    </row>
    <row r="184" customFormat="false" ht="12.75" hidden="false" customHeight="true" outlineLevel="0" collapsed="false">
      <c r="A184" s="91"/>
      <c r="B184" s="92"/>
      <c r="C184" s="92"/>
      <c r="D184" s="92"/>
      <c r="E184" s="92"/>
      <c r="F184" s="93"/>
      <c r="G184" s="94"/>
      <c r="H184" s="94"/>
      <c r="I184" s="94"/>
      <c r="J184" s="94"/>
      <c r="K184" s="94"/>
      <c r="L184" s="95"/>
      <c r="M184" s="95"/>
      <c r="N184" s="95"/>
      <c r="O184" s="95"/>
      <c r="P184" s="94"/>
      <c r="Q184" s="94"/>
      <c r="R184" s="94"/>
      <c r="S184" s="94"/>
      <c r="T184" s="95"/>
      <c r="U184" s="95"/>
      <c r="V184" s="95"/>
      <c r="W184" s="95"/>
      <c r="X184" s="94"/>
      <c r="Y184" s="94"/>
      <c r="Z184" s="94"/>
      <c r="AA184" s="95"/>
      <c r="AB184" s="95"/>
      <c r="AC184" s="96"/>
      <c r="AD184" s="95"/>
      <c r="AE184" s="80"/>
    </row>
    <row r="185" customFormat="false" ht="12.75" hidden="false" customHeight="true" outlineLevel="0" collapsed="false">
      <c r="A185" s="91"/>
      <c r="B185" s="92"/>
      <c r="C185" s="92"/>
      <c r="D185" s="92"/>
      <c r="E185" s="92"/>
      <c r="F185" s="93"/>
      <c r="G185" s="94"/>
      <c r="H185" s="94"/>
      <c r="I185" s="94"/>
      <c r="J185" s="94"/>
      <c r="K185" s="94"/>
      <c r="L185" s="95"/>
      <c r="M185" s="95"/>
      <c r="N185" s="95"/>
      <c r="O185" s="95"/>
      <c r="P185" s="94"/>
      <c r="Q185" s="94"/>
      <c r="R185" s="94"/>
      <c r="S185" s="94"/>
      <c r="T185" s="95"/>
      <c r="U185" s="95"/>
      <c r="V185" s="95"/>
      <c r="W185" s="95"/>
      <c r="X185" s="94"/>
      <c r="Y185" s="94"/>
      <c r="Z185" s="94"/>
      <c r="AA185" s="95"/>
      <c r="AB185" s="95"/>
      <c r="AC185" s="96"/>
      <c r="AD185" s="95"/>
      <c r="AE185" s="80"/>
    </row>
    <row r="186" customFormat="false" ht="12.75" hidden="false" customHeight="true" outlineLevel="0" collapsed="false">
      <c r="A186" s="91"/>
      <c r="B186" s="92"/>
      <c r="C186" s="92"/>
      <c r="D186" s="92"/>
      <c r="E186" s="92"/>
      <c r="F186" s="93"/>
      <c r="G186" s="94"/>
      <c r="H186" s="94"/>
      <c r="I186" s="94"/>
      <c r="J186" s="94"/>
      <c r="K186" s="94"/>
      <c r="L186" s="95"/>
      <c r="M186" s="95"/>
      <c r="N186" s="95"/>
      <c r="O186" s="95"/>
      <c r="P186" s="94"/>
      <c r="Q186" s="94"/>
      <c r="R186" s="94"/>
      <c r="S186" s="94"/>
      <c r="T186" s="95"/>
      <c r="U186" s="95"/>
      <c r="V186" s="95"/>
      <c r="W186" s="95"/>
      <c r="X186" s="94"/>
      <c r="Y186" s="94"/>
      <c r="Z186" s="94"/>
      <c r="AA186" s="95"/>
      <c r="AB186" s="95"/>
      <c r="AC186" s="96"/>
      <c r="AD186" s="95"/>
      <c r="AE186" s="80"/>
    </row>
    <row r="187" customFormat="false" ht="12.75" hidden="false" customHeight="true" outlineLevel="0" collapsed="false">
      <c r="A187" s="91"/>
      <c r="B187" s="92"/>
      <c r="C187" s="92"/>
      <c r="D187" s="92"/>
      <c r="E187" s="92"/>
      <c r="F187" s="93"/>
      <c r="G187" s="94"/>
      <c r="H187" s="94"/>
      <c r="I187" s="94"/>
      <c r="J187" s="94"/>
      <c r="K187" s="94"/>
      <c r="L187" s="95"/>
      <c r="M187" s="95"/>
      <c r="N187" s="95"/>
      <c r="O187" s="95"/>
      <c r="P187" s="94"/>
      <c r="Q187" s="94"/>
      <c r="R187" s="94"/>
      <c r="S187" s="94"/>
      <c r="T187" s="95"/>
      <c r="U187" s="95"/>
      <c r="V187" s="95"/>
      <c r="W187" s="95"/>
      <c r="X187" s="94"/>
      <c r="Y187" s="94"/>
      <c r="Z187" s="94"/>
      <c r="AA187" s="95"/>
      <c r="AB187" s="95"/>
      <c r="AC187" s="96"/>
      <c r="AD187" s="95"/>
      <c r="AE187" s="80"/>
    </row>
    <row r="188" customFormat="false" ht="12.75" hidden="false" customHeight="true" outlineLevel="0" collapsed="false">
      <c r="A188" s="91"/>
      <c r="B188" s="92"/>
      <c r="C188" s="92"/>
      <c r="D188" s="92"/>
      <c r="E188" s="92"/>
      <c r="F188" s="93"/>
      <c r="G188" s="94"/>
      <c r="H188" s="94"/>
      <c r="I188" s="94"/>
      <c r="J188" s="94"/>
      <c r="K188" s="94"/>
      <c r="L188" s="95"/>
      <c r="M188" s="95"/>
      <c r="N188" s="95"/>
      <c r="O188" s="95"/>
      <c r="P188" s="94"/>
      <c r="Q188" s="94"/>
      <c r="R188" s="94"/>
      <c r="S188" s="94"/>
      <c r="T188" s="95"/>
      <c r="U188" s="95"/>
      <c r="V188" s="95"/>
      <c r="W188" s="95"/>
      <c r="X188" s="94"/>
      <c r="Y188" s="94"/>
      <c r="Z188" s="94"/>
      <c r="AA188" s="95"/>
      <c r="AB188" s="95"/>
      <c r="AC188" s="96"/>
      <c r="AD188" s="95"/>
      <c r="AE188" s="80"/>
    </row>
    <row r="189" customFormat="false" ht="12.75" hidden="false" customHeight="true" outlineLevel="0" collapsed="false">
      <c r="A189" s="91"/>
      <c r="B189" s="92"/>
      <c r="C189" s="92"/>
      <c r="D189" s="92"/>
      <c r="E189" s="92"/>
      <c r="F189" s="93"/>
      <c r="G189" s="94"/>
      <c r="H189" s="94"/>
      <c r="I189" s="94"/>
      <c r="J189" s="94"/>
      <c r="K189" s="94"/>
      <c r="L189" s="95"/>
      <c r="M189" s="95"/>
      <c r="N189" s="95"/>
      <c r="O189" s="95"/>
      <c r="P189" s="94"/>
      <c r="Q189" s="94"/>
      <c r="R189" s="94"/>
      <c r="S189" s="94"/>
      <c r="T189" s="95"/>
      <c r="U189" s="95"/>
      <c r="V189" s="95"/>
      <c r="W189" s="95"/>
      <c r="X189" s="94"/>
      <c r="Y189" s="94"/>
      <c r="Z189" s="94"/>
      <c r="AA189" s="95"/>
      <c r="AB189" s="95"/>
      <c r="AC189" s="96"/>
      <c r="AD189" s="95"/>
      <c r="AE189" s="80"/>
    </row>
    <row r="190" customFormat="false" ht="12.75" hidden="false" customHeight="true" outlineLevel="0" collapsed="false">
      <c r="A190" s="91"/>
      <c r="B190" s="92"/>
      <c r="C190" s="92"/>
      <c r="D190" s="92"/>
      <c r="E190" s="92"/>
      <c r="F190" s="93"/>
      <c r="G190" s="94"/>
      <c r="H190" s="94"/>
      <c r="I190" s="94"/>
      <c r="J190" s="94"/>
      <c r="K190" s="94"/>
      <c r="L190" s="95"/>
      <c r="M190" s="95"/>
      <c r="N190" s="95"/>
      <c r="O190" s="95"/>
      <c r="P190" s="94"/>
      <c r="Q190" s="94"/>
      <c r="R190" s="94"/>
      <c r="S190" s="94"/>
      <c r="T190" s="95"/>
      <c r="U190" s="95"/>
      <c r="V190" s="95"/>
      <c r="W190" s="95"/>
      <c r="X190" s="94"/>
      <c r="Y190" s="94"/>
      <c r="Z190" s="94"/>
      <c r="AA190" s="95"/>
      <c r="AB190" s="95"/>
      <c r="AC190" s="96"/>
      <c r="AD190" s="95"/>
      <c r="AE190" s="80"/>
    </row>
    <row r="191" customFormat="false" ht="12.75" hidden="false" customHeight="true" outlineLevel="0" collapsed="false">
      <c r="A191" s="91"/>
      <c r="B191" s="92"/>
      <c r="C191" s="92"/>
      <c r="D191" s="92"/>
      <c r="E191" s="92"/>
      <c r="F191" s="93"/>
      <c r="G191" s="94"/>
      <c r="H191" s="94"/>
      <c r="I191" s="94"/>
      <c r="J191" s="94"/>
      <c r="K191" s="94"/>
      <c r="L191" s="95"/>
      <c r="M191" s="95"/>
      <c r="N191" s="95"/>
      <c r="O191" s="95"/>
      <c r="P191" s="94"/>
      <c r="Q191" s="94"/>
      <c r="R191" s="94"/>
      <c r="S191" s="94"/>
      <c r="T191" s="95"/>
      <c r="U191" s="95"/>
      <c r="V191" s="95"/>
      <c r="W191" s="95"/>
      <c r="X191" s="94"/>
      <c r="Y191" s="94"/>
      <c r="Z191" s="94"/>
      <c r="AA191" s="95"/>
      <c r="AB191" s="95"/>
      <c r="AC191" s="96"/>
      <c r="AD191" s="95"/>
      <c r="AE191" s="80"/>
    </row>
    <row r="192" customFormat="false" ht="12.75" hidden="false" customHeight="true" outlineLevel="0" collapsed="false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54"/>
      <c r="AD192" s="14"/>
      <c r="AE192" s="80"/>
    </row>
    <row r="193" customFormat="false" ht="12.75" hidden="false" customHeight="true" outlineLevel="0" collapsed="false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54"/>
      <c r="AD193" s="14"/>
      <c r="AE193" s="14"/>
    </row>
    <row r="194" customFormat="false" ht="12.75" hidden="false" customHeight="true" outlineLevel="0" collapsed="false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54"/>
      <c r="AD194" s="14"/>
      <c r="AE194" s="14"/>
    </row>
  </sheetData>
  <mergeCells count="68">
    <mergeCell ref="M1:N1"/>
    <mergeCell ref="O1:U1"/>
    <mergeCell ref="I149:L149"/>
    <mergeCell ref="M149:O149"/>
    <mergeCell ref="C151:E151"/>
    <mergeCell ref="F151:H151"/>
    <mergeCell ref="I151:L151"/>
    <mergeCell ref="M151:O151"/>
    <mergeCell ref="P151:R151"/>
    <mergeCell ref="V151:X151"/>
    <mergeCell ref="C152:E152"/>
    <mergeCell ref="F152:H152"/>
    <mergeCell ref="I152:L152"/>
    <mergeCell ref="M152:O152"/>
    <mergeCell ref="P152:R152"/>
    <mergeCell ref="C153:E153"/>
    <mergeCell ref="F153:H153"/>
    <mergeCell ref="I153:L153"/>
    <mergeCell ref="M153:O153"/>
    <mergeCell ref="P153:R153"/>
    <mergeCell ref="C154:E154"/>
    <mergeCell ref="F154:H154"/>
    <mergeCell ref="I154:L154"/>
    <mergeCell ref="M154:O154"/>
    <mergeCell ref="P154:R154"/>
    <mergeCell ref="C155:E155"/>
    <mergeCell ref="F155:H155"/>
    <mergeCell ref="I155:L155"/>
    <mergeCell ref="M155:O155"/>
    <mergeCell ref="P155:R155"/>
    <mergeCell ref="C156:E156"/>
    <mergeCell ref="F156:H156"/>
    <mergeCell ref="I156:L156"/>
    <mergeCell ref="M156:O156"/>
    <mergeCell ref="P156:R156"/>
    <mergeCell ref="C157:E157"/>
    <mergeCell ref="F157:H157"/>
    <mergeCell ref="I157:L157"/>
    <mergeCell ref="M157:O157"/>
    <mergeCell ref="P157:R157"/>
    <mergeCell ref="C158:E158"/>
    <mergeCell ref="F158:H158"/>
    <mergeCell ref="I158:L158"/>
    <mergeCell ref="M158:O158"/>
    <mergeCell ref="P158:R158"/>
    <mergeCell ref="C159:E159"/>
    <mergeCell ref="F159:H159"/>
    <mergeCell ref="I159:L159"/>
    <mergeCell ref="M159:O159"/>
    <mergeCell ref="P159:R159"/>
    <mergeCell ref="C160:E160"/>
    <mergeCell ref="F160:H160"/>
    <mergeCell ref="I160:L160"/>
    <mergeCell ref="M160:O160"/>
    <mergeCell ref="P160:R160"/>
    <mergeCell ref="C161:E161"/>
    <mergeCell ref="F161:H161"/>
    <mergeCell ref="I161:L161"/>
    <mergeCell ref="M161:O161"/>
    <mergeCell ref="P161:R161"/>
    <mergeCell ref="P162:R162"/>
    <mergeCell ref="C166:F166"/>
    <mergeCell ref="G166:J166"/>
    <mergeCell ref="L166:O166"/>
    <mergeCell ref="P166:S166"/>
    <mergeCell ref="T166:W166"/>
    <mergeCell ref="X166:Z166"/>
    <mergeCell ref="AA166:AC166"/>
  </mergeCells>
  <conditionalFormatting sqref="C168:AD191">
    <cfRule type="expression" priority="2" aboveAverage="0" equalAverage="0" bottom="0" percent="0" rank="0" text="" dxfId="0">
      <formula>LEN(TRIM(C168))&gt;0</formula>
    </cfRule>
  </conditionalFormatting>
  <conditionalFormatting sqref="Y2:Y146">
    <cfRule type="expression" priority="3" aboveAverage="0" equalAverage="0" bottom="0" percent="0" rank="0" text="" dxfId="1">
      <formula>$L2&lt;&gt;""</formula>
    </cfRule>
  </conditionalFormatting>
  <conditionalFormatting sqref="Z1:Z146">
    <cfRule type="expression" priority="4" aboveAverage="0" equalAverage="0" bottom="0" percent="0" rank="0" text="" dxfId="2">
      <formula>LEN(TRIM(Z1))&gt;0</formula>
    </cfRule>
  </conditionalFormatting>
  <conditionalFormatting sqref="AA1:AA146">
    <cfRule type="expression" priority="5" aboveAverage="0" equalAverage="0" bottom="0" percent="0" rank="0" text="" dxfId="3">
      <formula>LEN(TRIM(AA1))&gt;0</formula>
    </cfRule>
  </conditionalFormatting>
  <conditionalFormatting sqref="AB2:AB146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47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2026-07-15T14:02:46Z</dcterms:created>
  <dc:creator>openpyxl</dc:creator>
  <dc:description/>
  <dc:language>es-419</dc:language>
  <cp:lastModifiedBy>Full Service</cp:lastModifiedBy>
  <dcterms:modified xsi:type="dcterms:W3CDTF">2026-07-28T22:38:34Z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