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ull Service\Downloads\FullService Agents - Gustavo Navarro\QuoteDeveloper\cotizaciones\la-esmeralda\"/>
    </mc:Choice>
  </mc:AlternateContent>
  <bookViews>
    <workbookView xWindow="0" yWindow="0" windowWidth="16380" windowHeight="8190"/>
  </bookViews>
  <sheets>
    <sheet name="Plantilla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60" i="1" l="1"/>
  <c r="U160" i="1" s="1"/>
  <c r="B159" i="1"/>
  <c r="U159" i="1" s="1"/>
  <c r="U158" i="1"/>
  <c r="B158" i="1"/>
  <c r="B157" i="1"/>
  <c r="U156" i="1"/>
  <c r="B156" i="1"/>
  <c r="B155" i="1"/>
  <c r="U155" i="1" s="1"/>
  <c r="B154" i="1"/>
  <c r="U154" i="1" s="1"/>
  <c r="U153" i="1"/>
  <c r="B153" i="1"/>
  <c r="B152" i="1"/>
  <c r="O150" i="1"/>
  <c r="M150" i="1"/>
  <c r="M158" i="1" s="1"/>
  <c r="P158" i="1" s="1"/>
  <c r="W158" i="1" s="1"/>
  <c r="M149" i="1"/>
  <c r="M155" i="1" s="1"/>
  <c r="P155" i="1" s="1"/>
  <c r="K148" i="1"/>
  <c r="U161" i="1" s="1"/>
  <c r="J148" i="1"/>
  <c r="I148" i="1"/>
  <c r="H148" i="1"/>
  <c r="G148" i="1"/>
  <c r="U157" i="1" s="1"/>
  <c r="F148" i="1"/>
  <c r="E148" i="1"/>
  <c r="D148" i="1"/>
  <c r="C148" i="1"/>
  <c r="B148" i="1"/>
  <c r="U152" i="1" s="1"/>
  <c r="A148" i="1"/>
  <c r="AC146" i="1"/>
  <c r="AB146" i="1"/>
  <c r="X146" i="1"/>
  <c r="AC145" i="1"/>
  <c r="AB145" i="1"/>
  <c r="X145" i="1"/>
  <c r="AC144" i="1"/>
  <c r="AB144" i="1"/>
  <c r="X144" i="1"/>
  <c r="AC143" i="1"/>
  <c r="AB143" i="1"/>
  <c r="X143" i="1"/>
  <c r="AC142" i="1"/>
  <c r="AB142" i="1"/>
  <c r="X142" i="1"/>
  <c r="AC141" i="1"/>
  <c r="AB141" i="1"/>
  <c r="X141" i="1"/>
  <c r="AC140" i="1"/>
  <c r="AB140" i="1"/>
  <c r="X140" i="1"/>
  <c r="AC139" i="1"/>
  <c r="AB139" i="1"/>
  <c r="X139" i="1"/>
  <c r="AC138" i="1"/>
  <c r="AB138" i="1"/>
  <c r="X138" i="1"/>
  <c r="AC137" i="1"/>
  <c r="AB137" i="1"/>
  <c r="X137" i="1"/>
  <c r="AC136" i="1"/>
  <c r="AB136" i="1"/>
  <c r="X136" i="1"/>
  <c r="AC135" i="1"/>
  <c r="AB135" i="1"/>
  <c r="X135" i="1"/>
  <c r="AC134" i="1"/>
  <c r="AB134" i="1"/>
  <c r="X134" i="1"/>
  <c r="AC133" i="1"/>
  <c r="AB133" i="1"/>
  <c r="X133" i="1"/>
  <c r="AC132" i="1"/>
  <c r="AB132" i="1"/>
  <c r="X132" i="1"/>
  <c r="AC131" i="1"/>
  <c r="AB131" i="1"/>
  <c r="X131" i="1"/>
  <c r="AC130" i="1"/>
  <c r="AB130" i="1"/>
  <c r="X130" i="1"/>
  <c r="AC129" i="1"/>
  <c r="AB129" i="1"/>
  <c r="X129" i="1"/>
  <c r="AC128" i="1"/>
  <c r="AB128" i="1"/>
  <c r="X128" i="1"/>
  <c r="AC127" i="1"/>
  <c r="AB127" i="1"/>
  <c r="X127" i="1"/>
  <c r="AC126" i="1"/>
  <c r="AB126" i="1"/>
  <c r="X126" i="1"/>
  <c r="AC125" i="1"/>
  <c r="AB125" i="1"/>
  <c r="X125" i="1"/>
  <c r="AC124" i="1"/>
  <c r="AB124" i="1"/>
  <c r="X124" i="1"/>
  <c r="AC123" i="1"/>
  <c r="AB123" i="1"/>
  <c r="X123" i="1"/>
  <c r="AC122" i="1"/>
  <c r="AB122" i="1"/>
  <c r="X122" i="1"/>
  <c r="AC121" i="1"/>
  <c r="AB121" i="1"/>
  <c r="X121" i="1"/>
  <c r="AC120" i="1"/>
  <c r="AB120" i="1"/>
  <c r="X120" i="1"/>
  <c r="AC119" i="1"/>
  <c r="AB119" i="1"/>
  <c r="X119" i="1"/>
  <c r="AC118" i="1"/>
  <c r="AB118" i="1"/>
  <c r="X118" i="1"/>
  <c r="AC117" i="1"/>
  <c r="AB117" i="1"/>
  <c r="X117" i="1"/>
  <c r="AC116" i="1"/>
  <c r="AB116" i="1"/>
  <c r="X116" i="1"/>
  <c r="AC115" i="1"/>
  <c r="AB115" i="1"/>
  <c r="X115" i="1"/>
  <c r="AB114" i="1"/>
  <c r="X114" i="1"/>
  <c r="AC113" i="1"/>
  <c r="AB113" i="1"/>
  <c r="X113" i="1"/>
  <c r="AC112" i="1"/>
  <c r="AB112" i="1"/>
  <c r="X112" i="1"/>
  <c r="AC111" i="1"/>
  <c r="AB111" i="1"/>
  <c r="X111" i="1"/>
  <c r="AC110" i="1"/>
  <c r="AB110" i="1"/>
  <c r="X110" i="1"/>
  <c r="AC109" i="1"/>
  <c r="AB109" i="1"/>
  <c r="X109" i="1"/>
  <c r="AC108" i="1"/>
  <c r="AB108" i="1"/>
  <c r="X108" i="1"/>
  <c r="AC107" i="1"/>
  <c r="AB107" i="1"/>
  <c r="X107" i="1"/>
  <c r="AC106" i="1"/>
  <c r="AB106" i="1"/>
  <c r="X106" i="1"/>
  <c r="AC105" i="1"/>
  <c r="AB105" i="1"/>
  <c r="X105" i="1"/>
  <c r="AC104" i="1"/>
  <c r="AB104" i="1"/>
  <c r="X104" i="1"/>
  <c r="AC103" i="1"/>
  <c r="AB103" i="1"/>
  <c r="X103" i="1"/>
  <c r="AC102" i="1"/>
  <c r="AB102" i="1"/>
  <c r="X102" i="1"/>
  <c r="AC101" i="1"/>
  <c r="AB101" i="1"/>
  <c r="X101" i="1"/>
  <c r="AC100" i="1"/>
  <c r="AB100" i="1"/>
  <c r="X100" i="1"/>
  <c r="AB99" i="1"/>
  <c r="X99" i="1"/>
  <c r="AC98" i="1"/>
  <c r="AB98" i="1"/>
  <c r="X98" i="1"/>
  <c r="AC97" i="1"/>
  <c r="AB97" i="1"/>
  <c r="X97" i="1"/>
  <c r="AC96" i="1"/>
  <c r="AB96" i="1"/>
  <c r="X96" i="1"/>
  <c r="AC95" i="1"/>
  <c r="AB95" i="1"/>
  <c r="X95" i="1"/>
  <c r="AC94" i="1"/>
  <c r="AB94" i="1"/>
  <c r="X94" i="1"/>
  <c r="AC93" i="1"/>
  <c r="AB93" i="1"/>
  <c r="X93" i="1"/>
  <c r="AC92" i="1"/>
  <c r="AB92" i="1"/>
  <c r="X92" i="1"/>
  <c r="AC91" i="1"/>
  <c r="AB91" i="1"/>
  <c r="X91" i="1"/>
  <c r="AC90" i="1"/>
  <c r="AB90" i="1"/>
  <c r="X90" i="1"/>
  <c r="AC89" i="1"/>
  <c r="AB89" i="1"/>
  <c r="X89" i="1"/>
  <c r="AB88" i="1"/>
  <c r="X88" i="1"/>
  <c r="AC87" i="1"/>
  <c r="AB87" i="1"/>
  <c r="X87" i="1"/>
  <c r="AC86" i="1"/>
  <c r="AB86" i="1"/>
  <c r="X86" i="1"/>
  <c r="AC85" i="1"/>
  <c r="AB85" i="1"/>
  <c r="X85" i="1"/>
  <c r="AC84" i="1"/>
  <c r="AB84" i="1"/>
  <c r="X84" i="1"/>
  <c r="AC83" i="1"/>
  <c r="AB83" i="1"/>
  <c r="X83" i="1"/>
  <c r="AC82" i="1"/>
  <c r="AB82" i="1"/>
  <c r="X82" i="1"/>
  <c r="AC81" i="1"/>
  <c r="AB81" i="1"/>
  <c r="X81" i="1"/>
  <c r="AC80" i="1"/>
  <c r="AB80" i="1"/>
  <c r="X80" i="1"/>
  <c r="AB79" i="1"/>
  <c r="X79" i="1"/>
  <c r="AC78" i="1"/>
  <c r="AB78" i="1"/>
  <c r="X78" i="1"/>
  <c r="AC77" i="1"/>
  <c r="AB77" i="1"/>
  <c r="X77" i="1"/>
  <c r="AC76" i="1"/>
  <c r="AB76" i="1"/>
  <c r="X76" i="1"/>
  <c r="AC75" i="1"/>
  <c r="AB75" i="1"/>
  <c r="X75" i="1"/>
  <c r="AC74" i="1"/>
  <c r="AB74" i="1"/>
  <c r="X74" i="1"/>
  <c r="AC73" i="1"/>
  <c r="AB73" i="1"/>
  <c r="X73" i="1"/>
  <c r="AB72" i="1"/>
  <c r="X72" i="1"/>
  <c r="AC71" i="1"/>
  <c r="AB71" i="1"/>
  <c r="X71" i="1"/>
  <c r="AC70" i="1"/>
  <c r="AB70" i="1"/>
  <c r="X70" i="1"/>
  <c r="AC69" i="1"/>
  <c r="AB69" i="1"/>
  <c r="X69" i="1"/>
  <c r="AC68" i="1"/>
  <c r="AB68" i="1"/>
  <c r="X68" i="1"/>
  <c r="AC67" i="1"/>
  <c r="AB67" i="1"/>
  <c r="X67" i="1"/>
  <c r="AC66" i="1"/>
  <c r="AB66" i="1"/>
  <c r="X66" i="1"/>
  <c r="AC65" i="1"/>
  <c r="AB65" i="1"/>
  <c r="X65" i="1"/>
  <c r="AC64" i="1"/>
  <c r="AB64" i="1"/>
  <c r="X64" i="1"/>
  <c r="AB63" i="1"/>
  <c r="X63" i="1"/>
  <c r="AC62" i="1"/>
  <c r="AB62" i="1"/>
  <c r="X62" i="1"/>
  <c r="AC61" i="1"/>
  <c r="AB61" i="1"/>
  <c r="X61" i="1"/>
  <c r="AC60" i="1"/>
  <c r="AB60" i="1"/>
  <c r="X60" i="1"/>
  <c r="AC59" i="1"/>
  <c r="AB59" i="1"/>
  <c r="X59" i="1"/>
  <c r="AC58" i="1"/>
  <c r="AB58" i="1"/>
  <c r="X58" i="1"/>
  <c r="AC57" i="1"/>
  <c r="AB57" i="1"/>
  <c r="X57" i="1"/>
  <c r="AC56" i="1"/>
  <c r="AB56" i="1"/>
  <c r="X56" i="1"/>
  <c r="AC55" i="1"/>
  <c r="AB55" i="1"/>
  <c r="X55" i="1"/>
  <c r="AC54" i="1"/>
  <c r="AB54" i="1"/>
  <c r="X54" i="1"/>
  <c r="AC53" i="1"/>
  <c r="AB53" i="1"/>
  <c r="X53" i="1"/>
  <c r="AC52" i="1"/>
  <c r="AB52" i="1"/>
  <c r="X52" i="1"/>
  <c r="AC51" i="1"/>
  <c r="AB51" i="1"/>
  <c r="X51" i="1"/>
  <c r="AB50" i="1"/>
  <c r="X50" i="1"/>
  <c r="AC49" i="1"/>
  <c r="AB49" i="1"/>
  <c r="X49" i="1"/>
  <c r="AC48" i="1"/>
  <c r="AB48" i="1"/>
  <c r="X48" i="1"/>
  <c r="AC47" i="1"/>
  <c r="AB47" i="1"/>
  <c r="X47" i="1"/>
  <c r="AC46" i="1"/>
  <c r="AB46" i="1"/>
  <c r="X46" i="1"/>
  <c r="AC45" i="1"/>
  <c r="AB45" i="1"/>
  <c r="X45" i="1"/>
  <c r="AC44" i="1"/>
  <c r="AB44" i="1"/>
  <c r="X44" i="1"/>
  <c r="AC43" i="1"/>
  <c r="AB43" i="1"/>
  <c r="X43" i="1"/>
  <c r="AC42" i="1"/>
  <c r="AB42" i="1"/>
  <c r="X42" i="1"/>
  <c r="AC41" i="1"/>
  <c r="AB41" i="1"/>
  <c r="X41" i="1"/>
  <c r="AC40" i="1"/>
  <c r="AB40" i="1"/>
  <c r="X40" i="1"/>
  <c r="AB39" i="1"/>
  <c r="X39" i="1"/>
  <c r="AC38" i="1"/>
  <c r="AB38" i="1"/>
  <c r="X38" i="1"/>
  <c r="AC37" i="1"/>
  <c r="AB37" i="1"/>
  <c r="X37" i="1"/>
  <c r="AC36" i="1"/>
  <c r="AB36" i="1"/>
  <c r="X36" i="1"/>
  <c r="AC35" i="1"/>
  <c r="AB35" i="1"/>
  <c r="X35" i="1"/>
  <c r="AC34" i="1"/>
  <c r="AB34" i="1"/>
  <c r="X34" i="1"/>
  <c r="AC33" i="1"/>
  <c r="AB33" i="1"/>
  <c r="X33" i="1"/>
  <c r="AC32" i="1"/>
  <c r="AB32" i="1"/>
  <c r="X32" i="1"/>
  <c r="AC31" i="1"/>
  <c r="AB31" i="1"/>
  <c r="X31" i="1"/>
  <c r="AC30" i="1"/>
  <c r="AB30" i="1"/>
  <c r="X30" i="1"/>
  <c r="AC29" i="1"/>
  <c r="AB29" i="1"/>
  <c r="X29" i="1"/>
  <c r="AC28" i="1"/>
  <c r="AB28" i="1"/>
  <c r="X28" i="1"/>
  <c r="AC27" i="1"/>
  <c r="AB27" i="1"/>
  <c r="X27" i="1"/>
  <c r="AB26" i="1"/>
  <c r="X26" i="1"/>
  <c r="AC25" i="1"/>
  <c r="AB25" i="1"/>
  <c r="X25" i="1"/>
  <c r="AC24" i="1"/>
  <c r="AB24" i="1"/>
  <c r="X24" i="1"/>
  <c r="AC23" i="1"/>
  <c r="AB23" i="1"/>
  <c r="X23" i="1"/>
  <c r="AC22" i="1"/>
  <c r="AB22" i="1"/>
  <c r="X22" i="1"/>
  <c r="AC21" i="1"/>
  <c r="AB21" i="1"/>
  <c r="X21" i="1"/>
  <c r="AC20" i="1"/>
  <c r="AB20" i="1"/>
  <c r="X20" i="1"/>
  <c r="AC19" i="1"/>
  <c r="AB19" i="1"/>
  <c r="X19" i="1"/>
  <c r="AC18" i="1"/>
  <c r="AB18" i="1"/>
  <c r="X18" i="1"/>
  <c r="AB17" i="1"/>
  <c r="X17" i="1"/>
  <c r="AC16" i="1"/>
  <c r="AB16" i="1"/>
  <c r="X16" i="1"/>
  <c r="AC15" i="1"/>
  <c r="AB15" i="1"/>
  <c r="X15" i="1"/>
  <c r="AC14" i="1"/>
  <c r="AB14" i="1"/>
  <c r="X14" i="1"/>
  <c r="AC13" i="1"/>
  <c r="AB13" i="1"/>
  <c r="X13" i="1"/>
  <c r="AC12" i="1"/>
  <c r="AB12" i="1"/>
  <c r="X12" i="1"/>
  <c r="AC11" i="1"/>
  <c r="AB11" i="1"/>
  <c r="X11" i="1"/>
  <c r="AC10" i="1"/>
  <c r="AB10" i="1"/>
  <c r="X10" i="1"/>
  <c r="AC9" i="1"/>
  <c r="AB9" i="1"/>
  <c r="X9" i="1"/>
  <c r="AB8" i="1"/>
  <c r="X8" i="1"/>
  <c r="AC7" i="1"/>
  <c r="AB7" i="1"/>
  <c r="X7" i="1"/>
  <c r="AC6" i="1"/>
  <c r="AB6" i="1"/>
  <c r="X6" i="1"/>
  <c r="AB5" i="1"/>
  <c r="X5" i="1"/>
  <c r="AB4" i="1"/>
  <c r="X4" i="1"/>
  <c r="AB3" i="1"/>
  <c r="X3" i="1"/>
  <c r="AB2" i="1"/>
  <c r="X2" i="1"/>
  <c r="A167" i="1" a="1"/>
  <c r="A171" i="1" l="1"/>
  <c r="A170" i="1"/>
  <c r="A169" i="1"/>
  <c r="A168" i="1"/>
  <c r="A167" i="1"/>
  <c r="W155" i="1"/>
  <c r="M156" i="1"/>
  <c r="P156" i="1" s="1"/>
  <c r="W156" i="1" s="1"/>
  <c r="M161" i="1"/>
  <c r="P161" i="1" s="1"/>
  <c r="W161" i="1" s="1"/>
  <c r="M154" i="1"/>
  <c r="P154" i="1" s="1"/>
  <c r="W154" i="1" s="1"/>
  <c r="M159" i="1"/>
  <c r="P159" i="1" s="1"/>
  <c r="W159" i="1" s="1"/>
  <c r="M152" i="1"/>
  <c r="P152" i="1" s="1"/>
  <c r="M157" i="1"/>
  <c r="P157" i="1" s="1"/>
  <c r="W157" i="1" s="1"/>
  <c r="M160" i="1"/>
  <c r="P160" i="1" s="1"/>
  <c r="W160" i="1" s="1"/>
  <c r="M153" i="1"/>
  <c r="P153" i="1" s="1"/>
  <c r="W153" i="1" s="1"/>
  <c r="A137" i="1" l="1"/>
  <c r="A125" i="1"/>
  <c r="A113" i="1"/>
  <c r="A101" i="1"/>
  <c r="A89" i="1"/>
  <c r="A77" i="1"/>
  <c r="A65" i="1"/>
  <c r="A53" i="1"/>
  <c r="A41" i="1"/>
  <c r="A29" i="1"/>
  <c r="A17" i="1"/>
  <c r="A5" i="1"/>
  <c r="A144" i="1"/>
  <c r="A132" i="1"/>
  <c r="A120" i="1"/>
  <c r="A108" i="1"/>
  <c r="A96" i="1"/>
  <c r="A84" i="1"/>
  <c r="A72" i="1"/>
  <c r="A60" i="1"/>
  <c r="A48" i="1"/>
  <c r="A36" i="1"/>
  <c r="A24" i="1"/>
  <c r="A12" i="1"/>
  <c r="A46" i="1"/>
  <c r="A139" i="1"/>
  <c r="A127" i="1"/>
  <c r="A115" i="1"/>
  <c r="A103" i="1"/>
  <c r="A91" i="1"/>
  <c r="A79" i="1"/>
  <c r="A67" i="1"/>
  <c r="A55" i="1"/>
  <c r="A43" i="1"/>
  <c r="A31" i="1"/>
  <c r="A19" i="1"/>
  <c r="A7" i="1"/>
  <c r="A70" i="1"/>
  <c r="A34" i="1"/>
  <c r="A146" i="1"/>
  <c r="A134" i="1"/>
  <c r="A122" i="1"/>
  <c r="A110" i="1"/>
  <c r="A98" i="1"/>
  <c r="A86" i="1"/>
  <c r="A74" i="1"/>
  <c r="A62" i="1"/>
  <c r="A50" i="1"/>
  <c r="A38" i="1"/>
  <c r="A26" i="1"/>
  <c r="A14" i="1"/>
  <c r="A2" i="1"/>
  <c r="Y2" i="1" s="1"/>
  <c r="A45" i="1"/>
  <c r="A33" i="1"/>
  <c r="A21" i="1"/>
  <c r="A9" i="1"/>
  <c r="A28" i="1"/>
  <c r="A16" i="1"/>
  <c r="A4" i="1"/>
  <c r="Y4" i="1" s="1"/>
  <c r="AC4" i="1" s="1"/>
  <c r="A22" i="1"/>
  <c r="W152" i="1"/>
  <c r="W162" i="1" s="1"/>
  <c r="A141" i="1"/>
  <c r="A129" i="1"/>
  <c r="A117" i="1"/>
  <c r="A105" i="1"/>
  <c r="A93" i="1"/>
  <c r="A81" i="1"/>
  <c r="A69" i="1"/>
  <c r="A57" i="1"/>
  <c r="A94" i="1"/>
  <c r="A82" i="1"/>
  <c r="A10" i="1"/>
  <c r="A136" i="1"/>
  <c r="A124" i="1"/>
  <c r="A112" i="1"/>
  <c r="A100" i="1"/>
  <c r="A88" i="1"/>
  <c r="A76" i="1"/>
  <c r="A64" i="1"/>
  <c r="A52" i="1"/>
  <c r="A40" i="1"/>
  <c r="A143" i="1"/>
  <c r="A131" i="1"/>
  <c r="A119" i="1"/>
  <c r="A107" i="1"/>
  <c r="A95" i="1"/>
  <c r="A83" i="1"/>
  <c r="A71" i="1"/>
  <c r="A59" i="1"/>
  <c r="A47" i="1"/>
  <c r="A35" i="1"/>
  <c r="A23" i="1"/>
  <c r="A11" i="1"/>
  <c r="A106" i="1"/>
  <c r="P162" i="1"/>
  <c r="A138" i="1"/>
  <c r="A126" i="1"/>
  <c r="A114" i="1"/>
  <c r="A102" i="1"/>
  <c r="A90" i="1"/>
  <c r="A78" i="1"/>
  <c r="A66" i="1"/>
  <c r="A54" i="1"/>
  <c r="A42" i="1"/>
  <c r="A30" i="1"/>
  <c r="A18" i="1"/>
  <c r="A6" i="1"/>
  <c r="A58" i="1"/>
  <c r="A145" i="1"/>
  <c r="A133" i="1"/>
  <c r="A121" i="1"/>
  <c r="A109" i="1"/>
  <c r="A97" i="1"/>
  <c r="A85" i="1"/>
  <c r="A73" i="1"/>
  <c r="A61" i="1"/>
  <c r="A49" i="1"/>
  <c r="A37" i="1"/>
  <c r="A25" i="1"/>
  <c r="A13" i="1"/>
  <c r="A44" i="1"/>
  <c r="A32" i="1"/>
  <c r="A20" i="1"/>
  <c r="A8" i="1"/>
  <c r="A140" i="1"/>
  <c r="A128" i="1"/>
  <c r="A116" i="1"/>
  <c r="A104" i="1"/>
  <c r="A92" i="1"/>
  <c r="A80" i="1"/>
  <c r="A68" i="1"/>
  <c r="A56" i="1"/>
  <c r="A118" i="1"/>
  <c r="A135" i="1"/>
  <c r="A123" i="1"/>
  <c r="A111" i="1"/>
  <c r="A99" i="1"/>
  <c r="A87" i="1"/>
  <c r="A75" i="1"/>
  <c r="A63" i="1"/>
  <c r="A51" i="1"/>
  <c r="A39" i="1"/>
  <c r="A27" i="1"/>
  <c r="A15" i="1"/>
  <c r="A3" i="1"/>
  <c r="Y3" i="1" s="1"/>
  <c r="AC3" i="1" s="1"/>
  <c r="A142" i="1"/>
  <c r="A130" i="1"/>
  <c r="Y53" i="1" l="1"/>
  <c r="Y61" i="1"/>
  <c r="Y58" i="1"/>
  <c r="Y62" i="1"/>
  <c r="Y57" i="1"/>
  <c r="Y55" i="1"/>
  <c r="Y50" i="1"/>
  <c r="AC50" i="1" s="1"/>
  <c r="Y51" i="1"/>
  <c r="Y56" i="1"/>
  <c r="Y60" i="1"/>
  <c r="Y59" i="1"/>
  <c r="Y52" i="1"/>
  <c r="Y54" i="1"/>
  <c r="Y39" i="1"/>
  <c r="AC39" i="1" s="1"/>
  <c r="Y47" i="1"/>
  <c r="Y48" i="1"/>
  <c r="Y41" i="1"/>
  <c r="Y43" i="1"/>
  <c r="Y49" i="1"/>
  <c r="Y46" i="1"/>
  <c r="Y44" i="1"/>
  <c r="Y40" i="1"/>
  <c r="Y42" i="1"/>
  <c r="Y45" i="1"/>
  <c r="Y23" i="1"/>
  <c r="Y17" i="1"/>
  <c r="AC17" i="1" s="1"/>
  <c r="Y20" i="1"/>
  <c r="Y19" i="1"/>
  <c r="Y21" i="1"/>
  <c r="Y24" i="1"/>
  <c r="Y18" i="1"/>
  <c r="Y22" i="1"/>
  <c r="Y25" i="1"/>
  <c r="Y82" i="1"/>
  <c r="Y87" i="1"/>
  <c r="Y81" i="1"/>
  <c r="Y84" i="1"/>
  <c r="Y85" i="1"/>
  <c r="Y86" i="1"/>
  <c r="Y79" i="1"/>
  <c r="AC79" i="1" s="1"/>
  <c r="Y80" i="1"/>
  <c r="Y83" i="1"/>
  <c r="Y78" i="1"/>
  <c r="Y76" i="1"/>
  <c r="Y73" i="1"/>
  <c r="Y72" i="1"/>
  <c r="AC72" i="1" s="1"/>
  <c r="Y77" i="1"/>
  <c r="Y74" i="1"/>
  <c r="Y75" i="1"/>
  <c r="Y107" i="1"/>
  <c r="Y106" i="1"/>
  <c r="Y102" i="1"/>
  <c r="Y105" i="1"/>
  <c r="Y103" i="1"/>
  <c r="Y101" i="1"/>
  <c r="Y110" i="1"/>
  <c r="Y111" i="1"/>
  <c r="Y109" i="1"/>
  <c r="Y99" i="1"/>
  <c r="AC99" i="1" s="1"/>
  <c r="Y113" i="1"/>
  <c r="Y100" i="1"/>
  <c r="Y112" i="1"/>
  <c r="Y104" i="1"/>
  <c r="Y108" i="1"/>
  <c r="Y94" i="1"/>
  <c r="Y90" i="1"/>
  <c r="Y89" i="1"/>
  <c r="Y98" i="1"/>
  <c r="Y93" i="1"/>
  <c r="Y97" i="1"/>
  <c r="Y96" i="1"/>
  <c r="Y88" i="1"/>
  <c r="AC88" i="1" s="1"/>
  <c r="Y91" i="1"/>
  <c r="Y92" i="1"/>
  <c r="Y95" i="1"/>
  <c r="AC2" i="1"/>
  <c r="Y69" i="1"/>
  <c r="Y64" i="1"/>
  <c r="Y65" i="1"/>
  <c r="Y70" i="1"/>
  <c r="Y66" i="1"/>
  <c r="Y71" i="1"/>
  <c r="Y68" i="1"/>
  <c r="Y67" i="1"/>
  <c r="Y63" i="1"/>
  <c r="AC63" i="1" s="1"/>
  <c r="Y7" i="1"/>
  <c r="Y6" i="1"/>
  <c r="Y5" i="1"/>
  <c r="AC5" i="1" s="1"/>
  <c r="Y136" i="1"/>
  <c r="Y145" i="1"/>
  <c r="Y128" i="1"/>
  <c r="Y119" i="1"/>
  <c r="Y127" i="1"/>
  <c r="Y140" i="1"/>
  <c r="Y131" i="1"/>
  <c r="Y143" i="1"/>
  <c r="Y137" i="1"/>
  <c r="Y118" i="1"/>
  <c r="Y132" i="1"/>
  <c r="Y114" i="1"/>
  <c r="AC114" i="1" s="1"/>
  <c r="Y115" i="1"/>
  <c r="Y130" i="1"/>
  <c r="Y126" i="1"/>
  <c r="Y117" i="1"/>
  <c r="Y129" i="1"/>
  <c r="Y120" i="1"/>
  <c r="Y142" i="1"/>
  <c r="Y138" i="1"/>
  <c r="Y141" i="1"/>
  <c r="Y124" i="1"/>
  <c r="Y139" i="1"/>
  <c r="Y122" i="1"/>
  <c r="Y134" i="1"/>
  <c r="Y123" i="1"/>
  <c r="Y144" i="1"/>
  <c r="Y121" i="1"/>
  <c r="Y146" i="1"/>
  <c r="Y135" i="1"/>
  <c r="Y116" i="1"/>
  <c r="Y133" i="1"/>
  <c r="Y125" i="1"/>
  <c r="Y28" i="1"/>
  <c r="Y33" i="1"/>
  <c r="Y26" i="1"/>
  <c r="AC26" i="1" s="1"/>
  <c r="Y35" i="1"/>
  <c r="Y32" i="1"/>
  <c r="Y31" i="1"/>
  <c r="Y38" i="1"/>
  <c r="Y27" i="1"/>
  <c r="Y36" i="1"/>
  <c r="Y30" i="1"/>
  <c r="Y29" i="1"/>
  <c r="Y37" i="1"/>
  <c r="Y34" i="1"/>
  <c r="Y14" i="1"/>
  <c r="Y10" i="1"/>
  <c r="Y16" i="1"/>
  <c r="Y8" i="1"/>
  <c r="AC8" i="1" s="1"/>
  <c r="Y11" i="1"/>
  <c r="Y13" i="1"/>
  <c r="Y9" i="1"/>
  <c r="Y12" i="1"/>
  <c r="Y15" i="1"/>
  <c r="AC1" i="1" l="1"/>
  <c r="Y1" i="1"/>
</calcChain>
</file>

<file path=xl/comments1.xml><?xml version="1.0" encoding="utf-8"?>
<comments xmlns="http://schemas.openxmlformats.org/spreadsheetml/2006/main">
  <authors>
    <author>None</author>
  </authors>
  <commentList>
    <comment ref="B1" authorId="0" shapeId="0">
      <text>
        <r>
          <rPr>
            <sz val="10"/>
            <rFont val="Arial"/>
            <family val="2"/>
          </rPr>
          <t>Bases de datos
Estructura Proyecto
Líder equipo, creación actividad
Taskman</t>
        </r>
      </text>
    </comment>
    <comment ref="C1" authorId="0" shapeId="0">
      <text>
        <r>
          <rPr>
            <sz val="10"/>
            <rFont val="Arial"/>
            <family val="2"/>
          </rPr>
          <t>Diseño interfaz</t>
        </r>
      </text>
    </comment>
    <comment ref="D1" authorId="0" shapeId="0">
      <text>
        <r>
          <rPr>
            <sz val="10"/>
            <rFont val="Arial"/>
            <family val="2"/>
          </rPr>
          <t>Frontend Medium</t>
        </r>
      </text>
    </comment>
    <comment ref="E1" authorId="0" shapeId="0">
      <text>
        <r>
          <rPr>
            <sz val="10"/>
            <rFont val="Arial"/>
            <family val="2"/>
          </rPr>
          <t>Backend Senior</t>
        </r>
      </text>
    </comment>
    <comment ref="F1" authorId="0" shapeId="0">
      <text>
        <r>
          <rPr>
            <sz val="10"/>
            <rFont val="Arial"/>
            <family val="2"/>
          </rPr>
          <t>Backend Medium</t>
        </r>
      </text>
    </comment>
    <comment ref="G1" authorId="0" shapeId="0">
      <text>
        <r>
          <rPr>
            <sz val="10"/>
            <rFont val="Arial"/>
            <family val="2"/>
          </rPr>
          <t>QA, Test</t>
        </r>
      </text>
    </comment>
    <comment ref="H1" authorId="0" shapeId="0">
      <text>
        <r>
          <rPr>
            <sz val="10"/>
            <rFont val="Arial"/>
            <family val="2"/>
          </rPr>
          <t>Implementación, capacitación, entrega</t>
        </r>
      </text>
    </comment>
    <comment ref="I1" authorId="0" shapeId="0">
      <text>
        <r>
          <rPr>
            <sz val="10"/>
            <rFont val="Arial"/>
            <family val="2"/>
          </rPr>
          <t>Mobile Semi-senior</t>
        </r>
      </text>
    </comment>
    <comment ref="J1" authorId="0" shapeId="0">
      <text>
        <r>
          <rPr>
            <sz val="10"/>
            <rFont val="Arial"/>
            <family val="2"/>
          </rPr>
          <t>Mobile Medium</t>
        </r>
      </text>
    </comment>
    <comment ref="K1" authorId="0" shape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O1" authorId="0" shapeId="0">
      <text>
        <r>
          <rPr>
            <sz val="10"/>
            <rFont val="Arial"/>
            <family val="2"/>
          </rPr>
          <t xml:space="preserve">Resumen del Proyecto 
</t>
        </r>
      </text>
    </comment>
    <comment ref="W1" authorId="0" shapeId="0">
      <text>
        <r>
          <rPr>
            <sz val="10"/>
            <rFont val="Arial"/>
            <family val="2"/>
          </rPr>
          <t>Fecha de actualización</t>
        </r>
      </text>
    </comment>
    <comment ref="Y1" authorId="0" shapeId="0">
      <text>
        <r>
          <rPr>
            <sz val="10"/>
            <rFont val="Arial"/>
            <family val="2"/>
          </rPr>
          <t>COSTO con todos los alcances</t>
        </r>
      </text>
    </comment>
    <comment ref="Z1" authorId="0" shapeId="0">
      <text>
        <r>
          <rPr>
            <sz val="10"/>
            <rFont val="Arial"/>
            <family val="2"/>
          </rPr>
          <t>Alcances que se consideran importantes para el cliente, son Plus o hacen parte esencial de la oferta de valor</t>
        </r>
      </text>
    </comment>
    <comment ref="AA1" authorId="0" shapeId="0">
      <text>
        <r>
          <rPr>
            <sz val="10"/>
            <rFont val="Arial"/>
            <family val="2"/>
          </rPr>
          <t>Ítems o funcionalidades que No son criticas o prioritarias en el sistema y sería posible eliminarlas</t>
        </r>
      </text>
    </comment>
    <comment ref="AB1" authorId="0" shapeId="0">
      <text>
        <r>
          <rPr>
            <sz val="10"/>
            <rFont val="Arial"/>
            <family val="2"/>
          </rPr>
          <t>Selección de alcances, para creación de 2da versión de la oferta</t>
        </r>
      </text>
    </comment>
    <comment ref="I149" authorId="0" shapeId="0">
      <text>
        <r>
          <rPr>
            <sz val="10"/>
            <rFont val="Arial"/>
            <family val="2"/>
          </rPr>
          <t>Valor mensual por persona</t>
        </r>
      </text>
    </comment>
    <comment ref="M149" authorId="0" shapeId="0">
      <text>
        <r>
          <rPr>
            <sz val="10"/>
            <rFont val="Arial"/>
            <family val="2"/>
          </rPr>
          <t>Espacio de trabajo + Computador</t>
        </r>
      </text>
    </comment>
    <comment ref="E150" authorId="0" shapeId="0">
      <text>
        <r>
          <rPr>
            <sz val="10"/>
            <rFont val="Arial"/>
            <family val="2"/>
          </rPr>
          <t>Salario minimo legal vigente</t>
        </r>
      </text>
    </comment>
    <comment ref="G150" authorId="0" shapeId="0">
      <text>
        <r>
          <rPr>
            <sz val="10"/>
            <rFont val="Arial"/>
            <family val="2"/>
          </rPr>
          <t>Auxilio de transporte</t>
        </r>
      </text>
    </comment>
    <comment ref="J150" authorId="0" shapeId="0">
      <text>
        <r>
          <rPr>
            <sz val="10"/>
            <rFont val="Arial"/>
            <family val="2"/>
          </rPr>
          <t>12% pensión
4% caja
0,5% ARL
13% adicional si fueran +10 salarios</t>
        </r>
      </text>
    </comment>
    <comment ref="M150" authorId="0" shapeId="0">
      <text>
        <r>
          <rPr>
            <sz val="10"/>
            <rFont val="Arial"/>
            <family val="2"/>
          </rPr>
          <t>1 primas
1 cesantías
0,5 vacaciones
1% intereses censantías + aux</t>
        </r>
      </text>
    </comment>
    <comment ref="O150" authorId="0" shapeId="0">
      <text>
        <r>
          <rPr>
            <sz val="10"/>
            <rFont val="Arial"/>
            <family val="2"/>
          </rPr>
          <t>40 semanales
x 4,2 semanas al mes
x días festivos del año / total hábiles</t>
        </r>
      </text>
    </comment>
    <comment ref="I157" authorId="0" shapeId="0">
      <text>
        <r>
          <rPr>
            <sz val="10"/>
            <rFont val="Arial"/>
            <family val="2"/>
          </rPr>
          <t>Equipos mobile para test</t>
        </r>
      </text>
    </comment>
    <comment ref="I159" authorId="0" shapeId="0">
      <text>
        <r>
          <rPr>
            <sz val="10"/>
            <rFont val="Arial"/>
            <family val="2"/>
          </rPr>
          <t>Equipo MAC para despliegue</t>
        </r>
      </text>
    </comment>
    <comment ref="I160" authorId="0" shapeId="0">
      <text>
        <r>
          <rPr>
            <sz val="10"/>
            <rFont val="Arial"/>
            <family val="2"/>
          </rPr>
          <t>Equipo MAC para despliegue</t>
        </r>
      </text>
    </comment>
  </commentList>
</comments>
</file>

<file path=xl/sharedStrings.xml><?xml version="1.0" encoding="utf-8"?>
<sst xmlns="http://schemas.openxmlformats.org/spreadsheetml/2006/main" count="197" uniqueCount="195">
  <si>
    <t>Días de Trabajo por especialidad</t>
  </si>
  <si>
    <t>DB</t>
  </si>
  <si>
    <t>UX</t>
  </si>
  <si>
    <t>FM</t>
  </si>
  <si>
    <t>BS</t>
  </si>
  <si>
    <t>BM</t>
  </si>
  <si>
    <t>QA</t>
  </si>
  <si>
    <t>IM</t>
  </si>
  <si>
    <t>MS</t>
  </si>
  <si>
    <t>MM</t>
  </si>
  <si>
    <t xml:space="preserve">IA </t>
  </si>
  <si>
    <t>Resumen</t>
  </si>
  <si>
    <t>Escribe acá una breve descripción del proyecto</t>
  </si>
  <si>
    <t>Plus</t>
  </si>
  <si>
    <t>Quitar</t>
  </si>
  <si>
    <t>2da Ver</t>
  </si>
  <si>
    <t>Estructura del proyecto</t>
  </si>
  <si>
    <t>UX y esquema del proyecto</t>
  </si>
  <si>
    <t>Implementación y entrega del sistema</t>
  </si>
  <si>
    <t xml:space="preserve">Estructura del agente IA </t>
  </si>
  <si>
    <t>SEGURIDAD, USUARIOS Y AUDITORÍA - Acceso por rol, trazabilidad de acciones y configuración</t>
  </si>
  <si>
    <t>Creación de usuarios y asignación de roles</t>
  </si>
  <si>
    <t>Como administrador, para controlar el acceso: usuario activo, rol asignado, acceso restringido y registro en auditoría.</t>
  </si>
  <si>
    <t>Definición de permisos por módulo y acción</t>
  </si>
  <si>
    <t>Como líder, para aplicar segregación de funciones: permisos de consultar, crear, aprobar, ajustar y exportar, con pruebas por rol.</t>
  </si>
  <si>
    <t>Consulta de auditoría de creación y modificación</t>
  </si>
  <si>
    <t>Como auditor, para investigar diferencias: fecha, hora, usuario, valor anterior, valor nuevo y motivo visibles.</t>
  </si>
  <si>
    <t>Ingreso desde tablet o computador</t>
  </si>
  <si>
    <t>Como usuario, para registrar en el punto de operación: interfaz adaptable, sesión segura y operación en navegadores aprobados.</t>
  </si>
  <si>
    <t>DATOS MAESTROS Y CONVERSIONES - Productos, unidades, presentaciones, rutas, materiales, capacidades y reglas</t>
  </si>
  <si>
    <t>Mantenimiento de productos y presentaciones</t>
  </si>
  <si>
    <t>Como administrador, para evitar conversiones manuales: código, nombre, unidad, empaque, vigencia y estado configurables.</t>
  </si>
  <si>
    <t>Configuración de conversiones de empaque</t>
  </si>
  <si>
    <t>Como planeador, entre six-pack, cajas, cestillos, canastillas, arrumes y estibas: conversión por referencia, fechas de vigencia y validación automática.</t>
  </si>
  <si>
    <t>Registro de rutas, proveedores, ubicaciones, equipos y silos</t>
  </si>
  <si>
    <t>Como administrador: catálogos con código único, estado y responsable.</t>
  </si>
  <si>
    <t>Configuración de mínimos, máximos, capacidades y tolerancias</t>
  </si>
  <si>
    <t>Como líder: parámetros versionados, historial de cambios y vigencia.</t>
  </si>
  <si>
    <t>CESTILLOS Y CANASTILLAS - Recepción, aprobación, cargue, saldos, inventario y ubicación</t>
  </si>
  <si>
    <t>Consulta de saldo de cestillos por ruta</t>
  </si>
  <si>
    <t>Como receptor, antes de registrar la devolución: saldo actual visible por tipo y movimientos pendientes identificados.</t>
  </si>
  <si>
    <t>Registro en tablet de cestillos devueltos</t>
  </si>
  <si>
    <t>Como receptor, para eliminar el recibo azul: ruta, vehículo, responsable, cantidad, tipo, fecha y evidencia guardados.</t>
  </si>
  <si>
    <t>Aprobación de devolución de cestillos</t>
  </si>
  <si>
    <t>Como despachador, para habilitar el nuevo cargue: aprobación con usuario y hora, rechazo con motivo y notificación al receptor.</t>
  </si>
  <si>
    <t>Registro de nuevo cargue y cálculo de saldo</t>
  </si>
  <si>
    <t>Como despachador: conversión automática, saldo actualizado y no duplicidad.</t>
  </si>
  <si>
    <t>Consulta global de ubicación de cestillos</t>
  </si>
  <si>
    <t>Como líder, para conciliar el inventario global: vista por planta, bodega, ruta, estado y antigüedad.</t>
  </si>
  <si>
    <t>Registro de conteos físicos y diferencias</t>
  </si>
  <si>
    <t>Como inventarista, para cerrar diariamente: conteo por ubicación, diferencia calculada y ajuste con autorización.</t>
  </si>
  <si>
    <t>MATERIAS PRIMAS E INSUMOS - Recepción, lotes, inventario, reconversión y consumos</t>
  </si>
  <si>
    <t>Registro de entrada de materia prima</t>
  </si>
  <si>
    <t>Como receptor, con lote y proveedor: cantidad, unidad, fecha, calidad, lote, proveedor y evidencia obligatorios.</t>
  </si>
  <si>
    <t>Aprobación o bloqueo de lote</t>
  </si>
  <si>
    <t>Como calidad, para controlar su uso: estados recibido, en análisis, liberado, bloqueado y rechazado.</t>
  </si>
  <si>
    <t>Asociación de consumos a orden de producción</t>
  </si>
  <si>
    <t>Como producción: solo lotes disponibles, descuento automático, responsable y turno.</t>
  </si>
  <si>
    <t>Registro de reconversión de leche reconstituida</t>
  </si>
  <si>
    <t>Como producción, para rastrear la reconversión: insumos, porcentaje, cantidad resultante, lote nuevo y destino registrados.</t>
  </si>
  <si>
    <t>Comparación de inventario teórico vs. físico</t>
  </si>
  <si>
    <t>Como inventarista, diariamente: diferencia por material y lote, con tolerancia y flujo de justificación.</t>
  </si>
  <si>
    <t>PEDIDOS Y PROGRAMACIÓN - Demanda, mínimos/máximos, capacidad y plan diario/semanal</t>
  </si>
  <si>
    <t>Registro de pedidos</t>
  </si>
  <si>
    <t>Como comercial, con cliente, referencia, cantidad y fecha: validación de campos, estados e historial de cambios.</t>
  </si>
  <si>
    <t>Consolidación de pedidos por semana y referencia</t>
  </si>
  <si>
    <t>Como planeador: totales automáticos, filtros e identificación de pedidos diarios.</t>
  </si>
  <si>
    <t>Consulta de inventario disponible convertido a unidad de programación</t>
  </si>
  <si>
    <t>Como planeador: conversión automática, reserva de pedidos e inventario comprometido.</t>
  </si>
  <si>
    <t>Propuesta de producción diaria viable</t>
  </si>
  <si>
    <t>Como planeador: considera demanda, inventario, leche, empaques, cestillos, silos, equipos y personal.</t>
  </si>
  <si>
    <t>Simulación de escenarios de producción</t>
  </si>
  <si>
    <t>Como planeador, para evaluar pedidos adicionales o reprogramaciones: escenario sin afectar el plan aprobado y comparación de impacto.</t>
  </si>
  <si>
    <t>Aprobación y publicación del plan de producción</t>
  </si>
  <si>
    <t>Como líder, para que las áreas trabajen sobre una versión oficial: versión, aprobador, fecha, comentarios y notificación.</t>
  </si>
  <si>
    <t>PRODUCCIÓN Y RENDIMIENTO - Órdenes, consumos, empacado, rendimiento, paradas y diferencias</t>
  </si>
  <si>
    <t>Creación y ejecución de órdenes de producción</t>
  </si>
  <si>
    <t>Como producción: referencia, cantidad, formulación, turno, equipo, fechas y estado.</t>
  </si>
  <si>
    <t>Registro de cantidades entregadas y empacadas</t>
  </si>
  <si>
    <t>Como producción, por pasteurización: comparación automática y diferencia calculada.</t>
  </si>
  <si>
    <t>Registro de paradas y causas</t>
  </si>
  <si>
    <t>Como supervisor, para medir rendimiento: inicio, fin, equipo, causa, responsable y observación.</t>
  </si>
  <si>
    <t>Consulta de rendimiento por equipo y alertas</t>
  </si>
  <si>
    <t>Como gerente: indicador configurable con desglose por turno, producto y causa.</t>
  </si>
  <si>
    <t>BODEGA Y DESPACHOS - Producto terminado, movimientos, cierres y conciliación</t>
  </si>
  <si>
    <t>Recepción de producto terminado desde producción</t>
  </si>
  <si>
    <t>Como bodega: orden, lote, cantidad, ubicación, estado y usuario registrados.</t>
  </si>
  <si>
    <t>Registro y cierre de despachos el mismo día</t>
  </si>
  <si>
    <t>Como despachador: fecha operativa y fecha de cierre, alerta de abiertos y cantidades por referencia.</t>
  </si>
  <si>
    <t>Conciliación de inventario inicial, entradas, salidas, roturas y final</t>
  </si>
  <si>
    <t>Como inventarista: cálculo por referencia y ubicación, con diferencias visibles.</t>
  </si>
  <si>
    <t>INCIDENCIAS Y DESPERDICIOS - Roturas, devoluciones, reprocesos, muestras y causas</t>
  </si>
  <si>
    <t>Registro de rotura, devolución, muestra o reproceso</t>
  </si>
  <si>
    <t>Como usuario: tipo, origen, producto, lote, cantidad, causa, evidencia y destino.</t>
  </si>
  <si>
    <t>Separación del registro operativo y el efecto contable</t>
  </si>
  <si>
    <t>Como contabilidad: bandera y tratamiento contable, sin duplicidad y con soporte obligatorio.</t>
  </si>
  <si>
    <t>Trazabilidad del reproceso hasta la orden de consumo</t>
  </si>
  <si>
    <t>Como producción: lote de reproceso, cantidad disponible, consumo y saldo.</t>
  </si>
  <si>
    <t>Registro de desperdicio por orden, máquina y causa</t>
  </si>
  <si>
    <t>Como supervisor: comparación con tolerancia, alerta y acción correctiva.</t>
  </si>
  <si>
    <t>EMPAQUES, COMPRAS Y PROVEEDORES - Inventario, cobertura, sugerencias, órdenes y entregas</t>
  </si>
  <si>
    <t>Registro de entradas y salidas reales de empaques</t>
  </si>
  <si>
    <t>Como almacén: material, lote, proveedor, cantidad, orden y saldo.</t>
  </si>
  <si>
    <t>Consulta de días de cobertura y materiales críticos</t>
  </si>
  <si>
    <t>Como compras: consumo real/promedio, pedidos en tránsito y semáforo.</t>
  </si>
  <si>
    <t>Sugerencia de compra respetando mínimos y plazo</t>
  </si>
  <si>
    <t>Como compras: cantidad sugerida, mínimo, cobertura objetivo y fecha requerida.</t>
  </si>
  <si>
    <t>Programación de entregas parciales por proveedor</t>
  </si>
  <si>
    <t>Como compras: fechas, cantidades, capacidad de bodega y estado de entrega.</t>
  </si>
  <si>
    <t>Evaluación de precio, calidad y cumplimiento de proveedores</t>
  </si>
  <si>
    <t>Como gerente: indicadores por proveedor y periodo.</t>
  </si>
  <si>
    <t>ALERTAS, REPORTES E INTEGRACIÓN - Tableros, cierres, exportaciones y WMS</t>
  </si>
  <si>
    <t>Alertas según rol del usuario</t>
  </si>
  <si>
    <t>Como usuario: inventario bajo, diferencia, atraso, bajo rendimiento y movimiento pendiente.</t>
  </si>
  <si>
    <t>Tablero ejecutivo diario</t>
  </si>
  <si>
    <t>Como gerente: inventarios, producción, cumplimiento, diferencias, desperdicios y alertas.</t>
  </si>
  <si>
    <t>Exportación de cierres mensuales</t>
  </si>
  <si>
    <t>Como contabilidad: formato definido, periodo cerrado y trazabilidad al detalle.</t>
  </si>
  <si>
    <t>Importación de datos iniciales desde Excel</t>
  </si>
  <si>
    <t>Como administrador: plantilla validada, errores reportados y no duplicidad.</t>
  </si>
  <si>
    <t>Integración futura con el WMS</t>
  </si>
  <si>
    <t>Como organización, cuando se confirme el mecanismo técnico: API, base de datos o archivos, con sincronización y manejo de errores.</t>
  </si>
  <si>
    <t>Búsqueda y filtro de movimientos históricos</t>
  </si>
  <si>
    <t>Como usuario: filtros combinables, exportación autorizada y respuesta oportuna.</t>
  </si>
  <si>
    <t>Configuración de cierres diarios, quincenales y mensuales</t>
  </si>
  <si>
    <t>Como administrador: bloqueo de periodos, reapertura autorizada y auditoría.</t>
  </si>
  <si>
    <t>REQUISITOS NO FUNCIONALES - Atributos de calidad transversales: seguridad, desempeño, disponibilidad y mantenibilidad</t>
  </si>
  <si>
    <t>Seguridad</t>
  </si>
  <si>
    <t>Autenticación segura, contraseñas robustas y control de sesión.</t>
  </si>
  <si>
    <t>Autorización</t>
  </si>
  <si>
    <t>Permisos por rol, módulo, acción y ubicación.</t>
  </si>
  <si>
    <t>Auditoría</t>
  </si>
  <si>
    <t>Conservar creación, modificación, aprobación, ajuste, exportación e inicio de sesión.</t>
  </si>
  <si>
    <t>Disponibilidad</t>
  </si>
  <si>
    <t>Objetivo inicial de 99,5% mensual, sujeto a infraestructura contratada.</t>
  </si>
  <si>
    <t>Rendimiento</t>
  </si>
  <si>
    <t>Operaciones frecuentes en menos de 3 segundos en condiciones normales.</t>
  </si>
  <si>
    <t>Usabilidad</t>
  </si>
  <si>
    <t>Diseño responsive para tablet y computador, con formularios simples y validaciones claras.</t>
  </si>
  <si>
    <t>Integridad</t>
  </si>
  <si>
    <t>Transacciones atómicas, control de duplicidad y restricciones de consistencia.</t>
  </si>
  <si>
    <t>Respaldo</t>
  </si>
  <si>
    <t>Copias automáticas, política de retención y pruebas de restauración.</t>
  </si>
  <si>
    <t>Trazabilidad</t>
  </si>
  <si>
    <t>Todo saldo debe poder explicarse mediante movimientos identificables.</t>
  </si>
  <si>
    <t>Escalabilidad</t>
  </si>
  <si>
    <t>Arquitectura modular para nuevas plantas, bodegas, rutas y referencias.</t>
  </si>
  <si>
    <t>Interoperabilidad</t>
  </si>
  <si>
    <t>API y mecanismos de importación/exportación documentados.</t>
  </si>
  <si>
    <t>Privacidad</t>
  </si>
  <si>
    <t>Protección de información empresarial y uso conforme a políticas internas.</t>
  </si>
  <si>
    <t>Mantenibilidad</t>
  </si>
  <si>
    <t>Código versionado, pruebas, documentación técnica y ambientes separados.</t>
  </si>
  <si>
    <t>Observabilidad</t>
  </si>
  <si>
    <t>Logs, monitoreo, métricas y alertas técnicas.</t>
  </si>
  <si>
    <t>Accesibilidad</t>
  </si>
  <si>
    <t>Contraste, tamaño de controles y navegación adecuados para operación en planta.</t>
  </si>
  <si>
    <t>Continuidad</t>
  </si>
  <si>
    <t>Modo de contingencia documentado ante pérdida temporal de conectividad.</t>
  </si>
  <si>
    <t>No borrar</t>
  </si>
  <si>
    <t>Costos Fijos -&gt;</t>
  </si>
  <si>
    <t>Min</t>
  </si>
  <si>
    <t>Aux</t>
  </si>
  <si>
    <t>SS</t>
  </si>
  <si>
    <t>Prov</t>
  </si>
  <si>
    <t>Horas</t>
  </si>
  <si>
    <t>AIU</t>
  </si>
  <si>
    <t>Horas Rango</t>
  </si>
  <si>
    <t>Básico</t>
  </si>
  <si>
    <t>Bono</t>
  </si>
  <si>
    <t>Otros</t>
  </si>
  <si>
    <t>TOTAL</t>
  </si>
  <si>
    <t>Valor Hora</t>
  </si>
  <si>
    <t>Valor Proyecto</t>
  </si>
  <si>
    <t>DB, Líder, Arquitecto, Scrum</t>
  </si>
  <si>
    <t>Diseño UI/UX</t>
  </si>
  <si>
    <t>FrontEnd Medium</t>
  </si>
  <si>
    <t>BackEnd Senior</t>
  </si>
  <si>
    <t>BackEnd Semi-Senior</t>
  </si>
  <si>
    <t>QA, Test</t>
  </si>
  <si>
    <t>Implementación, Capacitación</t>
  </si>
  <si>
    <t>Mobile Semi-Senior</t>
  </si>
  <si>
    <t>Mobile Medium</t>
  </si>
  <si>
    <t xml:space="preserve">BackEnd IA 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</si>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</sst>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\ mmmm\ yyyy"/>
    <numFmt numFmtId="165" formatCode="\$#,##0"/>
    <numFmt numFmtId="166" formatCode="0\ %"/>
    <numFmt numFmtId="167" formatCode="#,##0_);[Red]#,##0"/>
    <numFmt numFmtId="168" formatCode="\ mmmm\ "/>
  </numFmts>
  <fonts count="18">
    <font>
      <sz val="10"/>
      <color rgb="FF000000"/>
      <name val="Arial"/>
      <charset val="1"/>
    </font>
    <font>
      <b/>
      <sz val="10"/>
      <color theme="1"/>
      <name val="Arial"/>
      <charset val="1"/>
    </font>
    <font>
      <b/>
      <sz val="10"/>
      <color rgb="FFFFFFFF"/>
      <name val="Arial"/>
      <charset val="1"/>
    </font>
    <font>
      <sz val="10"/>
      <color theme="1"/>
      <name val="Arial"/>
      <charset val="1"/>
    </font>
    <font>
      <b/>
      <sz val="12"/>
      <color rgb="FFFFFFFF"/>
      <name val="Arial"/>
      <charset val="1"/>
    </font>
    <font>
      <b/>
      <sz val="10"/>
      <name val="Arial"/>
      <charset val="1"/>
    </font>
    <font>
      <b/>
      <sz val="11"/>
      <color theme="1"/>
      <name val="Arial"/>
      <charset val="1"/>
    </font>
    <font>
      <sz val="14"/>
      <color rgb="FF000000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sz val="10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sz val="11"/>
      <color rgb="FF000000"/>
      <name val="&quot;Calibri&quot;"/>
      <charset val="1"/>
    </font>
    <font>
      <b/>
      <sz val="10"/>
      <color rgb="FFFF0000"/>
      <name val="Arial"/>
      <charset val="1"/>
    </font>
    <font>
      <sz val="10"/>
      <color rgb="FF000000"/>
      <name val="&quot;Calibri&quot;"/>
      <charset val="1"/>
    </font>
    <font>
      <sz val="8"/>
      <color theme="1"/>
      <name val="Arial"/>
      <charset val="1"/>
    </font>
    <font>
      <sz val="10"/>
      <color rgb="FF686868"/>
      <name val="&quot;Open Sans&quot;"/>
      <charset val="1"/>
    </font>
    <font>
      <sz val="1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6AA84F"/>
        <bgColor rgb="FF808080"/>
      </patternFill>
    </fill>
    <fill>
      <patternFill patternType="solid">
        <fgColor rgb="FF1155CC"/>
        <bgColor rgb="FF3366FF"/>
      </patternFill>
    </fill>
    <fill>
      <patternFill patternType="solid">
        <fgColor rgb="FF9FC5E8"/>
        <bgColor rgb="FFA4C2F4"/>
      </patternFill>
    </fill>
    <fill>
      <patternFill patternType="solid">
        <fgColor rgb="FFFFFF00"/>
        <bgColor rgb="FFFFD966"/>
      </patternFill>
    </fill>
    <fill>
      <patternFill patternType="solid">
        <fgColor rgb="FF274E13"/>
        <bgColor rgb="FF333333"/>
      </patternFill>
    </fill>
    <fill>
      <patternFill patternType="solid">
        <fgColor rgb="FFFFFFFF"/>
        <bgColor rgb="FFF3F3F3"/>
      </patternFill>
    </fill>
    <fill>
      <patternFill patternType="solid">
        <fgColor rgb="FF999999"/>
        <bgColor rgb="FF808080"/>
      </patternFill>
    </fill>
    <fill>
      <patternFill patternType="solid">
        <fgColor rgb="FFFF0000"/>
        <bgColor rgb="FF993300"/>
      </patternFill>
    </fill>
    <fill>
      <patternFill patternType="solid">
        <fgColor rgb="FFFFF2CC"/>
        <bgColor rgb="FFFCE8B2"/>
      </patternFill>
    </fill>
    <fill>
      <patternFill patternType="solid">
        <fgColor rgb="FFCFE2F3"/>
        <bgColor rgb="FFC9DAF8"/>
      </patternFill>
    </fill>
    <fill>
      <patternFill patternType="solid">
        <fgColor rgb="FFD9EAD3"/>
        <bgColor rgb="FFD9D9D9"/>
      </patternFill>
    </fill>
    <fill>
      <patternFill patternType="solid">
        <fgColor rgb="FFB6D7A8"/>
        <bgColor rgb="FFCCCCCC"/>
      </patternFill>
    </fill>
    <fill>
      <patternFill patternType="solid">
        <fgColor rgb="FFC9DAF8"/>
        <bgColor rgb="FFCFE2F3"/>
      </patternFill>
    </fill>
    <fill>
      <patternFill patternType="solid">
        <fgColor rgb="FFEAD1DC"/>
        <bgColor rgb="FFD9D2E9"/>
      </patternFill>
    </fill>
    <fill>
      <patternFill patternType="solid">
        <fgColor rgb="FFD9D2E9"/>
        <bgColor rgb="FFD9D9D9"/>
      </patternFill>
    </fill>
    <fill>
      <patternFill patternType="solid">
        <fgColor rgb="FFEFEFEF"/>
        <bgColor rgb="FFF3F3F3"/>
      </patternFill>
    </fill>
    <fill>
      <patternFill patternType="solid">
        <fgColor rgb="FFA4C2F4"/>
        <bgColor rgb="FF9FC5E8"/>
      </patternFill>
    </fill>
    <fill>
      <patternFill patternType="solid">
        <fgColor rgb="FFD9D9D9"/>
        <bgColor rgb="FFD9D2E9"/>
      </patternFill>
    </fill>
    <fill>
      <patternFill patternType="solid">
        <fgColor rgb="FFF3F3F3"/>
        <bgColor rgb="FFEFEFEF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B7B7B7"/>
      </left>
      <right style="thin">
        <color rgb="FFFFFFFF"/>
      </right>
      <top style="thin">
        <color rgb="FFB7B7B7"/>
      </top>
      <bottom style="thin">
        <color rgb="FFB7B7B7"/>
      </bottom>
      <diagonal/>
    </border>
    <border>
      <left style="thin">
        <color rgb="FFFFFFFF"/>
      </left>
      <right style="thin">
        <color rgb="FFFFFFFF"/>
      </right>
      <top style="thin">
        <color rgb="FFB7B7B7"/>
      </top>
      <bottom style="thin">
        <color rgb="FFB7B7B7"/>
      </bottom>
      <diagonal/>
    </border>
    <border>
      <left style="thin">
        <color rgb="FFFFFFFF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6" fillId="19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8" fontId="6" fillId="0" borderId="1" xfId="0" applyNumberFormat="1" applyFont="1" applyBorder="1" applyAlignment="1">
      <alignment horizontal="center" vertical="center"/>
    </xf>
    <xf numFmtId="167" fontId="1" fillId="18" borderId="0" xfId="0" applyNumberFormat="1" applyFont="1" applyFill="1" applyBorder="1" applyAlignment="1">
      <alignment horizontal="right" vertical="center"/>
    </xf>
    <xf numFmtId="167" fontId="3" fillId="17" borderId="0" xfId="0" applyNumberFormat="1" applyFont="1" applyFill="1" applyBorder="1" applyAlignment="1">
      <alignment horizontal="right" vertical="center"/>
    </xf>
    <xf numFmtId="167" fontId="3" fillId="0" borderId="0" xfId="0" applyNumberFormat="1" applyFont="1" applyBorder="1" applyAlignment="1">
      <alignment horizontal="right" vertical="center"/>
    </xf>
    <xf numFmtId="167" fontId="1" fillId="0" borderId="0" xfId="0" applyNumberFormat="1" applyFont="1" applyBorder="1" applyAlignment="1">
      <alignment horizontal="center" vertical="center"/>
    </xf>
    <xf numFmtId="167" fontId="3" fillId="10" borderId="0" xfId="0" applyNumberFormat="1" applyFont="1" applyFill="1" applyBorder="1" applyAlignment="1">
      <alignment horizontal="right" vertical="center"/>
    </xf>
    <xf numFmtId="167" fontId="1" fillId="10" borderId="0" xfId="0" applyNumberFormat="1" applyFont="1" applyFill="1" applyBorder="1" applyAlignment="1">
      <alignment horizontal="center" vertical="center"/>
    </xf>
    <xf numFmtId="0" fontId="3" fillId="4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right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165" fontId="4" fillId="6" borderId="0" xfId="0" applyNumberFormat="1" applyFont="1" applyFill="1" applyAlignment="1">
      <alignment horizontal="center" vertical="center" wrapText="1"/>
    </xf>
    <xf numFmtId="166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5" fontId="4" fillId="3" borderId="0" xfId="0" applyNumberFormat="1" applyFont="1" applyFill="1" applyAlignment="1">
      <alignment horizontal="center" vertical="center" wrapText="1"/>
    </xf>
    <xf numFmtId="3" fontId="3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6" fillId="0" borderId="1" xfId="0" applyFont="1" applyBorder="1"/>
    <xf numFmtId="0" fontId="7" fillId="0" borderId="0" xfId="0" applyFont="1"/>
    <xf numFmtId="0" fontId="3" fillId="0" borderId="1" xfId="0" applyFont="1" applyBorder="1" applyAlignment="1">
      <alignment horizontal="left" vertical="center"/>
    </xf>
    <xf numFmtId="3" fontId="3" fillId="7" borderId="1" xfId="0" applyNumberFormat="1" applyFont="1" applyFill="1" applyBorder="1" applyAlignment="1">
      <alignment horizontal="right" vertical="center"/>
    </xf>
    <xf numFmtId="3" fontId="3" fillId="7" borderId="1" xfId="0" applyNumberFormat="1" applyFont="1" applyFill="1" applyBorder="1" applyAlignment="1">
      <alignment horizontal="center" vertical="center"/>
    </xf>
    <xf numFmtId="166" fontId="1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8" fillId="0" borderId="1" xfId="0" applyFont="1" applyBorder="1"/>
    <xf numFmtId="0" fontId="3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5" fillId="0" borderId="0" xfId="0" applyFont="1"/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4" fillId="0" borderId="0" xfId="0" applyFont="1"/>
    <xf numFmtId="0" fontId="3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left" vertical="center"/>
    </xf>
    <xf numFmtId="0" fontId="2" fillId="8" borderId="0" xfId="0" applyFont="1" applyFill="1" applyAlignment="1">
      <alignment horizontal="left" vertical="center"/>
    </xf>
    <xf numFmtId="0" fontId="2" fillId="9" borderId="0" xfId="0" applyFont="1" applyFill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15" fillId="11" borderId="0" xfId="0" applyFont="1" applyFill="1" applyAlignment="1">
      <alignment vertical="center"/>
    </xf>
    <xf numFmtId="3" fontId="15" fillId="11" borderId="0" xfId="0" applyNumberFormat="1" applyFont="1" applyFill="1" applyAlignment="1">
      <alignment vertical="center"/>
    </xf>
    <xf numFmtId="0" fontId="15" fillId="12" borderId="0" xfId="0" applyFont="1" applyFill="1" applyAlignment="1">
      <alignment vertical="center"/>
    </xf>
    <xf numFmtId="3" fontId="15" fillId="12" borderId="0" xfId="0" applyNumberFormat="1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0" xfId="0" applyNumberFormat="1" applyFont="1" applyFill="1" applyAlignment="1">
      <alignment vertical="center"/>
    </xf>
    <xf numFmtId="0" fontId="15" fillId="14" borderId="0" xfId="0" applyFont="1" applyFill="1" applyAlignment="1">
      <alignment vertical="center"/>
    </xf>
    <xf numFmtId="166" fontId="15" fillId="14" borderId="0" xfId="0" applyNumberFormat="1" applyFont="1" applyFill="1" applyAlignment="1">
      <alignment vertical="center"/>
    </xf>
    <xf numFmtId="0" fontId="15" fillId="15" borderId="0" xfId="0" applyFont="1" applyFill="1" applyAlignment="1">
      <alignment vertical="center"/>
    </xf>
    <xf numFmtId="1" fontId="15" fillId="15" borderId="0" xfId="0" applyNumberFormat="1" applyFont="1" applyFill="1" applyAlignment="1">
      <alignment vertical="center"/>
    </xf>
    <xf numFmtId="166" fontId="6" fillId="13" borderId="0" xfId="0" applyNumberFormat="1" applyFont="1" applyFill="1" applyAlignment="1">
      <alignment vertical="center"/>
    </xf>
    <xf numFmtId="0" fontId="15" fillId="16" borderId="0" xfId="0" applyFont="1" applyFill="1" applyAlignment="1">
      <alignment horizontal="center" vertical="center"/>
    </xf>
    <xf numFmtId="0" fontId="15" fillId="16" borderId="0" xfId="0" applyFont="1" applyFill="1" applyAlignment="1">
      <alignment vertical="center"/>
    </xf>
    <xf numFmtId="0" fontId="3" fillId="16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167" fontId="3" fillId="17" borderId="0" xfId="0" applyNumberFormat="1" applyFont="1" applyFill="1" applyAlignment="1">
      <alignment horizontal="right" vertical="center"/>
    </xf>
    <xf numFmtId="167" fontId="1" fillId="18" borderId="0" xfId="0" applyNumberFormat="1" applyFont="1" applyFill="1" applyAlignment="1">
      <alignment horizontal="right" vertical="center"/>
    </xf>
    <xf numFmtId="0" fontId="16" fillId="7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19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0" borderId="2" xfId="0" applyFont="1" applyFill="1" applyBorder="1" applyAlignment="1">
      <alignment horizontal="center" vertical="center"/>
    </xf>
    <xf numFmtId="165" fontId="1" fillId="20" borderId="2" xfId="0" applyNumberFormat="1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left" vertical="center"/>
    </xf>
    <xf numFmtId="0" fontId="3" fillId="7" borderId="6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165" fontId="3" fillId="20" borderId="2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3" fontId="3" fillId="7" borderId="3" xfId="0" applyNumberFormat="1" applyFont="1" applyFill="1" applyBorder="1" applyAlignment="1">
      <alignment horizontal="right" vertical="center"/>
    </xf>
    <xf numFmtId="3" fontId="3" fillId="7" borderId="3" xfId="0" applyNumberFormat="1" applyFont="1" applyFill="1" applyBorder="1" applyAlignment="1">
      <alignment horizontal="center" vertical="center"/>
    </xf>
    <xf numFmtId="166" fontId="1" fillId="7" borderId="3" xfId="0" applyNumberFormat="1" applyFont="1" applyFill="1" applyBorder="1" applyAlignment="1">
      <alignment horizontal="center" vertical="center"/>
    </xf>
    <xf numFmtId="0" fontId="0" fillId="21" borderId="0" xfId="0" applyFill="1" applyBorder="1"/>
    <xf numFmtId="0" fontId="9" fillId="21" borderId="0" xfId="0" applyFont="1" applyFill="1" applyBorder="1"/>
    <xf numFmtId="0" fontId="5" fillId="21" borderId="0" xfId="0" applyFont="1" applyFill="1" applyBorder="1"/>
    <xf numFmtId="2" fontId="0" fillId="21" borderId="0" xfId="0" applyNumberFormat="1" applyFill="1" applyBorder="1" applyAlignment="1">
      <alignment horizontal="right" vertical="center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CCCCCC"/>
        </patternFill>
      </fill>
    </dxf>
    <dxf>
      <font>
        <b/>
      </font>
      <fill>
        <patternFill>
          <bgColor rgb="FF00FF00"/>
        </patternFill>
      </fill>
    </dxf>
    <dxf>
      <font>
        <b/>
      </font>
      <fill>
        <patternFill>
          <bgColor rgb="FFFCE8B2"/>
        </patternFill>
      </fill>
    </dxf>
    <dxf>
      <font>
        <color rgb="FFFFD966"/>
      </font>
      <fill>
        <patternFill>
          <bgColor rgb="FFFFD96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A4C2F4"/>
      <rgbColor rgb="FF993366"/>
      <rgbColor rgb="FFFFF2CC"/>
      <rgbColor rgb="FFCFE2F3"/>
      <rgbColor rgb="FF660066"/>
      <rgbColor rgb="FFD9D2E9"/>
      <rgbColor rgb="FF1155CC"/>
      <rgbColor rgb="FFC9DAF8"/>
      <rgbColor rgb="FF000080"/>
      <rgbColor rgb="FFFF00FF"/>
      <rgbColor rgb="FFF3F3F3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CE8B2"/>
      <rgbColor rgb="FF9FC5E8"/>
      <rgbColor rgb="FFEAD1DC"/>
      <rgbColor rgb="FFCCCCCC"/>
      <rgbColor rgb="FFFFD966"/>
      <rgbColor rgb="FF3366FF"/>
      <rgbColor rgb="FF33CCCC"/>
      <rgbColor rgb="FFB6D7A8"/>
      <rgbColor rgb="FFD9D9D9"/>
      <rgbColor rgb="FFFF9900"/>
      <rgbColor rgb="FFFF6600"/>
      <rgbColor rgb="FF686868"/>
      <rgbColor rgb="FF999999"/>
      <rgbColor rgb="FF003366"/>
      <rgbColor rgb="FF6AA84F"/>
      <rgbColor rgb="FF003300"/>
      <rgbColor rgb="FF274E13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/>
  </sheetPr>
  <dimension ref="A1:AE194"/>
  <sheetViews>
    <sheetView tabSelected="1" zoomScaleNormal="100" workbookViewId="0">
      <pane ySplit="1" topLeftCell="A2" activePane="bottomLeft" state="frozen"/>
      <selection pane="bottomLeft" activeCell="AC128" sqref="AC128"/>
    </sheetView>
  </sheetViews>
  <sheetFormatPr baseColWidth="10" defaultColWidth="12.5703125" defaultRowHeight="15.75" customHeight="1"/>
  <cols>
    <col min="1" max="1" width="23.85546875" customWidth="1"/>
    <col min="2" max="4" width="5" customWidth="1"/>
    <col min="5" max="5" width="6.7109375" customWidth="1"/>
    <col min="6" max="8" width="5" customWidth="1"/>
    <col min="9" max="22" width="4.5703125" customWidth="1"/>
    <col min="23" max="23" width="19.140625" customWidth="1"/>
    <col min="24" max="24" width="4.5703125" customWidth="1"/>
    <col min="25" max="25" width="13.28515625" customWidth="1"/>
    <col min="26" max="27" width="6" customWidth="1"/>
    <col min="28" max="28" width="5" customWidth="1"/>
    <col min="29" max="29" width="15" customWidth="1"/>
    <col min="30" max="31" width="4.5703125" customWidth="1"/>
  </cols>
  <sheetData>
    <row r="1" spans="1:31" ht="25.5" customHeight="1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4"/>
      <c r="M1" s="11" t="s">
        <v>11</v>
      </c>
      <c r="N1" s="11"/>
      <c r="O1" s="10" t="s">
        <v>12</v>
      </c>
      <c r="P1" s="10"/>
      <c r="Q1" s="10"/>
      <c r="R1" s="10"/>
      <c r="S1" s="10"/>
      <c r="T1" s="10"/>
      <c r="U1" s="10"/>
      <c r="V1" s="14"/>
      <c r="W1" s="15">
        <v>46049</v>
      </c>
      <c r="X1" s="14"/>
      <c r="Y1" s="16">
        <f>SUMIFS(Y2:Y147,L2:L147,"&lt;&gt;"&amp;"")</f>
        <v>113327295.33057851</v>
      </c>
      <c r="Z1" s="14" t="s">
        <v>13</v>
      </c>
      <c r="AA1" s="17" t="s">
        <v>14</v>
      </c>
      <c r="AB1" s="18" t="s">
        <v>15</v>
      </c>
      <c r="AC1" s="19">
        <f>SUM(AC2:AC147)</f>
        <v>113327295.33057851</v>
      </c>
      <c r="AD1" s="14"/>
      <c r="AE1" s="14"/>
    </row>
    <row r="2" spans="1:31" ht="15.75" customHeight="1">
      <c r="A2" s="20">
        <f t="shared" ref="A2:A33" si="0">(B2*$P$152+C2*$P$153+D2*$P$154+E2*$P$155+F2*$P$156+G2*$P$157+H2*$P$158+I2*$P$159+J2*$P$160+K2*$P$161)*$T$150</f>
        <v>6133650.6887052348</v>
      </c>
      <c r="B2" s="21">
        <v>8</v>
      </c>
      <c r="C2" s="22"/>
      <c r="D2" s="22"/>
      <c r="E2" s="22"/>
      <c r="F2" s="22"/>
      <c r="G2" s="22"/>
      <c r="H2" s="22"/>
      <c r="I2" s="22"/>
      <c r="J2" s="23"/>
      <c r="K2" s="23"/>
      <c r="L2" s="24" t="s">
        <v>16</v>
      </c>
      <c r="M2" s="25"/>
      <c r="N2" s="26"/>
      <c r="O2" s="26"/>
      <c r="P2" s="26"/>
      <c r="Q2" s="26"/>
      <c r="R2" s="26"/>
      <c r="S2" s="26"/>
      <c r="T2" s="26"/>
      <c r="U2" s="26"/>
      <c r="V2" s="26"/>
      <c r="W2" s="26"/>
      <c r="X2" s="26">
        <f>COUNTIF($L$2:L2,"&lt;&gt;"&amp;"")</f>
        <v>1</v>
      </c>
      <c r="Y2" s="27">
        <f t="shared" ref="Y2:Y33" si="1">SUMIF($X$2:$X$147,X2,$A$2:$A$147)</f>
        <v>6133650.6887052348</v>
      </c>
      <c r="Z2" s="28"/>
      <c r="AA2" s="29"/>
      <c r="AB2" s="30" t="b">
        <f>TRUE()</f>
        <v>1</v>
      </c>
      <c r="AC2" s="31">
        <f t="shared" ref="AC2:AC33" si="2">IF(L2="",0,IF(AB2=FALSE(),0,Y2))</f>
        <v>6133650.6887052348</v>
      </c>
      <c r="AD2" s="23"/>
      <c r="AE2" s="23"/>
    </row>
    <row r="3" spans="1:31" ht="15.75" customHeight="1">
      <c r="A3" s="20">
        <f t="shared" si="0"/>
        <v>2518903.6363636362</v>
      </c>
      <c r="B3" s="22"/>
      <c r="C3" s="21">
        <v>6</v>
      </c>
      <c r="D3" s="32"/>
      <c r="E3" s="22"/>
      <c r="F3" s="22"/>
      <c r="G3" s="22"/>
      <c r="H3" s="22"/>
      <c r="I3" s="22"/>
      <c r="J3" s="23"/>
      <c r="K3" s="23"/>
      <c r="L3" s="24" t="s">
        <v>17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>
        <f>COUNTIF($L$2:L3,"&lt;&gt;"&amp;"")</f>
        <v>2</v>
      </c>
      <c r="Y3" s="27">
        <f t="shared" si="1"/>
        <v>2518903.6363636362</v>
      </c>
      <c r="Z3" s="28"/>
      <c r="AA3" s="29"/>
      <c r="AB3" s="30" t="b">
        <f>TRUE()</f>
        <v>1</v>
      </c>
      <c r="AC3" s="31">
        <f t="shared" si="2"/>
        <v>2518903.6363636362</v>
      </c>
      <c r="AD3" s="23"/>
      <c r="AE3" s="23"/>
    </row>
    <row r="4" spans="1:31" ht="15.75" customHeight="1">
      <c r="A4" s="20">
        <f t="shared" si="0"/>
        <v>2020764.0495867769</v>
      </c>
      <c r="B4" s="22"/>
      <c r="C4" s="22"/>
      <c r="D4" s="22"/>
      <c r="E4" s="22"/>
      <c r="F4" s="22"/>
      <c r="G4" s="22"/>
      <c r="H4" s="21">
        <v>5</v>
      </c>
      <c r="I4" s="22"/>
      <c r="J4" s="23"/>
      <c r="K4" s="23"/>
      <c r="L4" s="24" t="s">
        <v>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>
        <f>COUNTIF($L$2:L4,"&lt;&gt;"&amp;"")</f>
        <v>3</v>
      </c>
      <c r="Y4" s="27">
        <f t="shared" si="1"/>
        <v>2020764.0495867769</v>
      </c>
      <c r="Z4" s="28"/>
      <c r="AA4" s="33"/>
      <c r="AB4" s="30" t="b">
        <f>TRUE()</f>
        <v>1</v>
      </c>
      <c r="AC4" s="31">
        <f t="shared" si="2"/>
        <v>2020764.0495867769</v>
      </c>
      <c r="AD4" s="23"/>
      <c r="AE4" s="23"/>
    </row>
    <row r="5" spans="1:31" ht="15.75" customHeight="1">
      <c r="A5" s="20">
        <f t="shared" si="0"/>
        <v>229247.47933884297</v>
      </c>
      <c r="B5" s="23"/>
      <c r="C5" s="23"/>
      <c r="D5" s="23"/>
      <c r="E5" s="23"/>
      <c r="F5" s="23"/>
      <c r="G5" s="23"/>
      <c r="H5" s="23"/>
      <c r="I5" s="23"/>
      <c r="J5" s="23"/>
      <c r="K5" s="34">
        <v>0.5</v>
      </c>
      <c r="L5" s="24" t="s">
        <v>19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>
        <f>COUNTIF($L$2:L5,"&lt;&gt;"&amp;"")</f>
        <v>4</v>
      </c>
      <c r="Y5" s="27">
        <f t="shared" si="1"/>
        <v>229247.47933884297</v>
      </c>
      <c r="Z5" s="28"/>
      <c r="AA5" s="33"/>
      <c r="AB5" s="30" t="b">
        <f>TRUE()</f>
        <v>1</v>
      </c>
      <c r="AC5" s="31">
        <f t="shared" si="2"/>
        <v>229247.47933884297</v>
      </c>
      <c r="AD5" s="23"/>
      <c r="AE5" s="23"/>
    </row>
    <row r="6" spans="1:31" ht="15" customHeight="1">
      <c r="A6" s="20">
        <f t="shared" si="0"/>
        <v>0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35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>
        <f>COUNTIF($L$2:L6,"&lt;&gt;"&amp;"")</f>
        <v>4</v>
      </c>
      <c r="Y6" s="27">
        <f t="shared" si="1"/>
        <v>229247.47933884297</v>
      </c>
      <c r="Z6" s="28"/>
      <c r="AA6" s="29"/>
      <c r="AB6" s="30" t="b">
        <f>TRUE()</f>
        <v>1</v>
      </c>
      <c r="AC6" s="31">
        <f t="shared" si="2"/>
        <v>0</v>
      </c>
      <c r="AD6" s="23"/>
      <c r="AE6" s="23"/>
    </row>
    <row r="7" spans="1:31" ht="15" customHeight="1">
      <c r="A7" s="20">
        <f t="shared" si="0"/>
        <v>0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35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>
        <f>COUNTIF($L$2:L7,"&lt;&gt;"&amp;"")</f>
        <v>4</v>
      </c>
      <c r="Y7" s="27">
        <f t="shared" si="1"/>
        <v>229247.47933884297</v>
      </c>
      <c r="Z7" s="28"/>
      <c r="AA7" s="33"/>
      <c r="AB7" s="30" t="b">
        <f>TRUE()</f>
        <v>1</v>
      </c>
      <c r="AC7" s="31">
        <f t="shared" si="2"/>
        <v>0</v>
      </c>
      <c r="AD7" s="23"/>
      <c r="AE7" s="23"/>
    </row>
    <row r="8" spans="1:31" ht="15.75" customHeight="1">
      <c r="A8" s="20">
        <f t="shared" si="0"/>
        <v>0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36" t="s">
        <v>20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>
        <f>COUNTIF($L$2:L8,"&lt;&gt;"&amp;"")</f>
        <v>5</v>
      </c>
      <c r="Y8" s="27">
        <f t="shared" si="1"/>
        <v>6652476.7493112944</v>
      </c>
      <c r="Z8" s="28"/>
      <c r="AA8" s="29"/>
      <c r="AB8" s="30" t="b">
        <f>TRUE()</f>
        <v>1</v>
      </c>
      <c r="AC8" s="31">
        <f t="shared" si="2"/>
        <v>6652476.7493112944</v>
      </c>
      <c r="AD8" s="37"/>
      <c r="AE8" s="37"/>
    </row>
    <row r="9" spans="1:31" ht="12.75" customHeight="1">
      <c r="A9" s="20">
        <f t="shared" si="0"/>
        <v>1889203.870523416</v>
      </c>
      <c r="B9" s="34">
        <v>0.5</v>
      </c>
      <c r="C9" s="23"/>
      <c r="D9" s="34">
        <v>1</v>
      </c>
      <c r="E9" s="34">
        <v>1.5</v>
      </c>
      <c r="F9" s="23"/>
      <c r="G9" s="34">
        <v>0.5</v>
      </c>
      <c r="H9" s="23"/>
      <c r="I9" s="23"/>
      <c r="J9" s="23"/>
      <c r="K9" s="23"/>
      <c r="L9" s="26"/>
      <c r="M9" s="38" t="s">
        <v>21</v>
      </c>
      <c r="N9" s="26"/>
      <c r="O9" s="26"/>
      <c r="P9" s="26"/>
      <c r="Q9" s="26"/>
      <c r="R9" s="26"/>
      <c r="S9" s="26"/>
      <c r="T9" s="26"/>
      <c r="U9" s="26"/>
      <c r="V9" s="26"/>
      <c r="W9" s="26"/>
      <c r="X9" s="26">
        <f>COUNTIF($L$2:L9,"&lt;&gt;"&amp;"")</f>
        <v>5</v>
      </c>
      <c r="Y9" s="27">
        <f t="shared" si="1"/>
        <v>6652476.7493112944</v>
      </c>
      <c r="Z9" s="28"/>
      <c r="AA9" s="29"/>
      <c r="AB9" s="30" t="b">
        <f>TRUE()</f>
        <v>1</v>
      </c>
      <c r="AC9" s="31">
        <f t="shared" si="2"/>
        <v>0</v>
      </c>
      <c r="AD9" s="37"/>
      <c r="AE9" s="37"/>
    </row>
    <row r="10" spans="1:31" ht="12.75" customHeight="1">
      <c r="A10" s="20">
        <f t="shared" si="0"/>
        <v>0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6"/>
      <c r="M10" s="26"/>
      <c r="N10" s="39" t="s">
        <v>22</v>
      </c>
      <c r="O10" s="26"/>
      <c r="P10" s="26"/>
      <c r="Q10" s="26"/>
      <c r="R10" s="26"/>
      <c r="S10" s="26"/>
      <c r="T10" s="26"/>
      <c r="U10" s="26"/>
      <c r="V10" s="26"/>
      <c r="W10" s="26"/>
      <c r="X10" s="26">
        <f>COUNTIF($L$2:L10,"&lt;&gt;"&amp;"")</f>
        <v>5</v>
      </c>
      <c r="Y10" s="27">
        <f t="shared" si="1"/>
        <v>6652476.7493112944</v>
      </c>
      <c r="Z10" s="28"/>
      <c r="AA10" s="29"/>
      <c r="AB10" s="30" t="b">
        <f>TRUE()</f>
        <v>1</v>
      </c>
      <c r="AC10" s="31">
        <f t="shared" si="2"/>
        <v>0</v>
      </c>
      <c r="AD10" s="37"/>
      <c r="AE10" s="37"/>
    </row>
    <row r="11" spans="1:31" ht="12.75" customHeight="1">
      <c r="A11" s="20">
        <f t="shared" si="0"/>
        <v>2003868.7052341597</v>
      </c>
      <c r="B11" s="23"/>
      <c r="C11" s="23"/>
      <c r="D11" s="34">
        <v>1</v>
      </c>
      <c r="E11" s="34">
        <v>2</v>
      </c>
      <c r="F11" s="23"/>
      <c r="G11" s="34">
        <v>1</v>
      </c>
      <c r="H11" s="23"/>
      <c r="I11" s="23"/>
      <c r="J11" s="23"/>
      <c r="K11" s="23"/>
      <c r="L11" s="26"/>
      <c r="M11" s="38" t="s">
        <v>23</v>
      </c>
      <c r="N11" s="40"/>
      <c r="O11" s="26"/>
      <c r="P11" s="26"/>
      <c r="Q11" s="26"/>
      <c r="R11" s="26"/>
      <c r="S11" s="26"/>
      <c r="T11" s="26"/>
      <c r="U11" s="26"/>
      <c r="V11" s="26"/>
      <c r="W11" s="26"/>
      <c r="X11" s="26">
        <f>COUNTIF($L$2:L11,"&lt;&gt;"&amp;"")</f>
        <v>5</v>
      </c>
      <c r="Y11" s="27">
        <f t="shared" si="1"/>
        <v>6652476.7493112944</v>
      </c>
      <c r="Z11" s="28"/>
      <c r="AA11" s="29"/>
      <c r="AB11" s="30" t="b">
        <f>TRUE()</f>
        <v>1</v>
      </c>
      <c r="AC11" s="31">
        <f t="shared" si="2"/>
        <v>0</v>
      </c>
      <c r="AD11" s="37"/>
      <c r="AE11" s="37"/>
    </row>
    <row r="12" spans="1:31" ht="12.75" customHeight="1">
      <c r="A12" s="20">
        <f t="shared" si="0"/>
        <v>0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6"/>
      <c r="M12" s="41"/>
      <c r="N12" s="39" t="s">
        <v>24</v>
      </c>
      <c r="O12" s="26"/>
      <c r="P12" s="26"/>
      <c r="Q12" s="26"/>
      <c r="R12" s="26"/>
      <c r="S12" s="26"/>
      <c r="T12" s="26"/>
      <c r="U12" s="26"/>
      <c r="V12" s="26"/>
      <c r="W12" s="26"/>
      <c r="X12" s="26">
        <f>COUNTIF($L$2:L12,"&lt;&gt;"&amp;"")</f>
        <v>5</v>
      </c>
      <c r="Y12" s="27">
        <f t="shared" si="1"/>
        <v>6652476.7493112944</v>
      </c>
      <c r="Z12" s="28"/>
      <c r="AA12" s="29"/>
      <c r="AB12" s="30" t="b">
        <f>TRUE()</f>
        <v>1</v>
      </c>
      <c r="AC12" s="31">
        <f t="shared" si="2"/>
        <v>0</v>
      </c>
      <c r="AD12" s="37"/>
      <c r="AE12" s="37"/>
    </row>
    <row r="13" spans="1:31" ht="12.75" customHeight="1">
      <c r="A13" s="20">
        <f t="shared" si="0"/>
        <v>1505850.7024793387</v>
      </c>
      <c r="B13" s="23"/>
      <c r="C13" s="23"/>
      <c r="D13" s="34">
        <v>1</v>
      </c>
      <c r="E13" s="34">
        <v>1.5</v>
      </c>
      <c r="F13" s="23"/>
      <c r="G13" s="34">
        <v>0.5</v>
      </c>
      <c r="H13" s="23"/>
      <c r="I13" s="23"/>
      <c r="J13" s="23"/>
      <c r="K13" s="23"/>
      <c r="L13" s="26"/>
      <c r="M13" s="38" t="s">
        <v>25</v>
      </c>
      <c r="N13" s="40"/>
      <c r="O13" s="26"/>
      <c r="P13" s="26"/>
      <c r="Q13" s="26"/>
      <c r="R13" s="26"/>
      <c r="S13" s="26"/>
      <c r="T13" s="26"/>
      <c r="U13" s="26"/>
      <c r="V13" s="26"/>
      <c r="W13" s="26"/>
      <c r="X13" s="26">
        <f>COUNTIF($L$2:L13,"&lt;&gt;"&amp;"")</f>
        <v>5</v>
      </c>
      <c r="Y13" s="27">
        <f t="shared" si="1"/>
        <v>6652476.7493112944</v>
      </c>
      <c r="Z13" s="28"/>
      <c r="AA13" s="29"/>
      <c r="AB13" s="30" t="b">
        <f>TRUE()</f>
        <v>1</v>
      </c>
      <c r="AC13" s="31">
        <f t="shared" si="2"/>
        <v>0</v>
      </c>
      <c r="AD13" s="37"/>
      <c r="AE13" s="37"/>
    </row>
    <row r="14" spans="1:31" ht="15" customHeight="1">
      <c r="A14" s="20">
        <f t="shared" si="0"/>
        <v>0</v>
      </c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35"/>
      <c r="M14" s="26"/>
      <c r="N14" s="39" t="s">
        <v>26</v>
      </c>
      <c r="O14" s="26"/>
      <c r="P14" s="26"/>
      <c r="Q14" s="26"/>
      <c r="R14" s="26"/>
      <c r="S14" s="26"/>
      <c r="T14" s="26"/>
      <c r="U14" s="26"/>
      <c r="V14" s="26"/>
      <c r="W14" s="26"/>
      <c r="X14" s="26">
        <f>COUNTIF($L$2:L14,"&lt;&gt;"&amp;"")</f>
        <v>5</v>
      </c>
      <c r="Y14" s="27">
        <f t="shared" si="1"/>
        <v>6652476.7493112944</v>
      </c>
      <c r="Z14" s="28"/>
      <c r="AA14" s="29"/>
      <c r="AB14" s="30" t="b">
        <f>TRUE()</f>
        <v>1</v>
      </c>
      <c r="AC14" s="31">
        <f t="shared" si="2"/>
        <v>0</v>
      </c>
      <c r="AD14" s="37"/>
      <c r="AE14" s="37"/>
    </row>
    <row r="15" spans="1:31" ht="12.75" customHeight="1">
      <c r="A15" s="20">
        <f t="shared" si="0"/>
        <v>1253553.47107438</v>
      </c>
      <c r="B15" s="23"/>
      <c r="C15" s="34">
        <v>1</v>
      </c>
      <c r="D15" s="34">
        <v>1.5</v>
      </c>
      <c r="E15" s="23"/>
      <c r="F15" s="23"/>
      <c r="G15" s="34">
        <v>0.5</v>
      </c>
      <c r="H15" s="23"/>
      <c r="I15" s="23"/>
      <c r="J15" s="23"/>
      <c r="K15" s="23"/>
      <c r="L15" s="26"/>
      <c r="M15" s="38" t="s">
        <v>27</v>
      </c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>
        <f>COUNTIF($L$2:L15,"&lt;&gt;"&amp;"")</f>
        <v>5</v>
      </c>
      <c r="Y15" s="27">
        <f t="shared" si="1"/>
        <v>6652476.7493112944</v>
      </c>
      <c r="Z15" s="28"/>
      <c r="AA15" s="29"/>
      <c r="AB15" s="30" t="b">
        <f>TRUE()</f>
        <v>1</v>
      </c>
      <c r="AC15" s="31">
        <f t="shared" si="2"/>
        <v>0</v>
      </c>
      <c r="AD15" s="37"/>
      <c r="AE15" s="37"/>
    </row>
    <row r="16" spans="1:31" ht="12.75" customHeight="1">
      <c r="A16" s="20">
        <f t="shared" si="0"/>
        <v>0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6"/>
      <c r="M16" s="26"/>
      <c r="N16" s="39" t="s">
        <v>28</v>
      </c>
      <c r="O16" s="26"/>
      <c r="P16" s="26"/>
      <c r="Q16" s="26"/>
      <c r="R16" s="26"/>
      <c r="S16" s="26"/>
      <c r="T16" s="26"/>
      <c r="U16" s="26"/>
      <c r="V16" s="26"/>
      <c r="W16" s="26"/>
      <c r="X16" s="26">
        <f>COUNTIF($L$2:L16,"&lt;&gt;"&amp;"")</f>
        <v>5</v>
      </c>
      <c r="Y16" s="27">
        <f t="shared" si="1"/>
        <v>6652476.7493112944</v>
      </c>
      <c r="Z16" s="28"/>
      <c r="AA16" s="29"/>
      <c r="AB16" s="30" t="b">
        <f>TRUE()</f>
        <v>1</v>
      </c>
      <c r="AC16" s="31">
        <f t="shared" si="2"/>
        <v>0</v>
      </c>
      <c r="AD16" s="37"/>
      <c r="AE16" s="37"/>
    </row>
    <row r="17" spans="1:31" ht="12.75" customHeight="1">
      <c r="A17" s="20">
        <f t="shared" si="0"/>
        <v>0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42" t="s">
        <v>29</v>
      </c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>
        <f>COUNTIF($L$2:L17,"&lt;&gt;"&amp;"")</f>
        <v>6</v>
      </c>
      <c r="Y17" s="27">
        <f t="shared" si="1"/>
        <v>8147182.7272727266</v>
      </c>
      <c r="Z17" s="28"/>
      <c r="AA17" s="29"/>
      <c r="AB17" s="30" t="b">
        <f>TRUE()</f>
        <v>1</v>
      </c>
      <c r="AC17" s="31">
        <f t="shared" si="2"/>
        <v>8147182.7272727266</v>
      </c>
      <c r="AD17" s="37"/>
      <c r="AE17" s="37"/>
    </row>
    <row r="18" spans="1:31" ht="12.75" customHeight="1">
      <c r="A18" s="20">
        <f t="shared" si="0"/>
        <v>1715759.338842975</v>
      </c>
      <c r="B18" s="23"/>
      <c r="C18" s="34">
        <v>0.5</v>
      </c>
      <c r="D18" s="34">
        <v>1</v>
      </c>
      <c r="E18" s="34">
        <v>1.5</v>
      </c>
      <c r="F18" s="23"/>
      <c r="G18" s="34">
        <v>0.5</v>
      </c>
      <c r="H18" s="23"/>
      <c r="I18" s="23"/>
      <c r="J18" s="23"/>
      <c r="K18" s="23"/>
      <c r="L18" s="26"/>
      <c r="M18" s="38" t="s">
        <v>30</v>
      </c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>
        <f>COUNTIF($L$2:L18,"&lt;&gt;"&amp;"")</f>
        <v>6</v>
      </c>
      <c r="Y18" s="27">
        <f t="shared" si="1"/>
        <v>8147182.7272727266</v>
      </c>
      <c r="Z18" s="28"/>
      <c r="AA18" s="29"/>
      <c r="AB18" s="30" t="b">
        <f>TRUE()</f>
        <v>1</v>
      </c>
      <c r="AC18" s="31">
        <f t="shared" si="2"/>
        <v>0</v>
      </c>
      <c r="AD18" s="37"/>
      <c r="AE18" s="37"/>
    </row>
    <row r="19" spans="1:31" ht="15" customHeight="1">
      <c r="A19" s="20">
        <f t="shared" si="0"/>
        <v>0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5"/>
      <c r="M19" s="26"/>
      <c r="N19" s="39" t="s">
        <v>31</v>
      </c>
      <c r="O19" s="26"/>
      <c r="P19" s="26"/>
      <c r="Q19" s="26"/>
      <c r="R19" s="26"/>
      <c r="S19" s="26"/>
      <c r="T19" s="26"/>
      <c r="U19" s="26"/>
      <c r="V19" s="26"/>
      <c r="W19" s="26"/>
      <c r="X19" s="26">
        <f>COUNTIF($L$2:L19,"&lt;&gt;"&amp;"")</f>
        <v>6</v>
      </c>
      <c r="Y19" s="27">
        <f t="shared" si="1"/>
        <v>8147182.7272727266</v>
      </c>
      <c r="Z19" s="28"/>
      <c r="AA19" s="29"/>
      <c r="AB19" s="30" t="b">
        <f>TRUE()</f>
        <v>1</v>
      </c>
      <c r="AC19" s="31">
        <f t="shared" si="2"/>
        <v>0</v>
      </c>
      <c r="AD19" s="37"/>
      <c r="AE19" s="37"/>
    </row>
    <row r="20" spans="1:31" ht="12.75" customHeight="1">
      <c r="A20" s="20">
        <f t="shared" si="0"/>
        <v>2003868.7052341597</v>
      </c>
      <c r="B20" s="23"/>
      <c r="C20" s="23"/>
      <c r="D20" s="34">
        <v>1</v>
      </c>
      <c r="E20" s="34">
        <v>2</v>
      </c>
      <c r="F20" s="23"/>
      <c r="G20" s="34">
        <v>1</v>
      </c>
      <c r="H20" s="23"/>
      <c r="I20" s="23"/>
      <c r="J20" s="23"/>
      <c r="K20" s="23"/>
      <c r="L20" s="26"/>
      <c r="M20" s="38" t="s">
        <v>32</v>
      </c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>
        <f>COUNTIF($L$2:L20,"&lt;&gt;"&amp;"")</f>
        <v>6</v>
      </c>
      <c r="Y20" s="27">
        <f t="shared" si="1"/>
        <v>8147182.7272727266</v>
      </c>
      <c r="Z20" s="28"/>
      <c r="AA20" s="29"/>
      <c r="AB20" s="30" t="b">
        <f>TRUE()</f>
        <v>1</v>
      </c>
      <c r="AC20" s="31">
        <f t="shared" si="2"/>
        <v>0</v>
      </c>
      <c r="AD20" s="37"/>
      <c r="AE20" s="37"/>
    </row>
    <row r="21" spans="1:31" ht="12.75" customHeight="1">
      <c r="A21" s="20">
        <f t="shared" si="0"/>
        <v>0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6"/>
      <c r="M21" s="26"/>
      <c r="N21" s="39" t="s">
        <v>33</v>
      </c>
      <c r="O21" s="26"/>
      <c r="P21" s="26"/>
      <c r="Q21" s="26"/>
      <c r="R21" s="26"/>
      <c r="S21" s="26"/>
      <c r="T21" s="26"/>
      <c r="U21" s="26"/>
      <c r="V21" s="26"/>
      <c r="W21" s="26"/>
      <c r="X21" s="26">
        <f>COUNTIF($L$2:L21,"&lt;&gt;"&amp;"")</f>
        <v>6</v>
      </c>
      <c r="Y21" s="27">
        <f t="shared" si="1"/>
        <v>8147182.7272727266</v>
      </c>
      <c r="Z21" s="28"/>
      <c r="AA21" s="29"/>
      <c r="AB21" s="30" t="b">
        <f>TRUE()</f>
        <v>1</v>
      </c>
      <c r="AC21" s="31">
        <f t="shared" si="2"/>
        <v>0</v>
      </c>
      <c r="AD21" s="37"/>
      <c r="AE21" s="37"/>
    </row>
    <row r="22" spans="1:31" ht="12.75" customHeight="1">
      <c r="A22" s="20">
        <f t="shared" si="0"/>
        <v>2423685.9779614322</v>
      </c>
      <c r="B22" s="23"/>
      <c r="C22" s="34">
        <v>0.5</v>
      </c>
      <c r="D22" s="34">
        <v>1.5</v>
      </c>
      <c r="E22" s="34">
        <v>2</v>
      </c>
      <c r="F22" s="23"/>
      <c r="G22" s="34">
        <v>1</v>
      </c>
      <c r="H22" s="23"/>
      <c r="I22" s="23"/>
      <c r="J22" s="23"/>
      <c r="K22" s="23"/>
      <c r="L22" s="26"/>
      <c r="M22" s="38" t="s">
        <v>34</v>
      </c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>
        <f>COUNTIF($L$2:L22,"&lt;&gt;"&amp;"")</f>
        <v>6</v>
      </c>
      <c r="Y22" s="27">
        <f t="shared" si="1"/>
        <v>8147182.7272727266</v>
      </c>
      <c r="Z22" s="28"/>
      <c r="AA22" s="29"/>
      <c r="AB22" s="30" t="b">
        <f>TRUE()</f>
        <v>1</v>
      </c>
      <c r="AC22" s="31">
        <f t="shared" si="2"/>
        <v>0</v>
      </c>
      <c r="AD22" s="37"/>
      <c r="AE22" s="37"/>
    </row>
    <row r="23" spans="1:31" ht="12.75" customHeight="1">
      <c r="A23" s="20">
        <f t="shared" si="0"/>
        <v>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6"/>
      <c r="M23" s="26"/>
      <c r="N23" s="39" t="s">
        <v>35</v>
      </c>
      <c r="O23" s="26"/>
      <c r="P23" s="26"/>
      <c r="Q23" s="26"/>
      <c r="R23" s="26"/>
      <c r="S23" s="26"/>
      <c r="T23" s="26"/>
      <c r="U23" s="26"/>
      <c r="V23" s="26"/>
      <c r="W23" s="26"/>
      <c r="X23" s="26">
        <f>COUNTIF($L$2:L23,"&lt;&gt;"&amp;"")</f>
        <v>6</v>
      </c>
      <c r="Y23" s="27">
        <f t="shared" si="1"/>
        <v>8147182.7272727266</v>
      </c>
      <c r="Z23" s="28"/>
      <c r="AA23" s="29"/>
      <c r="AB23" s="30" t="b">
        <f>TRUE()</f>
        <v>1</v>
      </c>
      <c r="AC23" s="31">
        <f t="shared" si="2"/>
        <v>0</v>
      </c>
      <c r="AD23" s="37"/>
      <c r="AE23" s="37"/>
    </row>
    <row r="24" spans="1:31" ht="12.75" customHeight="1">
      <c r="A24" s="20">
        <f t="shared" si="0"/>
        <v>2003868.7052341597</v>
      </c>
      <c r="B24" s="23"/>
      <c r="C24" s="23"/>
      <c r="D24" s="34">
        <v>1</v>
      </c>
      <c r="E24" s="34">
        <v>2</v>
      </c>
      <c r="F24" s="23"/>
      <c r="G24" s="34">
        <v>1</v>
      </c>
      <c r="H24" s="23"/>
      <c r="I24" s="23"/>
      <c r="J24" s="23"/>
      <c r="K24" s="23"/>
      <c r="L24" s="26"/>
      <c r="M24" s="43" t="s">
        <v>36</v>
      </c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>
        <f>COUNTIF($L$2:L24,"&lt;&gt;"&amp;"")</f>
        <v>6</v>
      </c>
      <c r="Y24" s="27">
        <f t="shared" si="1"/>
        <v>8147182.7272727266</v>
      </c>
      <c r="Z24" s="28"/>
      <c r="AA24" s="29"/>
      <c r="AB24" s="30" t="b">
        <f>TRUE()</f>
        <v>1</v>
      </c>
      <c r="AC24" s="31">
        <f t="shared" si="2"/>
        <v>0</v>
      </c>
      <c r="AD24" s="37"/>
      <c r="AE24" s="37"/>
    </row>
    <row r="25" spans="1:31" ht="15" customHeight="1">
      <c r="A25" s="20">
        <f t="shared" si="0"/>
        <v>0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35"/>
      <c r="M25" s="26"/>
      <c r="N25" s="39" t="s">
        <v>37</v>
      </c>
      <c r="O25" s="26"/>
      <c r="P25" s="26"/>
      <c r="Q25" s="26"/>
      <c r="R25" s="26"/>
      <c r="S25" s="26"/>
      <c r="T25" s="26"/>
      <c r="U25" s="26"/>
      <c r="V25" s="26"/>
      <c r="W25" s="26"/>
      <c r="X25" s="26">
        <f>COUNTIF($L$2:L25,"&lt;&gt;"&amp;"")</f>
        <v>6</v>
      </c>
      <c r="Y25" s="27">
        <f t="shared" si="1"/>
        <v>8147182.7272727266</v>
      </c>
      <c r="Z25" s="28"/>
      <c r="AA25" s="29"/>
      <c r="AB25" s="30" t="b">
        <f>TRUE()</f>
        <v>1</v>
      </c>
      <c r="AC25" s="31">
        <f t="shared" si="2"/>
        <v>0</v>
      </c>
      <c r="AD25" s="37"/>
      <c r="AE25" s="37"/>
    </row>
    <row r="26" spans="1:31" ht="15" customHeight="1">
      <c r="A26" s="20">
        <f t="shared" si="0"/>
        <v>0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42" t="s">
        <v>38</v>
      </c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>
        <f>COUNTIF($L$2:L26,"&lt;&gt;"&amp;"")</f>
        <v>7</v>
      </c>
      <c r="Y26" s="27">
        <f t="shared" si="1"/>
        <v>10990685.977961432</v>
      </c>
      <c r="Z26" s="28"/>
      <c r="AA26" s="29"/>
      <c r="AB26" s="30" t="b">
        <f>TRUE()</f>
        <v>1</v>
      </c>
      <c r="AC26" s="31">
        <f t="shared" si="2"/>
        <v>10990685.977961432</v>
      </c>
      <c r="AD26" s="37"/>
      <c r="AE26" s="37"/>
    </row>
    <row r="27" spans="1:31" ht="15" customHeight="1">
      <c r="A27" s="20">
        <f t="shared" si="0"/>
        <v>1211842.9889807161</v>
      </c>
      <c r="B27" s="23"/>
      <c r="C27" s="23"/>
      <c r="D27" s="34">
        <v>1</v>
      </c>
      <c r="E27" s="34">
        <v>1</v>
      </c>
      <c r="F27" s="23"/>
      <c r="G27" s="34">
        <v>0.5</v>
      </c>
      <c r="H27" s="23"/>
      <c r="I27" s="23"/>
      <c r="J27" s="23"/>
      <c r="K27" s="23"/>
      <c r="L27" s="35"/>
      <c r="M27" s="38" t="s">
        <v>39</v>
      </c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>
        <f>COUNTIF($L$2:L27,"&lt;&gt;"&amp;"")</f>
        <v>7</v>
      </c>
      <c r="Y27" s="27">
        <f t="shared" si="1"/>
        <v>10990685.977961432</v>
      </c>
      <c r="Z27" s="28"/>
      <c r="AA27" s="29"/>
      <c r="AB27" s="30" t="b">
        <f>TRUE()</f>
        <v>1</v>
      </c>
      <c r="AC27" s="31">
        <f t="shared" si="2"/>
        <v>0</v>
      </c>
      <c r="AD27" s="37"/>
      <c r="AE27" s="37"/>
    </row>
    <row r="28" spans="1:31" ht="15" customHeight="1">
      <c r="A28" s="20">
        <f t="shared" si="0"/>
        <v>0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35"/>
      <c r="M28" s="26"/>
      <c r="N28" s="39" t="s">
        <v>40</v>
      </c>
      <c r="O28" s="26"/>
      <c r="P28" s="26"/>
      <c r="Q28" s="26"/>
      <c r="R28" s="26"/>
      <c r="S28" s="26"/>
      <c r="T28" s="26"/>
      <c r="U28" s="26"/>
      <c r="V28" s="26"/>
      <c r="W28" s="26"/>
      <c r="X28" s="26">
        <f>COUNTIF($L$2:L28,"&lt;&gt;"&amp;"")</f>
        <v>7</v>
      </c>
      <c r="Y28" s="27">
        <f t="shared" si="1"/>
        <v>10990685.977961432</v>
      </c>
      <c r="Z28" s="28"/>
      <c r="AA28" s="29"/>
      <c r="AB28" s="30" t="b">
        <f>TRUE()</f>
        <v>1</v>
      </c>
      <c r="AC28" s="31">
        <f t="shared" si="2"/>
        <v>0</v>
      </c>
      <c r="AD28" s="37"/>
      <c r="AE28" s="37"/>
    </row>
    <row r="29" spans="1:31" ht="15" customHeight="1">
      <c r="A29" s="20">
        <f t="shared" si="0"/>
        <v>2339586.9008264458</v>
      </c>
      <c r="B29" s="23"/>
      <c r="C29" s="34">
        <v>1</v>
      </c>
      <c r="D29" s="34">
        <v>1.5</v>
      </c>
      <c r="E29" s="34">
        <v>1.5</v>
      </c>
      <c r="F29" s="23"/>
      <c r="G29" s="34">
        <v>1</v>
      </c>
      <c r="H29" s="23"/>
      <c r="I29" s="23"/>
      <c r="J29" s="23"/>
      <c r="K29" s="23"/>
      <c r="L29" s="35"/>
      <c r="M29" s="38" t="s">
        <v>41</v>
      </c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>
        <f>COUNTIF($L$2:L29,"&lt;&gt;"&amp;"")</f>
        <v>7</v>
      </c>
      <c r="Y29" s="27">
        <f t="shared" si="1"/>
        <v>10990685.977961432</v>
      </c>
      <c r="Z29" s="28"/>
      <c r="AA29" s="29"/>
      <c r="AB29" s="30" t="b">
        <f>TRUE()</f>
        <v>1</v>
      </c>
      <c r="AC29" s="31">
        <f t="shared" si="2"/>
        <v>0</v>
      </c>
      <c r="AD29" s="37"/>
      <c r="AE29" s="37"/>
    </row>
    <row r="30" spans="1:31" ht="15" customHeight="1">
      <c r="A30" s="20">
        <f t="shared" si="0"/>
        <v>0</v>
      </c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35"/>
      <c r="M30" s="26"/>
      <c r="N30" s="39" t="s">
        <v>42</v>
      </c>
      <c r="O30" s="26"/>
      <c r="P30" s="26"/>
      <c r="Q30" s="26"/>
      <c r="R30" s="26"/>
      <c r="S30" s="26"/>
      <c r="T30" s="26"/>
      <c r="U30" s="26"/>
      <c r="V30" s="26"/>
      <c r="W30" s="26"/>
      <c r="X30" s="26">
        <f>COUNTIF($L$2:L30,"&lt;&gt;"&amp;"")</f>
        <v>7</v>
      </c>
      <c r="Y30" s="27">
        <f t="shared" si="1"/>
        <v>10990685.977961432</v>
      </c>
      <c r="Z30" s="28"/>
      <c r="AA30" s="29"/>
      <c r="AB30" s="30" t="b">
        <f>TRUE()</f>
        <v>1</v>
      </c>
      <c r="AC30" s="31">
        <f t="shared" si="2"/>
        <v>0</v>
      </c>
      <c r="AD30" s="37"/>
      <c r="AE30" s="37"/>
    </row>
    <row r="31" spans="1:31" ht="15" customHeight="1">
      <c r="A31" s="20">
        <f t="shared" si="0"/>
        <v>1505850.7024793387</v>
      </c>
      <c r="B31" s="23"/>
      <c r="C31" s="23"/>
      <c r="D31" s="34">
        <v>1</v>
      </c>
      <c r="E31" s="34">
        <v>1.5</v>
      </c>
      <c r="F31" s="23"/>
      <c r="G31" s="34">
        <v>0.5</v>
      </c>
      <c r="H31" s="23"/>
      <c r="I31" s="23"/>
      <c r="J31" s="23"/>
      <c r="K31" s="23"/>
      <c r="L31" s="35"/>
      <c r="M31" s="38" t="s">
        <v>43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>
        <f>COUNTIF($L$2:L31,"&lt;&gt;"&amp;"")</f>
        <v>7</v>
      </c>
      <c r="Y31" s="27">
        <f t="shared" si="1"/>
        <v>10990685.977961432</v>
      </c>
      <c r="Z31" s="28"/>
      <c r="AA31" s="29"/>
      <c r="AB31" s="30" t="b">
        <f>TRUE()</f>
        <v>1</v>
      </c>
      <c r="AC31" s="31">
        <f t="shared" si="2"/>
        <v>0</v>
      </c>
      <c r="AD31" s="37"/>
      <c r="AE31" s="37"/>
    </row>
    <row r="32" spans="1:31" ht="15" customHeight="1">
      <c r="A32" s="20">
        <f t="shared" si="0"/>
        <v>0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35"/>
      <c r="M32" s="26"/>
      <c r="N32" s="39" t="s">
        <v>44</v>
      </c>
      <c r="O32" s="26"/>
      <c r="P32" s="26"/>
      <c r="Q32" s="26"/>
      <c r="R32" s="26"/>
      <c r="S32" s="26"/>
      <c r="T32" s="26"/>
      <c r="U32" s="26"/>
      <c r="V32" s="26"/>
      <c r="W32" s="26"/>
      <c r="X32" s="26">
        <f>COUNTIF($L$2:L32,"&lt;&gt;"&amp;"")</f>
        <v>7</v>
      </c>
      <c r="Y32" s="27">
        <f t="shared" si="1"/>
        <v>10990685.977961432</v>
      </c>
      <c r="Z32" s="28"/>
      <c r="AA32" s="29"/>
      <c r="AB32" s="30" t="b">
        <f>TRUE()</f>
        <v>1</v>
      </c>
      <c r="AC32" s="31">
        <f t="shared" si="2"/>
        <v>0</v>
      </c>
      <c r="AD32" s="37"/>
      <c r="AE32" s="37"/>
    </row>
    <row r="33" spans="1:31" ht="15" customHeight="1">
      <c r="A33" s="20">
        <f t="shared" si="0"/>
        <v>2003868.7052341597</v>
      </c>
      <c r="B33" s="23"/>
      <c r="C33" s="23"/>
      <c r="D33" s="34">
        <v>1</v>
      </c>
      <c r="E33" s="34">
        <v>2</v>
      </c>
      <c r="F33" s="23"/>
      <c r="G33" s="34">
        <v>1</v>
      </c>
      <c r="H33" s="23"/>
      <c r="I33" s="23"/>
      <c r="J33" s="23"/>
      <c r="K33" s="23"/>
      <c r="L33" s="35"/>
      <c r="M33" s="38" t="s">
        <v>45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>
        <f>COUNTIF($L$2:L33,"&lt;&gt;"&amp;"")</f>
        <v>7</v>
      </c>
      <c r="Y33" s="27">
        <f t="shared" si="1"/>
        <v>10990685.977961432</v>
      </c>
      <c r="Z33" s="28"/>
      <c r="AA33" s="29"/>
      <c r="AB33" s="30" t="b">
        <f>TRUE()</f>
        <v>1</v>
      </c>
      <c r="AC33" s="31">
        <f t="shared" si="2"/>
        <v>0</v>
      </c>
      <c r="AD33" s="37"/>
      <c r="AE33" s="37"/>
    </row>
    <row r="34" spans="1:31" ht="15" customHeight="1">
      <c r="A34" s="20">
        <f t="shared" ref="A34:A65" si="3">(B34*$P$152+C34*$P$153+D34*$P$154+E34*$P$155+F34*$P$156+G34*$P$157+H34*$P$158+I34*$P$159+J34*$P$160+K34*$P$161)*$T$150</f>
        <v>0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35"/>
      <c r="M34" s="35"/>
      <c r="N34" s="39" t="s">
        <v>46</v>
      </c>
      <c r="O34" s="26"/>
      <c r="P34" s="26"/>
      <c r="Q34" s="26"/>
      <c r="R34" s="26"/>
      <c r="S34" s="26"/>
      <c r="T34" s="26"/>
      <c r="U34" s="26"/>
      <c r="V34" s="26"/>
      <c r="W34" s="26"/>
      <c r="X34" s="26">
        <f>COUNTIF($L$2:L34,"&lt;&gt;"&amp;"")</f>
        <v>7</v>
      </c>
      <c r="Y34" s="27">
        <f t="shared" ref="Y34:Y65" si="4">SUMIF($X$2:$X$147,X34,$A$2:$A$147)</f>
        <v>10990685.977961432</v>
      </c>
      <c r="Z34" s="28"/>
      <c r="AA34" s="29"/>
      <c r="AB34" s="30" t="b">
        <f>TRUE()</f>
        <v>1</v>
      </c>
      <c r="AC34" s="31">
        <f t="shared" ref="AC34:AC65" si="5">IF(L34="",0,IF(AB34=FALSE(),0,Y34))</f>
        <v>0</v>
      </c>
      <c r="AD34" s="37"/>
      <c r="AE34" s="37"/>
    </row>
    <row r="35" spans="1:31" ht="15" customHeight="1">
      <c r="A35" s="20">
        <f t="shared" si="3"/>
        <v>1715759.338842975</v>
      </c>
      <c r="B35" s="23"/>
      <c r="C35" s="23"/>
      <c r="D35" s="34">
        <v>1.5</v>
      </c>
      <c r="E35" s="34">
        <v>1.5</v>
      </c>
      <c r="F35" s="23"/>
      <c r="G35" s="34">
        <v>0.5</v>
      </c>
      <c r="H35" s="23"/>
      <c r="I35" s="23"/>
      <c r="J35" s="23"/>
      <c r="K35" s="23"/>
      <c r="L35" s="35"/>
      <c r="M35" s="38" t="s">
        <v>47</v>
      </c>
      <c r="N35" s="44"/>
      <c r="O35" s="26"/>
      <c r="P35" s="26"/>
      <c r="Q35" s="26"/>
      <c r="R35" s="26"/>
      <c r="S35" s="26"/>
      <c r="T35" s="26"/>
      <c r="U35" s="26"/>
      <c r="V35" s="26"/>
      <c r="W35" s="26"/>
      <c r="X35" s="26">
        <f>COUNTIF($L$2:L35,"&lt;&gt;"&amp;"")</f>
        <v>7</v>
      </c>
      <c r="Y35" s="27">
        <f t="shared" si="4"/>
        <v>10990685.977961432</v>
      </c>
      <c r="Z35" s="28"/>
      <c r="AA35" s="29"/>
      <c r="AB35" s="30" t="b">
        <f>TRUE()</f>
        <v>1</v>
      </c>
      <c r="AC35" s="31">
        <f t="shared" si="5"/>
        <v>0</v>
      </c>
      <c r="AD35" s="37"/>
      <c r="AE35" s="37"/>
    </row>
    <row r="36" spans="1:31" ht="15" customHeight="1">
      <c r="A36" s="20">
        <f t="shared" si="3"/>
        <v>0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35"/>
      <c r="M36" s="26"/>
      <c r="N36" s="39" t="s">
        <v>48</v>
      </c>
      <c r="O36" s="26"/>
      <c r="P36" s="26"/>
      <c r="Q36" s="26"/>
      <c r="R36" s="26"/>
      <c r="S36" s="26"/>
      <c r="T36" s="26"/>
      <c r="U36" s="26"/>
      <c r="V36" s="26"/>
      <c r="W36" s="26"/>
      <c r="X36" s="26">
        <f>COUNTIF($L$2:L36,"&lt;&gt;"&amp;"")</f>
        <v>7</v>
      </c>
      <c r="Y36" s="27">
        <f t="shared" si="4"/>
        <v>10990685.977961432</v>
      </c>
      <c r="Z36" s="28"/>
      <c r="AA36" s="29"/>
      <c r="AB36" s="30" t="b">
        <f>TRUE()</f>
        <v>1</v>
      </c>
      <c r="AC36" s="31">
        <f t="shared" si="5"/>
        <v>0</v>
      </c>
      <c r="AD36" s="37"/>
      <c r="AE36" s="37"/>
    </row>
    <row r="37" spans="1:31" ht="15" customHeight="1">
      <c r="A37" s="20">
        <f t="shared" si="3"/>
        <v>2213777.341597796</v>
      </c>
      <c r="B37" s="23"/>
      <c r="C37" s="23"/>
      <c r="D37" s="34">
        <v>1.5</v>
      </c>
      <c r="E37" s="34">
        <v>2</v>
      </c>
      <c r="F37" s="23"/>
      <c r="G37" s="34">
        <v>1</v>
      </c>
      <c r="H37" s="23"/>
      <c r="I37" s="23"/>
      <c r="J37" s="23"/>
      <c r="K37" s="23"/>
      <c r="L37" s="35"/>
      <c r="M37" s="38" t="s">
        <v>49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>
        <f>COUNTIF($L$2:L37,"&lt;&gt;"&amp;"")</f>
        <v>7</v>
      </c>
      <c r="Y37" s="27">
        <f t="shared" si="4"/>
        <v>10990685.977961432</v>
      </c>
      <c r="Z37" s="28"/>
      <c r="AA37" s="29"/>
      <c r="AB37" s="30" t="b">
        <f>TRUE()</f>
        <v>1</v>
      </c>
      <c r="AC37" s="31">
        <f t="shared" si="5"/>
        <v>0</v>
      </c>
      <c r="AD37" s="37"/>
      <c r="AE37" s="37"/>
    </row>
    <row r="38" spans="1:31" ht="15" customHeight="1">
      <c r="A38" s="20">
        <f t="shared" si="3"/>
        <v>0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35"/>
      <c r="M38" s="26"/>
      <c r="N38" s="39" t="s">
        <v>50</v>
      </c>
      <c r="O38" s="26"/>
      <c r="P38" s="26"/>
      <c r="Q38" s="26"/>
      <c r="R38" s="26"/>
      <c r="S38" s="26"/>
      <c r="T38" s="26"/>
      <c r="U38" s="26"/>
      <c r="V38" s="26"/>
      <c r="W38" s="26"/>
      <c r="X38" s="26">
        <f>COUNTIF($L$2:L38,"&lt;&gt;"&amp;"")</f>
        <v>7</v>
      </c>
      <c r="Y38" s="27">
        <f t="shared" si="4"/>
        <v>10990685.977961432</v>
      </c>
      <c r="Z38" s="28"/>
      <c r="AA38" s="29"/>
      <c r="AB38" s="30" t="b">
        <f>TRUE()</f>
        <v>1</v>
      </c>
      <c r="AC38" s="31">
        <f t="shared" si="5"/>
        <v>0</v>
      </c>
      <c r="AD38" s="45"/>
      <c r="AE38" s="45"/>
    </row>
    <row r="39" spans="1:31" ht="15" customHeight="1">
      <c r="A39" s="20">
        <f t="shared" si="3"/>
        <v>0</v>
      </c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42" t="s">
        <v>51</v>
      </c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>
        <f>COUNTIF($L$2:L39,"&lt;&gt;"&amp;"")</f>
        <v>8</v>
      </c>
      <c r="Y39" s="27">
        <f t="shared" si="4"/>
        <v>10235150.509641875</v>
      </c>
      <c r="Z39" s="28"/>
      <c r="AA39" s="29"/>
      <c r="AB39" s="30" t="b">
        <f>TRUE()</f>
        <v>1</v>
      </c>
      <c r="AC39" s="31">
        <f t="shared" si="5"/>
        <v>10235150.509641875</v>
      </c>
      <c r="AD39" s="37"/>
      <c r="AE39" s="37"/>
    </row>
    <row r="40" spans="1:31" ht="15" customHeight="1">
      <c r="A40" s="20">
        <f t="shared" si="3"/>
        <v>2423685.9779614322</v>
      </c>
      <c r="B40" s="23"/>
      <c r="C40" s="34">
        <v>0.5</v>
      </c>
      <c r="D40" s="34">
        <v>1.5</v>
      </c>
      <c r="E40" s="34">
        <v>2</v>
      </c>
      <c r="F40" s="23"/>
      <c r="G40" s="34">
        <v>1</v>
      </c>
      <c r="H40" s="23"/>
      <c r="I40" s="23"/>
      <c r="J40" s="23"/>
      <c r="K40" s="23"/>
      <c r="L40" s="35"/>
      <c r="M40" s="38" t="s">
        <v>52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>
        <f>COUNTIF($L$2:L40,"&lt;&gt;"&amp;"")</f>
        <v>8</v>
      </c>
      <c r="Y40" s="27">
        <f t="shared" si="4"/>
        <v>10235150.509641875</v>
      </c>
      <c r="Z40" s="28"/>
      <c r="AA40" s="29"/>
      <c r="AB40" s="30" t="b">
        <f>TRUE()</f>
        <v>1</v>
      </c>
      <c r="AC40" s="31">
        <f t="shared" si="5"/>
        <v>0</v>
      </c>
      <c r="AD40" s="45"/>
      <c r="AE40" s="45"/>
    </row>
    <row r="41" spans="1:31" ht="15" customHeight="1">
      <c r="A41" s="20">
        <f t="shared" si="3"/>
        <v>0</v>
      </c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35"/>
      <c r="M41" s="26"/>
      <c r="N41" s="39" t="s">
        <v>53</v>
      </c>
      <c r="O41" s="26"/>
      <c r="P41" s="26"/>
      <c r="Q41" s="26"/>
      <c r="R41" s="26"/>
      <c r="S41" s="26"/>
      <c r="T41" s="26"/>
      <c r="U41" s="26"/>
      <c r="V41" s="26"/>
      <c r="W41" s="26"/>
      <c r="X41" s="26">
        <f>COUNTIF($L$2:L41,"&lt;&gt;"&amp;"")</f>
        <v>8</v>
      </c>
      <c r="Y41" s="27">
        <f t="shared" si="4"/>
        <v>10235150.509641875</v>
      </c>
      <c r="Z41" s="28"/>
      <c r="AA41" s="29"/>
      <c r="AB41" s="30" t="b">
        <f>TRUE()</f>
        <v>1</v>
      </c>
      <c r="AC41" s="31">
        <f t="shared" si="5"/>
        <v>0</v>
      </c>
      <c r="AD41" s="45"/>
      <c r="AE41" s="45"/>
    </row>
    <row r="42" spans="1:31" ht="15" customHeight="1">
      <c r="A42" s="20">
        <f t="shared" si="3"/>
        <v>1505850.7024793387</v>
      </c>
      <c r="B42" s="23"/>
      <c r="C42" s="23"/>
      <c r="D42" s="34">
        <v>1</v>
      </c>
      <c r="E42" s="34">
        <v>1.5</v>
      </c>
      <c r="F42" s="23"/>
      <c r="G42" s="34">
        <v>0.5</v>
      </c>
      <c r="H42" s="23"/>
      <c r="I42" s="23"/>
      <c r="J42" s="23"/>
      <c r="K42" s="23"/>
      <c r="L42" s="35"/>
      <c r="M42" s="38" t="s">
        <v>54</v>
      </c>
      <c r="N42" s="46"/>
      <c r="O42" s="26"/>
      <c r="P42" s="26"/>
      <c r="Q42" s="26"/>
      <c r="R42" s="26"/>
      <c r="S42" s="26"/>
      <c r="T42" s="26"/>
      <c r="U42" s="26"/>
      <c r="V42" s="26"/>
      <c r="W42" s="26"/>
      <c r="X42" s="26">
        <f>COUNTIF($L$2:L42,"&lt;&gt;"&amp;"")</f>
        <v>8</v>
      </c>
      <c r="Y42" s="27">
        <f t="shared" si="4"/>
        <v>10235150.509641875</v>
      </c>
      <c r="Z42" s="28"/>
      <c r="AA42" s="29"/>
      <c r="AB42" s="30" t="b">
        <f>TRUE()</f>
        <v>1</v>
      </c>
      <c r="AC42" s="31">
        <f t="shared" si="5"/>
        <v>0</v>
      </c>
      <c r="AD42" s="37"/>
      <c r="AE42" s="37"/>
    </row>
    <row r="43" spans="1:31" ht="15" customHeight="1">
      <c r="A43" s="20">
        <f t="shared" si="3"/>
        <v>0</v>
      </c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35"/>
      <c r="M43" s="35"/>
      <c r="N43" s="39" t="s">
        <v>55</v>
      </c>
      <c r="O43" s="26"/>
      <c r="P43" s="26"/>
      <c r="Q43" s="26"/>
      <c r="R43" s="26"/>
      <c r="S43" s="26"/>
      <c r="T43" s="26"/>
      <c r="U43" s="26"/>
      <c r="V43" s="26"/>
      <c r="W43" s="26"/>
      <c r="X43" s="26">
        <f>COUNTIF($L$2:L43,"&lt;&gt;"&amp;"")</f>
        <v>8</v>
      </c>
      <c r="Y43" s="27">
        <f t="shared" si="4"/>
        <v>10235150.509641875</v>
      </c>
      <c r="Z43" s="28"/>
      <c r="AA43" s="29"/>
      <c r="AB43" s="30" t="b">
        <f>TRUE()</f>
        <v>1</v>
      </c>
      <c r="AC43" s="31">
        <f t="shared" si="5"/>
        <v>0</v>
      </c>
      <c r="AD43" s="37"/>
      <c r="AE43" s="37"/>
    </row>
    <row r="44" spans="1:31" ht="15" customHeight="1">
      <c r="A44" s="20">
        <f t="shared" si="3"/>
        <v>2003868.7052341597</v>
      </c>
      <c r="B44" s="23"/>
      <c r="C44" s="23"/>
      <c r="D44" s="34">
        <v>1</v>
      </c>
      <c r="E44" s="34">
        <v>2</v>
      </c>
      <c r="F44" s="23"/>
      <c r="G44" s="34">
        <v>1</v>
      </c>
      <c r="H44" s="23"/>
      <c r="I44" s="23"/>
      <c r="J44" s="23"/>
      <c r="K44" s="23"/>
      <c r="L44" s="35"/>
      <c r="M44" s="38" t="s">
        <v>56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>
        <f>COUNTIF($L$2:L44,"&lt;&gt;"&amp;"")</f>
        <v>8</v>
      </c>
      <c r="Y44" s="27">
        <f t="shared" si="4"/>
        <v>10235150.509641875</v>
      </c>
      <c r="Z44" s="28"/>
      <c r="AA44" s="29"/>
      <c r="AB44" s="30" t="b">
        <f>TRUE()</f>
        <v>1</v>
      </c>
      <c r="AC44" s="31">
        <f t="shared" si="5"/>
        <v>0</v>
      </c>
      <c r="AD44" s="37"/>
      <c r="AE44" s="37"/>
    </row>
    <row r="45" spans="1:31" ht="15" customHeight="1">
      <c r="A45" s="20">
        <f t="shared" si="3"/>
        <v>0</v>
      </c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35"/>
      <c r="M45" s="26"/>
      <c r="N45" s="39" t="s">
        <v>57</v>
      </c>
      <c r="O45" s="26"/>
      <c r="P45" s="26"/>
      <c r="Q45" s="26"/>
      <c r="R45" s="26"/>
      <c r="S45" s="26"/>
      <c r="T45" s="26"/>
      <c r="U45" s="26"/>
      <c r="V45" s="26"/>
      <c r="W45" s="26"/>
      <c r="X45" s="26">
        <f>COUNTIF($L$2:L45,"&lt;&gt;"&amp;"")</f>
        <v>8</v>
      </c>
      <c r="Y45" s="27">
        <f t="shared" si="4"/>
        <v>10235150.509641875</v>
      </c>
      <c r="Z45" s="28"/>
      <c r="AA45" s="29"/>
      <c r="AB45" s="30" t="b">
        <f>TRUE()</f>
        <v>1</v>
      </c>
      <c r="AC45" s="31">
        <f t="shared" si="5"/>
        <v>0</v>
      </c>
      <c r="AD45" s="37"/>
      <c r="AE45" s="37"/>
    </row>
    <row r="46" spans="1:31" ht="15" customHeight="1">
      <c r="A46" s="20">
        <f t="shared" si="3"/>
        <v>2297876.4187327824</v>
      </c>
      <c r="B46" s="23"/>
      <c r="C46" s="23"/>
      <c r="D46" s="34">
        <v>1</v>
      </c>
      <c r="E46" s="34">
        <v>2.5</v>
      </c>
      <c r="F46" s="23"/>
      <c r="G46" s="34">
        <v>1</v>
      </c>
      <c r="H46" s="23"/>
      <c r="I46" s="23"/>
      <c r="J46" s="23"/>
      <c r="K46" s="23"/>
      <c r="L46" s="35"/>
      <c r="M46" s="38" t="s">
        <v>58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>
        <f>COUNTIF($L$2:L46,"&lt;&gt;"&amp;"")</f>
        <v>8</v>
      </c>
      <c r="Y46" s="27">
        <f t="shared" si="4"/>
        <v>10235150.509641875</v>
      </c>
      <c r="Z46" s="28"/>
      <c r="AA46" s="29"/>
      <c r="AB46" s="30" t="b">
        <f>TRUE()</f>
        <v>1</v>
      </c>
      <c r="AC46" s="31">
        <f t="shared" si="5"/>
        <v>0</v>
      </c>
      <c r="AD46" s="37"/>
      <c r="AE46" s="37"/>
    </row>
    <row r="47" spans="1:31" ht="15" customHeight="1">
      <c r="A47" s="20">
        <f t="shared" si="3"/>
        <v>0</v>
      </c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35"/>
      <c r="M47" s="26"/>
      <c r="N47" s="39" t="s">
        <v>59</v>
      </c>
      <c r="O47" s="26"/>
      <c r="P47" s="26"/>
      <c r="Q47" s="26"/>
      <c r="R47" s="26"/>
      <c r="S47" s="26"/>
      <c r="T47" s="26"/>
      <c r="U47" s="26"/>
      <c r="V47" s="26"/>
      <c r="W47" s="26"/>
      <c r="X47" s="26">
        <f>COUNTIF($L$2:L47,"&lt;&gt;"&amp;"")</f>
        <v>8</v>
      </c>
      <c r="Y47" s="27">
        <f t="shared" si="4"/>
        <v>10235150.509641875</v>
      </c>
      <c r="Z47" s="28"/>
      <c r="AA47" s="29"/>
      <c r="AB47" s="30" t="b">
        <f>TRUE()</f>
        <v>1</v>
      </c>
      <c r="AC47" s="31">
        <f t="shared" si="5"/>
        <v>0</v>
      </c>
      <c r="AD47" s="37"/>
      <c r="AE47" s="37"/>
    </row>
    <row r="48" spans="1:31" ht="15" customHeight="1">
      <c r="A48" s="20">
        <f t="shared" si="3"/>
        <v>2003868.7052341597</v>
      </c>
      <c r="B48" s="23"/>
      <c r="C48" s="23"/>
      <c r="D48" s="34">
        <v>1</v>
      </c>
      <c r="E48" s="34">
        <v>2</v>
      </c>
      <c r="F48" s="23"/>
      <c r="G48" s="34">
        <v>1</v>
      </c>
      <c r="H48" s="23"/>
      <c r="I48" s="23"/>
      <c r="J48" s="23"/>
      <c r="K48" s="23"/>
      <c r="L48" s="35"/>
      <c r="M48" s="38" t="s">
        <v>60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>
        <f>COUNTIF($L$2:L48,"&lt;&gt;"&amp;"")</f>
        <v>8</v>
      </c>
      <c r="Y48" s="27">
        <f t="shared" si="4"/>
        <v>10235150.509641875</v>
      </c>
      <c r="Z48" s="28"/>
      <c r="AA48" s="29"/>
      <c r="AB48" s="30" t="b">
        <f>TRUE()</f>
        <v>1</v>
      </c>
      <c r="AC48" s="31">
        <f t="shared" si="5"/>
        <v>0</v>
      </c>
      <c r="AD48" s="45"/>
      <c r="AE48" s="45"/>
    </row>
    <row r="49" spans="1:31" ht="15" customHeight="1">
      <c r="A49" s="20">
        <f t="shared" si="3"/>
        <v>0</v>
      </c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35"/>
      <c r="M49" s="26"/>
      <c r="N49" s="39" t="s">
        <v>61</v>
      </c>
      <c r="O49" s="26"/>
      <c r="P49" s="26"/>
      <c r="Q49" s="26"/>
      <c r="R49" s="26"/>
      <c r="S49" s="26"/>
      <c r="T49" s="26"/>
      <c r="U49" s="26"/>
      <c r="V49" s="26"/>
      <c r="W49" s="26"/>
      <c r="X49" s="26">
        <f>COUNTIF($L$2:L49,"&lt;&gt;"&amp;"")</f>
        <v>8</v>
      </c>
      <c r="Y49" s="27">
        <f t="shared" si="4"/>
        <v>10235150.509641875</v>
      </c>
      <c r="Z49" s="28"/>
      <c r="AA49" s="29"/>
      <c r="AB49" s="30" t="b">
        <f>TRUE()</f>
        <v>1</v>
      </c>
      <c r="AC49" s="31">
        <f t="shared" si="5"/>
        <v>0</v>
      </c>
      <c r="AD49" s="45"/>
      <c r="AE49" s="45"/>
    </row>
    <row r="50" spans="1:31" ht="15" customHeight="1">
      <c r="A50" s="20">
        <f t="shared" si="3"/>
        <v>0</v>
      </c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42" t="s">
        <v>62</v>
      </c>
      <c r="M50" s="35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>
        <f>COUNTIF($L$2:L50,"&lt;&gt;"&amp;"")</f>
        <v>9</v>
      </c>
      <c r="Y50" s="27">
        <f t="shared" si="4"/>
        <v>14103555.674931128</v>
      </c>
      <c r="Z50" s="28"/>
      <c r="AA50" s="29"/>
      <c r="AB50" s="30" t="b">
        <f>TRUE()</f>
        <v>1</v>
      </c>
      <c r="AC50" s="31">
        <f t="shared" si="5"/>
        <v>14103555.674931128</v>
      </c>
      <c r="AD50" s="45"/>
      <c r="AE50" s="45"/>
    </row>
    <row r="51" spans="1:31" ht="15" customHeight="1">
      <c r="A51" s="20">
        <f t="shared" si="3"/>
        <v>1925667.9752066114</v>
      </c>
      <c r="B51" s="23"/>
      <c r="C51" s="34">
        <v>0.5</v>
      </c>
      <c r="D51" s="34">
        <v>1.5</v>
      </c>
      <c r="E51" s="34">
        <v>1.5</v>
      </c>
      <c r="F51" s="23"/>
      <c r="G51" s="34">
        <v>0.5</v>
      </c>
      <c r="H51" s="23"/>
      <c r="I51" s="23"/>
      <c r="J51" s="23"/>
      <c r="K51" s="23"/>
      <c r="L51" s="35"/>
      <c r="M51" s="38" t="s">
        <v>63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>
        <f>COUNTIF($L$2:L51,"&lt;&gt;"&amp;"")</f>
        <v>9</v>
      </c>
      <c r="Y51" s="27">
        <f t="shared" si="4"/>
        <v>14103555.674931128</v>
      </c>
      <c r="Z51" s="28"/>
      <c r="AA51" s="29"/>
      <c r="AB51" s="30" t="b">
        <f>TRUE()</f>
        <v>1</v>
      </c>
      <c r="AC51" s="31">
        <f t="shared" si="5"/>
        <v>0</v>
      </c>
      <c r="AD51" s="45"/>
      <c r="AE51" s="45"/>
    </row>
    <row r="52" spans="1:31" ht="15" customHeight="1">
      <c r="A52" s="20">
        <f t="shared" si="3"/>
        <v>0</v>
      </c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35"/>
      <c r="M52" s="26"/>
      <c r="N52" s="39" t="s">
        <v>64</v>
      </c>
      <c r="O52" s="26"/>
      <c r="P52" s="26"/>
      <c r="Q52" s="26"/>
      <c r="R52" s="26"/>
      <c r="S52" s="26"/>
      <c r="T52" s="26"/>
      <c r="U52" s="26"/>
      <c r="V52" s="26"/>
      <c r="W52" s="26"/>
      <c r="X52" s="26">
        <f>COUNTIF($L$2:L52,"&lt;&gt;"&amp;"")</f>
        <v>9</v>
      </c>
      <c r="Y52" s="27">
        <f t="shared" si="4"/>
        <v>14103555.674931128</v>
      </c>
      <c r="Z52" s="28"/>
      <c r="AA52" s="29"/>
      <c r="AB52" s="30" t="b">
        <f>TRUE()</f>
        <v>1</v>
      </c>
      <c r="AC52" s="31">
        <f t="shared" si="5"/>
        <v>0</v>
      </c>
      <c r="AD52" s="45"/>
      <c r="AE52" s="45"/>
    </row>
    <row r="53" spans="1:31" ht="15" customHeight="1">
      <c r="A53" s="20">
        <f t="shared" si="3"/>
        <v>1505850.7024793387</v>
      </c>
      <c r="B53" s="23"/>
      <c r="C53" s="23"/>
      <c r="D53" s="34">
        <v>1</v>
      </c>
      <c r="E53" s="34">
        <v>1.5</v>
      </c>
      <c r="F53" s="23"/>
      <c r="G53" s="34">
        <v>0.5</v>
      </c>
      <c r="H53" s="23"/>
      <c r="I53" s="23"/>
      <c r="J53" s="23"/>
      <c r="K53" s="23"/>
      <c r="L53" s="35"/>
      <c r="M53" s="38" t="s">
        <v>65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f>COUNTIF($L$2:L53,"&lt;&gt;"&amp;"")</f>
        <v>9</v>
      </c>
      <c r="Y53" s="27">
        <f t="shared" si="4"/>
        <v>14103555.674931128</v>
      </c>
      <c r="Z53" s="28"/>
      <c r="AA53" s="29"/>
      <c r="AB53" s="30" t="b">
        <f>TRUE()</f>
        <v>1</v>
      </c>
      <c r="AC53" s="31">
        <f t="shared" si="5"/>
        <v>0</v>
      </c>
      <c r="AD53" s="45"/>
      <c r="AE53" s="45"/>
    </row>
    <row r="54" spans="1:31" ht="15" customHeight="1">
      <c r="A54" s="20">
        <f t="shared" si="3"/>
        <v>0</v>
      </c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35"/>
      <c r="M54" s="26"/>
      <c r="N54" s="39" t="s">
        <v>66</v>
      </c>
      <c r="O54" s="26"/>
      <c r="P54" s="26"/>
      <c r="Q54" s="26"/>
      <c r="R54" s="26"/>
      <c r="S54" s="26"/>
      <c r="T54" s="26"/>
      <c r="U54" s="26"/>
      <c r="V54" s="26"/>
      <c r="W54" s="26"/>
      <c r="X54" s="26">
        <f>COUNTIF($L$2:L54,"&lt;&gt;"&amp;"")</f>
        <v>9</v>
      </c>
      <c r="Y54" s="27">
        <f t="shared" si="4"/>
        <v>14103555.674931128</v>
      </c>
      <c r="Z54" s="28"/>
      <c r="AA54" s="29"/>
      <c r="AB54" s="30" t="b">
        <f>TRUE()</f>
        <v>1</v>
      </c>
      <c r="AC54" s="31">
        <f t="shared" si="5"/>
        <v>0</v>
      </c>
      <c r="AD54" s="45"/>
      <c r="AE54" s="45"/>
    </row>
    <row r="55" spans="1:31" ht="15" customHeight="1">
      <c r="A55" s="20">
        <f t="shared" si="3"/>
        <v>2003868.7052341597</v>
      </c>
      <c r="B55" s="23"/>
      <c r="C55" s="23"/>
      <c r="D55" s="34">
        <v>1</v>
      </c>
      <c r="E55" s="34">
        <v>2</v>
      </c>
      <c r="F55" s="23"/>
      <c r="G55" s="34">
        <v>1</v>
      </c>
      <c r="H55" s="23"/>
      <c r="I55" s="23"/>
      <c r="J55" s="23"/>
      <c r="K55" s="23"/>
      <c r="L55" s="35"/>
      <c r="M55" s="38" t="s">
        <v>67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f>COUNTIF($L$2:L55,"&lt;&gt;"&amp;"")</f>
        <v>9</v>
      </c>
      <c r="Y55" s="27">
        <f t="shared" si="4"/>
        <v>14103555.674931128</v>
      </c>
      <c r="Z55" s="28"/>
      <c r="AA55" s="29"/>
      <c r="AB55" s="30" t="b">
        <f>TRUE()</f>
        <v>1</v>
      </c>
      <c r="AC55" s="31">
        <f t="shared" si="5"/>
        <v>0</v>
      </c>
      <c r="AD55" s="45"/>
      <c r="AE55" s="45"/>
    </row>
    <row r="56" spans="1:31" ht="15" customHeight="1">
      <c r="A56" s="20">
        <f t="shared" si="3"/>
        <v>0</v>
      </c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35"/>
      <c r="M56" s="26"/>
      <c r="N56" s="39" t="s">
        <v>68</v>
      </c>
      <c r="O56" s="26"/>
      <c r="P56" s="26"/>
      <c r="Q56" s="26"/>
      <c r="R56" s="26"/>
      <c r="S56" s="26"/>
      <c r="T56" s="26"/>
      <c r="U56" s="26"/>
      <c r="V56" s="26"/>
      <c r="W56" s="26"/>
      <c r="X56" s="26">
        <f>COUNTIF($L$2:L56,"&lt;&gt;"&amp;"")</f>
        <v>9</v>
      </c>
      <c r="Y56" s="27">
        <f t="shared" si="4"/>
        <v>14103555.674931128</v>
      </c>
      <c r="Z56" s="28"/>
      <c r="AA56" s="29"/>
      <c r="AB56" s="30" t="b">
        <f>TRUE()</f>
        <v>1</v>
      </c>
      <c r="AC56" s="31">
        <f t="shared" si="5"/>
        <v>0</v>
      </c>
      <c r="AD56" s="45"/>
      <c r="AE56" s="45"/>
    </row>
    <row r="57" spans="1:31" ht="15" customHeight="1">
      <c r="A57" s="20">
        <f t="shared" si="3"/>
        <v>4360524.8209366389</v>
      </c>
      <c r="B57" s="34">
        <v>1</v>
      </c>
      <c r="C57" s="23"/>
      <c r="D57" s="34">
        <v>1.5</v>
      </c>
      <c r="E57" s="34">
        <v>4</v>
      </c>
      <c r="F57" s="23"/>
      <c r="G57" s="34">
        <v>1.5</v>
      </c>
      <c r="H57" s="23"/>
      <c r="I57" s="23"/>
      <c r="J57" s="23"/>
      <c r="K57" s="23"/>
      <c r="L57" s="35"/>
      <c r="M57" s="38" t="s">
        <v>69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>
        <f>COUNTIF($L$2:L57,"&lt;&gt;"&amp;"")</f>
        <v>9</v>
      </c>
      <c r="Y57" s="27">
        <f t="shared" si="4"/>
        <v>14103555.674931128</v>
      </c>
      <c r="Z57" s="28"/>
      <c r="AA57" s="29"/>
      <c r="AB57" s="30" t="b">
        <f>TRUE()</f>
        <v>1</v>
      </c>
      <c r="AC57" s="31">
        <f t="shared" si="5"/>
        <v>0</v>
      </c>
      <c r="AD57" s="45"/>
      <c r="AE57" s="45"/>
    </row>
    <row r="58" spans="1:31" ht="15" customHeight="1">
      <c r="A58" s="20">
        <f t="shared" si="3"/>
        <v>0</v>
      </c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35"/>
      <c r="M58" s="26"/>
      <c r="N58" s="39" t="s">
        <v>70</v>
      </c>
      <c r="O58" s="26"/>
      <c r="P58" s="26"/>
      <c r="Q58" s="26"/>
      <c r="R58" s="26"/>
      <c r="S58" s="26"/>
      <c r="T58" s="26"/>
      <c r="U58" s="26"/>
      <c r="V58" s="26"/>
      <c r="W58" s="26"/>
      <c r="X58" s="26">
        <f>COUNTIF($L$2:L58,"&lt;&gt;"&amp;"")</f>
        <v>9</v>
      </c>
      <c r="Y58" s="27">
        <f t="shared" si="4"/>
        <v>14103555.674931128</v>
      </c>
      <c r="Z58" s="28"/>
      <c r="AA58" s="29"/>
      <c r="AB58" s="30" t="b">
        <f>TRUE()</f>
        <v>1</v>
      </c>
      <c r="AC58" s="31">
        <f t="shared" si="5"/>
        <v>0</v>
      </c>
      <c r="AD58" s="45"/>
      <c r="AE58" s="45"/>
    </row>
    <row r="59" spans="1:31" ht="15" customHeight="1">
      <c r="A59" s="20">
        <f t="shared" si="3"/>
        <v>2801792.7685950412</v>
      </c>
      <c r="B59" s="23"/>
      <c r="C59" s="23"/>
      <c r="D59" s="34">
        <v>1.5</v>
      </c>
      <c r="E59" s="34">
        <v>3</v>
      </c>
      <c r="F59" s="23"/>
      <c r="G59" s="34">
        <v>1</v>
      </c>
      <c r="H59" s="23"/>
      <c r="I59" s="23"/>
      <c r="J59" s="23"/>
      <c r="K59" s="23"/>
      <c r="L59" s="35"/>
      <c r="M59" s="38" t="s">
        <v>71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>
        <f>COUNTIF($L$2:L59,"&lt;&gt;"&amp;"")</f>
        <v>9</v>
      </c>
      <c r="Y59" s="27">
        <f t="shared" si="4"/>
        <v>14103555.674931128</v>
      </c>
      <c r="Z59" s="28"/>
      <c r="AA59" s="29"/>
      <c r="AB59" s="30" t="b">
        <f>TRUE()</f>
        <v>1</v>
      </c>
      <c r="AC59" s="31">
        <f t="shared" si="5"/>
        <v>0</v>
      </c>
      <c r="AD59" s="45"/>
      <c r="AE59" s="45"/>
    </row>
    <row r="60" spans="1:31" ht="15" customHeight="1">
      <c r="A60" s="20">
        <f t="shared" si="3"/>
        <v>0</v>
      </c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35"/>
      <c r="M60" s="26"/>
      <c r="N60" s="39" t="s">
        <v>72</v>
      </c>
      <c r="O60" s="26"/>
      <c r="P60" s="26"/>
      <c r="Q60" s="26"/>
      <c r="R60" s="26"/>
      <c r="S60" s="26"/>
      <c r="T60" s="26"/>
      <c r="U60" s="26"/>
      <c r="V60" s="26"/>
      <c r="W60" s="26"/>
      <c r="X60" s="26">
        <f>COUNTIF($L$2:L60,"&lt;&gt;"&amp;"")</f>
        <v>9</v>
      </c>
      <c r="Y60" s="27">
        <f t="shared" si="4"/>
        <v>14103555.674931128</v>
      </c>
      <c r="Z60" s="28"/>
      <c r="AA60" s="29"/>
      <c r="AB60" s="30" t="b">
        <f>TRUE()</f>
        <v>1</v>
      </c>
      <c r="AC60" s="31">
        <f t="shared" si="5"/>
        <v>0</v>
      </c>
      <c r="AD60" s="45"/>
      <c r="AE60" s="45"/>
    </row>
    <row r="61" spans="1:31" ht="15" customHeight="1">
      <c r="A61" s="20">
        <f t="shared" si="3"/>
        <v>1505850.7024793387</v>
      </c>
      <c r="B61" s="23"/>
      <c r="C61" s="23"/>
      <c r="D61" s="34">
        <v>1</v>
      </c>
      <c r="E61" s="34">
        <v>1.5</v>
      </c>
      <c r="F61" s="23"/>
      <c r="G61" s="34">
        <v>0.5</v>
      </c>
      <c r="H61" s="23"/>
      <c r="I61" s="23"/>
      <c r="J61" s="23"/>
      <c r="K61" s="23"/>
      <c r="L61" s="35"/>
      <c r="M61" s="38" t="s">
        <v>73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>
        <f>COUNTIF($L$2:L61,"&lt;&gt;"&amp;"")</f>
        <v>9</v>
      </c>
      <c r="Y61" s="27">
        <f t="shared" si="4"/>
        <v>14103555.674931128</v>
      </c>
      <c r="Z61" s="28"/>
      <c r="AA61" s="29"/>
      <c r="AB61" s="30" t="b">
        <f>TRUE()</f>
        <v>1</v>
      </c>
      <c r="AC61" s="31">
        <f t="shared" si="5"/>
        <v>0</v>
      </c>
      <c r="AD61" s="45"/>
      <c r="AE61" s="45"/>
    </row>
    <row r="62" spans="1:31" ht="15" customHeight="1">
      <c r="A62" s="20">
        <f t="shared" si="3"/>
        <v>0</v>
      </c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35"/>
      <c r="M62" s="26"/>
      <c r="N62" s="39" t="s">
        <v>74</v>
      </c>
      <c r="O62" s="26"/>
      <c r="P62" s="26"/>
      <c r="Q62" s="26"/>
      <c r="R62" s="26"/>
      <c r="S62" s="26"/>
      <c r="T62" s="26"/>
      <c r="U62" s="26"/>
      <c r="V62" s="26"/>
      <c r="W62" s="26"/>
      <c r="X62" s="26">
        <f>COUNTIF($L$2:L62,"&lt;&gt;"&amp;"")</f>
        <v>9</v>
      </c>
      <c r="Y62" s="27">
        <f t="shared" si="4"/>
        <v>14103555.674931128</v>
      </c>
      <c r="Z62" s="28"/>
      <c r="AA62" s="29"/>
      <c r="AB62" s="30" t="b">
        <f>TRUE()</f>
        <v>1</v>
      </c>
      <c r="AC62" s="31">
        <f t="shared" si="5"/>
        <v>0</v>
      </c>
      <c r="AD62" s="45"/>
      <c r="AE62" s="45"/>
    </row>
    <row r="63" spans="1:31" ht="15" customHeight="1">
      <c r="A63" s="20">
        <f t="shared" si="3"/>
        <v>0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42" t="s">
        <v>75</v>
      </c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>
        <f>COUNTIF($L$2:L63,"&lt;&gt;"&amp;"")</f>
        <v>10</v>
      </c>
      <c r="Y63" s="27">
        <f t="shared" si="4"/>
        <v>7943172.4380165283</v>
      </c>
      <c r="Z63" s="28"/>
      <c r="AA63" s="29"/>
      <c r="AB63" s="30" t="b">
        <f>TRUE()</f>
        <v>1</v>
      </c>
      <c r="AC63" s="31">
        <f t="shared" si="5"/>
        <v>7943172.4380165283</v>
      </c>
      <c r="AD63" s="45"/>
      <c r="AE63" s="45"/>
    </row>
    <row r="64" spans="1:31" ht="15" customHeight="1">
      <c r="A64" s="20">
        <f t="shared" si="3"/>
        <v>2717693.6914600553</v>
      </c>
      <c r="B64" s="23"/>
      <c r="C64" s="34">
        <v>0.5</v>
      </c>
      <c r="D64" s="34">
        <v>1.5</v>
      </c>
      <c r="E64" s="34">
        <v>2.5</v>
      </c>
      <c r="F64" s="23"/>
      <c r="G64" s="34">
        <v>1</v>
      </c>
      <c r="H64" s="23"/>
      <c r="I64" s="23"/>
      <c r="J64" s="23"/>
      <c r="K64" s="23"/>
      <c r="L64" s="35"/>
      <c r="M64" s="38" t="s">
        <v>76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>
        <f>COUNTIF($L$2:L64,"&lt;&gt;"&amp;"")</f>
        <v>10</v>
      </c>
      <c r="Y64" s="27">
        <f t="shared" si="4"/>
        <v>7943172.4380165283</v>
      </c>
      <c r="Z64" s="28"/>
      <c r="AA64" s="29"/>
      <c r="AB64" s="30" t="b">
        <f>TRUE()</f>
        <v>1</v>
      </c>
      <c r="AC64" s="31">
        <f t="shared" si="5"/>
        <v>0</v>
      </c>
      <c r="AD64" s="37"/>
      <c r="AE64" s="37"/>
    </row>
    <row r="65" spans="1:31" ht="15" customHeight="1">
      <c r="A65" s="20">
        <f t="shared" si="3"/>
        <v>0</v>
      </c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35"/>
      <c r="M65" s="26"/>
      <c r="N65" s="39" t="s">
        <v>77</v>
      </c>
      <c r="O65" s="26"/>
      <c r="P65" s="26"/>
      <c r="Q65" s="26"/>
      <c r="R65" s="26"/>
      <c r="S65" s="26"/>
      <c r="T65" s="26"/>
      <c r="U65" s="26"/>
      <c r="V65" s="26"/>
      <c r="W65" s="26"/>
      <c r="X65" s="26">
        <f>COUNTIF($L$2:L65,"&lt;&gt;"&amp;"")</f>
        <v>10</v>
      </c>
      <c r="Y65" s="27">
        <f t="shared" si="4"/>
        <v>7943172.4380165283</v>
      </c>
      <c r="Z65" s="28"/>
      <c r="AA65" s="29"/>
      <c r="AB65" s="30" t="b">
        <f>TRUE()</f>
        <v>1</v>
      </c>
      <c r="AC65" s="31">
        <f t="shared" si="5"/>
        <v>0</v>
      </c>
      <c r="AD65" s="45"/>
      <c r="AE65" s="45"/>
    </row>
    <row r="66" spans="1:31" ht="15" customHeight="1">
      <c r="A66" s="20">
        <f t="shared" ref="A66:A97" si="6">(B66*$P$152+C66*$P$153+D66*$P$154+E66*$P$155+F66*$P$156+G66*$P$157+H66*$P$158+I66*$P$159+J66*$P$160+K66*$P$161)*$T$150</f>
        <v>1505850.7024793387</v>
      </c>
      <c r="B66" s="23"/>
      <c r="C66" s="23"/>
      <c r="D66" s="34">
        <v>1</v>
      </c>
      <c r="E66" s="34">
        <v>1.5</v>
      </c>
      <c r="F66" s="23"/>
      <c r="G66" s="34">
        <v>0.5</v>
      </c>
      <c r="H66" s="23"/>
      <c r="I66" s="23"/>
      <c r="J66" s="23"/>
      <c r="K66" s="23"/>
      <c r="L66" s="35"/>
      <c r="M66" s="38" t="s">
        <v>78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>
        <f>COUNTIF($L$2:L66,"&lt;&gt;"&amp;"")</f>
        <v>10</v>
      </c>
      <c r="Y66" s="27">
        <f t="shared" ref="Y66:Y97" si="7">SUMIF($X$2:$X$147,X66,$A$2:$A$147)</f>
        <v>7943172.4380165283</v>
      </c>
      <c r="Z66" s="28"/>
      <c r="AA66" s="29"/>
      <c r="AB66" s="30" t="b">
        <f>TRUE()</f>
        <v>1</v>
      </c>
      <c r="AC66" s="31">
        <f t="shared" ref="AC66:AC97" si="8">IF(L66="",0,IF(AB66=FALSE(),0,Y66))</f>
        <v>0</v>
      </c>
      <c r="AD66" s="45"/>
      <c r="AE66" s="45"/>
    </row>
    <row r="67" spans="1:31" ht="15" customHeight="1">
      <c r="A67" s="20">
        <f t="shared" si="6"/>
        <v>0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35"/>
      <c r="M67" s="26"/>
      <c r="N67" s="39" t="s">
        <v>79</v>
      </c>
      <c r="O67" s="26"/>
      <c r="P67" s="26"/>
      <c r="Q67" s="26"/>
      <c r="R67" s="26"/>
      <c r="S67" s="26"/>
      <c r="T67" s="26"/>
      <c r="U67" s="26"/>
      <c r="V67" s="26"/>
      <c r="W67" s="26"/>
      <c r="X67" s="26">
        <f>COUNTIF($L$2:L67,"&lt;&gt;"&amp;"")</f>
        <v>10</v>
      </c>
      <c r="Y67" s="27">
        <f t="shared" si="7"/>
        <v>7943172.4380165283</v>
      </c>
      <c r="Z67" s="28"/>
      <c r="AA67" s="29"/>
      <c r="AB67" s="30" t="b">
        <f>TRUE()</f>
        <v>1</v>
      </c>
      <c r="AC67" s="31">
        <f t="shared" si="8"/>
        <v>0</v>
      </c>
      <c r="AD67" s="45"/>
      <c r="AE67" s="45"/>
    </row>
    <row r="68" spans="1:31" ht="15" customHeight="1">
      <c r="A68" s="20">
        <f t="shared" si="6"/>
        <v>1505850.7024793387</v>
      </c>
      <c r="B68" s="23"/>
      <c r="C68" s="23"/>
      <c r="D68" s="34">
        <v>1</v>
      </c>
      <c r="E68" s="34">
        <v>1.5</v>
      </c>
      <c r="F68" s="23"/>
      <c r="G68" s="34">
        <v>0.5</v>
      </c>
      <c r="H68" s="23"/>
      <c r="I68" s="23"/>
      <c r="J68" s="23"/>
      <c r="K68" s="23"/>
      <c r="L68" s="35"/>
      <c r="M68" s="38" t="s">
        <v>80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>
        <f>COUNTIF($L$2:L68,"&lt;&gt;"&amp;"")</f>
        <v>10</v>
      </c>
      <c r="Y68" s="27">
        <f t="shared" si="7"/>
        <v>7943172.4380165283</v>
      </c>
      <c r="Z68" s="28"/>
      <c r="AA68" s="29"/>
      <c r="AB68" s="30" t="b">
        <f>TRUE()</f>
        <v>1</v>
      </c>
      <c r="AC68" s="31">
        <f t="shared" si="8"/>
        <v>0</v>
      </c>
      <c r="AD68" s="45"/>
      <c r="AE68" s="45"/>
    </row>
    <row r="69" spans="1:31" ht="15" customHeight="1">
      <c r="A69" s="20">
        <f t="shared" si="6"/>
        <v>0</v>
      </c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35"/>
      <c r="M69" s="26"/>
      <c r="N69" s="39" t="s">
        <v>81</v>
      </c>
      <c r="O69" s="26"/>
      <c r="P69" s="26"/>
      <c r="Q69" s="26"/>
      <c r="R69" s="26"/>
      <c r="S69" s="26"/>
      <c r="T69" s="26"/>
      <c r="U69" s="26"/>
      <c r="V69" s="26"/>
      <c r="W69" s="26"/>
      <c r="X69" s="26">
        <f>COUNTIF($L$2:L69,"&lt;&gt;"&amp;"")</f>
        <v>10</v>
      </c>
      <c r="Y69" s="27">
        <f t="shared" si="7"/>
        <v>7943172.4380165283</v>
      </c>
      <c r="Z69" s="28"/>
      <c r="AA69" s="29"/>
      <c r="AB69" s="30" t="b">
        <f>TRUE()</f>
        <v>1</v>
      </c>
      <c r="AC69" s="31">
        <f t="shared" si="8"/>
        <v>0</v>
      </c>
      <c r="AD69" s="45"/>
      <c r="AE69" s="45"/>
    </row>
    <row r="70" spans="1:31" ht="15" customHeight="1">
      <c r="A70" s="20">
        <f t="shared" si="6"/>
        <v>2213777.341597796</v>
      </c>
      <c r="B70" s="23"/>
      <c r="C70" s="23"/>
      <c r="D70" s="34">
        <v>1.5</v>
      </c>
      <c r="E70" s="34">
        <v>2</v>
      </c>
      <c r="F70" s="23"/>
      <c r="G70" s="34">
        <v>1</v>
      </c>
      <c r="H70" s="23"/>
      <c r="I70" s="23"/>
      <c r="J70" s="23"/>
      <c r="K70" s="23"/>
      <c r="L70" s="35"/>
      <c r="M70" s="38" t="s">
        <v>82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>
        <f>COUNTIF($L$2:L70,"&lt;&gt;"&amp;"")</f>
        <v>10</v>
      </c>
      <c r="Y70" s="27">
        <f t="shared" si="7"/>
        <v>7943172.4380165283</v>
      </c>
      <c r="Z70" s="28"/>
      <c r="AA70" s="29"/>
      <c r="AB70" s="30" t="b">
        <f>TRUE()</f>
        <v>1</v>
      </c>
      <c r="AC70" s="31">
        <f t="shared" si="8"/>
        <v>0</v>
      </c>
      <c r="AD70" s="45"/>
      <c r="AE70" s="45"/>
    </row>
    <row r="71" spans="1:31" ht="15" customHeight="1">
      <c r="A71" s="20">
        <f t="shared" si="6"/>
        <v>0</v>
      </c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35"/>
      <c r="M71" s="26"/>
      <c r="N71" s="39" t="s">
        <v>83</v>
      </c>
      <c r="O71" s="26"/>
      <c r="P71" s="26"/>
      <c r="Q71" s="26"/>
      <c r="R71" s="26"/>
      <c r="S71" s="26"/>
      <c r="T71" s="26"/>
      <c r="U71" s="26"/>
      <c r="V71" s="26"/>
      <c r="W71" s="26"/>
      <c r="X71" s="26">
        <f>COUNTIF($L$2:L71,"&lt;&gt;"&amp;"")</f>
        <v>10</v>
      </c>
      <c r="Y71" s="27">
        <f t="shared" si="7"/>
        <v>7943172.4380165283</v>
      </c>
      <c r="Z71" s="28"/>
      <c r="AA71" s="29"/>
      <c r="AB71" s="30" t="b">
        <f>TRUE()</f>
        <v>1</v>
      </c>
      <c r="AC71" s="31">
        <f t="shared" si="8"/>
        <v>0</v>
      </c>
      <c r="AD71" s="45"/>
      <c r="AE71" s="45"/>
    </row>
    <row r="72" spans="1:31" ht="15" customHeight="1">
      <c r="A72" s="20">
        <f t="shared" si="6"/>
        <v>0</v>
      </c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42" t="s">
        <v>84</v>
      </c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>
        <f>COUNTIF($L$2:L72,"&lt;&gt;"&amp;"")</f>
        <v>11</v>
      </c>
      <c r="Y72" s="27">
        <f t="shared" si="7"/>
        <v>6227413.0991735533</v>
      </c>
      <c r="Z72" s="28"/>
      <c r="AA72" s="29"/>
      <c r="AB72" s="30" t="b">
        <f>TRUE()</f>
        <v>1</v>
      </c>
      <c r="AC72" s="31">
        <f t="shared" si="8"/>
        <v>6227413.0991735533</v>
      </c>
      <c r="AD72" s="45"/>
      <c r="AE72" s="45"/>
    </row>
    <row r="73" spans="1:31" ht="15" customHeight="1">
      <c r="A73" s="20">
        <f t="shared" si="6"/>
        <v>1505850.7024793387</v>
      </c>
      <c r="B73" s="23"/>
      <c r="C73" s="23"/>
      <c r="D73" s="34">
        <v>1</v>
      </c>
      <c r="E73" s="34">
        <v>1.5</v>
      </c>
      <c r="F73" s="23"/>
      <c r="G73" s="34">
        <v>0.5</v>
      </c>
      <c r="H73" s="23"/>
      <c r="I73" s="23"/>
      <c r="J73" s="23"/>
      <c r="K73" s="23"/>
      <c r="L73" s="35"/>
      <c r="M73" s="38" t="s">
        <v>85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f>COUNTIF($L$2:L73,"&lt;&gt;"&amp;"")</f>
        <v>11</v>
      </c>
      <c r="Y73" s="27">
        <f t="shared" si="7"/>
        <v>6227413.0991735533</v>
      </c>
      <c r="Z73" s="28"/>
      <c r="AA73" s="29"/>
      <c r="AB73" s="30" t="b">
        <f>TRUE()</f>
        <v>1</v>
      </c>
      <c r="AC73" s="31">
        <f t="shared" si="8"/>
        <v>0</v>
      </c>
      <c r="AD73" s="45"/>
      <c r="AE73" s="45"/>
    </row>
    <row r="74" spans="1:31" ht="15" customHeight="1">
      <c r="A74" s="20">
        <f t="shared" si="6"/>
        <v>0</v>
      </c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35"/>
      <c r="M74" s="35"/>
      <c r="N74" s="39" t="s">
        <v>86</v>
      </c>
      <c r="O74" s="26"/>
      <c r="P74" s="26"/>
      <c r="Q74" s="26"/>
      <c r="R74" s="26"/>
      <c r="S74" s="26"/>
      <c r="T74" s="26"/>
      <c r="U74" s="26"/>
      <c r="V74" s="26"/>
      <c r="W74" s="26"/>
      <c r="X74" s="26">
        <f>COUNTIF($L$2:L74,"&lt;&gt;"&amp;"")</f>
        <v>11</v>
      </c>
      <c r="Y74" s="27">
        <f t="shared" si="7"/>
        <v>6227413.0991735533</v>
      </c>
      <c r="Z74" s="28"/>
      <c r="AA74" s="29"/>
      <c r="AB74" s="30" t="b">
        <f>TRUE()</f>
        <v>1</v>
      </c>
      <c r="AC74" s="31">
        <f t="shared" si="8"/>
        <v>0</v>
      </c>
      <c r="AD74" s="45"/>
      <c r="AE74" s="45"/>
    </row>
    <row r="75" spans="1:31" ht="15" customHeight="1">
      <c r="A75" s="20">
        <f t="shared" si="6"/>
        <v>2213777.341597796</v>
      </c>
      <c r="B75" s="23"/>
      <c r="C75" s="23"/>
      <c r="D75" s="34">
        <v>1.5</v>
      </c>
      <c r="E75" s="34">
        <v>2</v>
      </c>
      <c r="F75" s="23"/>
      <c r="G75" s="34">
        <v>1</v>
      </c>
      <c r="H75" s="23"/>
      <c r="I75" s="23"/>
      <c r="J75" s="23"/>
      <c r="K75" s="23"/>
      <c r="L75" s="35"/>
      <c r="M75" s="38" t="s">
        <v>87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f>COUNTIF($L$2:L75,"&lt;&gt;"&amp;"")</f>
        <v>11</v>
      </c>
      <c r="Y75" s="27">
        <f t="shared" si="7"/>
        <v>6227413.0991735533</v>
      </c>
      <c r="Z75" s="28"/>
      <c r="AA75" s="29"/>
      <c r="AB75" s="30" t="b">
        <f>TRUE()</f>
        <v>1</v>
      </c>
      <c r="AC75" s="31">
        <f t="shared" si="8"/>
        <v>0</v>
      </c>
      <c r="AD75" s="37"/>
      <c r="AE75" s="37"/>
    </row>
    <row r="76" spans="1:31" ht="15" customHeight="1">
      <c r="A76" s="20">
        <f t="shared" si="6"/>
        <v>0</v>
      </c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35"/>
      <c r="M76" s="26"/>
      <c r="N76" s="39" t="s">
        <v>88</v>
      </c>
      <c r="O76" s="26"/>
      <c r="P76" s="26"/>
      <c r="Q76" s="26"/>
      <c r="R76" s="26"/>
      <c r="S76" s="26"/>
      <c r="T76" s="26"/>
      <c r="U76" s="26"/>
      <c r="V76" s="26"/>
      <c r="W76" s="26"/>
      <c r="X76" s="26">
        <f>COUNTIF($L$2:L76,"&lt;&gt;"&amp;"")</f>
        <v>11</v>
      </c>
      <c r="Y76" s="27">
        <f t="shared" si="7"/>
        <v>6227413.0991735533</v>
      </c>
      <c r="Z76" s="28"/>
      <c r="AA76" s="29"/>
      <c r="AB76" s="30" t="b">
        <f>TRUE()</f>
        <v>1</v>
      </c>
      <c r="AC76" s="31">
        <f t="shared" si="8"/>
        <v>0</v>
      </c>
      <c r="AD76" s="37"/>
      <c r="AE76" s="37"/>
    </row>
    <row r="77" spans="1:31" ht="15" customHeight="1">
      <c r="A77" s="20">
        <f t="shared" si="6"/>
        <v>2507785.0550964186</v>
      </c>
      <c r="B77" s="23"/>
      <c r="C77" s="23"/>
      <c r="D77" s="34">
        <v>1.5</v>
      </c>
      <c r="E77" s="34">
        <v>2.5</v>
      </c>
      <c r="F77" s="23"/>
      <c r="G77" s="34">
        <v>1</v>
      </c>
      <c r="H77" s="23"/>
      <c r="I77" s="23"/>
      <c r="J77" s="23"/>
      <c r="K77" s="23"/>
      <c r="L77" s="35"/>
      <c r="M77" s="38" t="s">
        <v>89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>
        <f>COUNTIF($L$2:L77,"&lt;&gt;"&amp;"")</f>
        <v>11</v>
      </c>
      <c r="Y77" s="27">
        <f t="shared" si="7"/>
        <v>6227413.0991735533</v>
      </c>
      <c r="Z77" s="28"/>
      <c r="AA77" s="29"/>
      <c r="AB77" s="30" t="b">
        <f>TRUE()</f>
        <v>1</v>
      </c>
      <c r="AC77" s="31">
        <f t="shared" si="8"/>
        <v>0</v>
      </c>
      <c r="AD77" s="37"/>
      <c r="AE77" s="37"/>
    </row>
    <row r="78" spans="1:31" ht="15" customHeight="1">
      <c r="A78" s="20">
        <f t="shared" si="6"/>
        <v>0</v>
      </c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35"/>
      <c r="M78" s="26"/>
      <c r="N78" s="39" t="s">
        <v>90</v>
      </c>
      <c r="O78" s="26"/>
      <c r="P78" s="26"/>
      <c r="Q78" s="26"/>
      <c r="R78" s="26"/>
      <c r="S78" s="26"/>
      <c r="T78" s="26"/>
      <c r="U78" s="26"/>
      <c r="V78" s="26"/>
      <c r="W78" s="26"/>
      <c r="X78" s="26">
        <f>COUNTIF($L$2:L78,"&lt;&gt;"&amp;"")</f>
        <v>11</v>
      </c>
      <c r="Y78" s="27">
        <f t="shared" si="7"/>
        <v>6227413.0991735533</v>
      </c>
      <c r="Z78" s="28"/>
      <c r="AA78" s="29"/>
      <c r="AB78" s="30" t="b">
        <f>TRUE()</f>
        <v>1</v>
      </c>
      <c r="AC78" s="31">
        <f t="shared" si="8"/>
        <v>0</v>
      </c>
      <c r="AD78" s="37"/>
      <c r="AE78" s="37"/>
    </row>
    <row r="79" spans="1:31" ht="15" customHeight="1">
      <c r="A79" s="20">
        <f t="shared" si="6"/>
        <v>0</v>
      </c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42" t="s">
        <v>91</v>
      </c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f>COUNTIF($L$2:L79,"&lt;&gt;"&amp;"")</f>
        <v>12</v>
      </c>
      <c r="Y79" s="27">
        <f t="shared" si="7"/>
        <v>7900809.9862258956</v>
      </c>
      <c r="Z79" s="28"/>
      <c r="AA79" s="29"/>
      <c r="AB79" s="30" t="b">
        <f>TRUE()</f>
        <v>1</v>
      </c>
      <c r="AC79" s="31">
        <f t="shared" si="8"/>
        <v>7900809.9862258956</v>
      </c>
      <c r="AD79" s="37"/>
      <c r="AE79" s="37"/>
    </row>
    <row r="80" spans="1:31" ht="15" customHeight="1">
      <c r="A80" s="20">
        <f t="shared" si="6"/>
        <v>2423685.9779614322</v>
      </c>
      <c r="B80" s="23"/>
      <c r="C80" s="34">
        <v>0.5</v>
      </c>
      <c r="D80" s="34">
        <v>1.5</v>
      </c>
      <c r="E80" s="34">
        <v>2</v>
      </c>
      <c r="F80" s="23"/>
      <c r="G80" s="34">
        <v>1</v>
      </c>
      <c r="H80" s="23"/>
      <c r="I80" s="23"/>
      <c r="J80" s="23"/>
      <c r="K80" s="23"/>
      <c r="L80" s="35"/>
      <c r="M80" s="38" t="s">
        <v>92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>
        <f>COUNTIF($L$2:L80,"&lt;&gt;"&amp;"")</f>
        <v>12</v>
      </c>
      <c r="Y80" s="27">
        <f t="shared" si="7"/>
        <v>7900809.9862258956</v>
      </c>
      <c r="Z80" s="28"/>
      <c r="AA80" s="29"/>
      <c r="AB80" s="30" t="b">
        <f>TRUE()</f>
        <v>1</v>
      </c>
      <c r="AC80" s="31">
        <f t="shared" si="8"/>
        <v>0</v>
      </c>
      <c r="AD80" s="23"/>
      <c r="AE80" s="23"/>
    </row>
    <row r="81" spans="1:31" ht="15" customHeight="1">
      <c r="A81" s="20">
        <f t="shared" si="6"/>
        <v>0</v>
      </c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35"/>
      <c r="M81" s="26"/>
      <c r="N81" s="39" t="s">
        <v>93</v>
      </c>
      <c r="O81" s="26"/>
      <c r="P81" s="26"/>
      <c r="Q81" s="26"/>
      <c r="R81" s="26"/>
      <c r="S81" s="26"/>
      <c r="T81" s="26"/>
      <c r="U81" s="26"/>
      <c r="V81" s="26"/>
      <c r="W81" s="26"/>
      <c r="X81" s="26">
        <f>COUNTIF($L$2:L81,"&lt;&gt;"&amp;"")</f>
        <v>12</v>
      </c>
      <c r="Y81" s="27">
        <f t="shared" si="7"/>
        <v>7900809.9862258956</v>
      </c>
      <c r="Z81" s="28"/>
      <c r="AA81" s="29"/>
      <c r="AB81" s="30" t="b">
        <f>TRUE()</f>
        <v>1</v>
      </c>
      <c r="AC81" s="31">
        <f t="shared" si="8"/>
        <v>0</v>
      </c>
      <c r="AD81" s="23"/>
      <c r="AE81" s="23"/>
    </row>
    <row r="82" spans="1:31" ht="15" customHeight="1">
      <c r="A82" s="20">
        <f t="shared" si="6"/>
        <v>1967404.6005509642</v>
      </c>
      <c r="B82" s="34">
        <v>0.5</v>
      </c>
      <c r="C82" s="23"/>
      <c r="D82" s="23"/>
      <c r="E82" s="34">
        <v>2</v>
      </c>
      <c r="F82" s="23"/>
      <c r="G82" s="34">
        <v>1</v>
      </c>
      <c r="H82" s="23"/>
      <c r="I82" s="23"/>
      <c r="J82" s="23"/>
      <c r="K82" s="23"/>
      <c r="L82" s="35"/>
      <c r="M82" s="38" t="s">
        <v>94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>
        <f>COUNTIF($L$2:L82,"&lt;&gt;"&amp;"")</f>
        <v>12</v>
      </c>
      <c r="Y82" s="27">
        <f t="shared" si="7"/>
        <v>7900809.9862258956</v>
      </c>
      <c r="Z82" s="28"/>
      <c r="AA82" s="29"/>
      <c r="AB82" s="30" t="b">
        <f>TRUE()</f>
        <v>1</v>
      </c>
      <c r="AC82" s="31">
        <f t="shared" si="8"/>
        <v>0</v>
      </c>
      <c r="AD82" s="23"/>
      <c r="AE82" s="23"/>
    </row>
    <row r="83" spans="1:31" ht="15" customHeight="1">
      <c r="A83" s="20">
        <f t="shared" si="6"/>
        <v>0</v>
      </c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35"/>
      <c r="M83" s="26"/>
      <c r="N83" s="39" t="s">
        <v>95</v>
      </c>
      <c r="O83" s="26"/>
      <c r="P83" s="26"/>
      <c r="Q83" s="26"/>
      <c r="R83" s="26"/>
      <c r="S83" s="26"/>
      <c r="T83" s="26"/>
      <c r="U83" s="26"/>
      <c r="V83" s="26"/>
      <c r="W83" s="26"/>
      <c r="X83" s="26">
        <f>COUNTIF($L$2:L83,"&lt;&gt;"&amp;"")</f>
        <v>12</v>
      </c>
      <c r="Y83" s="27">
        <f t="shared" si="7"/>
        <v>7900809.9862258956</v>
      </c>
      <c r="Z83" s="28"/>
      <c r="AA83" s="29"/>
      <c r="AB83" s="30" t="b">
        <f>TRUE()</f>
        <v>1</v>
      </c>
      <c r="AC83" s="31">
        <f t="shared" si="8"/>
        <v>0</v>
      </c>
      <c r="AD83" s="23"/>
      <c r="AE83" s="23"/>
    </row>
    <row r="84" spans="1:31" ht="15" customHeight="1">
      <c r="A84" s="20">
        <f t="shared" si="6"/>
        <v>2003868.7052341597</v>
      </c>
      <c r="B84" s="23"/>
      <c r="C84" s="23"/>
      <c r="D84" s="34">
        <v>1</v>
      </c>
      <c r="E84" s="34">
        <v>2</v>
      </c>
      <c r="F84" s="23"/>
      <c r="G84" s="34">
        <v>1</v>
      </c>
      <c r="H84" s="23"/>
      <c r="I84" s="23"/>
      <c r="J84" s="23"/>
      <c r="K84" s="23"/>
      <c r="L84" s="35"/>
      <c r="M84" s="38" t="s">
        <v>96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>
        <f>COUNTIF($L$2:L84,"&lt;&gt;"&amp;"")</f>
        <v>12</v>
      </c>
      <c r="Y84" s="27">
        <f t="shared" si="7"/>
        <v>7900809.9862258956</v>
      </c>
      <c r="Z84" s="28"/>
      <c r="AA84" s="29"/>
      <c r="AB84" s="30" t="b">
        <f>TRUE()</f>
        <v>1</v>
      </c>
      <c r="AC84" s="31">
        <f t="shared" si="8"/>
        <v>0</v>
      </c>
      <c r="AD84" s="23"/>
      <c r="AE84" s="23"/>
    </row>
    <row r="85" spans="1:31" ht="15" customHeight="1">
      <c r="A85" s="20">
        <f t="shared" si="6"/>
        <v>0</v>
      </c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35"/>
      <c r="M85" s="26"/>
      <c r="N85" s="39" t="s">
        <v>97</v>
      </c>
      <c r="O85" s="26"/>
      <c r="P85" s="26"/>
      <c r="Q85" s="26"/>
      <c r="R85" s="26"/>
      <c r="S85" s="26"/>
      <c r="T85" s="26"/>
      <c r="U85" s="26"/>
      <c r="V85" s="26"/>
      <c r="W85" s="26"/>
      <c r="X85" s="26">
        <f>COUNTIF($L$2:L85,"&lt;&gt;"&amp;"")</f>
        <v>12</v>
      </c>
      <c r="Y85" s="27">
        <f t="shared" si="7"/>
        <v>7900809.9862258956</v>
      </c>
      <c r="Z85" s="28"/>
      <c r="AA85" s="29"/>
      <c r="AB85" s="30" t="b">
        <f>TRUE()</f>
        <v>1</v>
      </c>
      <c r="AC85" s="31">
        <f t="shared" si="8"/>
        <v>0</v>
      </c>
      <c r="AD85" s="45"/>
      <c r="AE85" s="45"/>
    </row>
    <row r="86" spans="1:31" ht="15" customHeight="1">
      <c r="A86" s="20">
        <f t="shared" si="6"/>
        <v>1505850.7024793387</v>
      </c>
      <c r="B86" s="23"/>
      <c r="C86" s="23"/>
      <c r="D86" s="34">
        <v>1</v>
      </c>
      <c r="E86" s="34">
        <v>1.5</v>
      </c>
      <c r="F86" s="23"/>
      <c r="G86" s="34">
        <v>0.5</v>
      </c>
      <c r="H86" s="23"/>
      <c r="I86" s="23"/>
      <c r="J86" s="23"/>
      <c r="K86" s="23"/>
      <c r="L86" s="35"/>
      <c r="M86" s="38" t="s">
        <v>98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>
        <f>COUNTIF($L$2:L86,"&lt;&gt;"&amp;"")</f>
        <v>12</v>
      </c>
      <c r="Y86" s="27">
        <f t="shared" si="7"/>
        <v>7900809.9862258956</v>
      </c>
      <c r="Z86" s="28"/>
      <c r="AA86" s="29"/>
      <c r="AB86" s="30" t="b">
        <f>TRUE()</f>
        <v>1</v>
      </c>
      <c r="AC86" s="31">
        <f t="shared" si="8"/>
        <v>0</v>
      </c>
      <c r="AD86" s="45"/>
      <c r="AE86" s="45"/>
    </row>
    <row r="87" spans="1:31" ht="15" customHeight="1">
      <c r="A87" s="20">
        <f t="shared" si="6"/>
        <v>0</v>
      </c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35"/>
      <c r="M87" s="26"/>
      <c r="N87" s="39" t="s">
        <v>99</v>
      </c>
      <c r="O87" s="26"/>
      <c r="P87" s="26"/>
      <c r="Q87" s="26"/>
      <c r="R87" s="26"/>
      <c r="S87" s="26"/>
      <c r="T87" s="26"/>
      <c r="U87" s="26"/>
      <c r="V87" s="26"/>
      <c r="W87" s="26"/>
      <c r="X87" s="26">
        <f>COUNTIF($L$2:L87,"&lt;&gt;"&amp;"")</f>
        <v>12</v>
      </c>
      <c r="Y87" s="27">
        <f t="shared" si="7"/>
        <v>7900809.9862258956</v>
      </c>
      <c r="Z87" s="28"/>
      <c r="AA87" s="29"/>
      <c r="AB87" s="30" t="b">
        <f>TRUE()</f>
        <v>1</v>
      </c>
      <c r="AC87" s="31">
        <f t="shared" si="8"/>
        <v>0</v>
      </c>
      <c r="AD87" s="45"/>
      <c r="AE87" s="45"/>
    </row>
    <row r="88" spans="1:31" ht="15" customHeight="1">
      <c r="A88" s="20">
        <f t="shared" si="6"/>
        <v>0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42" t="s">
        <v>100</v>
      </c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>
        <f>COUNTIF($L$2:L88,"&lt;&gt;"&amp;"")</f>
        <v>13</v>
      </c>
      <c r="Y88" s="27">
        <f t="shared" si="7"/>
        <v>8819297.2314049583</v>
      </c>
      <c r="Z88" s="28"/>
      <c r="AA88" s="29"/>
      <c r="AB88" s="30" t="b">
        <f>TRUE()</f>
        <v>1</v>
      </c>
      <c r="AC88" s="31">
        <f t="shared" si="8"/>
        <v>8819297.2314049583</v>
      </c>
      <c r="AD88" s="45"/>
      <c r="AE88" s="45"/>
    </row>
    <row r="89" spans="1:31" ht="15" customHeight="1">
      <c r="A89" s="20">
        <f t="shared" si="6"/>
        <v>1505850.7024793387</v>
      </c>
      <c r="B89" s="23"/>
      <c r="C89" s="23"/>
      <c r="D89" s="34">
        <v>1</v>
      </c>
      <c r="E89" s="34">
        <v>1.5</v>
      </c>
      <c r="F89" s="23"/>
      <c r="G89" s="34">
        <v>0.5</v>
      </c>
      <c r="H89" s="23"/>
      <c r="I89" s="23"/>
      <c r="J89" s="23"/>
      <c r="K89" s="23"/>
      <c r="L89" s="35"/>
      <c r="M89" s="38" t="s">
        <v>101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>
        <f>COUNTIF($L$2:L89,"&lt;&gt;"&amp;"")</f>
        <v>13</v>
      </c>
      <c r="Y89" s="27">
        <f t="shared" si="7"/>
        <v>8819297.2314049583</v>
      </c>
      <c r="Z89" s="28"/>
      <c r="AA89" s="29"/>
      <c r="AB89" s="30" t="b">
        <f>TRUE()</f>
        <v>1</v>
      </c>
      <c r="AC89" s="31">
        <f t="shared" si="8"/>
        <v>0</v>
      </c>
      <c r="AD89" s="45"/>
      <c r="AE89" s="45"/>
    </row>
    <row r="90" spans="1:31" ht="15" customHeight="1">
      <c r="A90" s="20">
        <f t="shared" si="6"/>
        <v>0</v>
      </c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35"/>
      <c r="M90" s="26"/>
      <c r="N90" s="39" t="s">
        <v>102</v>
      </c>
      <c r="O90" s="26"/>
      <c r="P90" s="26"/>
      <c r="Q90" s="26"/>
      <c r="R90" s="26"/>
      <c r="S90" s="26"/>
      <c r="T90" s="26"/>
      <c r="U90" s="26"/>
      <c r="V90" s="26"/>
      <c r="W90" s="26"/>
      <c r="X90" s="26">
        <f>COUNTIF($L$2:L90,"&lt;&gt;"&amp;"")</f>
        <v>13</v>
      </c>
      <c r="Y90" s="27">
        <f t="shared" si="7"/>
        <v>8819297.2314049583</v>
      </c>
      <c r="Z90" s="28"/>
      <c r="AA90" s="29"/>
      <c r="AB90" s="30" t="b">
        <f>TRUE()</f>
        <v>1</v>
      </c>
      <c r="AC90" s="31">
        <f t="shared" si="8"/>
        <v>0</v>
      </c>
      <c r="AD90" s="45"/>
      <c r="AE90" s="45"/>
    </row>
    <row r="91" spans="1:31" ht="15" customHeight="1">
      <c r="A91" s="20">
        <f t="shared" si="6"/>
        <v>2003868.7052341597</v>
      </c>
      <c r="B91" s="23"/>
      <c r="C91" s="23"/>
      <c r="D91" s="34">
        <v>1</v>
      </c>
      <c r="E91" s="34">
        <v>2</v>
      </c>
      <c r="F91" s="23"/>
      <c r="G91" s="34">
        <v>1</v>
      </c>
      <c r="H91" s="23"/>
      <c r="I91" s="23"/>
      <c r="J91" s="23"/>
      <c r="K91" s="23"/>
      <c r="L91" s="35"/>
      <c r="M91" s="38" t="s">
        <v>103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>
        <f>COUNTIF($L$2:L91,"&lt;&gt;"&amp;"")</f>
        <v>13</v>
      </c>
      <c r="Y91" s="27">
        <f t="shared" si="7"/>
        <v>8819297.2314049583</v>
      </c>
      <c r="Z91" s="28"/>
      <c r="AA91" s="29"/>
      <c r="AB91" s="30" t="b">
        <f>TRUE()</f>
        <v>1</v>
      </c>
      <c r="AC91" s="31">
        <f t="shared" si="8"/>
        <v>0</v>
      </c>
      <c r="AD91" s="45"/>
      <c r="AE91" s="45"/>
    </row>
    <row r="92" spans="1:31" ht="15" customHeight="1">
      <c r="A92" s="20">
        <f t="shared" si="6"/>
        <v>0</v>
      </c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35"/>
      <c r="M92" s="26"/>
      <c r="N92" s="39" t="s">
        <v>104</v>
      </c>
      <c r="O92" s="26"/>
      <c r="P92" s="26"/>
      <c r="Q92" s="26"/>
      <c r="R92" s="26"/>
      <c r="S92" s="26"/>
      <c r="T92" s="26"/>
      <c r="U92" s="26"/>
      <c r="V92" s="26"/>
      <c r="W92" s="26"/>
      <c r="X92" s="26">
        <f>COUNTIF($L$2:L92,"&lt;&gt;"&amp;"")</f>
        <v>13</v>
      </c>
      <c r="Y92" s="27">
        <f t="shared" si="7"/>
        <v>8819297.2314049583</v>
      </c>
      <c r="Z92" s="28"/>
      <c r="AA92" s="29"/>
      <c r="AB92" s="30" t="b">
        <f>TRUE()</f>
        <v>1</v>
      </c>
      <c r="AC92" s="31">
        <f t="shared" si="8"/>
        <v>0</v>
      </c>
      <c r="AD92" s="45"/>
      <c r="AE92" s="45"/>
    </row>
    <row r="93" spans="1:31" ht="15" customHeight="1">
      <c r="A93" s="20">
        <f t="shared" si="6"/>
        <v>2297876.4187327824</v>
      </c>
      <c r="B93" s="23"/>
      <c r="C93" s="23"/>
      <c r="D93" s="34">
        <v>1</v>
      </c>
      <c r="E93" s="34">
        <v>2.5</v>
      </c>
      <c r="F93" s="23"/>
      <c r="G93" s="34">
        <v>1</v>
      </c>
      <c r="H93" s="23"/>
      <c r="I93" s="23"/>
      <c r="J93" s="23"/>
      <c r="K93" s="23"/>
      <c r="L93" s="35"/>
      <c r="M93" s="38" t="s">
        <v>105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>
        <f>COUNTIF($L$2:L95,"&lt;&gt;"&amp;"")</f>
        <v>13</v>
      </c>
      <c r="Y93" s="27">
        <f t="shared" si="7"/>
        <v>8819297.2314049583</v>
      </c>
      <c r="Z93" s="28"/>
      <c r="AA93" s="29"/>
      <c r="AB93" s="30" t="b">
        <f>TRUE()</f>
        <v>1</v>
      </c>
      <c r="AC93" s="31">
        <f t="shared" si="8"/>
        <v>0</v>
      </c>
      <c r="AD93" s="45"/>
      <c r="AE93" s="45"/>
    </row>
    <row r="94" spans="1:31" ht="15" customHeight="1">
      <c r="A94" s="20">
        <f t="shared" si="6"/>
        <v>0</v>
      </c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35"/>
      <c r="M94" s="26"/>
      <c r="N94" s="39" t="s">
        <v>106</v>
      </c>
      <c r="O94" s="26"/>
      <c r="P94" s="26"/>
      <c r="Q94" s="26"/>
      <c r="R94" s="26"/>
      <c r="S94" s="26"/>
      <c r="T94" s="26"/>
      <c r="U94" s="26"/>
      <c r="V94" s="26"/>
      <c r="W94" s="26"/>
      <c r="X94" s="26">
        <f>COUNTIF($L$2:L94,"&lt;&gt;"&amp;"")</f>
        <v>13</v>
      </c>
      <c r="Y94" s="27">
        <f t="shared" si="7"/>
        <v>8819297.2314049583</v>
      </c>
      <c r="Z94" s="28"/>
      <c r="AA94" s="29"/>
      <c r="AB94" s="30" t="b">
        <f>TRUE()</f>
        <v>1</v>
      </c>
      <c r="AC94" s="31">
        <f t="shared" si="8"/>
        <v>0</v>
      </c>
      <c r="AD94" s="45"/>
      <c r="AE94" s="45"/>
    </row>
    <row r="95" spans="1:31" ht="15" customHeight="1">
      <c r="A95" s="20">
        <f t="shared" si="6"/>
        <v>1505850.7024793387</v>
      </c>
      <c r="B95" s="23"/>
      <c r="C95" s="23"/>
      <c r="D95" s="34">
        <v>1</v>
      </c>
      <c r="E95" s="34">
        <v>1.5</v>
      </c>
      <c r="F95" s="23"/>
      <c r="G95" s="34">
        <v>0.5</v>
      </c>
      <c r="H95" s="23"/>
      <c r="I95" s="23"/>
      <c r="J95" s="23"/>
      <c r="K95" s="23"/>
      <c r="L95" s="35"/>
      <c r="M95" s="38" t="s">
        <v>107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f>COUNTIF($L$2:L95,"&lt;&gt;"&amp;"")</f>
        <v>13</v>
      </c>
      <c r="Y95" s="27">
        <f t="shared" si="7"/>
        <v>8819297.2314049583</v>
      </c>
      <c r="Z95" s="28"/>
      <c r="AA95" s="29"/>
      <c r="AB95" s="30" t="b">
        <f>TRUE()</f>
        <v>1</v>
      </c>
      <c r="AC95" s="31">
        <f t="shared" si="8"/>
        <v>0</v>
      </c>
      <c r="AD95" s="45"/>
      <c r="AE95" s="45"/>
    </row>
    <row r="96" spans="1:31" ht="15" customHeight="1">
      <c r="A96" s="20">
        <f t="shared" si="6"/>
        <v>0</v>
      </c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35"/>
      <c r="M96" s="26"/>
      <c r="N96" s="39" t="s">
        <v>108</v>
      </c>
      <c r="O96" s="26"/>
      <c r="P96" s="26"/>
      <c r="Q96" s="26"/>
      <c r="R96" s="26"/>
      <c r="S96" s="26"/>
      <c r="T96" s="26"/>
      <c r="U96" s="26"/>
      <c r="V96" s="26"/>
      <c r="W96" s="26"/>
      <c r="X96" s="26">
        <f>COUNTIF($L$2:L96,"&lt;&gt;"&amp;"")</f>
        <v>13</v>
      </c>
      <c r="Y96" s="27">
        <f t="shared" si="7"/>
        <v>8819297.2314049583</v>
      </c>
      <c r="Z96" s="28"/>
      <c r="AA96" s="29"/>
      <c r="AB96" s="30" t="b">
        <f>TRUE()</f>
        <v>1</v>
      </c>
      <c r="AC96" s="31">
        <f t="shared" si="8"/>
        <v>0</v>
      </c>
      <c r="AD96" s="45"/>
      <c r="AE96" s="45"/>
    </row>
    <row r="97" spans="1:31" ht="15" customHeight="1">
      <c r="A97" s="20">
        <f t="shared" si="6"/>
        <v>1505850.7024793387</v>
      </c>
      <c r="B97" s="23"/>
      <c r="C97" s="23"/>
      <c r="D97" s="34">
        <v>1</v>
      </c>
      <c r="E97" s="34">
        <v>1.5</v>
      </c>
      <c r="F97" s="23"/>
      <c r="G97" s="34">
        <v>0.5</v>
      </c>
      <c r="H97" s="23"/>
      <c r="I97" s="23"/>
      <c r="J97" s="23"/>
      <c r="K97" s="23"/>
      <c r="L97" s="35"/>
      <c r="M97" s="38" t="s">
        <v>109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>
        <f>COUNTIF($L$2:L97,"&lt;&gt;"&amp;"")</f>
        <v>13</v>
      </c>
      <c r="Y97" s="27">
        <f t="shared" si="7"/>
        <v>8819297.2314049583</v>
      </c>
      <c r="Z97" s="28"/>
      <c r="AA97" s="29"/>
      <c r="AB97" s="30" t="b">
        <f>TRUE()</f>
        <v>1</v>
      </c>
      <c r="AC97" s="31">
        <f t="shared" si="8"/>
        <v>0</v>
      </c>
      <c r="AD97" s="45"/>
      <c r="AE97" s="45"/>
    </row>
    <row r="98" spans="1:31" ht="15" customHeight="1">
      <c r="A98" s="20">
        <f t="shared" ref="A98:A129" si="9">(B98*$P$152+C98*$P$153+D98*$P$154+E98*$P$155+F98*$P$156+G98*$P$157+H98*$P$158+I98*$P$159+J98*$P$160+K98*$P$161)*$T$150</f>
        <v>0</v>
      </c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35"/>
      <c r="M98" s="26"/>
      <c r="N98" s="39" t="s">
        <v>110</v>
      </c>
      <c r="O98" s="26"/>
      <c r="P98" s="26"/>
      <c r="Q98" s="26"/>
      <c r="R98" s="26"/>
      <c r="S98" s="26"/>
      <c r="T98" s="26"/>
      <c r="U98" s="26"/>
      <c r="V98" s="26"/>
      <c r="W98" s="26"/>
      <c r="X98" s="26">
        <f>COUNTIF($L$2:L98,"&lt;&gt;"&amp;"")</f>
        <v>13</v>
      </c>
      <c r="Y98" s="27">
        <f t="shared" ref="Y98:Y129" si="10">SUMIF($X$2:$X$147,X98,$A$2:$A$147)</f>
        <v>8819297.2314049583</v>
      </c>
      <c r="Z98" s="28"/>
      <c r="AA98" s="29"/>
      <c r="AB98" s="30" t="b">
        <f>TRUE()</f>
        <v>1</v>
      </c>
      <c r="AC98" s="31">
        <f t="shared" ref="AC98:AC129" si="11">IF(L98="",0,IF(AB98=FALSE(),0,Y98))</f>
        <v>0</v>
      </c>
      <c r="AD98" s="45"/>
      <c r="AE98" s="45"/>
    </row>
    <row r="99" spans="1:31" ht="15" customHeight="1">
      <c r="A99" s="20">
        <f t="shared" si="9"/>
        <v>0</v>
      </c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42" t="s">
        <v>111</v>
      </c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>
        <f>COUNTIF($L$2:L99,"&lt;&gt;"&amp;"")</f>
        <v>14</v>
      </c>
      <c r="Y99" s="27">
        <f t="shared" si="10"/>
        <v>12561240.867768593</v>
      </c>
      <c r="Z99" s="28"/>
      <c r="AA99" s="29"/>
      <c r="AB99" s="30" t="b">
        <f>TRUE()</f>
        <v>1</v>
      </c>
      <c r="AC99" s="31">
        <f t="shared" si="11"/>
        <v>12561240.867768593</v>
      </c>
      <c r="AD99" s="45"/>
      <c r="AE99" s="45"/>
    </row>
    <row r="100" spans="1:31" ht="15" customHeight="1">
      <c r="A100" s="20">
        <f t="shared" si="9"/>
        <v>2387221.8732782369</v>
      </c>
      <c r="B100" s="34">
        <v>0.5</v>
      </c>
      <c r="C100" s="23"/>
      <c r="D100" s="34">
        <v>1</v>
      </c>
      <c r="E100" s="34">
        <v>2</v>
      </c>
      <c r="F100" s="23"/>
      <c r="G100" s="34">
        <v>1</v>
      </c>
      <c r="H100" s="23"/>
      <c r="I100" s="23"/>
      <c r="J100" s="23"/>
      <c r="K100" s="23"/>
      <c r="L100" s="35"/>
      <c r="M100" s="38" t="s">
        <v>112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>
        <f>COUNTIF($L$2:L100,"&lt;&gt;"&amp;"")</f>
        <v>14</v>
      </c>
      <c r="Y100" s="27">
        <f t="shared" si="10"/>
        <v>12561240.867768593</v>
      </c>
      <c r="Z100" s="28"/>
      <c r="AA100" s="29"/>
      <c r="AB100" s="30" t="b">
        <f>TRUE()</f>
        <v>1</v>
      </c>
      <c r="AC100" s="31">
        <f t="shared" si="11"/>
        <v>0</v>
      </c>
      <c r="AD100" s="45"/>
      <c r="AE100" s="45"/>
    </row>
    <row r="101" spans="1:31" ht="15" customHeight="1">
      <c r="A101" s="20">
        <f t="shared" si="9"/>
        <v>0</v>
      </c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35"/>
      <c r="M101" s="26"/>
      <c r="N101" s="39" t="s">
        <v>113</v>
      </c>
      <c r="O101" s="26"/>
      <c r="P101" s="26"/>
      <c r="Q101" s="26"/>
      <c r="R101" s="26"/>
      <c r="S101" s="26"/>
      <c r="T101" s="26"/>
      <c r="U101" s="26"/>
      <c r="V101" s="26"/>
      <c r="W101" s="26"/>
      <c r="X101" s="26">
        <f>COUNTIF($L$2:L101,"&lt;&gt;"&amp;"")</f>
        <v>14</v>
      </c>
      <c r="Y101" s="27">
        <f t="shared" si="10"/>
        <v>12561240.867768593</v>
      </c>
      <c r="Z101" s="28"/>
      <c r="AA101" s="29"/>
      <c r="AB101" s="30" t="b">
        <f>TRUE()</f>
        <v>1</v>
      </c>
      <c r="AC101" s="31">
        <f t="shared" si="11"/>
        <v>0</v>
      </c>
      <c r="AD101" s="23"/>
      <c r="AE101" s="23"/>
    </row>
    <row r="102" spans="1:31" ht="15" customHeight="1">
      <c r="A102" s="20">
        <f t="shared" si="9"/>
        <v>2843503.2506887051</v>
      </c>
      <c r="B102" s="23"/>
      <c r="C102" s="34">
        <v>1</v>
      </c>
      <c r="D102" s="34">
        <v>2</v>
      </c>
      <c r="E102" s="34">
        <v>2</v>
      </c>
      <c r="F102" s="23"/>
      <c r="G102" s="34">
        <v>1</v>
      </c>
      <c r="H102" s="23"/>
      <c r="I102" s="23"/>
      <c r="J102" s="23"/>
      <c r="K102" s="23"/>
      <c r="L102" s="35"/>
      <c r="M102" s="38" t="s">
        <v>114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f>COUNTIF($L$2:L106,"&lt;&gt;"&amp;"")</f>
        <v>14</v>
      </c>
      <c r="Y102" s="27">
        <f t="shared" si="10"/>
        <v>12561240.867768593</v>
      </c>
      <c r="Z102" s="28"/>
      <c r="AA102" s="29"/>
      <c r="AB102" s="30" t="b">
        <f>TRUE()</f>
        <v>1</v>
      </c>
      <c r="AC102" s="31">
        <f t="shared" si="11"/>
        <v>0</v>
      </c>
      <c r="AD102" s="23"/>
      <c r="AE102" s="23"/>
    </row>
    <row r="103" spans="1:31" ht="15" customHeight="1">
      <c r="A103" s="20">
        <f t="shared" si="9"/>
        <v>0</v>
      </c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35"/>
      <c r="M103" s="26"/>
      <c r="N103" s="39" t="s">
        <v>115</v>
      </c>
      <c r="O103" s="26"/>
      <c r="P103" s="26"/>
      <c r="Q103" s="26"/>
      <c r="R103" s="26"/>
      <c r="S103" s="26"/>
      <c r="T103" s="26"/>
      <c r="U103" s="26"/>
      <c r="V103" s="26"/>
      <c r="W103" s="26"/>
      <c r="X103" s="26">
        <f>COUNTIF($L$2:L103,"&lt;&gt;"&amp;"")</f>
        <v>14</v>
      </c>
      <c r="Y103" s="27">
        <f t="shared" si="10"/>
        <v>12561240.867768593</v>
      </c>
      <c r="Z103" s="28"/>
      <c r="AA103" s="29"/>
      <c r="AB103" s="30" t="b">
        <f>TRUE()</f>
        <v>1</v>
      </c>
      <c r="AC103" s="31">
        <f t="shared" si="11"/>
        <v>0</v>
      </c>
      <c r="AD103" s="45"/>
      <c r="AE103" s="45"/>
    </row>
    <row r="104" spans="1:31" ht="15" customHeight="1">
      <c r="A104" s="20">
        <f t="shared" si="9"/>
        <v>1295942.0661157025</v>
      </c>
      <c r="B104" s="23"/>
      <c r="C104" s="23"/>
      <c r="D104" s="34">
        <v>0.5</v>
      </c>
      <c r="E104" s="34">
        <v>1.5</v>
      </c>
      <c r="F104" s="23"/>
      <c r="G104" s="34">
        <v>0.5</v>
      </c>
      <c r="H104" s="23"/>
      <c r="I104" s="23"/>
      <c r="J104" s="23"/>
      <c r="K104" s="23"/>
      <c r="L104" s="35"/>
      <c r="M104" s="38" t="s">
        <v>116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>
        <f>COUNTIF($L$2:L104,"&lt;&gt;"&amp;"")</f>
        <v>14</v>
      </c>
      <c r="Y104" s="27">
        <f t="shared" si="10"/>
        <v>12561240.867768593</v>
      </c>
      <c r="Z104" s="28"/>
      <c r="AA104" s="29"/>
      <c r="AB104" s="30" t="b">
        <f>TRUE()</f>
        <v>1</v>
      </c>
      <c r="AC104" s="31">
        <f t="shared" si="11"/>
        <v>0</v>
      </c>
      <c r="AD104" s="45"/>
      <c r="AE104" s="45"/>
    </row>
    <row r="105" spans="1:31" ht="15" customHeight="1">
      <c r="A105" s="20">
        <f t="shared" si="9"/>
        <v>0</v>
      </c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35"/>
      <c r="M105" s="26"/>
      <c r="N105" s="39" t="s">
        <v>117</v>
      </c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f>COUNTIF($L$2:L105,"&lt;&gt;"&amp;"")</f>
        <v>14</v>
      </c>
      <c r="Y105" s="27">
        <f t="shared" si="10"/>
        <v>12561240.867768593</v>
      </c>
      <c r="Z105" s="28"/>
      <c r="AA105" s="29"/>
      <c r="AB105" s="30" t="b">
        <f>TRUE()</f>
        <v>1</v>
      </c>
      <c r="AC105" s="31">
        <f t="shared" si="11"/>
        <v>0</v>
      </c>
      <c r="AD105" s="45"/>
      <c r="AE105" s="45"/>
    </row>
    <row r="106" spans="1:31" ht="15" customHeight="1">
      <c r="A106" s="20">
        <f t="shared" si="9"/>
        <v>1584051.432506887</v>
      </c>
      <c r="B106" s="23"/>
      <c r="C106" s="23"/>
      <c r="D106" s="23"/>
      <c r="E106" s="34">
        <v>2</v>
      </c>
      <c r="F106" s="23"/>
      <c r="G106" s="34">
        <v>1</v>
      </c>
      <c r="H106" s="23"/>
      <c r="I106" s="23"/>
      <c r="J106" s="23"/>
      <c r="K106" s="23"/>
      <c r="L106" s="35"/>
      <c r="M106" s="38" t="s">
        <v>118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>
        <f>COUNTIF($L$2:L106,"&lt;&gt;"&amp;"")</f>
        <v>14</v>
      </c>
      <c r="Y106" s="27">
        <f t="shared" si="10"/>
        <v>12561240.867768593</v>
      </c>
      <c r="Z106" s="28"/>
      <c r="AA106" s="29"/>
      <c r="AB106" s="30" t="b">
        <f>TRUE()</f>
        <v>1</v>
      </c>
      <c r="AC106" s="31">
        <f t="shared" si="11"/>
        <v>0</v>
      </c>
      <c r="AD106" s="45"/>
      <c r="AE106" s="45"/>
    </row>
    <row r="107" spans="1:31" ht="15" customHeight="1">
      <c r="A107" s="20">
        <f t="shared" si="9"/>
        <v>0</v>
      </c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35"/>
      <c r="M107" s="26"/>
      <c r="N107" s="39" t="s">
        <v>119</v>
      </c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f>COUNTIF($L$2:L107,"&lt;&gt;"&amp;"")</f>
        <v>14</v>
      </c>
      <c r="Y107" s="27">
        <f t="shared" si="10"/>
        <v>12561240.867768593</v>
      </c>
      <c r="Z107" s="28"/>
      <c r="AA107" s="29"/>
      <c r="AB107" s="30" t="b">
        <f>TRUE()</f>
        <v>1</v>
      </c>
      <c r="AC107" s="31">
        <f t="shared" si="11"/>
        <v>0</v>
      </c>
      <c r="AD107" s="23"/>
      <c r="AE107" s="23"/>
    </row>
    <row r="108" spans="1:31" ht="15" customHeight="1">
      <c r="A108" s="20">
        <f t="shared" si="9"/>
        <v>1648729.4765840219</v>
      </c>
      <c r="B108" s="34">
        <v>1</v>
      </c>
      <c r="C108" s="23"/>
      <c r="D108" s="23"/>
      <c r="E108" s="34">
        <v>1.5</v>
      </c>
      <c r="F108" s="23"/>
      <c r="G108" s="23"/>
      <c r="H108" s="23"/>
      <c r="I108" s="23"/>
      <c r="J108" s="23"/>
      <c r="K108" s="23"/>
      <c r="L108" s="35"/>
      <c r="M108" s="38" t="s">
        <v>120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>
        <f>COUNTIF($L$2:L108,"&lt;&gt;"&amp;"")</f>
        <v>14</v>
      </c>
      <c r="Y108" s="27">
        <f t="shared" si="10"/>
        <v>12561240.867768593</v>
      </c>
      <c r="Z108" s="28"/>
      <c r="AA108" s="29"/>
      <c r="AB108" s="30" t="b">
        <f>TRUE()</f>
        <v>1</v>
      </c>
      <c r="AC108" s="31">
        <f t="shared" si="11"/>
        <v>0</v>
      </c>
      <c r="AD108" s="23"/>
      <c r="AE108" s="23"/>
    </row>
    <row r="109" spans="1:31" ht="15" customHeight="1">
      <c r="A109" s="20">
        <f t="shared" si="9"/>
        <v>0</v>
      </c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35"/>
      <c r="M109" s="26"/>
      <c r="N109" s="39" t="s">
        <v>121</v>
      </c>
      <c r="O109" s="26"/>
      <c r="P109" s="26"/>
      <c r="Q109" s="26"/>
      <c r="R109" s="26"/>
      <c r="S109" s="26"/>
      <c r="T109" s="26"/>
      <c r="U109" s="26"/>
      <c r="V109" s="26"/>
      <c r="W109" s="26"/>
      <c r="X109" s="26">
        <f>COUNTIF($L$2:L109,"&lt;&gt;"&amp;"")</f>
        <v>14</v>
      </c>
      <c r="Y109" s="27">
        <f t="shared" si="10"/>
        <v>12561240.867768593</v>
      </c>
      <c r="Z109" s="28"/>
      <c r="AA109" s="29"/>
      <c r="AB109" s="30" t="b">
        <f>TRUE()</f>
        <v>1</v>
      </c>
      <c r="AC109" s="31">
        <f t="shared" si="11"/>
        <v>0</v>
      </c>
      <c r="AD109" s="23"/>
      <c r="AE109" s="23"/>
    </row>
    <row r="110" spans="1:31" ht="15" customHeight="1">
      <c r="A110" s="20">
        <f t="shared" si="9"/>
        <v>1505850.7024793387</v>
      </c>
      <c r="B110" s="23"/>
      <c r="C110" s="23"/>
      <c r="D110" s="34">
        <v>1</v>
      </c>
      <c r="E110" s="34">
        <v>1.5</v>
      </c>
      <c r="F110" s="23"/>
      <c r="G110" s="34">
        <v>0.5</v>
      </c>
      <c r="H110" s="23"/>
      <c r="I110" s="23"/>
      <c r="J110" s="23"/>
      <c r="K110" s="23"/>
      <c r="L110" s="35"/>
      <c r="M110" s="38" t="s">
        <v>122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>
        <f>COUNTIF($L$2:L110,"&lt;&gt;"&amp;"")</f>
        <v>14</v>
      </c>
      <c r="Y110" s="27">
        <f t="shared" si="10"/>
        <v>12561240.867768593</v>
      </c>
      <c r="Z110" s="28"/>
      <c r="AA110" s="29"/>
      <c r="AB110" s="30" t="b">
        <f>TRUE()</f>
        <v>1</v>
      </c>
      <c r="AC110" s="31">
        <f t="shared" si="11"/>
        <v>0</v>
      </c>
      <c r="AD110" s="23"/>
      <c r="AE110" s="23"/>
    </row>
    <row r="111" spans="1:31" ht="15" customHeight="1">
      <c r="A111" s="20">
        <f t="shared" si="9"/>
        <v>0</v>
      </c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35"/>
      <c r="M111" s="26"/>
      <c r="N111" s="39" t="s">
        <v>123</v>
      </c>
      <c r="O111" s="26"/>
      <c r="P111" s="26"/>
      <c r="Q111" s="26"/>
      <c r="R111" s="26"/>
      <c r="S111" s="26"/>
      <c r="T111" s="26"/>
      <c r="U111" s="26"/>
      <c r="V111" s="26"/>
      <c r="W111" s="26"/>
      <c r="X111" s="26">
        <f>COUNTIF($L$2:L111,"&lt;&gt;"&amp;"")</f>
        <v>14</v>
      </c>
      <c r="Y111" s="27">
        <f t="shared" si="10"/>
        <v>12561240.867768593</v>
      </c>
      <c r="Z111" s="28"/>
      <c r="AA111" s="29"/>
      <c r="AB111" s="30" t="b">
        <f>TRUE()</f>
        <v>1</v>
      </c>
      <c r="AC111" s="31">
        <f t="shared" si="11"/>
        <v>0</v>
      </c>
      <c r="AD111" s="23"/>
      <c r="AE111" s="23"/>
    </row>
    <row r="112" spans="1:31" ht="15" customHeight="1">
      <c r="A112" s="20">
        <f t="shared" si="9"/>
        <v>1295942.0661157025</v>
      </c>
      <c r="B112" s="23"/>
      <c r="C112" s="23"/>
      <c r="D112" s="34">
        <v>0.5</v>
      </c>
      <c r="E112" s="34">
        <v>1.5</v>
      </c>
      <c r="F112" s="23"/>
      <c r="G112" s="34">
        <v>0.5</v>
      </c>
      <c r="H112" s="23"/>
      <c r="I112" s="23"/>
      <c r="J112" s="23"/>
      <c r="K112" s="23"/>
      <c r="L112" s="35"/>
      <c r="M112" s="38" t="s">
        <v>124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>
        <f>COUNTIF($L$2:L112,"&lt;&gt;"&amp;"")</f>
        <v>14</v>
      </c>
      <c r="Y112" s="27">
        <f t="shared" si="10"/>
        <v>12561240.867768593</v>
      </c>
      <c r="Z112" s="28"/>
      <c r="AA112" s="29"/>
      <c r="AB112" s="30" t="b">
        <f>TRUE()</f>
        <v>1</v>
      </c>
      <c r="AC112" s="31">
        <f t="shared" si="11"/>
        <v>0</v>
      </c>
      <c r="AD112" s="23"/>
      <c r="AE112" s="23"/>
    </row>
    <row r="113" spans="1:31" ht="15" customHeight="1">
      <c r="A113" s="20">
        <f t="shared" si="9"/>
        <v>0</v>
      </c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35"/>
      <c r="M113" s="26"/>
      <c r="N113" s="39" t="s">
        <v>125</v>
      </c>
      <c r="O113" s="26"/>
      <c r="P113" s="26"/>
      <c r="Q113" s="26"/>
      <c r="R113" s="26"/>
      <c r="S113" s="26"/>
      <c r="T113" s="26"/>
      <c r="U113" s="26"/>
      <c r="V113" s="26"/>
      <c r="W113" s="26"/>
      <c r="X113" s="26">
        <f>COUNTIF($L$2:L113,"&lt;&gt;"&amp;"")</f>
        <v>14</v>
      </c>
      <c r="Y113" s="27">
        <f t="shared" si="10"/>
        <v>12561240.867768593</v>
      </c>
      <c r="Z113" s="28"/>
      <c r="AA113" s="29"/>
      <c r="AB113" s="30" t="b">
        <f>TRUE()</f>
        <v>1</v>
      </c>
      <c r="AC113" s="31">
        <f t="shared" si="11"/>
        <v>0</v>
      </c>
      <c r="AD113" s="23"/>
      <c r="AE113" s="23"/>
    </row>
    <row r="114" spans="1:31" ht="15" customHeight="1">
      <c r="A114" s="20">
        <f t="shared" si="9"/>
        <v>0</v>
      </c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42" t="s">
        <v>126</v>
      </c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>
        <f>COUNTIF($L$2:L114,"&lt;&gt;"&amp;"")</f>
        <v>15</v>
      </c>
      <c r="Y114" s="27">
        <f t="shared" si="10"/>
        <v>8843744.2148760334</v>
      </c>
      <c r="Z114" s="28"/>
      <c r="AA114" s="29"/>
      <c r="AB114" s="30" t="b">
        <f>TRUE()</f>
        <v>1</v>
      </c>
      <c r="AC114" s="31">
        <f t="shared" si="11"/>
        <v>8843744.2148760334</v>
      </c>
      <c r="AD114" s="23"/>
      <c r="AE114" s="23"/>
    </row>
    <row r="115" spans="1:31" ht="15" customHeight="1">
      <c r="A115" s="20">
        <f t="shared" si="9"/>
        <v>1086033.429752066</v>
      </c>
      <c r="B115" s="23"/>
      <c r="C115" s="23"/>
      <c r="D115" s="23"/>
      <c r="E115" s="34">
        <v>1.5</v>
      </c>
      <c r="F115" s="23"/>
      <c r="G115" s="34">
        <v>0.5</v>
      </c>
      <c r="H115" s="23"/>
      <c r="I115" s="23"/>
      <c r="J115" s="23"/>
      <c r="K115" s="23"/>
      <c r="L115" s="35"/>
      <c r="M115" s="38" t="s">
        <v>127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>
        <f>COUNTIF($L$2:L115,"&lt;&gt;"&amp;"")</f>
        <v>15</v>
      </c>
      <c r="Y115" s="27">
        <f t="shared" si="10"/>
        <v>8843744.2148760334</v>
      </c>
      <c r="Z115" s="28"/>
      <c r="AA115" s="29"/>
      <c r="AB115" s="30" t="b">
        <f>TRUE()</f>
        <v>1</v>
      </c>
      <c r="AC115" s="31">
        <f t="shared" si="11"/>
        <v>0</v>
      </c>
      <c r="AD115" s="23"/>
      <c r="AE115" s="23"/>
    </row>
    <row r="116" spans="1:31" ht="15" customHeight="1">
      <c r="A116" s="20">
        <f t="shared" si="9"/>
        <v>0</v>
      </c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35"/>
      <c r="M116" s="26"/>
      <c r="N116" s="39" t="s">
        <v>128</v>
      </c>
      <c r="O116" s="26"/>
      <c r="P116" s="26"/>
      <c r="Q116" s="26"/>
      <c r="R116" s="26"/>
      <c r="S116" s="26"/>
      <c r="T116" s="26"/>
      <c r="U116" s="26"/>
      <c r="V116" s="26"/>
      <c r="W116" s="26"/>
      <c r="X116" s="26">
        <f>COUNTIF($L$2:L116,"&lt;&gt;"&amp;"")</f>
        <v>15</v>
      </c>
      <c r="Y116" s="27">
        <f t="shared" si="10"/>
        <v>8843744.2148760334</v>
      </c>
      <c r="Z116" s="28"/>
      <c r="AA116" s="29"/>
      <c r="AB116" s="30" t="b">
        <f>TRUE()</f>
        <v>1</v>
      </c>
      <c r="AC116" s="31">
        <f t="shared" si="11"/>
        <v>0</v>
      </c>
      <c r="AD116" s="23"/>
      <c r="AE116" s="23"/>
    </row>
    <row r="117" spans="1:31" ht="15" customHeight="1">
      <c r="A117" s="20">
        <f t="shared" si="9"/>
        <v>792025.7162534435</v>
      </c>
      <c r="B117" s="23"/>
      <c r="C117" s="23"/>
      <c r="D117" s="23"/>
      <c r="E117" s="34">
        <v>1</v>
      </c>
      <c r="F117" s="23"/>
      <c r="G117" s="34">
        <v>0.5</v>
      </c>
      <c r="H117" s="23"/>
      <c r="I117" s="23"/>
      <c r="J117" s="23"/>
      <c r="K117" s="23"/>
      <c r="L117" s="35"/>
      <c r="M117" s="38" t="s">
        <v>129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>
        <f>COUNTIF($L$2:L117,"&lt;&gt;"&amp;"")</f>
        <v>15</v>
      </c>
      <c r="Y117" s="27">
        <f t="shared" si="10"/>
        <v>8843744.2148760334</v>
      </c>
      <c r="Z117" s="28"/>
      <c r="AA117" s="29"/>
      <c r="AB117" s="30" t="b">
        <f>TRUE()</f>
        <v>1</v>
      </c>
      <c r="AC117" s="31">
        <f t="shared" si="11"/>
        <v>0</v>
      </c>
      <c r="AD117" s="23"/>
      <c r="AE117" s="23"/>
    </row>
    <row r="118" spans="1:31" ht="15" customHeight="1">
      <c r="A118" s="20">
        <f t="shared" si="9"/>
        <v>0</v>
      </c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35"/>
      <c r="M118" s="26"/>
      <c r="N118" s="39" t="s">
        <v>130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>
        <f>COUNTIF($L$2:L118,"&lt;&gt;"&amp;"")</f>
        <v>15</v>
      </c>
      <c r="Y118" s="27">
        <f t="shared" si="10"/>
        <v>8843744.2148760334</v>
      </c>
      <c r="Z118" s="28"/>
      <c r="AA118" s="29"/>
      <c r="AB118" s="30" t="b">
        <f>TRUE()</f>
        <v>1</v>
      </c>
      <c r="AC118" s="31">
        <f t="shared" si="11"/>
        <v>0</v>
      </c>
      <c r="AD118" s="23"/>
      <c r="AE118" s="23"/>
    </row>
    <row r="119" spans="1:31" ht="15" customHeight="1">
      <c r="A119" s="20">
        <f t="shared" si="9"/>
        <v>971368.59504132229</v>
      </c>
      <c r="B119" s="34">
        <v>0.5</v>
      </c>
      <c r="C119" s="23"/>
      <c r="D119" s="23"/>
      <c r="E119" s="34">
        <v>1</v>
      </c>
      <c r="F119" s="23"/>
      <c r="G119" s="23"/>
      <c r="H119" s="23"/>
      <c r="I119" s="23"/>
      <c r="J119" s="23"/>
      <c r="K119" s="23"/>
      <c r="L119" s="88"/>
      <c r="M119" s="89" t="s">
        <v>131</v>
      </c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>
        <f>COUNTIF($L$2:L119,"&lt;&gt;"&amp;"")</f>
        <v>15</v>
      </c>
      <c r="Y119" s="90">
        <f t="shared" si="10"/>
        <v>8843744.2148760334</v>
      </c>
      <c r="Z119" s="91"/>
      <c r="AA119" s="92"/>
      <c r="AB119" s="76" t="b">
        <f>TRUE()</f>
        <v>1</v>
      </c>
      <c r="AC119" s="31">
        <f t="shared" si="11"/>
        <v>0</v>
      </c>
      <c r="AD119" s="23"/>
      <c r="AE119" s="23"/>
    </row>
    <row r="120" spans="1:31" ht="12.75" customHeight="1">
      <c r="A120">
        <f t="shared" si="9"/>
        <v>0</v>
      </c>
      <c r="L120" s="93"/>
      <c r="M120" s="93"/>
      <c r="N120" s="94" t="s">
        <v>132</v>
      </c>
      <c r="O120" s="93"/>
      <c r="P120" s="93"/>
      <c r="Q120" s="93"/>
      <c r="R120" s="93"/>
      <c r="S120" s="93"/>
      <c r="T120" s="93"/>
      <c r="U120" s="93"/>
      <c r="V120" s="93"/>
      <c r="W120" s="93"/>
      <c r="X120" s="93">
        <f>COUNTIF($L$2:L120,"&lt;&gt;"&amp;"")</f>
        <v>15</v>
      </c>
      <c r="Y120" s="96">
        <f t="shared" si="10"/>
        <v>8843744.2148760334</v>
      </c>
      <c r="Z120" s="93"/>
      <c r="AA120" s="93"/>
      <c r="AB120" s="93" t="b">
        <f>TRUE()</f>
        <v>1</v>
      </c>
      <c r="AC120">
        <f t="shared" si="11"/>
        <v>0</v>
      </c>
    </row>
    <row r="121" spans="1:31" ht="15" customHeight="1">
      <c r="A121">
        <f t="shared" si="9"/>
        <v>202076.40495867768</v>
      </c>
      <c r="H121" s="43">
        <v>0.5</v>
      </c>
      <c r="L121" s="93"/>
      <c r="M121" s="95" t="s">
        <v>133</v>
      </c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>
        <f>COUNTIF($L$2:L121,"&lt;&gt;"&amp;"")</f>
        <v>15</v>
      </c>
      <c r="Y121" s="96">
        <f t="shared" si="10"/>
        <v>8843744.2148760334</v>
      </c>
      <c r="Z121" s="93"/>
      <c r="AA121" s="93"/>
      <c r="AB121" s="93" t="b">
        <f>TRUE()</f>
        <v>1</v>
      </c>
      <c r="AC121">
        <f t="shared" si="11"/>
        <v>0</v>
      </c>
    </row>
    <row r="122" spans="1:31" ht="12.75" customHeight="1">
      <c r="A122">
        <f t="shared" si="9"/>
        <v>0</v>
      </c>
      <c r="L122" s="93"/>
      <c r="M122" s="93"/>
      <c r="N122" s="94" t="s">
        <v>134</v>
      </c>
      <c r="O122" s="93"/>
      <c r="P122" s="93"/>
      <c r="Q122" s="93"/>
      <c r="R122" s="93"/>
      <c r="S122" s="93"/>
      <c r="T122" s="93"/>
      <c r="U122" s="93"/>
      <c r="V122" s="93"/>
      <c r="W122" s="93"/>
      <c r="X122" s="93">
        <f>COUNTIF($L$2:L122,"&lt;&gt;"&amp;"")</f>
        <v>15</v>
      </c>
      <c r="Y122" s="96">
        <f t="shared" si="10"/>
        <v>8843744.2148760334</v>
      </c>
      <c r="Z122" s="93"/>
      <c r="AA122" s="93"/>
      <c r="AB122" s="93" t="b">
        <f>TRUE()</f>
        <v>1</v>
      </c>
      <c r="AC122">
        <f t="shared" si="11"/>
        <v>0</v>
      </c>
    </row>
    <row r="123" spans="1:31" ht="15" customHeight="1">
      <c r="A123">
        <f t="shared" si="9"/>
        <v>792025.7162534435</v>
      </c>
      <c r="E123" s="43">
        <v>1</v>
      </c>
      <c r="G123" s="43">
        <v>0.5</v>
      </c>
      <c r="L123" s="93"/>
      <c r="M123" s="95" t="s">
        <v>135</v>
      </c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>
        <f>COUNTIF($L$2:L123,"&lt;&gt;"&amp;"")</f>
        <v>15</v>
      </c>
      <c r="Y123" s="96">
        <f t="shared" si="10"/>
        <v>8843744.2148760334</v>
      </c>
      <c r="Z123" s="93"/>
      <c r="AA123" s="93"/>
      <c r="AB123" s="93" t="b">
        <f>TRUE()</f>
        <v>1</v>
      </c>
      <c r="AC123">
        <f t="shared" si="11"/>
        <v>0</v>
      </c>
    </row>
    <row r="124" spans="1:31" ht="12.75" customHeight="1">
      <c r="A124">
        <f t="shared" si="9"/>
        <v>0</v>
      </c>
      <c r="L124" s="93"/>
      <c r="M124" s="93"/>
      <c r="N124" s="94" t="s">
        <v>136</v>
      </c>
      <c r="O124" s="93"/>
      <c r="P124" s="93"/>
      <c r="Q124" s="93"/>
      <c r="R124" s="93"/>
      <c r="S124" s="93"/>
      <c r="T124" s="93"/>
      <c r="U124" s="93"/>
      <c r="V124" s="93"/>
      <c r="W124" s="93"/>
      <c r="X124" s="93">
        <f>COUNTIF($L$2:L124,"&lt;&gt;"&amp;"")</f>
        <v>15</v>
      </c>
      <c r="Y124" s="96">
        <f t="shared" si="10"/>
        <v>8843744.2148760334</v>
      </c>
      <c r="Z124" s="93"/>
      <c r="AA124" s="93"/>
      <c r="AB124" s="93" t="b">
        <f>TRUE()</f>
        <v>1</v>
      </c>
      <c r="AC124">
        <f t="shared" si="11"/>
        <v>0</v>
      </c>
    </row>
    <row r="125" spans="1:31" ht="12.75" customHeight="1">
      <c r="A125">
        <f t="shared" si="9"/>
        <v>209908.63636363635</v>
      </c>
      <c r="C125" s="43">
        <v>0.5</v>
      </c>
      <c r="L125" s="93"/>
      <c r="M125" s="95" t="s">
        <v>137</v>
      </c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>
        <f>COUNTIF($L$2:L125,"&lt;&gt;"&amp;"")</f>
        <v>15</v>
      </c>
      <c r="Y125" s="96">
        <f t="shared" si="10"/>
        <v>8843744.2148760334</v>
      </c>
      <c r="Z125" s="93"/>
      <c r="AA125" s="93"/>
      <c r="AB125" s="93" t="b">
        <f>TRUE()</f>
        <v>1</v>
      </c>
      <c r="AC125">
        <f t="shared" si="11"/>
        <v>0</v>
      </c>
    </row>
    <row r="126" spans="1:31" ht="12.75" customHeight="1">
      <c r="A126">
        <f t="shared" si="9"/>
        <v>0</v>
      </c>
      <c r="L126" s="93"/>
      <c r="M126" s="93"/>
      <c r="N126" s="94" t="s">
        <v>138</v>
      </c>
      <c r="O126" s="93"/>
      <c r="P126" s="93"/>
      <c r="Q126" s="93"/>
      <c r="R126" s="93"/>
      <c r="S126" s="93"/>
      <c r="T126" s="93"/>
      <c r="U126" s="93"/>
      <c r="V126" s="93"/>
      <c r="W126" s="93"/>
      <c r="X126" s="93">
        <f>COUNTIF($L$2:L126,"&lt;&gt;"&amp;"")</f>
        <v>15</v>
      </c>
      <c r="Y126" s="96">
        <f t="shared" si="10"/>
        <v>8843744.2148760334</v>
      </c>
      <c r="Z126" s="93"/>
      <c r="AA126" s="93"/>
      <c r="AB126" s="93" t="b">
        <f>TRUE()</f>
        <v>1</v>
      </c>
      <c r="AC126">
        <f t="shared" si="11"/>
        <v>0</v>
      </c>
    </row>
    <row r="127" spans="1:31" ht="12.75" customHeight="1">
      <c r="A127">
        <f t="shared" si="9"/>
        <v>588015.42699724517</v>
      </c>
      <c r="E127" s="43">
        <v>1</v>
      </c>
      <c r="L127" s="93"/>
      <c r="M127" s="95" t="s">
        <v>139</v>
      </c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>
        <f>COUNTIF($L$2:L127,"&lt;&gt;"&amp;"")</f>
        <v>15</v>
      </c>
      <c r="Y127" s="96">
        <f t="shared" si="10"/>
        <v>8843744.2148760334</v>
      </c>
      <c r="Z127" s="93"/>
      <c r="AA127" s="93"/>
      <c r="AB127" s="93" t="b">
        <f>TRUE()</f>
        <v>1</v>
      </c>
      <c r="AC127">
        <f t="shared" si="11"/>
        <v>0</v>
      </c>
    </row>
    <row r="128" spans="1:31" ht="12.75" customHeight="1">
      <c r="A128">
        <f t="shared" si="9"/>
        <v>0</v>
      </c>
      <c r="L128" s="93"/>
      <c r="M128" s="93"/>
      <c r="N128" s="94" t="s">
        <v>140</v>
      </c>
      <c r="O128" s="93"/>
      <c r="P128" s="93"/>
      <c r="Q128" s="93"/>
      <c r="R128" s="93"/>
      <c r="S128" s="93"/>
      <c r="T128" s="93"/>
      <c r="U128" s="93"/>
      <c r="V128" s="93"/>
      <c r="W128" s="93"/>
      <c r="X128" s="93">
        <f>COUNTIF($L$2:L128,"&lt;&gt;"&amp;"")</f>
        <v>15</v>
      </c>
      <c r="Y128" s="96">
        <f t="shared" si="10"/>
        <v>8843744.2148760334</v>
      </c>
      <c r="Z128" s="93"/>
      <c r="AA128" s="93"/>
      <c r="AB128" s="93" t="b">
        <f>TRUE()</f>
        <v>1</v>
      </c>
      <c r="AC128">
        <f t="shared" si="11"/>
        <v>0</v>
      </c>
    </row>
    <row r="129" spans="1:29" ht="12.75" customHeight="1">
      <c r="A129">
        <f t="shared" si="9"/>
        <v>585429.57300275483</v>
      </c>
      <c r="B129" s="43">
        <v>0.5</v>
      </c>
      <c r="H129" s="43">
        <v>0.5</v>
      </c>
      <c r="L129" s="93"/>
      <c r="M129" s="95" t="s">
        <v>141</v>
      </c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>
        <f>COUNTIF($L$2:L129,"&lt;&gt;"&amp;"")</f>
        <v>15</v>
      </c>
      <c r="Y129" s="96">
        <f t="shared" si="10"/>
        <v>8843744.2148760334</v>
      </c>
      <c r="Z129" s="93"/>
      <c r="AA129" s="93"/>
      <c r="AB129" s="93" t="b">
        <f>TRUE()</f>
        <v>1</v>
      </c>
      <c r="AC129">
        <f t="shared" si="11"/>
        <v>0</v>
      </c>
    </row>
    <row r="130" spans="1:29" ht="12.75" customHeight="1">
      <c r="A130">
        <f t="shared" ref="A130:A161" si="12">(B130*$P$152+C130*$P$153+D130*$P$154+E130*$P$155+F130*$P$156+G130*$P$157+H130*$P$158+I130*$P$159+J130*$P$160+K130*$P$161)*$T$150</f>
        <v>0</v>
      </c>
      <c r="L130" s="93"/>
      <c r="M130" s="93"/>
      <c r="N130" s="94" t="s">
        <v>142</v>
      </c>
      <c r="O130" s="93"/>
      <c r="P130" s="93"/>
      <c r="Q130" s="93"/>
      <c r="R130" s="93"/>
      <c r="S130" s="93"/>
      <c r="T130" s="93"/>
      <c r="U130" s="93"/>
      <c r="V130" s="93"/>
      <c r="W130" s="93"/>
      <c r="X130" s="93">
        <f>COUNTIF($L$2:L130,"&lt;&gt;"&amp;"")</f>
        <v>15</v>
      </c>
      <c r="Y130" s="96">
        <f t="shared" ref="Y130:Y161" si="13">SUMIF($X$2:$X$147,X130,$A$2:$A$147)</f>
        <v>8843744.2148760334</v>
      </c>
      <c r="Z130" s="93"/>
      <c r="AA130" s="93"/>
      <c r="AB130" s="93" t="b">
        <f>TRUE()</f>
        <v>1</v>
      </c>
      <c r="AC130">
        <f t="shared" ref="AC130:AC161" si="14">IF(L130="",0,IF(AB130=FALSE(),0,Y130))</f>
        <v>0</v>
      </c>
    </row>
    <row r="131" spans="1:29" ht="12.75" customHeight="1">
      <c r="A131">
        <f t="shared" si="12"/>
        <v>294007.71349862259</v>
      </c>
      <c r="E131" s="43">
        <v>0.5</v>
      </c>
      <c r="L131" s="93"/>
      <c r="M131" s="95" t="s">
        <v>143</v>
      </c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>
        <f>COUNTIF($L$2:L131,"&lt;&gt;"&amp;"")</f>
        <v>15</v>
      </c>
      <c r="Y131" s="96">
        <f t="shared" si="13"/>
        <v>8843744.2148760334</v>
      </c>
      <c r="Z131" s="93"/>
      <c r="AA131" s="93"/>
      <c r="AB131" s="93" t="b">
        <f>TRUE()</f>
        <v>1</v>
      </c>
      <c r="AC131">
        <f t="shared" si="14"/>
        <v>0</v>
      </c>
    </row>
    <row r="132" spans="1:29" ht="12.75" customHeight="1">
      <c r="A132">
        <f t="shared" si="12"/>
        <v>0</v>
      </c>
      <c r="L132" s="93"/>
      <c r="M132" s="93"/>
      <c r="N132" s="94" t="s">
        <v>144</v>
      </c>
      <c r="O132" s="93"/>
      <c r="P132" s="93"/>
      <c r="Q132" s="93"/>
      <c r="R132" s="93"/>
      <c r="S132" s="93"/>
      <c r="T132" s="93"/>
      <c r="U132" s="93"/>
      <c r="V132" s="93"/>
      <c r="W132" s="93"/>
      <c r="X132" s="93">
        <f>COUNTIF($L$2:L132,"&lt;&gt;"&amp;"")</f>
        <v>15</v>
      </c>
      <c r="Y132" s="96">
        <f t="shared" si="13"/>
        <v>8843744.2148760334</v>
      </c>
      <c r="Z132" s="93"/>
      <c r="AA132" s="93"/>
      <c r="AB132" s="93" t="b">
        <f>TRUE()</f>
        <v>1</v>
      </c>
      <c r="AC132">
        <f t="shared" si="14"/>
        <v>0</v>
      </c>
    </row>
    <row r="133" spans="1:29" ht="12.75" customHeight="1">
      <c r="A133">
        <f t="shared" si="12"/>
        <v>383353.16804407717</v>
      </c>
      <c r="B133" s="43">
        <v>0.5</v>
      </c>
      <c r="L133" s="93"/>
      <c r="M133" s="95" t="s">
        <v>145</v>
      </c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>
        <f>COUNTIF($L$2:L133,"&lt;&gt;"&amp;"")</f>
        <v>15</v>
      </c>
      <c r="Y133" s="96">
        <f t="shared" si="13"/>
        <v>8843744.2148760334</v>
      </c>
      <c r="Z133" s="93"/>
      <c r="AA133" s="93"/>
      <c r="AB133" s="93" t="b">
        <f>TRUE()</f>
        <v>1</v>
      </c>
      <c r="AC133">
        <f t="shared" si="14"/>
        <v>0</v>
      </c>
    </row>
    <row r="134" spans="1:29" ht="12.75" customHeight="1">
      <c r="A134">
        <f t="shared" si="12"/>
        <v>0</v>
      </c>
      <c r="L134" s="93"/>
      <c r="M134" s="93"/>
      <c r="N134" s="94" t="s">
        <v>146</v>
      </c>
      <c r="O134" s="93"/>
      <c r="P134" s="93"/>
      <c r="Q134" s="93"/>
      <c r="R134" s="93"/>
      <c r="S134" s="93"/>
      <c r="T134" s="93"/>
      <c r="U134" s="93"/>
      <c r="V134" s="93"/>
      <c r="W134" s="93"/>
      <c r="X134" s="93">
        <f>COUNTIF($L$2:L134,"&lt;&gt;"&amp;"")</f>
        <v>15</v>
      </c>
      <c r="Y134" s="96">
        <f t="shared" si="13"/>
        <v>8843744.2148760334</v>
      </c>
      <c r="Z134" s="93"/>
      <c r="AA134" s="93"/>
      <c r="AB134" s="93" t="b">
        <f>TRUE()</f>
        <v>1</v>
      </c>
      <c r="AC134">
        <f t="shared" si="14"/>
        <v>0</v>
      </c>
    </row>
    <row r="135" spans="1:29" ht="12.75" customHeight="1">
      <c r="A135">
        <f t="shared" si="12"/>
        <v>588015.42699724517</v>
      </c>
      <c r="E135" s="43">
        <v>1</v>
      </c>
      <c r="L135" s="93"/>
      <c r="M135" s="95" t="s">
        <v>147</v>
      </c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>
        <f>COUNTIF($L$2:L135,"&lt;&gt;"&amp;"")</f>
        <v>15</v>
      </c>
      <c r="Y135" s="96">
        <f t="shared" si="13"/>
        <v>8843744.2148760334</v>
      </c>
      <c r="Z135" s="93"/>
      <c r="AA135" s="93"/>
      <c r="AB135" s="93" t="b">
        <f>TRUE()</f>
        <v>1</v>
      </c>
      <c r="AC135">
        <f t="shared" si="14"/>
        <v>0</v>
      </c>
    </row>
    <row r="136" spans="1:29" ht="12.75" customHeight="1">
      <c r="A136">
        <f t="shared" si="12"/>
        <v>0</v>
      </c>
      <c r="L136" s="93"/>
      <c r="M136" s="93"/>
      <c r="N136" s="94" t="s">
        <v>148</v>
      </c>
      <c r="O136" s="93"/>
      <c r="P136" s="93"/>
      <c r="Q136" s="93"/>
      <c r="R136" s="93"/>
      <c r="S136" s="93"/>
      <c r="T136" s="93"/>
      <c r="U136" s="93"/>
      <c r="V136" s="93"/>
      <c r="W136" s="93"/>
      <c r="X136" s="93">
        <f>COUNTIF($L$2:L136,"&lt;&gt;"&amp;"")</f>
        <v>15</v>
      </c>
      <c r="Y136" s="96">
        <f t="shared" si="13"/>
        <v>8843744.2148760334</v>
      </c>
      <c r="Z136" s="93"/>
      <c r="AA136" s="93"/>
      <c r="AB136" s="93" t="b">
        <f>TRUE()</f>
        <v>1</v>
      </c>
      <c r="AC136">
        <f t="shared" si="14"/>
        <v>0</v>
      </c>
    </row>
    <row r="137" spans="1:29" ht="12.75" customHeight="1">
      <c r="A137">
        <f t="shared" si="12"/>
        <v>383353.16804407717</v>
      </c>
      <c r="B137" s="43">
        <v>0.5</v>
      </c>
      <c r="L137" s="93"/>
      <c r="M137" s="95" t="s">
        <v>149</v>
      </c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>
        <f>COUNTIF($L$2:L137,"&lt;&gt;"&amp;"")</f>
        <v>15</v>
      </c>
      <c r="Y137" s="96">
        <f t="shared" si="13"/>
        <v>8843744.2148760334</v>
      </c>
      <c r="Z137" s="93"/>
      <c r="AA137" s="93"/>
      <c r="AB137" s="93" t="b">
        <f>TRUE()</f>
        <v>1</v>
      </c>
      <c r="AC137">
        <f t="shared" si="14"/>
        <v>0</v>
      </c>
    </row>
    <row r="138" spans="1:29" ht="12.75" customHeight="1">
      <c r="A138">
        <f t="shared" si="12"/>
        <v>0</v>
      </c>
      <c r="L138" s="93"/>
      <c r="M138" s="93"/>
      <c r="N138" s="94" t="s">
        <v>150</v>
      </c>
      <c r="O138" s="93"/>
      <c r="P138" s="93"/>
      <c r="Q138" s="93"/>
      <c r="R138" s="93"/>
      <c r="S138" s="93"/>
      <c r="T138" s="93"/>
      <c r="U138" s="93"/>
      <c r="V138" s="93"/>
      <c r="W138" s="93"/>
      <c r="X138" s="93">
        <f>COUNTIF($L$2:L138,"&lt;&gt;"&amp;"")</f>
        <v>15</v>
      </c>
      <c r="Y138" s="96">
        <f t="shared" si="13"/>
        <v>8843744.2148760334</v>
      </c>
      <c r="Z138" s="93"/>
      <c r="AA138" s="93"/>
      <c r="AB138" s="93" t="b">
        <f>TRUE()</f>
        <v>1</v>
      </c>
      <c r="AC138">
        <f t="shared" si="14"/>
        <v>0</v>
      </c>
    </row>
    <row r="139" spans="1:29" ht="15" customHeight="1">
      <c r="A139">
        <f t="shared" si="12"/>
        <v>587363.45730027556</v>
      </c>
      <c r="B139" s="43">
        <v>0.5</v>
      </c>
      <c r="G139" s="43">
        <v>0.5</v>
      </c>
      <c r="L139" s="93"/>
      <c r="M139" s="95" t="s">
        <v>151</v>
      </c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>
        <f>COUNTIF($L$2:L139,"&lt;&gt;"&amp;"")</f>
        <v>15</v>
      </c>
      <c r="Y139" s="96">
        <f t="shared" si="13"/>
        <v>8843744.2148760334</v>
      </c>
      <c r="Z139" s="93"/>
      <c r="AA139" s="93"/>
      <c r="AB139" s="93" t="b">
        <f>TRUE()</f>
        <v>1</v>
      </c>
      <c r="AC139">
        <f t="shared" si="14"/>
        <v>0</v>
      </c>
    </row>
    <row r="140" spans="1:29" ht="12.75" customHeight="1">
      <c r="A140">
        <f t="shared" si="12"/>
        <v>0</v>
      </c>
      <c r="L140" s="93"/>
      <c r="M140" s="93"/>
      <c r="N140" s="94" t="s">
        <v>152</v>
      </c>
      <c r="O140" s="93"/>
      <c r="P140" s="93"/>
      <c r="Q140" s="93"/>
      <c r="R140" s="93"/>
      <c r="S140" s="93"/>
      <c r="T140" s="93"/>
      <c r="U140" s="93"/>
      <c r="V140" s="93"/>
      <c r="W140" s="93"/>
      <c r="X140" s="93">
        <f>COUNTIF($L$2:L140,"&lt;&gt;"&amp;"")</f>
        <v>15</v>
      </c>
      <c r="Y140" s="96">
        <f t="shared" si="13"/>
        <v>8843744.2148760334</v>
      </c>
      <c r="Z140" s="93"/>
      <c r="AA140" s="93"/>
      <c r="AB140" s="93" t="b">
        <f>TRUE()</f>
        <v>1</v>
      </c>
      <c r="AC140">
        <f t="shared" si="14"/>
        <v>0</v>
      </c>
    </row>
    <row r="141" spans="1:29" ht="12.75" customHeight="1">
      <c r="A141">
        <f t="shared" si="12"/>
        <v>968782.74104683206</v>
      </c>
      <c r="B141" s="43">
        <v>1</v>
      </c>
      <c r="H141" s="43">
        <v>0.5</v>
      </c>
      <c r="L141" s="93"/>
      <c r="M141" s="95" t="s">
        <v>153</v>
      </c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>
        <f>COUNTIF($L$2:L141,"&lt;&gt;"&amp;"")</f>
        <v>15</v>
      </c>
      <c r="Y141" s="96">
        <f t="shared" si="13"/>
        <v>8843744.2148760334</v>
      </c>
      <c r="Z141" s="93"/>
      <c r="AA141" s="93"/>
      <c r="AB141" s="93" t="b">
        <f>TRUE()</f>
        <v>1</v>
      </c>
      <c r="AC141">
        <f t="shared" si="14"/>
        <v>0</v>
      </c>
    </row>
    <row r="142" spans="1:29" ht="12.75" customHeight="1">
      <c r="A142">
        <f t="shared" si="12"/>
        <v>0</v>
      </c>
      <c r="L142" s="93"/>
      <c r="M142" s="93"/>
      <c r="N142" s="94" t="s">
        <v>154</v>
      </c>
      <c r="O142" s="93"/>
      <c r="P142" s="93"/>
      <c r="Q142" s="93"/>
      <c r="R142" s="93"/>
      <c r="S142" s="93"/>
      <c r="T142" s="93"/>
      <c r="U142" s="93"/>
      <c r="V142" s="93"/>
      <c r="W142" s="93"/>
      <c r="X142" s="93">
        <f>COUNTIF($L$2:L142,"&lt;&gt;"&amp;"")</f>
        <v>15</v>
      </c>
      <c r="Y142" s="96">
        <f t="shared" si="13"/>
        <v>8843744.2148760334</v>
      </c>
      <c r="Z142" s="93"/>
      <c r="AA142" s="93"/>
      <c r="AB142" s="93" t="b">
        <f>TRUE()</f>
        <v>1</v>
      </c>
      <c r="AC142">
        <f t="shared" si="14"/>
        <v>0</v>
      </c>
    </row>
    <row r="143" spans="1:29" ht="12.75" customHeight="1">
      <c r="A143">
        <f t="shared" si="12"/>
        <v>209908.63636363635</v>
      </c>
      <c r="C143" s="43">
        <v>0.5</v>
      </c>
      <c r="L143" s="93"/>
      <c r="M143" s="95" t="s">
        <v>155</v>
      </c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>
        <f>COUNTIF($L$2:L143,"&lt;&gt;"&amp;"")</f>
        <v>15</v>
      </c>
      <c r="Y143" s="96">
        <f t="shared" si="13"/>
        <v>8843744.2148760334</v>
      </c>
      <c r="Z143" s="93"/>
      <c r="AA143" s="93"/>
      <c r="AB143" s="93" t="b">
        <f>TRUE()</f>
        <v>1</v>
      </c>
      <c r="AC143">
        <f t="shared" si="14"/>
        <v>0</v>
      </c>
    </row>
    <row r="144" spans="1:29" ht="12.75" customHeight="1">
      <c r="A144">
        <f t="shared" si="12"/>
        <v>0</v>
      </c>
      <c r="L144" s="93"/>
      <c r="M144" s="93"/>
      <c r="N144" s="94" t="s">
        <v>156</v>
      </c>
      <c r="O144" s="93"/>
      <c r="P144" s="93"/>
      <c r="Q144" s="93"/>
      <c r="R144" s="93"/>
      <c r="S144" s="93"/>
      <c r="T144" s="93"/>
      <c r="U144" s="93"/>
      <c r="V144" s="93"/>
      <c r="W144" s="93"/>
      <c r="X144" s="93">
        <f>COUNTIF($L$2:L144,"&lt;&gt;"&amp;"")</f>
        <v>15</v>
      </c>
      <c r="Y144" s="96">
        <f t="shared" si="13"/>
        <v>8843744.2148760334</v>
      </c>
      <c r="Z144" s="93"/>
      <c r="AA144" s="93"/>
      <c r="AB144" s="93" t="b">
        <f>TRUE()</f>
        <v>1</v>
      </c>
      <c r="AC144">
        <f t="shared" si="14"/>
        <v>0</v>
      </c>
    </row>
    <row r="145" spans="1:31" ht="12.75" customHeight="1">
      <c r="A145">
        <f t="shared" si="12"/>
        <v>202076.40495867768</v>
      </c>
      <c r="H145" s="43">
        <v>0.5</v>
      </c>
      <c r="L145" s="93"/>
      <c r="M145" s="95" t="s">
        <v>157</v>
      </c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>
        <f>COUNTIF($L$2:L145,"&lt;&gt;"&amp;"")</f>
        <v>15</v>
      </c>
      <c r="Y145" s="96">
        <f t="shared" si="13"/>
        <v>8843744.2148760334</v>
      </c>
      <c r="Z145" s="93"/>
      <c r="AA145" s="93"/>
      <c r="AB145" s="93" t="b">
        <f>TRUE()</f>
        <v>1</v>
      </c>
      <c r="AC145">
        <f t="shared" si="14"/>
        <v>0</v>
      </c>
    </row>
    <row r="146" spans="1:31" ht="12.75" customHeight="1">
      <c r="A146">
        <f t="shared" si="12"/>
        <v>0</v>
      </c>
      <c r="L146" s="93"/>
      <c r="M146" s="93"/>
      <c r="N146" s="94" t="s">
        <v>158</v>
      </c>
      <c r="O146" s="93"/>
      <c r="P146" s="93"/>
      <c r="Q146" s="93"/>
      <c r="R146" s="93"/>
      <c r="S146" s="93"/>
      <c r="T146" s="93"/>
      <c r="U146" s="93"/>
      <c r="V146" s="93"/>
      <c r="W146" s="93"/>
      <c r="X146" s="93">
        <f>COUNTIF($L$2:L146,"&lt;&gt;"&amp;"")</f>
        <v>15</v>
      </c>
      <c r="Y146" s="96">
        <f t="shared" si="13"/>
        <v>8843744.2148760334</v>
      </c>
      <c r="Z146" s="93"/>
      <c r="AA146" s="93"/>
      <c r="AB146" s="93" t="b">
        <f>TRUE()</f>
        <v>1</v>
      </c>
      <c r="AC146">
        <f t="shared" si="14"/>
        <v>0</v>
      </c>
    </row>
    <row r="147" spans="1:31" ht="12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8"/>
      <c r="M147" s="48"/>
      <c r="N147" s="49"/>
      <c r="O147" s="49" t="s">
        <v>159</v>
      </c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23"/>
      <c r="AE147" s="23"/>
    </row>
    <row r="148" spans="1:31" ht="12.75" customHeight="1">
      <c r="A148" s="50">
        <f>ROW()</f>
        <v>148</v>
      </c>
      <c r="B148" s="23">
        <f t="shared" ref="B148:K148" si="15">SUM(B2:B147)</f>
        <v>15</v>
      </c>
      <c r="C148" s="23">
        <f t="shared" si="15"/>
        <v>13</v>
      </c>
      <c r="D148" s="23">
        <f t="shared" si="15"/>
        <v>52</v>
      </c>
      <c r="E148" s="23">
        <f t="shared" si="15"/>
        <v>94.5</v>
      </c>
      <c r="F148" s="23">
        <f t="shared" si="15"/>
        <v>0</v>
      </c>
      <c r="G148" s="23">
        <f t="shared" si="15"/>
        <v>39</v>
      </c>
      <c r="H148" s="23">
        <f t="shared" si="15"/>
        <v>7</v>
      </c>
      <c r="I148" s="23">
        <f t="shared" si="15"/>
        <v>0</v>
      </c>
      <c r="J148" s="23">
        <f t="shared" si="15"/>
        <v>0</v>
      </c>
      <c r="K148" s="23">
        <f t="shared" si="15"/>
        <v>0.5</v>
      </c>
      <c r="L148" s="35"/>
      <c r="M148" s="26"/>
      <c r="N148" s="26"/>
      <c r="O148" s="26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51"/>
      <c r="AD148" s="23"/>
      <c r="AE148" s="23"/>
    </row>
    <row r="149" spans="1:31" ht="12.75" customHeight="1">
      <c r="A149" s="23"/>
      <c r="B149" s="23"/>
      <c r="C149" s="52"/>
      <c r="D149" s="52"/>
      <c r="E149" s="52"/>
      <c r="F149" s="52"/>
      <c r="G149" s="52"/>
      <c r="H149" s="52"/>
      <c r="I149" s="9" t="s">
        <v>160</v>
      </c>
      <c r="J149" s="9"/>
      <c r="K149" s="9"/>
      <c r="L149" s="9"/>
      <c r="M149" s="8">
        <f>400000+120000</f>
        <v>520000</v>
      </c>
      <c r="N149" s="8"/>
      <c r="O149" s="8"/>
      <c r="P149" s="23"/>
      <c r="Q149" s="23"/>
      <c r="R149" s="23"/>
      <c r="S149" s="52"/>
      <c r="T149" s="52"/>
      <c r="U149" s="52"/>
      <c r="V149" s="23"/>
      <c r="W149" s="23"/>
      <c r="X149" s="23"/>
      <c r="Y149" s="23"/>
      <c r="Z149" s="23"/>
      <c r="AA149" s="23"/>
      <c r="AB149" s="23"/>
      <c r="AC149" s="51"/>
      <c r="AD149" s="23"/>
      <c r="AE149" s="23"/>
    </row>
    <row r="150" spans="1:31" ht="12.75" customHeight="1">
      <c r="A150" s="23"/>
      <c r="B150" s="23"/>
      <c r="C150" s="52"/>
      <c r="D150" s="53" t="s">
        <v>161</v>
      </c>
      <c r="E150" s="54">
        <v>1750905</v>
      </c>
      <c r="F150" s="55" t="s">
        <v>162</v>
      </c>
      <c r="G150" s="56">
        <v>249095</v>
      </c>
      <c r="H150" s="52"/>
      <c r="I150" s="57" t="s">
        <v>163</v>
      </c>
      <c r="J150" s="58">
        <v>0.18</v>
      </c>
      <c r="K150" s="58"/>
      <c r="L150" s="59" t="s">
        <v>164</v>
      </c>
      <c r="M150" s="60">
        <f>2.7/12</f>
        <v>0.22500000000000001</v>
      </c>
      <c r="N150" s="61" t="s">
        <v>165</v>
      </c>
      <c r="O150" s="62">
        <f>40*4.2*((244-2)/260)</f>
        <v>156.36923076923077</v>
      </c>
      <c r="P150" s="52"/>
      <c r="Q150" s="57" t="s">
        <v>166</v>
      </c>
      <c r="R150" s="63">
        <v>0.4</v>
      </c>
      <c r="S150" s="52"/>
      <c r="T150" s="64">
        <v>8</v>
      </c>
      <c r="U150" s="65" t="s">
        <v>167</v>
      </c>
      <c r="V150" s="66"/>
      <c r="W150" s="23"/>
      <c r="X150" s="23"/>
      <c r="Y150" s="23"/>
      <c r="Z150" s="23"/>
      <c r="AA150" s="23"/>
      <c r="AB150" s="23"/>
      <c r="AC150" s="51"/>
      <c r="AD150" s="23"/>
      <c r="AE150" s="23"/>
    </row>
    <row r="151" spans="1:31" ht="12.75" customHeight="1">
      <c r="A151" s="23"/>
      <c r="B151" s="23"/>
      <c r="C151" s="7" t="s">
        <v>168</v>
      </c>
      <c r="D151" s="7"/>
      <c r="E151" s="7"/>
      <c r="F151" s="7" t="s">
        <v>169</v>
      </c>
      <c r="G151" s="7"/>
      <c r="H151" s="7"/>
      <c r="I151" s="7" t="s">
        <v>170</v>
      </c>
      <c r="J151" s="7"/>
      <c r="K151" s="7"/>
      <c r="L151" s="7"/>
      <c r="M151" s="7" t="s">
        <v>171</v>
      </c>
      <c r="N151" s="7"/>
      <c r="O151" s="7"/>
      <c r="P151" s="7" t="s">
        <v>172</v>
      </c>
      <c r="Q151" s="7"/>
      <c r="R151" s="7"/>
      <c r="S151" s="52"/>
      <c r="T151" s="52"/>
      <c r="U151" s="67" t="s">
        <v>165</v>
      </c>
      <c r="V151" s="7" t="s">
        <v>173</v>
      </c>
      <c r="W151" s="7"/>
      <c r="X151" s="7"/>
      <c r="Y151" s="23"/>
      <c r="Z151" s="23"/>
      <c r="AA151" s="23"/>
      <c r="AB151" s="23"/>
      <c r="AC151" s="51"/>
      <c r="AD151" s="23"/>
      <c r="AE151" s="23"/>
    </row>
    <row r="152" spans="1:31" ht="12.75" customHeight="1">
      <c r="A152" s="37" t="s">
        <v>174</v>
      </c>
      <c r="B152" s="67" t="str">
        <f>B1</f>
        <v>DB</v>
      </c>
      <c r="C152" s="6">
        <v>6480000</v>
      </c>
      <c r="D152" s="6"/>
      <c r="E152" s="6"/>
      <c r="F152" s="6">
        <v>1080000</v>
      </c>
      <c r="G152" s="6"/>
      <c r="H152" s="6"/>
      <c r="I152" s="6">
        <v>0</v>
      </c>
      <c r="J152" s="6"/>
      <c r="K152" s="6"/>
      <c r="L152" s="6"/>
      <c r="M152" s="6">
        <f t="shared" ref="M152:M161" si="16">C152*(1+$J$150+$M$150)+F152+I152+$M$149+IF(($E$150*2)&gt;=C152,$G$150,0)</f>
        <v>10704400</v>
      </c>
      <c r="N152" s="6"/>
      <c r="O152" s="6"/>
      <c r="P152" s="5">
        <f t="shared" ref="P152:P161" si="17">M152/$O$150*(1+$R$150)</f>
        <v>95838.292011019294</v>
      </c>
      <c r="Q152" s="5"/>
      <c r="R152" s="5"/>
      <c r="S152" s="52"/>
      <c r="T152" s="52"/>
      <c r="U152" s="23">
        <f t="shared" ref="U152:U161" si="18">HLOOKUP(B152,$B$1:$K$148,$A$148,0)*$T$150</f>
        <v>120</v>
      </c>
      <c r="W152" s="68">
        <f t="shared" ref="W152:W161" si="19">P152*U152</f>
        <v>11500595.041322315</v>
      </c>
      <c r="Y152" s="23"/>
      <c r="Z152" s="23"/>
      <c r="AA152" s="23"/>
      <c r="AB152" s="23"/>
      <c r="AC152" s="51"/>
      <c r="AD152" s="23"/>
      <c r="AE152" s="23"/>
    </row>
    <row r="153" spans="1:31" ht="12.75" customHeight="1">
      <c r="A153" s="37" t="s">
        <v>175</v>
      </c>
      <c r="B153" s="67" t="str">
        <f>C1</f>
        <v>UX</v>
      </c>
      <c r="C153" s="6">
        <v>3240000</v>
      </c>
      <c r="D153" s="6"/>
      <c r="E153" s="6"/>
      <c r="F153" s="6">
        <v>540000</v>
      </c>
      <c r="G153" s="6"/>
      <c r="H153" s="6"/>
      <c r="I153" s="6">
        <v>0</v>
      </c>
      <c r="J153" s="6"/>
      <c r="K153" s="6"/>
      <c r="L153" s="6"/>
      <c r="M153" s="6">
        <f t="shared" si="16"/>
        <v>5861295</v>
      </c>
      <c r="N153" s="6"/>
      <c r="O153" s="6"/>
      <c r="P153" s="5">
        <f t="shared" si="17"/>
        <v>52477.159090909088</v>
      </c>
      <c r="Q153" s="5"/>
      <c r="R153" s="5"/>
      <c r="S153" s="52"/>
      <c r="T153" s="52"/>
      <c r="U153" s="23">
        <f t="shared" si="18"/>
        <v>104</v>
      </c>
      <c r="W153" s="68">
        <f t="shared" si="19"/>
        <v>5457624.5454545449</v>
      </c>
      <c r="Y153" s="23"/>
      <c r="Z153" s="23"/>
      <c r="AA153" s="23"/>
      <c r="AB153" s="23"/>
      <c r="AC153" s="51"/>
      <c r="AD153" s="23"/>
      <c r="AE153" s="23"/>
    </row>
    <row r="154" spans="1:31" ht="12.75" customHeight="1">
      <c r="A154" s="37" t="s">
        <v>176</v>
      </c>
      <c r="B154" s="67" t="str">
        <f>D1</f>
        <v>FM</v>
      </c>
      <c r="C154" s="6">
        <v>3240000</v>
      </c>
      <c r="D154" s="6"/>
      <c r="E154" s="6"/>
      <c r="F154" s="6">
        <v>540000</v>
      </c>
      <c r="G154" s="6"/>
      <c r="H154" s="6"/>
      <c r="I154" s="6">
        <v>0</v>
      </c>
      <c r="J154" s="6"/>
      <c r="K154" s="6"/>
      <c r="L154" s="6"/>
      <c r="M154" s="6">
        <f t="shared" si="16"/>
        <v>5861295</v>
      </c>
      <c r="N154" s="6"/>
      <c r="O154" s="6"/>
      <c r="P154" s="5">
        <f t="shared" si="17"/>
        <v>52477.159090909088</v>
      </c>
      <c r="Q154" s="5"/>
      <c r="R154" s="5"/>
      <c r="S154" s="52"/>
      <c r="T154" s="52"/>
      <c r="U154" s="23">
        <f t="shared" si="18"/>
        <v>416</v>
      </c>
      <c r="W154" s="68">
        <f t="shared" si="19"/>
        <v>21830498.18181818</v>
      </c>
      <c r="Y154" s="23"/>
      <c r="Z154" s="23"/>
      <c r="AA154" s="23"/>
      <c r="AB154" s="23"/>
      <c r="AC154" s="51"/>
      <c r="AD154" s="23"/>
      <c r="AE154" s="23"/>
    </row>
    <row r="155" spans="1:31" ht="12.75" customHeight="1">
      <c r="A155" s="37" t="s">
        <v>177</v>
      </c>
      <c r="B155" s="67" t="str">
        <f>E1</f>
        <v>BS</v>
      </c>
      <c r="C155" s="6">
        <v>4320000</v>
      </c>
      <c r="D155" s="6"/>
      <c r="E155" s="6"/>
      <c r="F155" s="6">
        <v>1620000</v>
      </c>
      <c r="G155" s="6"/>
      <c r="H155" s="6"/>
      <c r="I155" s="6">
        <v>0</v>
      </c>
      <c r="J155" s="6"/>
      <c r="K155" s="6"/>
      <c r="L155" s="6"/>
      <c r="M155" s="6">
        <f t="shared" si="16"/>
        <v>8209600</v>
      </c>
      <c r="N155" s="6"/>
      <c r="O155" s="6"/>
      <c r="P155" s="5">
        <f t="shared" si="17"/>
        <v>73501.928374655647</v>
      </c>
      <c r="Q155" s="5"/>
      <c r="R155" s="5"/>
      <c r="S155" s="52"/>
      <c r="T155" s="52"/>
      <c r="U155" s="23">
        <f t="shared" si="18"/>
        <v>756</v>
      </c>
      <c r="W155" s="68">
        <f t="shared" si="19"/>
        <v>55567457.851239666</v>
      </c>
      <c r="Y155" s="23"/>
      <c r="Z155" s="23"/>
      <c r="AA155" s="23"/>
      <c r="AB155" s="23"/>
      <c r="AC155" s="51"/>
      <c r="AD155" s="23"/>
      <c r="AE155" s="23"/>
    </row>
    <row r="156" spans="1:31" ht="12.75" customHeight="1">
      <c r="A156" s="37" t="s">
        <v>178</v>
      </c>
      <c r="B156" s="67" t="str">
        <f>F1</f>
        <v>BM</v>
      </c>
      <c r="C156" s="6">
        <v>3780000</v>
      </c>
      <c r="D156" s="6"/>
      <c r="E156" s="6"/>
      <c r="F156" s="6">
        <v>1080000</v>
      </c>
      <c r="G156" s="6"/>
      <c r="H156" s="6"/>
      <c r="I156" s="6">
        <v>0</v>
      </c>
      <c r="J156" s="6"/>
      <c r="K156" s="6"/>
      <c r="L156" s="6"/>
      <c r="M156" s="6">
        <f t="shared" si="16"/>
        <v>6910900</v>
      </c>
      <c r="N156" s="6"/>
      <c r="O156" s="6"/>
      <c r="P156" s="5">
        <f t="shared" si="17"/>
        <v>61874.449035812671</v>
      </c>
      <c r="Q156" s="5"/>
      <c r="R156" s="5"/>
      <c r="S156" s="52"/>
      <c r="T156" s="52"/>
      <c r="U156" s="23">
        <f t="shared" si="18"/>
        <v>0</v>
      </c>
      <c r="W156" s="68">
        <f t="shared" si="19"/>
        <v>0</v>
      </c>
      <c r="Y156" s="23"/>
      <c r="Z156" s="23"/>
      <c r="AA156" s="23"/>
      <c r="AB156" s="23"/>
      <c r="AC156" s="51"/>
      <c r="AD156" s="23"/>
      <c r="AE156" s="23"/>
    </row>
    <row r="157" spans="1:31" ht="12.75" customHeight="1">
      <c r="A157" s="37" t="s">
        <v>179</v>
      </c>
      <c r="B157" s="67" t="str">
        <f>G1</f>
        <v>QA</v>
      </c>
      <c r="C157" s="6">
        <v>2700000</v>
      </c>
      <c r="D157" s="6"/>
      <c r="E157" s="6"/>
      <c r="F157" s="6">
        <v>1080000</v>
      </c>
      <c r="G157" s="6"/>
      <c r="H157" s="6"/>
      <c r="I157" s="6">
        <v>54000</v>
      </c>
      <c r="J157" s="6"/>
      <c r="K157" s="6"/>
      <c r="L157" s="6"/>
      <c r="M157" s="6">
        <f t="shared" si="16"/>
        <v>5696595</v>
      </c>
      <c r="N157" s="6"/>
      <c r="O157" s="6"/>
      <c r="P157" s="5">
        <f t="shared" si="17"/>
        <v>51002.572314049583</v>
      </c>
      <c r="Q157" s="5"/>
      <c r="R157" s="5"/>
      <c r="S157" s="52"/>
      <c r="T157" s="52"/>
      <c r="U157" s="23">
        <f t="shared" si="18"/>
        <v>312</v>
      </c>
      <c r="W157" s="68">
        <f t="shared" si="19"/>
        <v>15912802.56198347</v>
      </c>
      <c r="Y157" s="23"/>
      <c r="Z157" s="23"/>
      <c r="AA157" s="23"/>
      <c r="AB157" s="23"/>
      <c r="AC157" s="51"/>
      <c r="AD157" s="23"/>
      <c r="AE157" s="23"/>
    </row>
    <row r="158" spans="1:31" ht="12.75" customHeight="1">
      <c r="A158" s="37" t="s">
        <v>180</v>
      </c>
      <c r="B158" s="67" t="str">
        <f>H1</f>
        <v>IM</v>
      </c>
      <c r="C158" s="6">
        <v>2700000</v>
      </c>
      <c r="D158" s="6"/>
      <c r="E158" s="6"/>
      <c r="F158" s="6">
        <v>1080000</v>
      </c>
      <c r="G158" s="6"/>
      <c r="H158" s="6"/>
      <c r="I158" s="6">
        <v>0</v>
      </c>
      <c r="J158" s="6"/>
      <c r="K158" s="6"/>
      <c r="L158" s="6"/>
      <c r="M158" s="6">
        <f t="shared" si="16"/>
        <v>5642595</v>
      </c>
      <c r="N158" s="6"/>
      <c r="O158" s="6"/>
      <c r="P158" s="5">
        <f t="shared" si="17"/>
        <v>50519.10123966942</v>
      </c>
      <c r="Q158" s="5"/>
      <c r="R158" s="5"/>
      <c r="S158" s="52"/>
      <c r="T158" s="52"/>
      <c r="U158" s="23">
        <f t="shared" si="18"/>
        <v>56</v>
      </c>
      <c r="W158" s="68">
        <f t="shared" si="19"/>
        <v>2829069.6694214875</v>
      </c>
      <c r="Y158" s="23"/>
      <c r="Z158" s="23"/>
      <c r="AA158" s="23"/>
      <c r="AB158" s="23"/>
      <c r="AC158" s="51"/>
      <c r="AD158" s="23"/>
      <c r="AE158" s="23"/>
    </row>
    <row r="159" spans="1:31" ht="12.75" customHeight="1">
      <c r="A159" s="37" t="s">
        <v>181</v>
      </c>
      <c r="B159" s="67" t="str">
        <f>I1</f>
        <v>MS</v>
      </c>
      <c r="C159" s="6">
        <v>8100000</v>
      </c>
      <c r="D159" s="6"/>
      <c r="E159" s="6"/>
      <c r="F159" s="6">
        <v>2160000</v>
      </c>
      <c r="G159" s="6"/>
      <c r="H159" s="6"/>
      <c r="I159" s="6">
        <v>132000</v>
      </c>
      <c r="J159" s="6"/>
      <c r="K159" s="6"/>
      <c r="L159" s="6"/>
      <c r="M159" s="6">
        <f t="shared" si="16"/>
        <v>14192500</v>
      </c>
      <c r="N159" s="6"/>
      <c r="O159" s="6"/>
      <c r="P159" s="5">
        <f t="shared" si="17"/>
        <v>127067.83746556473</v>
      </c>
      <c r="Q159" s="5"/>
      <c r="R159" s="5"/>
      <c r="S159" s="52"/>
      <c r="T159" s="52"/>
      <c r="U159" s="23">
        <f t="shared" si="18"/>
        <v>0</v>
      </c>
      <c r="W159" s="68">
        <f t="shared" si="19"/>
        <v>0</v>
      </c>
      <c r="Y159" s="23"/>
      <c r="Z159" s="23"/>
      <c r="AA159" s="23"/>
      <c r="AB159" s="23"/>
      <c r="AC159" s="51"/>
      <c r="AD159" s="23"/>
      <c r="AE159" s="23"/>
    </row>
    <row r="160" spans="1:31" ht="12.75" customHeight="1">
      <c r="A160" s="37" t="s">
        <v>182</v>
      </c>
      <c r="B160" s="67" t="str">
        <f>J1</f>
        <v>MM</v>
      </c>
      <c r="C160" s="6">
        <v>3240000</v>
      </c>
      <c r="D160" s="6"/>
      <c r="E160" s="6"/>
      <c r="F160" s="6">
        <v>1080000</v>
      </c>
      <c r="G160" s="6"/>
      <c r="H160" s="6"/>
      <c r="I160" s="6">
        <v>132000</v>
      </c>
      <c r="J160" s="6"/>
      <c r="K160" s="6"/>
      <c r="L160" s="6"/>
      <c r="M160" s="6">
        <f t="shared" si="16"/>
        <v>6533295</v>
      </c>
      <c r="N160" s="6"/>
      <c r="O160" s="6"/>
      <c r="P160" s="5">
        <f t="shared" si="17"/>
        <v>58493.688016528926</v>
      </c>
      <c r="Q160" s="5"/>
      <c r="R160" s="5"/>
      <c r="S160" s="52"/>
      <c r="T160" s="52"/>
      <c r="U160" s="23">
        <f t="shared" si="18"/>
        <v>0</v>
      </c>
      <c r="W160" s="68">
        <f t="shared" si="19"/>
        <v>0</v>
      </c>
      <c r="Y160" s="23"/>
      <c r="Z160" s="23"/>
      <c r="AA160" s="23"/>
      <c r="AB160" s="23"/>
      <c r="AC160" s="51"/>
      <c r="AD160" s="23"/>
      <c r="AE160" s="23"/>
    </row>
    <row r="161" spans="1:31" ht="12.75" customHeight="1">
      <c r="A161" s="37" t="s">
        <v>183</v>
      </c>
      <c r="B161" s="67" t="s">
        <v>10</v>
      </c>
      <c r="C161" s="6">
        <v>3240000</v>
      </c>
      <c r="D161" s="6"/>
      <c r="E161" s="6"/>
      <c r="F161" s="6">
        <v>1080000</v>
      </c>
      <c r="G161" s="6"/>
      <c r="H161" s="6"/>
      <c r="I161" s="6"/>
      <c r="J161" s="6"/>
      <c r="K161" s="6"/>
      <c r="L161" s="6"/>
      <c r="M161" s="6">
        <f t="shared" si="16"/>
        <v>6401295</v>
      </c>
      <c r="N161" s="6"/>
      <c r="O161" s="6"/>
      <c r="P161" s="5">
        <f t="shared" si="17"/>
        <v>57311.869834710742</v>
      </c>
      <c r="Q161" s="5"/>
      <c r="R161" s="5"/>
      <c r="S161" s="52"/>
      <c r="T161" s="52"/>
      <c r="U161" s="23">
        <f t="shared" si="18"/>
        <v>4</v>
      </c>
      <c r="W161" s="68">
        <f t="shared" si="19"/>
        <v>229247.47933884297</v>
      </c>
      <c r="Y161" s="23"/>
      <c r="Z161" s="23"/>
      <c r="AA161" s="23"/>
      <c r="AB161" s="23"/>
      <c r="AC161" s="51"/>
      <c r="AD161" s="23"/>
      <c r="AE161" s="23"/>
    </row>
    <row r="162" spans="1:31" ht="12.75" customHeight="1">
      <c r="A162" s="37"/>
      <c r="B162" s="67"/>
      <c r="C162" s="52"/>
      <c r="D162" s="52"/>
      <c r="E162" s="52"/>
      <c r="F162" s="52"/>
      <c r="G162" s="52"/>
      <c r="H162" s="52"/>
      <c r="I162" s="23"/>
      <c r="J162" s="23"/>
      <c r="K162" s="23"/>
      <c r="L162" s="23"/>
      <c r="M162" s="23"/>
      <c r="N162" s="23"/>
      <c r="O162" s="23"/>
      <c r="P162" s="4">
        <f>SUM(P152:P161)</f>
        <v>680564.0564738292</v>
      </c>
      <c r="Q162" s="4"/>
      <c r="R162" s="4"/>
      <c r="S162" s="52"/>
      <c r="T162" s="52"/>
      <c r="U162" s="52"/>
      <c r="W162" s="69">
        <f>SUM(W152:W161)</f>
        <v>113327295.33057851</v>
      </c>
      <c r="Y162" s="23"/>
      <c r="Z162" s="23"/>
      <c r="AA162" s="23"/>
      <c r="AB162" s="23"/>
      <c r="AC162" s="51"/>
      <c r="AD162" s="23"/>
      <c r="AE162" s="23"/>
    </row>
    <row r="163" spans="1:31" ht="12.75" customHeight="1">
      <c r="A163" s="23"/>
      <c r="B163" s="23"/>
      <c r="C163" s="70"/>
      <c r="D163" s="70"/>
      <c r="E163" s="23"/>
      <c r="F163" s="23"/>
      <c r="G163" s="23"/>
      <c r="H163" s="52"/>
      <c r="I163" s="23"/>
      <c r="J163" s="23"/>
      <c r="K163" s="23"/>
      <c r="L163" s="52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51"/>
      <c r="AD163" s="23"/>
      <c r="AE163" s="23"/>
    </row>
    <row r="164" spans="1:31" ht="12.75" customHeight="1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51"/>
      <c r="AD164" s="23"/>
      <c r="AE164" s="23"/>
    </row>
    <row r="165" spans="1:31" ht="12.75" customHeight="1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2"/>
      <c r="AD165" s="71"/>
      <c r="AE165" s="71"/>
    </row>
    <row r="166" spans="1:31" ht="12.75" customHeight="1">
      <c r="A166" s="71"/>
      <c r="B166" s="71"/>
      <c r="C166" s="3"/>
      <c r="D166" s="3"/>
      <c r="E166" s="3"/>
      <c r="F166" s="3"/>
      <c r="G166" s="2"/>
      <c r="H166" s="2"/>
      <c r="I166" s="2"/>
      <c r="J166" s="2"/>
      <c r="K166" s="73"/>
      <c r="L166" s="1"/>
      <c r="M166" s="1"/>
      <c r="N166" s="1"/>
      <c r="O166" s="1"/>
      <c r="P166" s="2"/>
      <c r="Q166" s="2"/>
      <c r="R166" s="2"/>
      <c r="S166" s="2"/>
      <c r="T166" s="1"/>
      <c r="U166" s="1"/>
      <c r="V166" s="1"/>
      <c r="W166" s="1"/>
      <c r="X166" s="2"/>
      <c r="Y166" s="2"/>
      <c r="Z166" s="2"/>
      <c r="AA166" s="1"/>
      <c r="AB166" s="1"/>
      <c r="AC166" s="1"/>
      <c r="AD166" s="74"/>
      <c r="AE166" s="71"/>
    </row>
    <row r="167" spans="1:31" ht="12.75" customHeight="1">
      <c r="A167" s="75" t="e">
        <f t="array" aca="1" ref="A167:A171" ca="1">unique(L1:L147)</f>
        <v>#NAME?</v>
      </c>
      <c r="B167" s="76"/>
      <c r="C167" s="77"/>
      <c r="D167" s="77"/>
      <c r="E167" s="77"/>
      <c r="F167" s="78"/>
      <c r="G167" s="79" t="s">
        <v>184</v>
      </c>
      <c r="H167" s="79" t="s">
        <v>185</v>
      </c>
      <c r="I167" s="79" t="s">
        <v>186</v>
      </c>
      <c r="J167" s="79" t="s">
        <v>187</v>
      </c>
      <c r="K167" s="79" t="s">
        <v>188</v>
      </c>
      <c r="L167" s="80" t="s">
        <v>189</v>
      </c>
      <c r="M167" s="80" t="s">
        <v>190</v>
      </c>
      <c r="N167" s="80" t="s">
        <v>191</v>
      </c>
      <c r="O167" s="80" t="s">
        <v>192</v>
      </c>
      <c r="P167" s="79" t="s">
        <v>193</v>
      </c>
      <c r="Q167" s="79"/>
      <c r="R167" s="79"/>
      <c r="S167" s="79"/>
      <c r="T167" s="80"/>
      <c r="U167" s="80"/>
      <c r="V167" s="80"/>
      <c r="W167" s="80"/>
      <c r="X167" s="79"/>
      <c r="Y167" s="79"/>
      <c r="Z167" s="79"/>
      <c r="AA167" s="80"/>
      <c r="AB167" s="80"/>
      <c r="AC167" s="81"/>
      <c r="AD167" s="80"/>
      <c r="AE167" s="71"/>
    </row>
    <row r="168" spans="1:31" ht="12.75">
      <c r="A168" s="82" t="e">
        <f ca="1"/>
        <v>#NAME?</v>
      </c>
      <c r="B168" s="83"/>
      <c r="C168" s="83"/>
      <c r="D168" s="83" t="s">
        <v>194</v>
      </c>
      <c r="E168" s="83"/>
      <c r="F168" s="84"/>
      <c r="G168" s="85"/>
      <c r="H168" s="85"/>
      <c r="I168" s="85"/>
      <c r="J168" s="85"/>
      <c r="K168" s="85"/>
      <c r="L168" s="86"/>
      <c r="M168" s="86"/>
      <c r="N168" s="86"/>
      <c r="O168" s="86"/>
      <c r="P168" s="85"/>
      <c r="Q168" s="85"/>
      <c r="R168" s="85"/>
      <c r="S168" s="85"/>
      <c r="T168" s="86"/>
      <c r="U168" s="86"/>
      <c r="V168" s="86"/>
      <c r="W168" s="86"/>
      <c r="X168" s="85"/>
      <c r="Y168" s="85"/>
      <c r="Z168" s="85"/>
      <c r="AA168" s="86"/>
      <c r="AB168" s="86"/>
      <c r="AC168" s="87"/>
      <c r="AD168" s="86"/>
      <c r="AE168" s="71"/>
    </row>
    <row r="169" spans="1:31" ht="12.75">
      <c r="A169" s="82" t="e">
        <f ca="1"/>
        <v>#NAME?</v>
      </c>
      <c r="B169" s="83"/>
      <c r="C169" s="83"/>
      <c r="D169" s="83"/>
      <c r="E169" s="83"/>
      <c r="F169" s="84"/>
      <c r="G169" s="85"/>
      <c r="H169" s="85"/>
      <c r="I169" s="85"/>
      <c r="J169" s="85"/>
      <c r="K169" s="85"/>
      <c r="L169" s="86"/>
      <c r="M169" s="86"/>
      <c r="N169" s="86"/>
      <c r="O169" s="86"/>
      <c r="P169" s="85"/>
      <c r="Q169" s="85"/>
      <c r="R169" s="85"/>
      <c r="S169" s="85"/>
      <c r="T169" s="86"/>
      <c r="U169" s="86"/>
      <c r="V169" s="86"/>
      <c r="W169" s="86"/>
      <c r="X169" s="85"/>
      <c r="Y169" s="85"/>
      <c r="Z169" s="85"/>
      <c r="AA169" s="86"/>
      <c r="AB169" s="86"/>
      <c r="AC169" s="87"/>
      <c r="AD169" s="86"/>
      <c r="AE169" s="71"/>
    </row>
    <row r="170" spans="1:31" ht="12.75">
      <c r="A170" s="82" t="e">
        <f ca="1"/>
        <v>#NAME?</v>
      </c>
      <c r="B170" s="83"/>
      <c r="C170" s="83"/>
      <c r="D170" s="83"/>
      <c r="E170" s="83"/>
      <c r="F170" s="84"/>
      <c r="G170" s="85"/>
      <c r="H170" s="85"/>
      <c r="I170" s="85"/>
      <c r="J170" s="85"/>
      <c r="K170" s="85"/>
      <c r="L170" s="86"/>
      <c r="M170" s="86"/>
      <c r="N170" s="86"/>
      <c r="O170" s="86"/>
      <c r="P170" s="85"/>
      <c r="Q170" s="85"/>
      <c r="R170" s="85"/>
      <c r="S170" s="85"/>
      <c r="T170" s="86"/>
      <c r="U170" s="86"/>
      <c r="V170" s="86"/>
      <c r="W170" s="86"/>
      <c r="X170" s="85"/>
      <c r="Y170" s="85"/>
      <c r="Z170" s="85"/>
      <c r="AA170" s="86"/>
      <c r="AB170" s="86"/>
      <c r="AC170" s="87"/>
      <c r="AD170" s="86"/>
      <c r="AE170" s="71"/>
    </row>
    <row r="171" spans="1:31" ht="12.75">
      <c r="A171" s="82" t="e">
        <f ca="1"/>
        <v>#NAME?</v>
      </c>
      <c r="B171" s="83"/>
      <c r="C171" s="83"/>
      <c r="D171" s="83"/>
      <c r="E171" s="83"/>
      <c r="F171" s="84"/>
      <c r="G171" s="85"/>
      <c r="H171" s="85"/>
      <c r="I171" s="85"/>
      <c r="J171" s="85"/>
      <c r="K171" s="85"/>
      <c r="L171" s="86"/>
      <c r="M171" s="86"/>
      <c r="N171" s="86"/>
      <c r="O171" s="86"/>
      <c r="P171" s="85"/>
      <c r="Q171" s="85"/>
      <c r="R171" s="85"/>
      <c r="S171" s="85"/>
      <c r="T171" s="86"/>
      <c r="U171" s="86"/>
      <c r="V171" s="86"/>
      <c r="W171" s="86"/>
      <c r="X171" s="85"/>
      <c r="Y171" s="85"/>
      <c r="Z171" s="85"/>
      <c r="AA171" s="86"/>
      <c r="AB171" s="86"/>
      <c r="AC171" s="87"/>
      <c r="AD171" s="86"/>
      <c r="AE171" s="71"/>
    </row>
    <row r="172" spans="1:31" ht="12.75">
      <c r="A172" s="82"/>
      <c r="B172" s="83"/>
      <c r="C172" s="83"/>
      <c r="D172" s="83"/>
      <c r="E172" s="83"/>
      <c r="F172" s="84"/>
      <c r="G172" s="85"/>
      <c r="H172" s="85"/>
      <c r="I172" s="85"/>
      <c r="J172" s="85"/>
      <c r="K172" s="85"/>
      <c r="L172" s="86"/>
      <c r="M172" s="86"/>
      <c r="N172" s="86"/>
      <c r="O172" s="86"/>
      <c r="P172" s="85"/>
      <c r="Q172" s="85"/>
      <c r="R172" s="85"/>
      <c r="S172" s="85"/>
      <c r="T172" s="86"/>
      <c r="U172" s="86"/>
      <c r="V172" s="86"/>
      <c r="W172" s="86"/>
      <c r="X172" s="85"/>
      <c r="Y172" s="85"/>
      <c r="Z172" s="85"/>
      <c r="AA172" s="86"/>
      <c r="AB172" s="86"/>
      <c r="AC172" s="87"/>
      <c r="AD172" s="86"/>
      <c r="AE172" s="71"/>
    </row>
    <row r="173" spans="1:31" ht="12.75">
      <c r="A173" s="82"/>
      <c r="B173" s="83"/>
      <c r="C173" s="83"/>
      <c r="D173" s="83"/>
      <c r="E173" s="83"/>
      <c r="F173" s="84"/>
      <c r="G173" s="85"/>
      <c r="H173" s="85"/>
      <c r="I173" s="85"/>
      <c r="J173" s="85"/>
      <c r="K173" s="85"/>
      <c r="L173" s="86"/>
      <c r="M173" s="86"/>
      <c r="N173" s="86"/>
      <c r="O173" s="86"/>
      <c r="P173" s="85"/>
      <c r="Q173" s="85"/>
      <c r="R173" s="85"/>
      <c r="S173" s="85"/>
      <c r="T173" s="86"/>
      <c r="U173" s="86"/>
      <c r="V173" s="86"/>
      <c r="W173" s="86"/>
      <c r="X173" s="85"/>
      <c r="Y173" s="85"/>
      <c r="Z173" s="85"/>
      <c r="AA173" s="86"/>
      <c r="AB173" s="86"/>
      <c r="AC173" s="87"/>
      <c r="AD173" s="86"/>
      <c r="AE173" s="71"/>
    </row>
    <row r="174" spans="1:31" ht="12.75">
      <c r="A174" s="82"/>
      <c r="B174" s="83"/>
      <c r="C174" s="83"/>
      <c r="D174" s="83"/>
      <c r="E174" s="83"/>
      <c r="F174" s="84"/>
      <c r="G174" s="85"/>
      <c r="H174" s="85"/>
      <c r="I174" s="85"/>
      <c r="J174" s="85"/>
      <c r="K174" s="85"/>
      <c r="L174" s="86"/>
      <c r="M174" s="86"/>
      <c r="N174" s="86"/>
      <c r="O174" s="86"/>
      <c r="P174" s="85"/>
      <c r="Q174" s="85"/>
      <c r="R174" s="85"/>
      <c r="S174" s="85"/>
      <c r="T174" s="86"/>
      <c r="U174" s="86"/>
      <c r="V174" s="86"/>
      <c r="W174" s="86"/>
      <c r="X174" s="85"/>
      <c r="Y174" s="85"/>
      <c r="Z174" s="85"/>
      <c r="AA174" s="86"/>
      <c r="AB174" s="86"/>
      <c r="AC174" s="87"/>
      <c r="AD174" s="86"/>
      <c r="AE174" s="71"/>
    </row>
    <row r="175" spans="1:31" ht="12.75">
      <c r="A175" s="82"/>
      <c r="B175" s="83"/>
      <c r="C175" s="83"/>
      <c r="D175" s="83"/>
      <c r="E175" s="83"/>
      <c r="F175" s="84"/>
      <c r="G175" s="85"/>
      <c r="H175" s="85"/>
      <c r="I175" s="85"/>
      <c r="J175" s="85"/>
      <c r="K175" s="85"/>
      <c r="L175" s="86"/>
      <c r="M175" s="86"/>
      <c r="N175" s="86"/>
      <c r="O175" s="86"/>
      <c r="P175" s="85"/>
      <c r="Q175" s="85"/>
      <c r="R175" s="85"/>
      <c r="S175" s="85"/>
      <c r="T175" s="86"/>
      <c r="U175" s="86"/>
      <c r="V175" s="86"/>
      <c r="W175" s="86"/>
      <c r="X175" s="85"/>
      <c r="Y175" s="85"/>
      <c r="Z175" s="85"/>
      <c r="AA175" s="86"/>
      <c r="AB175" s="86"/>
      <c r="AC175" s="87"/>
      <c r="AD175" s="86"/>
      <c r="AE175" s="71"/>
    </row>
    <row r="176" spans="1:31" ht="12.75">
      <c r="A176" s="82"/>
      <c r="B176" s="83"/>
      <c r="C176" s="83"/>
      <c r="D176" s="83"/>
      <c r="E176" s="83"/>
      <c r="F176" s="84"/>
      <c r="G176" s="85"/>
      <c r="H176" s="85"/>
      <c r="I176" s="85"/>
      <c r="J176" s="85"/>
      <c r="K176" s="85"/>
      <c r="L176" s="86"/>
      <c r="M176" s="86"/>
      <c r="N176" s="86"/>
      <c r="O176" s="86"/>
      <c r="P176" s="85"/>
      <c r="Q176" s="85"/>
      <c r="R176" s="85"/>
      <c r="S176" s="85"/>
      <c r="T176" s="86"/>
      <c r="U176" s="86"/>
      <c r="V176" s="86"/>
      <c r="W176" s="86"/>
      <c r="X176" s="85"/>
      <c r="Y176" s="85"/>
      <c r="Z176" s="85"/>
      <c r="AA176" s="86"/>
      <c r="AB176" s="86"/>
      <c r="AC176" s="87"/>
      <c r="AD176" s="86"/>
      <c r="AE176" s="71"/>
    </row>
    <row r="177" spans="1:31" ht="12.75">
      <c r="A177" s="82"/>
      <c r="B177" s="83"/>
      <c r="C177" s="83"/>
      <c r="D177" s="83"/>
      <c r="E177" s="83"/>
      <c r="F177" s="84"/>
      <c r="G177" s="85"/>
      <c r="H177" s="85"/>
      <c r="I177" s="85"/>
      <c r="J177" s="85"/>
      <c r="K177" s="85"/>
      <c r="L177" s="86"/>
      <c r="M177" s="86"/>
      <c r="N177" s="86"/>
      <c r="O177" s="86"/>
      <c r="P177" s="85"/>
      <c r="Q177" s="85"/>
      <c r="R177" s="85"/>
      <c r="S177" s="85"/>
      <c r="T177" s="86"/>
      <c r="U177" s="86"/>
      <c r="V177" s="86"/>
      <c r="W177" s="86"/>
      <c r="X177" s="85"/>
      <c r="Y177" s="85"/>
      <c r="Z177" s="85"/>
      <c r="AA177" s="86"/>
      <c r="AB177" s="86"/>
      <c r="AC177" s="87"/>
      <c r="AD177" s="86"/>
      <c r="AE177" s="71"/>
    </row>
    <row r="178" spans="1:31" ht="12.75">
      <c r="A178" s="82"/>
      <c r="B178" s="83"/>
      <c r="C178" s="83"/>
      <c r="D178" s="83"/>
      <c r="E178" s="83"/>
      <c r="F178" s="84"/>
      <c r="G178" s="85"/>
      <c r="H178" s="85"/>
      <c r="I178" s="85"/>
      <c r="J178" s="85"/>
      <c r="K178" s="85"/>
      <c r="L178" s="86"/>
      <c r="M178" s="86"/>
      <c r="N178" s="86"/>
      <c r="O178" s="86"/>
      <c r="P178" s="85"/>
      <c r="Q178" s="85"/>
      <c r="R178" s="85"/>
      <c r="S178" s="85"/>
      <c r="T178" s="86"/>
      <c r="U178" s="86"/>
      <c r="V178" s="86"/>
      <c r="W178" s="86"/>
      <c r="X178" s="85"/>
      <c r="Y178" s="85"/>
      <c r="Z178" s="85"/>
      <c r="AA178" s="86"/>
      <c r="AB178" s="86"/>
      <c r="AC178" s="87"/>
      <c r="AD178" s="86"/>
      <c r="AE178" s="71"/>
    </row>
    <row r="179" spans="1:31" ht="12.75">
      <c r="A179" s="82"/>
      <c r="B179" s="83"/>
      <c r="C179" s="83"/>
      <c r="D179" s="83"/>
      <c r="E179" s="83"/>
      <c r="F179" s="84"/>
      <c r="G179" s="85"/>
      <c r="H179" s="85"/>
      <c r="I179" s="85"/>
      <c r="J179" s="85"/>
      <c r="K179" s="85"/>
      <c r="L179" s="86"/>
      <c r="M179" s="86"/>
      <c r="N179" s="86"/>
      <c r="O179" s="86"/>
      <c r="P179" s="85"/>
      <c r="Q179" s="85"/>
      <c r="R179" s="85"/>
      <c r="S179" s="85"/>
      <c r="T179" s="86"/>
      <c r="U179" s="86"/>
      <c r="V179" s="86"/>
      <c r="W179" s="86"/>
      <c r="X179" s="85"/>
      <c r="Y179" s="85"/>
      <c r="Z179" s="85"/>
      <c r="AA179" s="86"/>
      <c r="AB179" s="86"/>
      <c r="AC179" s="87"/>
      <c r="AD179" s="86"/>
      <c r="AE179" s="71"/>
    </row>
    <row r="180" spans="1:31" ht="12.75">
      <c r="A180" s="82"/>
      <c r="B180" s="83"/>
      <c r="C180" s="83"/>
      <c r="D180" s="83"/>
      <c r="E180" s="83"/>
      <c r="F180" s="84"/>
      <c r="G180" s="85"/>
      <c r="H180" s="85"/>
      <c r="I180" s="85"/>
      <c r="J180" s="85"/>
      <c r="K180" s="85"/>
      <c r="L180" s="86"/>
      <c r="M180" s="86"/>
      <c r="N180" s="86"/>
      <c r="O180" s="86"/>
      <c r="P180" s="85"/>
      <c r="Q180" s="85"/>
      <c r="R180" s="85"/>
      <c r="S180" s="85"/>
      <c r="T180" s="86"/>
      <c r="U180" s="86"/>
      <c r="V180" s="86"/>
      <c r="W180" s="86"/>
      <c r="X180" s="85"/>
      <c r="Y180" s="85"/>
      <c r="Z180" s="85"/>
      <c r="AA180" s="86"/>
      <c r="AB180" s="86"/>
      <c r="AC180" s="87"/>
      <c r="AD180" s="86"/>
      <c r="AE180" s="71"/>
    </row>
    <row r="181" spans="1:31" ht="12.75">
      <c r="A181" s="82"/>
      <c r="B181" s="83"/>
      <c r="C181" s="83"/>
      <c r="D181" s="83"/>
      <c r="E181" s="83"/>
      <c r="F181" s="84"/>
      <c r="G181" s="85"/>
      <c r="H181" s="85"/>
      <c r="I181" s="85"/>
      <c r="J181" s="85"/>
      <c r="K181" s="85"/>
      <c r="L181" s="86"/>
      <c r="M181" s="86"/>
      <c r="N181" s="86"/>
      <c r="O181" s="86"/>
      <c r="P181" s="85"/>
      <c r="Q181" s="85"/>
      <c r="R181" s="85"/>
      <c r="S181" s="85"/>
      <c r="T181" s="86"/>
      <c r="U181" s="86"/>
      <c r="V181" s="86"/>
      <c r="W181" s="86"/>
      <c r="X181" s="85"/>
      <c r="Y181" s="85"/>
      <c r="Z181" s="85"/>
      <c r="AA181" s="86"/>
      <c r="AB181" s="86"/>
      <c r="AC181" s="87"/>
      <c r="AD181" s="86"/>
      <c r="AE181" s="71"/>
    </row>
    <row r="182" spans="1:31" ht="12.75">
      <c r="A182" s="82"/>
      <c r="B182" s="83"/>
      <c r="C182" s="83"/>
      <c r="D182" s="83"/>
      <c r="E182" s="83"/>
      <c r="F182" s="84"/>
      <c r="G182" s="85"/>
      <c r="H182" s="85"/>
      <c r="I182" s="85"/>
      <c r="J182" s="85"/>
      <c r="K182" s="85"/>
      <c r="L182" s="86"/>
      <c r="M182" s="86"/>
      <c r="N182" s="86"/>
      <c r="O182" s="86"/>
      <c r="P182" s="85"/>
      <c r="Q182" s="85"/>
      <c r="R182" s="85"/>
      <c r="S182" s="85"/>
      <c r="T182" s="86"/>
      <c r="U182" s="86"/>
      <c r="V182" s="86"/>
      <c r="W182" s="86"/>
      <c r="X182" s="85"/>
      <c r="Y182" s="85"/>
      <c r="Z182" s="85"/>
      <c r="AA182" s="86"/>
      <c r="AB182" s="86"/>
      <c r="AC182" s="87"/>
      <c r="AD182" s="86"/>
      <c r="AE182" s="71"/>
    </row>
    <row r="183" spans="1:31" ht="12.75">
      <c r="A183" s="82"/>
      <c r="B183" s="83"/>
      <c r="C183" s="83"/>
      <c r="D183" s="83"/>
      <c r="E183" s="83"/>
      <c r="F183" s="84"/>
      <c r="G183" s="85"/>
      <c r="H183" s="85"/>
      <c r="I183" s="85"/>
      <c r="J183" s="85"/>
      <c r="K183" s="85"/>
      <c r="L183" s="86"/>
      <c r="M183" s="86"/>
      <c r="N183" s="86"/>
      <c r="O183" s="86"/>
      <c r="P183" s="85"/>
      <c r="Q183" s="85"/>
      <c r="R183" s="85"/>
      <c r="S183" s="85"/>
      <c r="T183" s="86"/>
      <c r="U183" s="86"/>
      <c r="V183" s="86"/>
      <c r="W183" s="86"/>
      <c r="X183" s="85"/>
      <c r="Y183" s="85"/>
      <c r="Z183" s="85"/>
      <c r="AA183" s="86"/>
      <c r="AB183" s="86"/>
      <c r="AC183" s="87"/>
      <c r="AD183" s="86"/>
      <c r="AE183" s="71"/>
    </row>
    <row r="184" spans="1:31" ht="12.75">
      <c r="A184" s="82"/>
      <c r="B184" s="83"/>
      <c r="C184" s="83"/>
      <c r="D184" s="83"/>
      <c r="E184" s="83"/>
      <c r="F184" s="84"/>
      <c r="G184" s="85"/>
      <c r="H184" s="85"/>
      <c r="I184" s="85"/>
      <c r="J184" s="85"/>
      <c r="K184" s="85"/>
      <c r="L184" s="86"/>
      <c r="M184" s="86"/>
      <c r="N184" s="86"/>
      <c r="O184" s="86"/>
      <c r="P184" s="85"/>
      <c r="Q184" s="85"/>
      <c r="R184" s="85"/>
      <c r="S184" s="85"/>
      <c r="T184" s="86"/>
      <c r="U184" s="86"/>
      <c r="V184" s="86"/>
      <c r="W184" s="86"/>
      <c r="X184" s="85"/>
      <c r="Y184" s="85"/>
      <c r="Z184" s="85"/>
      <c r="AA184" s="86"/>
      <c r="AB184" s="86"/>
      <c r="AC184" s="87"/>
      <c r="AD184" s="86"/>
      <c r="AE184" s="71"/>
    </row>
    <row r="185" spans="1:31" ht="12.75">
      <c r="A185" s="82"/>
      <c r="B185" s="83"/>
      <c r="C185" s="83"/>
      <c r="D185" s="83"/>
      <c r="E185" s="83"/>
      <c r="F185" s="84"/>
      <c r="G185" s="85"/>
      <c r="H185" s="85"/>
      <c r="I185" s="85"/>
      <c r="J185" s="85"/>
      <c r="K185" s="85"/>
      <c r="L185" s="86"/>
      <c r="M185" s="86"/>
      <c r="N185" s="86"/>
      <c r="O185" s="86"/>
      <c r="P185" s="85"/>
      <c r="Q185" s="85"/>
      <c r="R185" s="85"/>
      <c r="S185" s="85"/>
      <c r="T185" s="86"/>
      <c r="U185" s="86"/>
      <c r="V185" s="86"/>
      <c r="W185" s="86"/>
      <c r="X185" s="85"/>
      <c r="Y185" s="85"/>
      <c r="Z185" s="85"/>
      <c r="AA185" s="86"/>
      <c r="AB185" s="86"/>
      <c r="AC185" s="87"/>
      <c r="AD185" s="86"/>
      <c r="AE185" s="71"/>
    </row>
    <row r="186" spans="1:31" ht="12.75">
      <c r="A186" s="82"/>
      <c r="B186" s="83"/>
      <c r="C186" s="83"/>
      <c r="D186" s="83"/>
      <c r="E186" s="83"/>
      <c r="F186" s="84"/>
      <c r="G186" s="85"/>
      <c r="H186" s="85"/>
      <c r="I186" s="85"/>
      <c r="J186" s="85"/>
      <c r="K186" s="85"/>
      <c r="L186" s="86"/>
      <c r="M186" s="86"/>
      <c r="N186" s="86"/>
      <c r="O186" s="86"/>
      <c r="P186" s="85"/>
      <c r="Q186" s="85"/>
      <c r="R186" s="85"/>
      <c r="S186" s="85"/>
      <c r="T186" s="86"/>
      <c r="U186" s="86"/>
      <c r="V186" s="86"/>
      <c r="W186" s="86"/>
      <c r="X186" s="85"/>
      <c r="Y186" s="85"/>
      <c r="Z186" s="85"/>
      <c r="AA186" s="86"/>
      <c r="AB186" s="86"/>
      <c r="AC186" s="87"/>
      <c r="AD186" s="86"/>
      <c r="AE186" s="71"/>
    </row>
    <row r="187" spans="1:31" ht="12.75">
      <c r="A187" s="82"/>
      <c r="B187" s="83"/>
      <c r="C187" s="83"/>
      <c r="D187" s="83"/>
      <c r="E187" s="83"/>
      <c r="F187" s="84"/>
      <c r="G187" s="85"/>
      <c r="H187" s="85"/>
      <c r="I187" s="85"/>
      <c r="J187" s="85"/>
      <c r="K187" s="85"/>
      <c r="L187" s="86"/>
      <c r="M187" s="86"/>
      <c r="N187" s="86"/>
      <c r="O187" s="86"/>
      <c r="P187" s="85"/>
      <c r="Q187" s="85"/>
      <c r="R187" s="85"/>
      <c r="S187" s="85"/>
      <c r="T187" s="86"/>
      <c r="U187" s="86"/>
      <c r="V187" s="86"/>
      <c r="W187" s="86"/>
      <c r="X187" s="85"/>
      <c r="Y187" s="85"/>
      <c r="Z187" s="85"/>
      <c r="AA187" s="86"/>
      <c r="AB187" s="86"/>
      <c r="AC187" s="87"/>
      <c r="AD187" s="86"/>
      <c r="AE187" s="71"/>
    </row>
    <row r="188" spans="1:31" ht="12.75">
      <c r="A188" s="82"/>
      <c r="B188" s="83"/>
      <c r="C188" s="83"/>
      <c r="D188" s="83"/>
      <c r="E188" s="83"/>
      <c r="F188" s="84"/>
      <c r="G188" s="85"/>
      <c r="H188" s="85"/>
      <c r="I188" s="85"/>
      <c r="J188" s="85"/>
      <c r="K188" s="85"/>
      <c r="L188" s="86"/>
      <c r="M188" s="86"/>
      <c r="N188" s="86"/>
      <c r="O188" s="86"/>
      <c r="P188" s="85"/>
      <c r="Q188" s="85"/>
      <c r="R188" s="85"/>
      <c r="S188" s="85"/>
      <c r="T188" s="86"/>
      <c r="U188" s="86"/>
      <c r="V188" s="86"/>
      <c r="W188" s="86"/>
      <c r="X188" s="85"/>
      <c r="Y188" s="85"/>
      <c r="Z188" s="85"/>
      <c r="AA188" s="86"/>
      <c r="AB188" s="86"/>
      <c r="AC188" s="87"/>
      <c r="AD188" s="86"/>
      <c r="AE188" s="71"/>
    </row>
    <row r="189" spans="1:31" ht="12.75">
      <c r="A189" s="82"/>
      <c r="B189" s="83"/>
      <c r="C189" s="83"/>
      <c r="D189" s="83"/>
      <c r="E189" s="83"/>
      <c r="F189" s="84"/>
      <c r="G189" s="85"/>
      <c r="H189" s="85"/>
      <c r="I189" s="85"/>
      <c r="J189" s="85"/>
      <c r="K189" s="85"/>
      <c r="L189" s="86"/>
      <c r="M189" s="86"/>
      <c r="N189" s="86"/>
      <c r="O189" s="86"/>
      <c r="P189" s="85"/>
      <c r="Q189" s="85"/>
      <c r="R189" s="85"/>
      <c r="S189" s="85"/>
      <c r="T189" s="86"/>
      <c r="U189" s="86"/>
      <c r="V189" s="86"/>
      <c r="W189" s="86"/>
      <c r="X189" s="85"/>
      <c r="Y189" s="85"/>
      <c r="Z189" s="85"/>
      <c r="AA189" s="86"/>
      <c r="AB189" s="86"/>
      <c r="AC189" s="87"/>
      <c r="AD189" s="86"/>
      <c r="AE189" s="71"/>
    </row>
    <row r="190" spans="1:31" ht="12.75">
      <c r="A190" s="82"/>
      <c r="B190" s="83"/>
      <c r="C190" s="83"/>
      <c r="D190" s="83"/>
      <c r="E190" s="83"/>
      <c r="F190" s="84"/>
      <c r="G190" s="85"/>
      <c r="H190" s="85"/>
      <c r="I190" s="85"/>
      <c r="J190" s="85"/>
      <c r="K190" s="85"/>
      <c r="L190" s="86"/>
      <c r="M190" s="86"/>
      <c r="N190" s="86"/>
      <c r="O190" s="86"/>
      <c r="P190" s="85"/>
      <c r="Q190" s="85"/>
      <c r="R190" s="85"/>
      <c r="S190" s="85"/>
      <c r="T190" s="86"/>
      <c r="U190" s="86"/>
      <c r="V190" s="86"/>
      <c r="W190" s="86"/>
      <c r="X190" s="85"/>
      <c r="Y190" s="85"/>
      <c r="Z190" s="85"/>
      <c r="AA190" s="86"/>
      <c r="AB190" s="86"/>
      <c r="AC190" s="87"/>
      <c r="AD190" s="86"/>
      <c r="AE190" s="71"/>
    </row>
    <row r="191" spans="1:31" ht="12.75">
      <c r="A191" s="82"/>
      <c r="B191" s="83"/>
      <c r="C191" s="83"/>
      <c r="D191" s="83"/>
      <c r="E191" s="83"/>
      <c r="F191" s="84"/>
      <c r="G191" s="85"/>
      <c r="H191" s="85"/>
      <c r="I191" s="85"/>
      <c r="J191" s="85"/>
      <c r="K191" s="85"/>
      <c r="L191" s="86"/>
      <c r="M191" s="86"/>
      <c r="N191" s="86"/>
      <c r="O191" s="86"/>
      <c r="P191" s="85"/>
      <c r="Q191" s="85"/>
      <c r="R191" s="85"/>
      <c r="S191" s="85"/>
      <c r="T191" s="86"/>
      <c r="U191" s="86"/>
      <c r="V191" s="86"/>
      <c r="W191" s="86"/>
      <c r="X191" s="85"/>
      <c r="Y191" s="85"/>
      <c r="Z191" s="85"/>
      <c r="AA191" s="86"/>
      <c r="AB191" s="86"/>
      <c r="AC191" s="87"/>
      <c r="AD191" s="86"/>
      <c r="AE191" s="71"/>
    </row>
    <row r="192" spans="1:31" ht="12.7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51"/>
      <c r="AD192" s="23"/>
      <c r="AE192" s="71"/>
    </row>
    <row r="193" spans="1:31" ht="12.7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51"/>
      <c r="AD193" s="23"/>
      <c r="AE193" s="23"/>
    </row>
    <row r="194" spans="1:31" ht="12.7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51"/>
      <c r="AD194" s="23"/>
      <c r="AE194" s="23"/>
    </row>
  </sheetData>
  <mergeCells count="68">
    <mergeCell ref="T166:W166"/>
    <mergeCell ref="X166:Z166"/>
    <mergeCell ref="AA166:AC166"/>
    <mergeCell ref="P162:R162"/>
    <mergeCell ref="C166:F166"/>
    <mergeCell ref="G166:J166"/>
    <mergeCell ref="L166:O166"/>
    <mergeCell ref="P166:S166"/>
    <mergeCell ref="C161:E161"/>
    <mergeCell ref="F161:H161"/>
    <mergeCell ref="I161:L161"/>
    <mergeCell ref="M161:O161"/>
    <mergeCell ref="P161:R161"/>
    <mergeCell ref="C160:E160"/>
    <mergeCell ref="F160:H160"/>
    <mergeCell ref="I160:L160"/>
    <mergeCell ref="M160:O160"/>
    <mergeCell ref="P160:R160"/>
    <mergeCell ref="C159:E159"/>
    <mergeCell ref="F159:H159"/>
    <mergeCell ref="I159:L159"/>
    <mergeCell ref="M159:O159"/>
    <mergeCell ref="P159:R159"/>
    <mergeCell ref="C158:E158"/>
    <mergeCell ref="F158:H158"/>
    <mergeCell ref="I158:L158"/>
    <mergeCell ref="M158:O158"/>
    <mergeCell ref="P158:R158"/>
    <mergeCell ref="C157:E157"/>
    <mergeCell ref="F157:H157"/>
    <mergeCell ref="I157:L157"/>
    <mergeCell ref="M157:O157"/>
    <mergeCell ref="P157:R157"/>
    <mergeCell ref="C156:E156"/>
    <mergeCell ref="F156:H156"/>
    <mergeCell ref="I156:L156"/>
    <mergeCell ref="M156:O156"/>
    <mergeCell ref="P156:R156"/>
    <mergeCell ref="C155:E155"/>
    <mergeCell ref="F155:H155"/>
    <mergeCell ref="I155:L155"/>
    <mergeCell ref="M155:O155"/>
    <mergeCell ref="P155:R155"/>
    <mergeCell ref="C154:E154"/>
    <mergeCell ref="F154:H154"/>
    <mergeCell ref="I154:L154"/>
    <mergeCell ref="M154:O154"/>
    <mergeCell ref="P154:R154"/>
    <mergeCell ref="C153:E153"/>
    <mergeCell ref="F153:H153"/>
    <mergeCell ref="I153:L153"/>
    <mergeCell ref="M153:O153"/>
    <mergeCell ref="P153:R153"/>
    <mergeCell ref="V151:X151"/>
    <mergeCell ref="C152:E152"/>
    <mergeCell ref="F152:H152"/>
    <mergeCell ref="I152:L152"/>
    <mergeCell ref="M152:O152"/>
    <mergeCell ref="P152:R152"/>
    <mergeCell ref="M1:N1"/>
    <mergeCell ref="O1:U1"/>
    <mergeCell ref="I149:L149"/>
    <mergeCell ref="M149:O149"/>
    <mergeCell ref="C151:E151"/>
    <mergeCell ref="F151:H151"/>
    <mergeCell ref="I151:L151"/>
    <mergeCell ref="M151:O151"/>
    <mergeCell ref="P151:R151"/>
  </mergeCells>
  <conditionalFormatting sqref="C168:AD191">
    <cfRule type="expression" dxfId="4" priority="2">
      <formula>LEN(TRIM(C168))&gt;0</formula>
    </cfRule>
  </conditionalFormatting>
  <conditionalFormatting sqref="Y2:Y146">
    <cfRule type="expression" dxfId="3" priority="3">
      <formula>$L2&lt;&gt;""</formula>
    </cfRule>
  </conditionalFormatting>
  <conditionalFormatting sqref="Z1:Z146">
    <cfRule type="expression" dxfId="2" priority="4">
      <formula>LEN(TRIM(Z1))&gt;0</formula>
    </cfRule>
  </conditionalFormatting>
  <conditionalFormatting sqref="AA1:AA146">
    <cfRule type="expression" dxfId="1" priority="5">
      <formula>LEN(TRIM(AA1))&gt;0</formula>
    </cfRule>
  </conditionalFormatting>
  <conditionalFormatting sqref="AB2:AB146">
    <cfRule type="cellIs" dxfId="0" priority="6" operator="equal">
      <formula>FALSE()</formula>
    </cfRule>
  </conditionalFormatting>
  <dataValidations count="1">
    <dataValidation type="decimal" operator="greaterThanOrEqual" allowBlank="1" showDropDown="1" showErrorMessage="1" sqref="B2:K147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Plantilla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Full Service</cp:lastModifiedBy>
  <cp:revision>0</cp:revision>
  <dcterms:created xsi:type="dcterms:W3CDTF">2026-07-15T14:02:46Z</dcterms:created>
  <dcterms:modified xsi:type="dcterms:W3CDTF">2026-07-15T14:08:18Z</dcterms:modified>
  <dc:language>es-419</dc:language>
</cp:coreProperties>
</file>