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ll Service\Downloads\FullService Agents - Gustavo Navarro\QuoteDeveloper\cotizaciones\multinal\"/>
    </mc:Choice>
  </mc:AlternateContent>
  <bookViews>
    <workbookView xWindow="0" yWindow="0" windowWidth="16380" windowHeight="8190" tabRatio="500" activeTab="4"/>
  </bookViews>
  <sheets>
    <sheet name="PRY-001 CRM" sheetId="1" r:id="rId1"/>
    <sheet name="PRY-002 Portal Clientes" sheetId="2" r:id="rId2"/>
    <sheet name="PRY-003 Portal Proveedor" sheetId="3" r:id="rId3"/>
    <sheet name="PRY-004 Repositorio Doc" sheetId="4" r:id="rId4"/>
    <sheet name="PRY-005 BI" sheetId="5" r:id="rId5"/>
    <sheet name="PRY-006 Workflow" sheetId="6" r:id="rId6"/>
    <sheet name="PRY-007A Ag Comercial" sheetId="7" r:id="rId7"/>
    <sheet name="PRY-007B Ag Compras" sheetId="8" r:id="rId8"/>
    <sheet name="PRY-007C Ag Inventarios" sheetId="9" r:id="rId9"/>
    <sheet name="PRY-007D Ag Cartera" sheetId="10" r:id="rId10"/>
    <sheet name="PRY-007E Ag Serv Cliente" sheetId="11" r:id="rId11"/>
    <sheet name="PRY-007F Ag Documental" sheetId="12" r:id="rId12"/>
    <sheet name="PRY-007G Ag Gerencial" sheetId="13" r:id="rId1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34" i="13" l="1"/>
  <c r="B133" i="13"/>
  <c r="U133" i="13" s="1"/>
  <c r="B132" i="13"/>
  <c r="U132" i="13" s="1"/>
  <c r="B131" i="13"/>
  <c r="U131" i="13" s="1"/>
  <c r="B130" i="13"/>
  <c r="U129" i="13"/>
  <c r="B129" i="13"/>
  <c r="M128" i="13"/>
  <c r="P128" i="13" s="1"/>
  <c r="W128" i="13" s="1"/>
  <c r="B128" i="13"/>
  <c r="U128" i="13" s="1"/>
  <c r="M127" i="13"/>
  <c r="P127" i="13" s="1"/>
  <c r="W127" i="13" s="1"/>
  <c r="B127" i="13"/>
  <c r="U127" i="13" s="1"/>
  <c r="U126" i="13"/>
  <c r="B126" i="13"/>
  <c r="B125" i="13"/>
  <c r="O123" i="13"/>
  <c r="M123" i="13"/>
  <c r="M131" i="13" s="1"/>
  <c r="P131" i="13" s="1"/>
  <c r="W131" i="13" s="1"/>
  <c r="M122" i="13"/>
  <c r="K121" i="13"/>
  <c r="J121" i="13"/>
  <c r="I121" i="13"/>
  <c r="H121" i="13"/>
  <c r="G121" i="13"/>
  <c r="U130" i="13" s="1"/>
  <c r="F121" i="13"/>
  <c r="E121" i="13"/>
  <c r="D121" i="13"/>
  <c r="C121" i="13"/>
  <c r="B121" i="13"/>
  <c r="U125" i="13" s="1"/>
  <c r="A121" i="13"/>
  <c r="AC119" i="13"/>
  <c r="AB119" i="13"/>
  <c r="X119" i="13"/>
  <c r="AC118" i="13"/>
  <c r="AB118" i="13"/>
  <c r="X118" i="13"/>
  <c r="AC117" i="13"/>
  <c r="AB117" i="13"/>
  <c r="X117" i="13"/>
  <c r="AC116" i="13"/>
  <c r="AB116" i="13"/>
  <c r="X116" i="13"/>
  <c r="AC115" i="13"/>
  <c r="AB115" i="13"/>
  <c r="X115" i="13"/>
  <c r="AC114" i="13"/>
  <c r="AB114" i="13"/>
  <c r="X114" i="13"/>
  <c r="AC113" i="13"/>
  <c r="AB113" i="13"/>
  <c r="X113" i="13"/>
  <c r="AC112" i="13"/>
  <c r="AB112" i="13"/>
  <c r="X112" i="13"/>
  <c r="AC111" i="13"/>
  <c r="AB111" i="13"/>
  <c r="X111" i="13"/>
  <c r="AC110" i="13"/>
  <c r="AB110" i="13"/>
  <c r="X110" i="13"/>
  <c r="AC109" i="13"/>
  <c r="AB109" i="13"/>
  <c r="X109" i="13"/>
  <c r="AC108" i="13"/>
  <c r="AB108" i="13"/>
  <c r="X108" i="13"/>
  <c r="AC107" i="13"/>
  <c r="AB107" i="13"/>
  <c r="X107" i="13"/>
  <c r="AC106" i="13"/>
  <c r="AB106" i="13"/>
  <c r="X106" i="13"/>
  <c r="AC105" i="13"/>
  <c r="AB105" i="13"/>
  <c r="X105" i="13"/>
  <c r="AC104" i="13"/>
  <c r="AB104" i="13"/>
  <c r="X104" i="13"/>
  <c r="AC103" i="13"/>
  <c r="AB103" i="13"/>
  <c r="X103" i="13"/>
  <c r="AC102" i="13"/>
  <c r="AB102" i="13"/>
  <c r="X102" i="13"/>
  <c r="AC101" i="13"/>
  <c r="AB101" i="13"/>
  <c r="X101" i="13"/>
  <c r="AC100" i="13"/>
  <c r="AB100" i="13"/>
  <c r="X100" i="13"/>
  <c r="AC99" i="13"/>
  <c r="AB99" i="13"/>
  <c r="X99" i="13"/>
  <c r="AC98" i="13"/>
  <c r="AB98" i="13"/>
  <c r="X98" i="13"/>
  <c r="AC97" i="13"/>
  <c r="AB97" i="13"/>
  <c r="X97" i="13"/>
  <c r="AC96" i="13"/>
  <c r="AB96" i="13"/>
  <c r="X96" i="13"/>
  <c r="AC95" i="13"/>
  <c r="AB95" i="13"/>
  <c r="X95" i="13"/>
  <c r="AC94" i="13"/>
  <c r="AB94" i="13"/>
  <c r="X94" i="13"/>
  <c r="AC93" i="13"/>
  <c r="AB93" i="13"/>
  <c r="X93" i="13"/>
  <c r="AC92" i="13"/>
  <c r="AB92" i="13"/>
  <c r="X92" i="13"/>
  <c r="AC91" i="13"/>
  <c r="AB91" i="13"/>
  <c r="X91" i="13"/>
  <c r="AC90" i="13"/>
  <c r="AB90" i="13"/>
  <c r="X90" i="13"/>
  <c r="AC89" i="13"/>
  <c r="AB89" i="13"/>
  <c r="X89" i="13"/>
  <c r="AC88" i="13"/>
  <c r="AB88" i="13"/>
  <c r="X88" i="13"/>
  <c r="AC87" i="13"/>
  <c r="AB87" i="13"/>
  <c r="X87" i="13"/>
  <c r="AC86" i="13"/>
  <c r="AB86" i="13"/>
  <c r="X86" i="13"/>
  <c r="AC85" i="13"/>
  <c r="AB85" i="13"/>
  <c r="X85" i="13"/>
  <c r="AC84" i="13"/>
  <c r="AB84" i="13"/>
  <c r="X84" i="13"/>
  <c r="AC83" i="13"/>
  <c r="AB83" i="13"/>
  <c r="X83" i="13"/>
  <c r="AC82" i="13"/>
  <c r="AB82" i="13"/>
  <c r="X82" i="13"/>
  <c r="AC81" i="13"/>
  <c r="AB81" i="13"/>
  <c r="X81" i="13"/>
  <c r="AC80" i="13"/>
  <c r="AB80" i="13"/>
  <c r="X80" i="13"/>
  <c r="AC79" i="13"/>
  <c r="AB79" i="13"/>
  <c r="X79" i="13"/>
  <c r="AC78" i="13"/>
  <c r="AB78" i="13"/>
  <c r="X78" i="13"/>
  <c r="AC77" i="13"/>
  <c r="AB77" i="13"/>
  <c r="X77" i="13"/>
  <c r="AC76" i="13"/>
  <c r="AB76" i="13"/>
  <c r="X76" i="13"/>
  <c r="AC75" i="13"/>
  <c r="AB75" i="13"/>
  <c r="X75" i="13"/>
  <c r="AC74" i="13"/>
  <c r="AB74" i="13"/>
  <c r="X74" i="13"/>
  <c r="AC73" i="13"/>
  <c r="AB73" i="13"/>
  <c r="X73" i="13"/>
  <c r="AC72" i="13"/>
  <c r="AB72" i="13"/>
  <c r="X72" i="13"/>
  <c r="AC71" i="13"/>
  <c r="AB71" i="13"/>
  <c r="X71" i="13"/>
  <c r="AC70" i="13"/>
  <c r="AB70" i="13"/>
  <c r="X70" i="13"/>
  <c r="AC69" i="13"/>
  <c r="AB69" i="13"/>
  <c r="X69" i="13"/>
  <c r="AC68" i="13"/>
  <c r="AB68" i="13"/>
  <c r="X68" i="13"/>
  <c r="AC67" i="13"/>
  <c r="AB67" i="13"/>
  <c r="X67" i="13"/>
  <c r="AC66" i="13"/>
  <c r="AB66" i="13"/>
  <c r="X66" i="13"/>
  <c r="AC65" i="13"/>
  <c r="AB65" i="13"/>
  <c r="X65" i="13"/>
  <c r="AC64" i="13"/>
  <c r="AB64" i="13"/>
  <c r="X64" i="13"/>
  <c r="AC63" i="13"/>
  <c r="AB63" i="13"/>
  <c r="X63" i="13"/>
  <c r="AC62" i="13"/>
  <c r="AB62" i="13"/>
  <c r="X62" i="13"/>
  <c r="AC61" i="13"/>
  <c r="AB61" i="13"/>
  <c r="X61" i="13"/>
  <c r="AC60" i="13"/>
  <c r="AB60" i="13"/>
  <c r="X60" i="13"/>
  <c r="AC59" i="13"/>
  <c r="AB59" i="13"/>
  <c r="X59" i="13"/>
  <c r="AC58" i="13"/>
  <c r="AB58" i="13"/>
  <c r="X58" i="13"/>
  <c r="AC57" i="13"/>
  <c r="AB57" i="13"/>
  <c r="X57" i="13"/>
  <c r="AC56" i="13"/>
  <c r="AB56" i="13"/>
  <c r="X56" i="13"/>
  <c r="AC55" i="13"/>
  <c r="AB55" i="13"/>
  <c r="X55" i="13"/>
  <c r="AC54" i="13"/>
  <c r="AB54" i="13"/>
  <c r="X54" i="13"/>
  <c r="AC53" i="13"/>
  <c r="AB53" i="13"/>
  <c r="X53" i="13"/>
  <c r="AC52" i="13"/>
  <c r="AB52" i="13"/>
  <c r="X52" i="13"/>
  <c r="AC51" i="13"/>
  <c r="AB51" i="13"/>
  <c r="X51" i="13"/>
  <c r="AC50" i="13"/>
  <c r="AB50" i="13"/>
  <c r="X50" i="13"/>
  <c r="AC49" i="13"/>
  <c r="AB49" i="13"/>
  <c r="X49" i="13"/>
  <c r="AC48" i="13"/>
  <c r="AB48" i="13"/>
  <c r="X48" i="13"/>
  <c r="AC47" i="13"/>
  <c r="AB47" i="13"/>
  <c r="X47" i="13"/>
  <c r="AC46" i="13"/>
  <c r="AB46" i="13"/>
  <c r="X46" i="13"/>
  <c r="AC45" i="13"/>
  <c r="AB45" i="13"/>
  <c r="X45" i="13"/>
  <c r="AC44" i="13"/>
  <c r="AB44" i="13"/>
  <c r="X44" i="13"/>
  <c r="AC43" i="13"/>
  <c r="AB43" i="13"/>
  <c r="X43" i="13"/>
  <c r="AC42" i="13"/>
  <c r="AB42" i="13"/>
  <c r="X42" i="13"/>
  <c r="AC41" i="13"/>
  <c r="AB41" i="13"/>
  <c r="X41" i="13"/>
  <c r="AC40" i="13"/>
  <c r="AB40" i="13"/>
  <c r="X40" i="13"/>
  <c r="AC39" i="13"/>
  <c r="AB39" i="13"/>
  <c r="X39" i="13"/>
  <c r="AC38" i="13"/>
  <c r="AB38" i="13"/>
  <c r="X38" i="13"/>
  <c r="AC37" i="13"/>
  <c r="AB37" i="13"/>
  <c r="X37" i="13"/>
  <c r="AC36" i="13"/>
  <c r="AB36" i="13"/>
  <c r="X36" i="13"/>
  <c r="AC35" i="13"/>
  <c r="AB35" i="13"/>
  <c r="X35" i="13"/>
  <c r="AC34" i="13"/>
  <c r="AB34" i="13"/>
  <c r="X34" i="13"/>
  <c r="AC33" i="13"/>
  <c r="AB33" i="13"/>
  <c r="X33" i="13"/>
  <c r="AC32" i="13"/>
  <c r="AB32" i="13"/>
  <c r="X32" i="13"/>
  <c r="AC31" i="13"/>
  <c r="AB31" i="13"/>
  <c r="X31" i="13"/>
  <c r="AC30" i="13"/>
  <c r="AB30" i="13"/>
  <c r="X30" i="13"/>
  <c r="AC29" i="13"/>
  <c r="AB29" i="13"/>
  <c r="X29" i="13"/>
  <c r="AC28" i="13"/>
  <c r="AB28" i="13"/>
  <c r="X28" i="13"/>
  <c r="AC27" i="13"/>
  <c r="AB27" i="13"/>
  <c r="X27" i="13"/>
  <c r="AC26" i="13"/>
  <c r="AB26" i="13"/>
  <c r="X26" i="13"/>
  <c r="AC25" i="13"/>
  <c r="AB25" i="13"/>
  <c r="X25" i="13"/>
  <c r="AC24" i="13"/>
  <c r="AB24" i="13"/>
  <c r="X24" i="13"/>
  <c r="AC23" i="13"/>
  <c r="AB23" i="13"/>
  <c r="X23" i="13"/>
  <c r="AC22" i="13"/>
  <c r="AB22" i="13"/>
  <c r="X22" i="13"/>
  <c r="AC21" i="13"/>
  <c r="AB21" i="13"/>
  <c r="X21" i="13"/>
  <c r="AC20" i="13"/>
  <c r="AB20" i="13"/>
  <c r="X20" i="13"/>
  <c r="AC19" i="13"/>
  <c r="AB19" i="13"/>
  <c r="X19" i="13"/>
  <c r="AC18" i="13"/>
  <c r="AB18" i="13"/>
  <c r="X18" i="13"/>
  <c r="AC17" i="13"/>
  <c r="AB17" i="13"/>
  <c r="X17" i="13"/>
  <c r="AC16" i="13"/>
  <c r="AB16" i="13"/>
  <c r="X16" i="13"/>
  <c r="AC15" i="13"/>
  <c r="AB15" i="13"/>
  <c r="X15" i="13"/>
  <c r="AC14" i="13"/>
  <c r="AB14" i="13"/>
  <c r="X14" i="13"/>
  <c r="AC13" i="13"/>
  <c r="AB13" i="13"/>
  <c r="X13" i="13"/>
  <c r="AC12" i="13"/>
  <c r="AB12" i="13"/>
  <c r="X12" i="13"/>
  <c r="AC11" i="13"/>
  <c r="AB11" i="13"/>
  <c r="X11" i="13"/>
  <c r="AC10" i="13"/>
  <c r="AB10" i="13"/>
  <c r="X10" i="13"/>
  <c r="AC9" i="13"/>
  <c r="AB9" i="13"/>
  <c r="X9" i="13"/>
  <c r="AB8" i="13"/>
  <c r="X8" i="13"/>
  <c r="AC7" i="13"/>
  <c r="AB7" i="13"/>
  <c r="X7" i="13"/>
  <c r="AC6" i="13"/>
  <c r="AB6" i="13"/>
  <c r="X6" i="13"/>
  <c r="AB5" i="13"/>
  <c r="X5" i="13"/>
  <c r="AB4" i="13"/>
  <c r="X4" i="13"/>
  <c r="AB3" i="13"/>
  <c r="X3" i="13"/>
  <c r="AB2" i="13"/>
  <c r="X2" i="13"/>
  <c r="B133" i="12"/>
  <c r="U132" i="12"/>
  <c r="B132" i="12"/>
  <c r="P131" i="12"/>
  <c r="M131" i="12"/>
  <c r="B131" i="12"/>
  <c r="U131" i="12" s="1"/>
  <c r="M130" i="12"/>
  <c r="P130" i="12" s="1"/>
  <c r="W130" i="12" s="1"/>
  <c r="B130" i="12"/>
  <c r="B129" i="12"/>
  <c r="U129" i="12" s="1"/>
  <c r="M128" i="12"/>
  <c r="P128" i="12" s="1"/>
  <c r="B128" i="12"/>
  <c r="M127" i="12"/>
  <c r="P127" i="12" s="1"/>
  <c r="B127" i="12"/>
  <c r="U126" i="12"/>
  <c r="P126" i="12"/>
  <c r="M126" i="12"/>
  <c r="B126" i="12"/>
  <c r="P125" i="12"/>
  <c r="M125" i="12"/>
  <c r="B125" i="12"/>
  <c r="U125" i="12" s="1"/>
  <c r="O123" i="12"/>
  <c r="M123" i="12"/>
  <c r="M134" i="12" s="1"/>
  <c r="P134" i="12" s="1"/>
  <c r="W134" i="12" s="1"/>
  <c r="M122" i="12"/>
  <c r="K121" i="12"/>
  <c r="U134" i="12" s="1"/>
  <c r="J121" i="12"/>
  <c r="U133" i="12" s="1"/>
  <c r="I121" i="12"/>
  <c r="H121" i="12"/>
  <c r="G121" i="12"/>
  <c r="U130" i="12" s="1"/>
  <c r="F121" i="12"/>
  <c r="E121" i="12"/>
  <c r="U128" i="12" s="1"/>
  <c r="D121" i="12"/>
  <c r="U127" i="12" s="1"/>
  <c r="C121" i="12"/>
  <c r="B121" i="12"/>
  <c r="A121" i="12"/>
  <c r="AC119" i="12"/>
  <c r="AB119" i="12"/>
  <c r="X119" i="12"/>
  <c r="AC118" i="12"/>
  <c r="AB118" i="12"/>
  <c r="X118" i="12"/>
  <c r="AC117" i="12"/>
  <c r="AB117" i="12"/>
  <c r="X117" i="12"/>
  <c r="AC116" i="12"/>
  <c r="AB116" i="12"/>
  <c r="X116" i="12"/>
  <c r="AC115" i="12"/>
  <c r="AB115" i="12"/>
  <c r="X115" i="12"/>
  <c r="AC114" i="12"/>
  <c r="AB114" i="12"/>
  <c r="X114" i="12"/>
  <c r="AC113" i="12"/>
  <c r="AB113" i="12"/>
  <c r="X113" i="12"/>
  <c r="AC112" i="12"/>
  <c r="AB112" i="12"/>
  <c r="X112" i="12"/>
  <c r="AC111" i="12"/>
  <c r="AB111" i="12"/>
  <c r="X111" i="12"/>
  <c r="AC110" i="12"/>
  <c r="AB110" i="12"/>
  <c r="X110" i="12"/>
  <c r="AC109" i="12"/>
  <c r="AB109" i="12"/>
  <c r="X109" i="12"/>
  <c r="AC108" i="12"/>
  <c r="AB108" i="12"/>
  <c r="X108" i="12"/>
  <c r="AC107" i="12"/>
  <c r="AB107" i="12"/>
  <c r="X107" i="12"/>
  <c r="AC106" i="12"/>
  <c r="AB106" i="12"/>
  <c r="X106" i="12"/>
  <c r="AC105" i="12"/>
  <c r="AB105" i="12"/>
  <c r="X105" i="12"/>
  <c r="AC104" i="12"/>
  <c r="AB104" i="12"/>
  <c r="X104" i="12"/>
  <c r="AC103" i="12"/>
  <c r="AB103" i="12"/>
  <c r="X103" i="12"/>
  <c r="AC102" i="12"/>
  <c r="AB102" i="12"/>
  <c r="X102" i="12"/>
  <c r="AC101" i="12"/>
  <c r="AB101" i="12"/>
  <c r="X101" i="12"/>
  <c r="AC100" i="12"/>
  <c r="AB100" i="12"/>
  <c r="X100" i="12"/>
  <c r="AC99" i="12"/>
  <c r="AB99" i="12"/>
  <c r="X99" i="12"/>
  <c r="AC98" i="12"/>
  <c r="AB98" i="12"/>
  <c r="X98" i="12"/>
  <c r="AC97" i="12"/>
  <c r="AB97" i="12"/>
  <c r="X97" i="12"/>
  <c r="AC96" i="12"/>
  <c r="AB96" i="12"/>
  <c r="X96" i="12"/>
  <c r="AC95" i="12"/>
  <c r="AB95" i="12"/>
  <c r="X95" i="12"/>
  <c r="AC94" i="12"/>
  <c r="AB94" i="12"/>
  <c r="X94" i="12"/>
  <c r="AC93" i="12"/>
  <c r="AB93" i="12"/>
  <c r="X93" i="12"/>
  <c r="AC92" i="12"/>
  <c r="AB92" i="12"/>
  <c r="X92" i="12"/>
  <c r="AC91" i="12"/>
  <c r="AB91" i="12"/>
  <c r="X91" i="12"/>
  <c r="AC90" i="12"/>
  <c r="AB90" i="12"/>
  <c r="X90" i="12"/>
  <c r="AC89" i="12"/>
  <c r="AB89" i="12"/>
  <c r="X89" i="12"/>
  <c r="AC88" i="12"/>
  <c r="AB88" i="12"/>
  <c r="X88" i="12"/>
  <c r="AC87" i="12"/>
  <c r="AB87" i="12"/>
  <c r="X87" i="12"/>
  <c r="AC86" i="12"/>
  <c r="AB86" i="12"/>
  <c r="X86" i="12"/>
  <c r="AC85" i="12"/>
  <c r="AB85" i="12"/>
  <c r="X85" i="12"/>
  <c r="AC84" i="12"/>
  <c r="AB84" i="12"/>
  <c r="X84" i="12"/>
  <c r="AC83" i="12"/>
  <c r="AB83" i="12"/>
  <c r="X83" i="12"/>
  <c r="AC82" i="12"/>
  <c r="AB82" i="12"/>
  <c r="X82" i="12"/>
  <c r="AC81" i="12"/>
  <c r="AB81" i="12"/>
  <c r="X81" i="12"/>
  <c r="AC80" i="12"/>
  <c r="AB80" i="12"/>
  <c r="X80" i="12"/>
  <c r="AC79" i="12"/>
  <c r="AB79" i="12"/>
  <c r="X79" i="12"/>
  <c r="AC78" i="12"/>
  <c r="AB78" i="12"/>
  <c r="X78" i="12"/>
  <c r="AC77" i="12"/>
  <c r="AB77" i="12"/>
  <c r="X77" i="12"/>
  <c r="AC76" i="12"/>
  <c r="AB76" i="12"/>
  <c r="X76" i="12"/>
  <c r="AC75" i="12"/>
  <c r="AB75" i="12"/>
  <c r="X75" i="12"/>
  <c r="AC74" i="12"/>
  <c r="AB74" i="12"/>
  <c r="X74" i="12"/>
  <c r="AC73" i="12"/>
  <c r="AB73" i="12"/>
  <c r="X73" i="12"/>
  <c r="AC72" i="12"/>
  <c r="AB72" i="12"/>
  <c r="X72" i="12"/>
  <c r="AC71" i="12"/>
  <c r="AB71" i="12"/>
  <c r="X71" i="12"/>
  <c r="AC70" i="12"/>
  <c r="AB70" i="12"/>
  <c r="X70" i="12"/>
  <c r="AC69" i="12"/>
  <c r="AB69" i="12"/>
  <c r="X69" i="12"/>
  <c r="AC68" i="12"/>
  <c r="AB68" i="12"/>
  <c r="X68" i="12"/>
  <c r="AC67" i="12"/>
  <c r="AB67" i="12"/>
  <c r="X67" i="12"/>
  <c r="AC66" i="12"/>
  <c r="AB66" i="12"/>
  <c r="X66" i="12"/>
  <c r="AC65" i="12"/>
  <c r="AB65" i="12"/>
  <c r="X65" i="12"/>
  <c r="AC64" i="12"/>
  <c r="AB64" i="12"/>
  <c r="X64" i="12"/>
  <c r="AC63" i="12"/>
  <c r="AB63" i="12"/>
  <c r="X63" i="12"/>
  <c r="AC62" i="12"/>
  <c r="AB62" i="12"/>
  <c r="X62" i="12"/>
  <c r="AC61" i="12"/>
  <c r="AB61" i="12"/>
  <c r="X61" i="12"/>
  <c r="AC60" i="12"/>
  <c r="AB60" i="12"/>
  <c r="X60" i="12"/>
  <c r="AC59" i="12"/>
  <c r="AB59" i="12"/>
  <c r="X59" i="12"/>
  <c r="AC58" i="12"/>
  <c r="AB58" i="12"/>
  <c r="X58" i="12"/>
  <c r="AC57" i="12"/>
  <c r="AB57" i="12"/>
  <c r="X57" i="12"/>
  <c r="AC56" i="12"/>
  <c r="AB56" i="12"/>
  <c r="X56" i="12"/>
  <c r="AC55" i="12"/>
  <c r="AB55" i="12"/>
  <c r="X55" i="12"/>
  <c r="AC54" i="12"/>
  <c r="AB54" i="12"/>
  <c r="X54" i="12"/>
  <c r="AC53" i="12"/>
  <c r="AB53" i="12"/>
  <c r="X53" i="12"/>
  <c r="AC52" i="12"/>
  <c r="AB52" i="12"/>
  <c r="X52" i="12"/>
  <c r="AC51" i="12"/>
  <c r="AB51" i="12"/>
  <c r="X51" i="12"/>
  <c r="AC50" i="12"/>
  <c r="AB50" i="12"/>
  <c r="X50" i="12"/>
  <c r="AC49" i="12"/>
  <c r="AB49" i="12"/>
  <c r="X49" i="12"/>
  <c r="AC48" i="12"/>
  <c r="AB48" i="12"/>
  <c r="X48" i="12"/>
  <c r="AC47" i="12"/>
  <c r="AB47" i="12"/>
  <c r="X47" i="12"/>
  <c r="AC46" i="12"/>
  <c r="AB46" i="12"/>
  <c r="X46" i="12"/>
  <c r="AC45" i="12"/>
  <c r="AB45" i="12"/>
  <c r="X45" i="12"/>
  <c r="AC44" i="12"/>
  <c r="AB44" i="12"/>
  <c r="X44" i="12"/>
  <c r="AC43" i="12"/>
  <c r="AB43" i="12"/>
  <c r="X43" i="12"/>
  <c r="AC42" i="12"/>
  <c r="AB42" i="12"/>
  <c r="X42" i="12"/>
  <c r="AC41" i="12"/>
  <c r="AB41" i="12"/>
  <c r="X41" i="12"/>
  <c r="AC40" i="12"/>
  <c r="AB40" i="12"/>
  <c r="X40" i="12"/>
  <c r="AC39" i="12"/>
  <c r="AB39" i="12"/>
  <c r="X39" i="12"/>
  <c r="AC38" i="12"/>
  <c r="AB38" i="12"/>
  <c r="X38" i="12"/>
  <c r="AC37" i="12"/>
  <c r="AB37" i="12"/>
  <c r="X37" i="12"/>
  <c r="AC36" i="12"/>
  <c r="AB36" i="12"/>
  <c r="X36" i="12"/>
  <c r="AC35" i="12"/>
  <c r="AB35" i="12"/>
  <c r="X35" i="12"/>
  <c r="AC34" i="12"/>
  <c r="AB34" i="12"/>
  <c r="X34" i="12"/>
  <c r="AC33" i="12"/>
  <c r="AB33" i="12"/>
  <c r="X33" i="12"/>
  <c r="AC32" i="12"/>
  <c r="AB32" i="12"/>
  <c r="X32" i="12"/>
  <c r="AC31" i="12"/>
  <c r="AB31" i="12"/>
  <c r="X31" i="12"/>
  <c r="AC30" i="12"/>
  <c r="AB30" i="12"/>
  <c r="X30" i="12"/>
  <c r="AC29" i="12"/>
  <c r="AB29" i="12"/>
  <c r="X29" i="12"/>
  <c r="AC28" i="12"/>
  <c r="AB28" i="12"/>
  <c r="X28" i="12"/>
  <c r="AC27" i="12"/>
  <c r="AB27" i="12"/>
  <c r="X27" i="12"/>
  <c r="AC26" i="12"/>
  <c r="AB26" i="12"/>
  <c r="X26" i="12"/>
  <c r="AC25" i="12"/>
  <c r="AB25" i="12"/>
  <c r="X25" i="12"/>
  <c r="AC24" i="12"/>
  <c r="AB24" i="12"/>
  <c r="X24" i="12"/>
  <c r="AC23" i="12"/>
  <c r="AB23" i="12"/>
  <c r="X23" i="12"/>
  <c r="AC22" i="12"/>
  <c r="AB22" i="12"/>
  <c r="X22" i="12"/>
  <c r="AC21" i="12"/>
  <c r="AB21" i="12"/>
  <c r="X21" i="12"/>
  <c r="AC20" i="12"/>
  <c r="AB20" i="12"/>
  <c r="X20" i="12"/>
  <c r="AC19" i="12"/>
  <c r="AB19" i="12"/>
  <c r="X19" i="12"/>
  <c r="AC18" i="12"/>
  <c r="AB18" i="12"/>
  <c r="X18" i="12"/>
  <c r="AC17" i="12"/>
  <c r="AB17" i="12"/>
  <c r="X17" i="12"/>
  <c r="AC16" i="12"/>
  <c r="AB16" i="12"/>
  <c r="X16" i="12"/>
  <c r="AC15" i="12"/>
  <c r="AB15" i="12"/>
  <c r="X15" i="12"/>
  <c r="AC14" i="12"/>
  <c r="AB14" i="12"/>
  <c r="X14" i="12"/>
  <c r="AC13" i="12"/>
  <c r="AB13" i="12"/>
  <c r="X13" i="12"/>
  <c r="AC12" i="12"/>
  <c r="AB12" i="12"/>
  <c r="X12" i="12"/>
  <c r="AC11" i="12"/>
  <c r="AB11" i="12"/>
  <c r="X11" i="12"/>
  <c r="AC10" i="12"/>
  <c r="AB10" i="12"/>
  <c r="X10" i="12"/>
  <c r="AC9" i="12"/>
  <c r="AB9" i="12"/>
  <c r="X9" i="12"/>
  <c r="AB8" i="12"/>
  <c r="X8" i="12"/>
  <c r="AC7" i="12"/>
  <c r="AB7" i="12"/>
  <c r="X7" i="12"/>
  <c r="AC6" i="12"/>
  <c r="AB6" i="12"/>
  <c r="X6" i="12"/>
  <c r="AB5" i="12"/>
  <c r="X5" i="12"/>
  <c r="AB4" i="12"/>
  <c r="X4" i="12"/>
  <c r="AB3" i="12"/>
  <c r="X3" i="12"/>
  <c r="AB2" i="12"/>
  <c r="X2" i="12"/>
  <c r="U134" i="11"/>
  <c r="M133" i="11"/>
  <c r="B133" i="11"/>
  <c r="B132" i="11"/>
  <c r="U132" i="11" s="1"/>
  <c r="B131" i="11"/>
  <c r="B130" i="11"/>
  <c r="U129" i="11"/>
  <c r="B129" i="11"/>
  <c r="B128" i="11"/>
  <c r="M127" i="11"/>
  <c r="B127" i="11"/>
  <c r="U127" i="11" s="1"/>
  <c r="B126" i="11"/>
  <c r="U126" i="11" s="1"/>
  <c r="B125" i="11"/>
  <c r="U125" i="11" s="1"/>
  <c r="O123" i="11"/>
  <c r="M123" i="11"/>
  <c r="M130" i="11" s="1"/>
  <c r="M122" i="11"/>
  <c r="K121" i="11"/>
  <c r="J121" i="11"/>
  <c r="I121" i="11"/>
  <c r="H121" i="11"/>
  <c r="G121" i="11"/>
  <c r="F121" i="11"/>
  <c r="E121" i="11"/>
  <c r="D121" i="11"/>
  <c r="C121" i="11"/>
  <c r="B121" i="11"/>
  <c r="A121" i="11"/>
  <c r="U131" i="11" s="1"/>
  <c r="AC119" i="11"/>
  <c r="AB119" i="11"/>
  <c r="X119" i="11"/>
  <c r="AC118" i="11"/>
  <c r="AB118" i="11"/>
  <c r="X118" i="11"/>
  <c r="AC117" i="11"/>
  <c r="AB117" i="11"/>
  <c r="X117" i="11"/>
  <c r="AC116" i="11"/>
  <c r="AB116" i="11"/>
  <c r="X116" i="11"/>
  <c r="AC115" i="11"/>
  <c r="AB115" i="11"/>
  <c r="X115" i="11"/>
  <c r="AC114" i="11"/>
  <c r="AB114" i="11"/>
  <c r="X114" i="11"/>
  <c r="AC113" i="11"/>
  <c r="AB113" i="11"/>
  <c r="X113" i="11"/>
  <c r="AC112" i="11"/>
  <c r="AB112" i="11"/>
  <c r="X112" i="11"/>
  <c r="AC111" i="11"/>
  <c r="AB111" i="11"/>
  <c r="X111" i="11"/>
  <c r="AC110" i="11"/>
  <c r="AB110" i="11"/>
  <c r="X110" i="11"/>
  <c r="AC109" i="11"/>
  <c r="AB109" i="11"/>
  <c r="X109" i="11"/>
  <c r="AC108" i="11"/>
  <c r="AB108" i="11"/>
  <c r="X108" i="11"/>
  <c r="AC107" i="11"/>
  <c r="AB107" i="11"/>
  <c r="X107" i="11"/>
  <c r="AC106" i="11"/>
  <c r="AB106" i="11"/>
  <c r="X106" i="11"/>
  <c r="AC105" i="11"/>
  <c r="AB105" i="11"/>
  <c r="X105" i="11"/>
  <c r="AC104" i="11"/>
  <c r="AB104" i="11"/>
  <c r="X104" i="11"/>
  <c r="AC103" i="11"/>
  <c r="AB103" i="11"/>
  <c r="X103" i="11"/>
  <c r="AC102" i="11"/>
  <c r="AB102" i="11"/>
  <c r="X102" i="11"/>
  <c r="AC101" i="11"/>
  <c r="AB101" i="11"/>
  <c r="X101" i="11"/>
  <c r="AC100" i="11"/>
  <c r="AB100" i="11"/>
  <c r="X100" i="11"/>
  <c r="AC99" i="11"/>
  <c r="AB99" i="11"/>
  <c r="X99" i="11"/>
  <c r="AC98" i="11"/>
  <c r="AB98" i="11"/>
  <c r="X98" i="11"/>
  <c r="AC97" i="11"/>
  <c r="AB97" i="11"/>
  <c r="X97" i="11"/>
  <c r="AC96" i="11"/>
  <c r="AB96" i="11"/>
  <c r="X96" i="11"/>
  <c r="AC95" i="11"/>
  <c r="AB95" i="11"/>
  <c r="X95" i="11"/>
  <c r="AC94" i="11"/>
  <c r="AB94" i="11"/>
  <c r="X94" i="11"/>
  <c r="AC93" i="11"/>
  <c r="AB93" i="11"/>
  <c r="X93" i="11"/>
  <c r="AC92" i="11"/>
  <c r="AB92" i="11"/>
  <c r="X92" i="11"/>
  <c r="AC91" i="11"/>
  <c r="AB91" i="11"/>
  <c r="X91" i="11"/>
  <c r="AC90" i="11"/>
  <c r="AB90" i="11"/>
  <c r="X90" i="11"/>
  <c r="AC89" i="11"/>
  <c r="AB89" i="11"/>
  <c r="X89" i="11"/>
  <c r="AC88" i="11"/>
  <c r="AB88" i="11"/>
  <c r="X88" i="11"/>
  <c r="AC87" i="11"/>
  <c r="AB87" i="11"/>
  <c r="X87" i="11"/>
  <c r="AC86" i="11"/>
  <c r="AB86" i="11"/>
  <c r="X86" i="11"/>
  <c r="AC85" i="11"/>
  <c r="AB85" i="11"/>
  <c r="X85" i="11"/>
  <c r="AC84" i="11"/>
  <c r="AB84" i="11"/>
  <c r="X84" i="11"/>
  <c r="AC83" i="11"/>
  <c r="AB83" i="11"/>
  <c r="X83" i="11"/>
  <c r="AC82" i="11"/>
  <c r="AB82" i="11"/>
  <c r="X82" i="11"/>
  <c r="AC81" i="11"/>
  <c r="AB81" i="11"/>
  <c r="X81" i="11"/>
  <c r="AC80" i="11"/>
  <c r="AB80" i="11"/>
  <c r="X80" i="11"/>
  <c r="AC79" i="11"/>
  <c r="AB79" i="11"/>
  <c r="X79" i="11"/>
  <c r="AC78" i="11"/>
  <c r="AB78" i="11"/>
  <c r="X78" i="11"/>
  <c r="AC77" i="11"/>
  <c r="AB77" i="11"/>
  <c r="X77" i="11"/>
  <c r="AC76" i="11"/>
  <c r="AB76" i="11"/>
  <c r="X76" i="11"/>
  <c r="AC75" i="11"/>
  <c r="AB75" i="11"/>
  <c r="X75" i="11"/>
  <c r="AC74" i="11"/>
  <c r="AB74" i="11"/>
  <c r="X74" i="11"/>
  <c r="AC73" i="11"/>
  <c r="AB73" i="11"/>
  <c r="X73" i="11"/>
  <c r="AC72" i="11"/>
  <c r="AB72" i="11"/>
  <c r="X72" i="11"/>
  <c r="AC71" i="11"/>
  <c r="AB71" i="11"/>
  <c r="X71" i="11"/>
  <c r="AC70" i="11"/>
  <c r="AB70" i="11"/>
  <c r="X70" i="11"/>
  <c r="AC69" i="11"/>
  <c r="AB69" i="11"/>
  <c r="X69" i="11"/>
  <c r="AC68" i="11"/>
  <c r="AB68" i="11"/>
  <c r="X68" i="11"/>
  <c r="AC67" i="11"/>
  <c r="AB67" i="11"/>
  <c r="X67" i="11"/>
  <c r="AC66" i="11"/>
  <c r="AB66" i="11"/>
  <c r="X66" i="11"/>
  <c r="AC65" i="11"/>
  <c r="AB65" i="11"/>
  <c r="X65" i="11"/>
  <c r="AC64" i="11"/>
  <c r="AB64" i="11"/>
  <c r="X64" i="11"/>
  <c r="AC63" i="11"/>
  <c r="AB63" i="11"/>
  <c r="X63" i="11"/>
  <c r="AC62" i="11"/>
  <c r="AB62" i="11"/>
  <c r="X62" i="11"/>
  <c r="AC61" i="11"/>
  <c r="AB61" i="11"/>
  <c r="X61" i="11"/>
  <c r="AC60" i="11"/>
  <c r="AB60" i="11"/>
  <c r="X60" i="11"/>
  <c r="AC59" i="11"/>
  <c r="AB59" i="11"/>
  <c r="X59" i="11"/>
  <c r="AC58" i="11"/>
  <c r="AB58" i="11"/>
  <c r="X58" i="11"/>
  <c r="AC57" i="11"/>
  <c r="AB57" i="11"/>
  <c r="X57" i="11"/>
  <c r="AC56" i="11"/>
  <c r="AB56" i="11"/>
  <c r="X56" i="11"/>
  <c r="AC55" i="11"/>
  <c r="AB55" i="11"/>
  <c r="X55" i="11"/>
  <c r="AC54" i="11"/>
  <c r="AB54" i="11"/>
  <c r="X54" i="11"/>
  <c r="AC53" i="11"/>
  <c r="AB53" i="11"/>
  <c r="X53" i="11"/>
  <c r="AC52" i="11"/>
  <c r="AB52" i="11"/>
  <c r="X52" i="11"/>
  <c r="AC51" i="11"/>
  <c r="AB51" i="11"/>
  <c r="X51" i="11"/>
  <c r="AC50" i="11"/>
  <c r="AB50" i="11"/>
  <c r="X50" i="11"/>
  <c r="AC49" i="11"/>
  <c r="AB49" i="11"/>
  <c r="X49" i="11"/>
  <c r="AC48" i="11"/>
  <c r="AB48" i="11"/>
  <c r="X48" i="11"/>
  <c r="AC47" i="11"/>
  <c r="AB47" i="11"/>
  <c r="X47" i="11"/>
  <c r="AC46" i="11"/>
  <c r="AB46" i="11"/>
  <c r="X46" i="11"/>
  <c r="AC45" i="11"/>
  <c r="AB45" i="11"/>
  <c r="X45" i="11"/>
  <c r="AC44" i="11"/>
  <c r="AB44" i="11"/>
  <c r="X44" i="11"/>
  <c r="AC43" i="11"/>
  <c r="AB43" i="11"/>
  <c r="X43" i="11"/>
  <c r="AC42" i="11"/>
  <c r="AB42" i="11"/>
  <c r="X42" i="11"/>
  <c r="AC41" i="11"/>
  <c r="AB41" i="11"/>
  <c r="X41" i="11"/>
  <c r="AC40" i="11"/>
  <c r="AB40" i="11"/>
  <c r="X40" i="11"/>
  <c r="AC39" i="11"/>
  <c r="AB39" i="11"/>
  <c r="X39" i="11"/>
  <c r="AC38" i="11"/>
  <c r="AB38" i="11"/>
  <c r="X38" i="11"/>
  <c r="AC37" i="11"/>
  <c r="AB37" i="11"/>
  <c r="X37" i="11"/>
  <c r="AC36" i="11"/>
  <c r="AB36" i="11"/>
  <c r="X36" i="11"/>
  <c r="AC35" i="11"/>
  <c r="AB35" i="11"/>
  <c r="X35" i="11"/>
  <c r="AC34" i="11"/>
  <c r="AB34" i="11"/>
  <c r="X34" i="11"/>
  <c r="AC33" i="11"/>
  <c r="AB33" i="11"/>
  <c r="X33" i="11"/>
  <c r="AC32" i="11"/>
  <c r="AB32" i="11"/>
  <c r="X32" i="11"/>
  <c r="AC31" i="11"/>
  <c r="AB31" i="11"/>
  <c r="X31" i="11"/>
  <c r="AC30" i="11"/>
  <c r="AB30" i="11"/>
  <c r="X30" i="11"/>
  <c r="AC29" i="11"/>
  <c r="AB29" i="11"/>
  <c r="X29" i="11"/>
  <c r="AC28" i="11"/>
  <c r="AB28" i="11"/>
  <c r="X28" i="11"/>
  <c r="AC27" i="11"/>
  <c r="AB27" i="11"/>
  <c r="X27" i="11"/>
  <c r="AC26" i="11"/>
  <c r="AB26" i="11"/>
  <c r="X26" i="11"/>
  <c r="AC25" i="11"/>
  <c r="AB25" i="11"/>
  <c r="X25" i="11"/>
  <c r="AC24" i="11"/>
  <c r="AB24" i="11"/>
  <c r="X24" i="11"/>
  <c r="AC23" i="11"/>
  <c r="AB23" i="11"/>
  <c r="X23" i="11"/>
  <c r="AC22" i="11"/>
  <c r="AB22" i="11"/>
  <c r="X22" i="11"/>
  <c r="AC21" i="11"/>
  <c r="AB21" i="11"/>
  <c r="X21" i="11"/>
  <c r="AC20" i="11"/>
  <c r="AB20" i="11"/>
  <c r="X20" i="11"/>
  <c r="AC19" i="11"/>
  <c r="AB19" i="11"/>
  <c r="X19" i="11"/>
  <c r="AC18" i="11"/>
  <c r="AB18" i="11"/>
  <c r="X18" i="11"/>
  <c r="AC17" i="11"/>
  <c r="AB17" i="11"/>
  <c r="X17" i="11"/>
  <c r="AC16" i="11"/>
  <c r="AB16" i="11"/>
  <c r="X16" i="11"/>
  <c r="AC15" i="11"/>
  <c r="AB15" i="11"/>
  <c r="X15" i="11"/>
  <c r="AC14" i="11"/>
  <c r="AB14" i="11"/>
  <c r="X14" i="11"/>
  <c r="AC13" i="11"/>
  <c r="AB13" i="11"/>
  <c r="X13" i="11"/>
  <c r="AC12" i="11"/>
  <c r="AB12" i="11"/>
  <c r="X12" i="11"/>
  <c r="AC11" i="11"/>
  <c r="AB11" i="11"/>
  <c r="X11" i="11"/>
  <c r="AC10" i="11"/>
  <c r="AB10" i="11"/>
  <c r="X10" i="11"/>
  <c r="AC9" i="11"/>
  <c r="AB9" i="11"/>
  <c r="X9" i="11"/>
  <c r="AB8" i="11"/>
  <c r="X8" i="11"/>
  <c r="AC7" i="11"/>
  <c r="AB7" i="11"/>
  <c r="X7" i="11"/>
  <c r="AC6" i="11"/>
  <c r="AB6" i="11"/>
  <c r="X6" i="11"/>
  <c r="AB5" i="11"/>
  <c r="X5" i="11"/>
  <c r="AB4" i="11"/>
  <c r="X4" i="11"/>
  <c r="AB3" i="11"/>
  <c r="X3" i="11"/>
  <c r="AB2" i="11"/>
  <c r="X2" i="11"/>
  <c r="B133" i="10"/>
  <c r="U132" i="10"/>
  <c r="B132" i="10"/>
  <c r="P131" i="10"/>
  <c r="M131" i="10"/>
  <c r="B131" i="10"/>
  <c r="M130" i="10"/>
  <c r="P130" i="10" s="1"/>
  <c r="B130" i="10"/>
  <c r="U130" i="10" s="1"/>
  <c r="B129" i="10"/>
  <c r="U129" i="10" s="1"/>
  <c r="B128" i="10"/>
  <c r="U128" i="10" s="1"/>
  <c r="B127" i="10"/>
  <c r="U126" i="10"/>
  <c r="B126" i="10"/>
  <c r="P125" i="10"/>
  <c r="M125" i="10"/>
  <c r="B125" i="10"/>
  <c r="U125" i="10" s="1"/>
  <c r="O123" i="10"/>
  <c r="M123" i="10"/>
  <c r="M133" i="10" s="1"/>
  <c r="P133" i="10" s="1"/>
  <c r="M122" i="10"/>
  <c r="K121" i="10"/>
  <c r="J121" i="10"/>
  <c r="U133" i="10" s="1"/>
  <c r="I121" i="10"/>
  <c r="H121" i="10"/>
  <c r="G121" i="10"/>
  <c r="F121" i="10"/>
  <c r="E121" i="10"/>
  <c r="D121" i="10"/>
  <c r="U127" i="10" s="1"/>
  <c r="C121" i="10"/>
  <c r="B121" i="10"/>
  <c r="A121" i="10"/>
  <c r="AC119" i="10"/>
  <c r="AB119" i="10"/>
  <c r="X119" i="10"/>
  <c r="AC118" i="10"/>
  <c r="AB118" i="10"/>
  <c r="X118" i="10"/>
  <c r="AC117" i="10"/>
  <c r="AB117" i="10"/>
  <c r="X117" i="10"/>
  <c r="AC116" i="10"/>
  <c r="AB116" i="10"/>
  <c r="X116" i="10"/>
  <c r="AC115" i="10"/>
  <c r="AB115" i="10"/>
  <c r="X115" i="10"/>
  <c r="AC114" i="10"/>
  <c r="AB114" i="10"/>
  <c r="X114" i="10"/>
  <c r="AC113" i="10"/>
  <c r="AB113" i="10"/>
  <c r="X113" i="10"/>
  <c r="AC112" i="10"/>
  <c r="AB112" i="10"/>
  <c r="X112" i="10"/>
  <c r="AC111" i="10"/>
  <c r="AB111" i="10"/>
  <c r="X111" i="10"/>
  <c r="AC110" i="10"/>
  <c r="AB110" i="10"/>
  <c r="X110" i="10"/>
  <c r="AC109" i="10"/>
  <c r="AB109" i="10"/>
  <c r="X109" i="10"/>
  <c r="AC108" i="10"/>
  <c r="AB108" i="10"/>
  <c r="X108" i="10"/>
  <c r="AC107" i="10"/>
  <c r="AB107" i="10"/>
  <c r="X107" i="10"/>
  <c r="AC106" i="10"/>
  <c r="AB106" i="10"/>
  <c r="X106" i="10"/>
  <c r="AC105" i="10"/>
  <c r="AB105" i="10"/>
  <c r="X105" i="10"/>
  <c r="AC104" i="10"/>
  <c r="AB104" i="10"/>
  <c r="X104" i="10"/>
  <c r="AC103" i="10"/>
  <c r="AB103" i="10"/>
  <c r="X103" i="10"/>
  <c r="AC102" i="10"/>
  <c r="AB102" i="10"/>
  <c r="X102" i="10"/>
  <c r="AC101" i="10"/>
  <c r="AB101" i="10"/>
  <c r="X101" i="10"/>
  <c r="AC100" i="10"/>
  <c r="AB100" i="10"/>
  <c r="X100" i="10"/>
  <c r="AC99" i="10"/>
  <c r="AB99" i="10"/>
  <c r="X99" i="10"/>
  <c r="AC98" i="10"/>
  <c r="AB98" i="10"/>
  <c r="X98" i="10"/>
  <c r="AC97" i="10"/>
  <c r="AB97" i="10"/>
  <c r="X97" i="10"/>
  <c r="AC96" i="10"/>
  <c r="AB96" i="10"/>
  <c r="X96" i="10"/>
  <c r="AC95" i="10"/>
  <c r="AB95" i="10"/>
  <c r="X95" i="10"/>
  <c r="AC94" i="10"/>
  <c r="AB94" i="10"/>
  <c r="X94" i="10"/>
  <c r="AC93" i="10"/>
  <c r="AB93" i="10"/>
  <c r="X93" i="10"/>
  <c r="AC92" i="10"/>
  <c r="AB92" i="10"/>
  <c r="X92" i="10"/>
  <c r="AC91" i="10"/>
  <c r="AB91" i="10"/>
  <c r="X91" i="10"/>
  <c r="AC90" i="10"/>
  <c r="AB90" i="10"/>
  <c r="X90" i="10"/>
  <c r="AC89" i="10"/>
  <c r="AB89" i="10"/>
  <c r="X89" i="10"/>
  <c r="AC88" i="10"/>
  <c r="AB88" i="10"/>
  <c r="X88" i="10"/>
  <c r="AC87" i="10"/>
  <c r="AB87" i="10"/>
  <c r="X87" i="10"/>
  <c r="AC86" i="10"/>
  <c r="AB86" i="10"/>
  <c r="X86" i="10"/>
  <c r="AC85" i="10"/>
  <c r="AB85" i="10"/>
  <c r="X85" i="10"/>
  <c r="AC84" i="10"/>
  <c r="AB84" i="10"/>
  <c r="X84" i="10"/>
  <c r="AC83" i="10"/>
  <c r="AB83" i="10"/>
  <c r="X83" i="10"/>
  <c r="AC82" i="10"/>
  <c r="AB82" i="10"/>
  <c r="X82" i="10"/>
  <c r="AC81" i="10"/>
  <c r="AB81" i="10"/>
  <c r="X81" i="10"/>
  <c r="AC80" i="10"/>
  <c r="AB80" i="10"/>
  <c r="X80" i="10"/>
  <c r="AC79" i="10"/>
  <c r="AB79" i="10"/>
  <c r="X79" i="10"/>
  <c r="AC78" i="10"/>
  <c r="AB78" i="10"/>
  <c r="X78" i="10"/>
  <c r="AC77" i="10"/>
  <c r="AB77" i="10"/>
  <c r="X77" i="10"/>
  <c r="AC76" i="10"/>
  <c r="AB76" i="10"/>
  <c r="X76" i="10"/>
  <c r="AC75" i="10"/>
  <c r="AB75" i="10"/>
  <c r="X75" i="10"/>
  <c r="AC74" i="10"/>
  <c r="AB74" i="10"/>
  <c r="X74" i="10"/>
  <c r="AC73" i="10"/>
  <c r="AB73" i="10"/>
  <c r="X73" i="10"/>
  <c r="AC72" i="10"/>
  <c r="AB72" i="10"/>
  <c r="X72" i="10"/>
  <c r="AC71" i="10"/>
  <c r="AB71" i="10"/>
  <c r="X71" i="10"/>
  <c r="AC70" i="10"/>
  <c r="AB70" i="10"/>
  <c r="X70" i="10"/>
  <c r="AC69" i="10"/>
  <c r="AB69" i="10"/>
  <c r="X69" i="10"/>
  <c r="AC68" i="10"/>
  <c r="AB68" i="10"/>
  <c r="X68" i="10"/>
  <c r="AC67" i="10"/>
  <c r="AB67" i="10"/>
  <c r="X67" i="10"/>
  <c r="AC66" i="10"/>
  <c r="AB66" i="10"/>
  <c r="X66" i="10"/>
  <c r="AC65" i="10"/>
  <c r="AB65" i="10"/>
  <c r="X65" i="10"/>
  <c r="AC64" i="10"/>
  <c r="AB64" i="10"/>
  <c r="X64" i="10"/>
  <c r="AC63" i="10"/>
  <c r="AB63" i="10"/>
  <c r="X63" i="10"/>
  <c r="AC62" i="10"/>
  <c r="AB62" i="10"/>
  <c r="X62" i="10"/>
  <c r="AC61" i="10"/>
  <c r="AB61" i="10"/>
  <c r="X61" i="10"/>
  <c r="AC60" i="10"/>
  <c r="AB60" i="10"/>
  <c r="X60" i="10"/>
  <c r="AC59" i="10"/>
  <c r="AB59" i="10"/>
  <c r="X59" i="10"/>
  <c r="AC58" i="10"/>
  <c r="AB58" i="10"/>
  <c r="X58" i="10"/>
  <c r="AC57" i="10"/>
  <c r="AB57" i="10"/>
  <c r="X57" i="10"/>
  <c r="AC56" i="10"/>
  <c r="AB56" i="10"/>
  <c r="X56" i="10"/>
  <c r="AC55" i="10"/>
  <c r="AB55" i="10"/>
  <c r="X55" i="10"/>
  <c r="AC54" i="10"/>
  <c r="AB54" i="10"/>
  <c r="X54" i="10"/>
  <c r="AC53" i="10"/>
  <c r="AB53" i="10"/>
  <c r="X53" i="10"/>
  <c r="AC52" i="10"/>
  <c r="AB52" i="10"/>
  <c r="X52" i="10"/>
  <c r="AC51" i="10"/>
  <c r="AB51" i="10"/>
  <c r="X51" i="10"/>
  <c r="AC50" i="10"/>
  <c r="AB50" i="10"/>
  <c r="X50" i="10"/>
  <c r="AC49" i="10"/>
  <c r="AB49" i="10"/>
  <c r="X49" i="10"/>
  <c r="AC48" i="10"/>
  <c r="AB48" i="10"/>
  <c r="X48" i="10"/>
  <c r="AC47" i="10"/>
  <c r="AB47" i="10"/>
  <c r="X47" i="10"/>
  <c r="AC46" i="10"/>
  <c r="AB46" i="10"/>
  <c r="X46" i="10"/>
  <c r="AC45" i="10"/>
  <c r="AB45" i="10"/>
  <c r="X45" i="10"/>
  <c r="AC44" i="10"/>
  <c r="AB44" i="10"/>
  <c r="X44" i="10"/>
  <c r="AC43" i="10"/>
  <c r="AB43" i="10"/>
  <c r="X43" i="10"/>
  <c r="AC42" i="10"/>
  <c r="AB42" i="10"/>
  <c r="X42" i="10"/>
  <c r="AC41" i="10"/>
  <c r="AB41" i="10"/>
  <c r="X41" i="10"/>
  <c r="AC40" i="10"/>
  <c r="AB40" i="10"/>
  <c r="X40" i="10"/>
  <c r="AC39" i="10"/>
  <c r="AB39" i="10"/>
  <c r="X39" i="10"/>
  <c r="AC38" i="10"/>
  <c r="AB38" i="10"/>
  <c r="X38" i="10"/>
  <c r="AC37" i="10"/>
  <c r="AB37" i="10"/>
  <c r="X37" i="10"/>
  <c r="AC36" i="10"/>
  <c r="AB36" i="10"/>
  <c r="X36" i="10"/>
  <c r="AC35" i="10"/>
  <c r="AB35" i="10"/>
  <c r="X35" i="10"/>
  <c r="AC34" i="10"/>
  <c r="AB34" i="10"/>
  <c r="X34" i="10"/>
  <c r="AC33" i="10"/>
  <c r="AB33" i="10"/>
  <c r="X33" i="10"/>
  <c r="AC32" i="10"/>
  <c r="AB32" i="10"/>
  <c r="X32" i="10"/>
  <c r="AC31" i="10"/>
  <c r="AB31" i="10"/>
  <c r="X31" i="10"/>
  <c r="AC30" i="10"/>
  <c r="AB30" i="10"/>
  <c r="X30" i="10"/>
  <c r="AC29" i="10"/>
  <c r="AB29" i="10"/>
  <c r="X29" i="10"/>
  <c r="AC28" i="10"/>
  <c r="AB28" i="10"/>
  <c r="X28" i="10"/>
  <c r="AC27" i="10"/>
  <c r="AB27" i="10"/>
  <c r="X27" i="10"/>
  <c r="AC26" i="10"/>
  <c r="AB26" i="10"/>
  <c r="X26" i="10"/>
  <c r="AC25" i="10"/>
  <c r="AB25" i="10"/>
  <c r="X25" i="10"/>
  <c r="AC24" i="10"/>
  <c r="AB24" i="10"/>
  <c r="X24" i="10"/>
  <c r="AC23" i="10"/>
  <c r="AB23" i="10"/>
  <c r="X23" i="10"/>
  <c r="AC22" i="10"/>
  <c r="AB22" i="10"/>
  <c r="X22" i="10"/>
  <c r="AC21" i="10"/>
  <c r="AB21" i="10"/>
  <c r="X21" i="10"/>
  <c r="AC20" i="10"/>
  <c r="AB20" i="10"/>
  <c r="X20" i="10"/>
  <c r="AC19" i="10"/>
  <c r="AB19" i="10"/>
  <c r="X19" i="10"/>
  <c r="AC18" i="10"/>
  <c r="AB18" i="10"/>
  <c r="X18" i="10"/>
  <c r="AC17" i="10"/>
  <c r="AB17" i="10"/>
  <c r="X17" i="10"/>
  <c r="AC16" i="10"/>
  <c r="AB16" i="10"/>
  <c r="X16" i="10"/>
  <c r="AC15" i="10"/>
  <c r="AB15" i="10"/>
  <c r="X15" i="10"/>
  <c r="AC14" i="10"/>
  <c r="AB14" i="10"/>
  <c r="X14" i="10"/>
  <c r="AC13" i="10"/>
  <c r="AB13" i="10"/>
  <c r="X13" i="10"/>
  <c r="AC12" i="10"/>
  <c r="AB12" i="10"/>
  <c r="X12" i="10"/>
  <c r="AC11" i="10"/>
  <c r="AB11" i="10"/>
  <c r="X11" i="10"/>
  <c r="AC10" i="10"/>
  <c r="AB10" i="10"/>
  <c r="X10" i="10"/>
  <c r="AC9" i="10"/>
  <c r="AB9" i="10"/>
  <c r="X9" i="10"/>
  <c r="AB8" i="10"/>
  <c r="X8" i="10"/>
  <c r="AC7" i="10"/>
  <c r="AB7" i="10"/>
  <c r="X7" i="10"/>
  <c r="AC6" i="10"/>
  <c r="AB6" i="10"/>
  <c r="X6" i="10"/>
  <c r="AB5" i="10"/>
  <c r="X5" i="10"/>
  <c r="AB4" i="10"/>
  <c r="X4" i="10"/>
  <c r="AB3" i="10"/>
  <c r="X3" i="10"/>
  <c r="AB2" i="10"/>
  <c r="X2" i="10"/>
  <c r="U134" i="9"/>
  <c r="B133" i="9"/>
  <c r="M132" i="9"/>
  <c r="P132" i="9" s="1"/>
  <c r="B132" i="9"/>
  <c r="U132" i="9" s="1"/>
  <c r="B131" i="9"/>
  <c r="U131" i="9" s="1"/>
  <c r="B130" i="9"/>
  <c r="U130" i="9" s="1"/>
  <c r="U129" i="9"/>
  <c r="B129" i="9"/>
  <c r="B128" i="9"/>
  <c r="U128" i="9" s="1"/>
  <c r="P127" i="9"/>
  <c r="M127" i="9"/>
  <c r="B127" i="9"/>
  <c r="U127" i="9" s="1"/>
  <c r="B126" i="9"/>
  <c r="U126" i="9" s="1"/>
  <c r="B125" i="9"/>
  <c r="U125" i="9" s="1"/>
  <c r="O123" i="9"/>
  <c r="M123" i="9"/>
  <c r="M134" i="9" s="1"/>
  <c r="P134" i="9" s="1"/>
  <c r="W134" i="9" s="1"/>
  <c r="M122" i="9"/>
  <c r="K121" i="9"/>
  <c r="J121" i="9"/>
  <c r="I121" i="9"/>
  <c r="H121" i="9"/>
  <c r="G121" i="9"/>
  <c r="F121" i="9"/>
  <c r="E121" i="9"/>
  <c r="D121" i="9"/>
  <c r="C121" i="9"/>
  <c r="B121" i="9"/>
  <c r="A121" i="9"/>
  <c r="U133" i="9" s="1"/>
  <c r="AC119" i="9"/>
  <c r="AB119" i="9"/>
  <c r="X119" i="9"/>
  <c r="AC118" i="9"/>
  <c r="AB118" i="9"/>
  <c r="X118" i="9"/>
  <c r="AC117" i="9"/>
  <c r="AB117" i="9"/>
  <c r="X117" i="9"/>
  <c r="AC116" i="9"/>
  <c r="AB116" i="9"/>
  <c r="X116" i="9"/>
  <c r="AC115" i="9"/>
  <c r="AB115" i="9"/>
  <c r="X115" i="9"/>
  <c r="AC114" i="9"/>
  <c r="AB114" i="9"/>
  <c r="X114" i="9"/>
  <c r="AC113" i="9"/>
  <c r="AB113" i="9"/>
  <c r="X113" i="9"/>
  <c r="AC112" i="9"/>
  <c r="AB112" i="9"/>
  <c r="X112" i="9"/>
  <c r="AC111" i="9"/>
  <c r="AB111" i="9"/>
  <c r="X111" i="9"/>
  <c r="AC110" i="9"/>
  <c r="AB110" i="9"/>
  <c r="X110" i="9"/>
  <c r="AC109" i="9"/>
  <c r="AB109" i="9"/>
  <c r="X109" i="9"/>
  <c r="AC108" i="9"/>
  <c r="AB108" i="9"/>
  <c r="X108" i="9"/>
  <c r="AC107" i="9"/>
  <c r="AB107" i="9"/>
  <c r="X107" i="9"/>
  <c r="AC106" i="9"/>
  <c r="AB106" i="9"/>
  <c r="X106" i="9"/>
  <c r="AC105" i="9"/>
  <c r="AB105" i="9"/>
  <c r="X105" i="9"/>
  <c r="AC104" i="9"/>
  <c r="AB104" i="9"/>
  <c r="X104" i="9"/>
  <c r="AC103" i="9"/>
  <c r="AB103" i="9"/>
  <c r="X103" i="9"/>
  <c r="AC102" i="9"/>
  <c r="AB102" i="9"/>
  <c r="X102" i="9"/>
  <c r="AC101" i="9"/>
  <c r="AB101" i="9"/>
  <c r="X101" i="9"/>
  <c r="AC100" i="9"/>
  <c r="AB100" i="9"/>
  <c r="X100" i="9"/>
  <c r="AC99" i="9"/>
  <c r="AB99" i="9"/>
  <c r="X99" i="9"/>
  <c r="AC98" i="9"/>
  <c r="AB98" i="9"/>
  <c r="X98" i="9"/>
  <c r="AC97" i="9"/>
  <c r="AB97" i="9"/>
  <c r="X97" i="9"/>
  <c r="AC96" i="9"/>
  <c r="AB96" i="9"/>
  <c r="X96" i="9"/>
  <c r="AC95" i="9"/>
  <c r="AB95" i="9"/>
  <c r="X95" i="9"/>
  <c r="AC94" i="9"/>
  <c r="AB94" i="9"/>
  <c r="X94" i="9"/>
  <c r="AC93" i="9"/>
  <c r="AB93" i="9"/>
  <c r="X93" i="9"/>
  <c r="AC92" i="9"/>
  <c r="AB92" i="9"/>
  <c r="X92" i="9"/>
  <c r="AC91" i="9"/>
  <c r="AB91" i="9"/>
  <c r="X91" i="9"/>
  <c r="AC90" i="9"/>
  <c r="AB90" i="9"/>
  <c r="X90" i="9"/>
  <c r="AC89" i="9"/>
  <c r="AB89" i="9"/>
  <c r="X89" i="9"/>
  <c r="AC88" i="9"/>
  <c r="AB88" i="9"/>
  <c r="X88" i="9"/>
  <c r="AC87" i="9"/>
  <c r="AB87" i="9"/>
  <c r="X87" i="9"/>
  <c r="AC86" i="9"/>
  <c r="AB86" i="9"/>
  <c r="X86" i="9"/>
  <c r="AC85" i="9"/>
  <c r="AB85" i="9"/>
  <c r="X85" i="9"/>
  <c r="AC84" i="9"/>
  <c r="AB84" i="9"/>
  <c r="X84" i="9"/>
  <c r="AC83" i="9"/>
  <c r="AB83" i="9"/>
  <c r="X83" i="9"/>
  <c r="AC82" i="9"/>
  <c r="AB82" i="9"/>
  <c r="X82" i="9"/>
  <c r="AC81" i="9"/>
  <c r="AB81" i="9"/>
  <c r="X81" i="9"/>
  <c r="AC80" i="9"/>
  <c r="AB80" i="9"/>
  <c r="X80" i="9"/>
  <c r="AC79" i="9"/>
  <c r="AB79" i="9"/>
  <c r="X79" i="9"/>
  <c r="AC78" i="9"/>
  <c r="AB78" i="9"/>
  <c r="X78" i="9"/>
  <c r="AC77" i="9"/>
  <c r="AB77" i="9"/>
  <c r="X77" i="9"/>
  <c r="AC76" i="9"/>
  <c r="AB76" i="9"/>
  <c r="X76" i="9"/>
  <c r="AC75" i="9"/>
  <c r="AB75" i="9"/>
  <c r="X75" i="9"/>
  <c r="AC74" i="9"/>
  <c r="AB74" i="9"/>
  <c r="X74" i="9"/>
  <c r="AC73" i="9"/>
  <c r="AB73" i="9"/>
  <c r="X73" i="9"/>
  <c r="AC72" i="9"/>
  <c r="AB72" i="9"/>
  <c r="X72" i="9"/>
  <c r="AC71" i="9"/>
  <c r="AB71" i="9"/>
  <c r="X71" i="9"/>
  <c r="AC70" i="9"/>
  <c r="AB70" i="9"/>
  <c r="X70" i="9"/>
  <c r="AC69" i="9"/>
  <c r="AB69" i="9"/>
  <c r="X69" i="9"/>
  <c r="AC68" i="9"/>
  <c r="AB68" i="9"/>
  <c r="X68" i="9"/>
  <c r="AC67" i="9"/>
  <c r="AB67" i="9"/>
  <c r="X67" i="9"/>
  <c r="AC66" i="9"/>
  <c r="AB66" i="9"/>
  <c r="X66" i="9"/>
  <c r="AC65" i="9"/>
  <c r="AB65" i="9"/>
  <c r="X65" i="9"/>
  <c r="AC64" i="9"/>
  <c r="AB64" i="9"/>
  <c r="X64" i="9"/>
  <c r="AC63" i="9"/>
  <c r="AB63" i="9"/>
  <c r="X63" i="9"/>
  <c r="AC62" i="9"/>
  <c r="AB62" i="9"/>
  <c r="X62" i="9"/>
  <c r="AC61" i="9"/>
  <c r="AB61" i="9"/>
  <c r="X61" i="9"/>
  <c r="AC60" i="9"/>
  <c r="AB60" i="9"/>
  <c r="X60" i="9"/>
  <c r="AC59" i="9"/>
  <c r="AB59" i="9"/>
  <c r="X59" i="9"/>
  <c r="AC58" i="9"/>
  <c r="AB58" i="9"/>
  <c r="X58" i="9"/>
  <c r="AC57" i="9"/>
  <c r="AB57" i="9"/>
  <c r="X57" i="9"/>
  <c r="AC56" i="9"/>
  <c r="AB56" i="9"/>
  <c r="X56" i="9"/>
  <c r="AC55" i="9"/>
  <c r="AB55" i="9"/>
  <c r="X55" i="9"/>
  <c r="AC54" i="9"/>
  <c r="AB54" i="9"/>
  <c r="X54" i="9"/>
  <c r="AC53" i="9"/>
  <c r="AB53" i="9"/>
  <c r="X53" i="9"/>
  <c r="AC52" i="9"/>
  <c r="AB52" i="9"/>
  <c r="X52" i="9"/>
  <c r="AC51" i="9"/>
  <c r="AB51" i="9"/>
  <c r="X51" i="9"/>
  <c r="AC50" i="9"/>
  <c r="AB50" i="9"/>
  <c r="X50" i="9"/>
  <c r="AC49" i="9"/>
  <c r="AB49" i="9"/>
  <c r="X49" i="9"/>
  <c r="AC48" i="9"/>
  <c r="AB48" i="9"/>
  <c r="X48" i="9"/>
  <c r="AC47" i="9"/>
  <c r="AB47" i="9"/>
  <c r="X47" i="9"/>
  <c r="AC46" i="9"/>
  <c r="AB46" i="9"/>
  <c r="X46" i="9"/>
  <c r="AC45" i="9"/>
  <c r="AB45" i="9"/>
  <c r="X45" i="9"/>
  <c r="AC44" i="9"/>
  <c r="AB44" i="9"/>
  <c r="X44" i="9"/>
  <c r="AC43" i="9"/>
  <c r="AB43" i="9"/>
  <c r="X43" i="9"/>
  <c r="AC42" i="9"/>
  <c r="AB42" i="9"/>
  <c r="X42" i="9"/>
  <c r="AC41" i="9"/>
  <c r="AB41" i="9"/>
  <c r="X41" i="9"/>
  <c r="AC40" i="9"/>
  <c r="AB40" i="9"/>
  <c r="X40" i="9"/>
  <c r="AC39" i="9"/>
  <c r="AB39" i="9"/>
  <c r="X39" i="9"/>
  <c r="AC38" i="9"/>
  <c r="AB38" i="9"/>
  <c r="X38" i="9"/>
  <c r="AC37" i="9"/>
  <c r="AB37" i="9"/>
  <c r="X37" i="9"/>
  <c r="AC36" i="9"/>
  <c r="AB36" i="9"/>
  <c r="X36" i="9"/>
  <c r="AC35" i="9"/>
  <c r="AB35" i="9"/>
  <c r="X35" i="9"/>
  <c r="AC34" i="9"/>
  <c r="AB34" i="9"/>
  <c r="X34" i="9"/>
  <c r="AC33" i="9"/>
  <c r="AB33" i="9"/>
  <c r="X33" i="9"/>
  <c r="AC32" i="9"/>
  <c r="AB32" i="9"/>
  <c r="X32" i="9"/>
  <c r="AC31" i="9"/>
  <c r="AB31" i="9"/>
  <c r="X31" i="9"/>
  <c r="AC30" i="9"/>
  <c r="AB30" i="9"/>
  <c r="X30" i="9"/>
  <c r="AC29" i="9"/>
  <c r="AB29" i="9"/>
  <c r="X29" i="9"/>
  <c r="AC28" i="9"/>
  <c r="AB28" i="9"/>
  <c r="X28" i="9"/>
  <c r="AC27" i="9"/>
  <c r="AB27" i="9"/>
  <c r="X27" i="9"/>
  <c r="AC26" i="9"/>
  <c r="AB26" i="9"/>
  <c r="X26" i="9"/>
  <c r="AC25" i="9"/>
  <c r="AB25" i="9"/>
  <c r="X25" i="9"/>
  <c r="AC24" i="9"/>
  <c r="AB24" i="9"/>
  <c r="X24" i="9"/>
  <c r="AC23" i="9"/>
  <c r="AB23" i="9"/>
  <c r="X23" i="9"/>
  <c r="AC22" i="9"/>
  <c r="AB22" i="9"/>
  <c r="X22" i="9"/>
  <c r="AC21" i="9"/>
  <c r="AB21" i="9"/>
  <c r="X21" i="9"/>
  <c r="AC20" i="9"/>
  <c r="AB20" i="9"/>
  <c r="X20" i="9"/>
  <c r="AC19" i="9"/>
  <c r="AB19" i="9"/>
  <c r="X19" i="9"/>
  <c r="AC18" i="9"/>
  <c r="AB18" i="9"/>
  <c r="X18" i="9"/>
  <c r="AC17" i="9"/>
  <c r="AB17" i="9"/>
  <c r="X17" i="9"/>
  <c r="AC16" i="9"/>
  <c r="AB16" i="9"/>
  <c r="X16" i="9"/>
  <c r="AC15" i="9"/>
  <c r="AB15" i="9"/>
  <c r="X15" i="9"/>
  <c r="AC14" i="9"/>
  <c r="AB14" i="9"/>
  <c r="X14" i="9"/>
  <c r="AC13" i="9"/>
  <c r="AB13" i="9"/>
  <c r="X13" i="9"/>
  <c r="AC12" i="9"/>
  <c r="AB12" i="9"/>
  <c r="X12" i="9"/>
  <c r="AC11" i="9"/>
  <c r="AB11" i="9"/>
  <c r="X11" i="9"/>
  <c r="AC10" i="9"/>
  <c r="AB10" i="9"/>
  <c r="X10" i="9"/>
  <c r="AC9" i="9"/>
  <c r="AB9" i="9"/>
  <c r="X9" i="9"/>
  <c r="AB8" i="9"/>
  <c r="X8" i="9"/>
  <c r="AC7" i="9"/>
  <c r="AB7" i="9"/>
  <c r="X7" i="9"/>
  <c r="AC6" i="9"/>
  <c r="AB6" i="9"/>
  <c r="X6" i="9"/>
  <c r="AB5" i="9"/>
  <c r="X5" i="9"/>
  <c r="AB4" i="9"/>
  <c r="X4" i="9"/>
  <c r="AB3" i="9"/>
  <c r="X3" i="9"/>
  <c r="AB2" i="9"/>
  <c r="X2" i="9"/>
  <c r="B133" i="8"/>
  <c r="U133" i="8" s="1"/>
  <c r="U132" i="8"/>
  <c r="B132" i="8"/>
  <c r="B131" i="8"/>
  <c r="P130" i="8"/>
  <c r="W130" i="8" s="1"/>
  <c r="M130" i="8"/>
  <c r="B130" i="8"/>
  <c r="U130" i="8" s="1"/>
  <c r="B129" i="8"/>
  <c r="B128" i="8"/>
  <c r="U128" i="8" s="1"/>
  <c r="B127" i="8"/>
  <c r="U127" i="8" s="1"/>
  <c r="B126" i="8"/>
  <c r="U126" i="8" s="1"/>
  <c r="U125" i="8"/>
  <c r="B125" i="8"/>
  <c r="O123" i="8"/>
  <c r="M123" i="8"/>
  <c r="M132" i="8" s="1"/>
  <c r="P132" i="8" s="1"/>
  <c r="W132" i="8" s="1"/>
  <c r="M122" i="8"/>
  <c r="K121" i="8"/>
  <c r="J121" i="8"/>
  <c r="I121" i="8"/>
  <c r="H121" i="8"/>
  <c r="G121" i="8"/>
  <c r="F121" i="8"/>
  <c r="E121" i="8"/>
  <c r="D121" i="8"/>
  <c r="C121" i="8"/>
  <c r="B121" i="8"/>
  <c r="A121" i="8"/>
  <c r="U134" i="8" s="1"/>
  <c r="AC119" i="8"/>
  <c r="AB119" i="8"/>
  <c r="X119" i="8"/>
  <c r="AC118" i="8"/>
  <c r="AB118" i="8"/>
  <c r="X118" i="8"/>
  <c r="AC117" i="8"/>
  <c r="AB117" i="8"/>
  <c r="X117" i="8"/>
  <c r="AC116" i="8"/>
  <c r="AB116" i="8"/>
  <c r="X116" i="8"/>
  <c r="AC115" i="8"/>
  <c r="AB115" i="8"/>
  <c r="X115" i="8"/>
  <c r="AC114" i="8"/>
  <c r="AB114" i="8"/>
  <c r="X114" i="8"/>
  <c r="AC113" i="8"/>
  <c r="AB113" i="8"/>
  <c r="X113" i="8"/>
  <c r="AC112" i="8"/>
  <c r="AB112" i="8"/>
  <c r="X112" i="8"/>
  <c r="AC111" i="8"/>
  <c r="AB111" i="8"/>
  <c r="X111" i="8"/>
  <c r="AC110" i="8"/>
  <c r="AB110" i="8"/>
  <c r="X110" i="8"/>
  <c r="AC109" i="8"/>
  <c r="AB109" i="8"/>
  <c r="X109" i="8"/>
  <c r="AC108" i="8"/>
  <c r="AB108" i="8"/>
  <c r="X108" i="8"/>
  <c r="AC107" i="8"/>
  <c r="AB107" i="8"/>
  <c r="X107" i="8"/>
  <c r="AC106" i="8"/>
  <c r="AB106" i="8"/>
  <c r="X106" i="8"/>
  <c r="AC105" i="8"/>
  <c r="AB105" i="8"/>
  <c r="X105" i="8"/>
  <c r="AC104" i="8"/>
  <c r="AB104" i="8"/>
  <c r="X104" i="8"/>
  <c r="AC103" i="8"/>
  <c r="AB103" i="8"/>
  <c r="X103" i="8"/>
  <c r="AC102" i="8"/>
  <c r="AB102" i="8"/>
  <c r="X102" i="8"/>
  <c r="AC101" i="8"/>
  <c r="AB101" i="8"/>
  <c r="X101" i="8"/>
  <c r="AC100" i="8"/>
  <c r="AB100" i="8"/>
  <c r="X100" i="8"/>
  <c r="AC99" i="8"/>
  <c r="AB99" i="8"/>
  <c r="X99" i="8"/>
  <c r="AC98" i="8"/>
  <c r="AB98" i="8"/>
  <c r="X98" i="8"/>
  <c r="AC97" i="8"/>
  <c r="AB97" i="8"/>
  <c r="X97" i="8"/>
  <c r="AC96" i="8"/>
  <c r="AB96" i="8"/>
  <c r="X96" i="8"/>
  <c r="AC95" i="8"/>
  <c r="AB95" i="8"/>
  <c r="X95" i="8"/>
  <c r="AC94" i="8"/>
  <c r="AB94" i="8"/>
  <c r="X94" i="8"/>
  <c r="AC93" i="8"/>
  <c r="AB93" i="8"/>
  <c r="X93" i="8"/>
  <c r="AC92" i="8"/>
  <c r="AB92" i="8"/>
  <c r="X92" i="8"/>
  <c r="AC91" i="8"/>
  <c r="AB91" i="8"/>
  <c r="X91" i="8"/>
  <c r="AC90" i="8"/>
  <c r="AB90" i="8"/>
  <c r="X90" i="8"/>
  <c r="AC89" i="8"/>
  <c r="AB89" i="8"/>
  <c r="X89" i="8"/>
  <c r="AC88" i="8"/>
  <c r="AB88" i="8"/>
  <c r="X88" i="8"/>
  <c r="AC87" i="8"/>
  <c r="AB87" i="8"/>
  <c r="X87" i="8"/>
  <c r="AC86" i="8"/>
  <c r="AB86" i="8"/>
  <c r="X86" i="8"/>
  <c r="AC85" i="8"/>
  <c r="AB85" i="8"/>
  <c r="X85" i="8"/>
  <c r="AC84" i="8"/>
  <c r="AB84" i="8"/>
  <c r="X84" i="8"/>
  <c r="AC83" i="8"/>
  <c r="AB83" i="8"/>
  <c r="X83" i="8"/>
  <c r="AC82" i="8"/>
  <c r="AB82" i="8"/>
  <c r="X82" i="8"/>
  <c r="AC81" i="8"/>
  <c r="AB81" i="8"/>
  <c r="X81" i="8"/>
  <c r="AC80" i="8"/>
  <c r="AB80" i="8"/>
  <c r="X80" i="8"/>
  <c r="AC79" i="8"/>
  <c r="AB79" i="8"/>
  <c r="X79" i="8"/>
  <c r="AC78" i="8"/>
  <c r="AB78" i="8"/>
  <c r="X78" i="8"/>
  <c r="AC77" i="8"/>
  <c r="AB77" i="8"/>
  <c r="X77" i="8"/>
  <c r="AC76" i="8"/>
  <c r="AB76" i="8"/>
  <c r="X76" i="8"/>
  <c r="AC75" i="8"/>
  <c r="AB75" i="8"/>
  <c r="X75" i="8"/>
  <c r="AC74" i="8"/>
  <c r="AB74" i="8"/>
  <c r="X74" i="8"/>
  <c r="AC73" i="8"/>
  <c r="AB73" i="8"/>
  <c r="X73" i="8"/>
  <c r="AC72" i="8"/>
  <c r="AB72" i="8"/>
  <c r="X72" i="8"/>
  <c r="AC71" i="8"/>
  <c r="AB71" i="8"/>
  <c r="X71" i="8"/>
  <c r="AC70" i="8"/>
  <c r="AB70" i="8"/>
  <c r="X70" i="8"/>
  <c r="AC69" i="8"/>
  <c r="AB69" i="8"/>
  <c r="X69" i="8"/>
  <c r="AC68" i="8"/>
  <c r="AB68" i="8"/>
  <c r="X68" i="8"/>
  <c r="AC67" i="8"/>
  <c r="AB67" i="8"/>
  <c r="X67" i="8"/>
  <c r="AC66" i="8"/>
  <c r="AB66" i="8"/>
  <c r="X66" i="8"/>
  <c r="AC65" i="8"/>
  <c r="AB65" i="8"/>
  <c r="X65" i="8"/>
  <c r="AC64" i="8"/>
  <c r="AB64" i="8"/>
  <c r="X64" i="8"/>
  <c r="AC63" i="8"/>
  <c r="AB63" i="8"/>
  <c r="X63" i="8"/>
  <c r="AC62" i="8"/>
  <c r="AB62" i="8"/>
  <c r="X62" i="8"/>
  <c r="AC61" i="8"/>
  <c r="AB61" i="8"/>
  <c r="X61" i="8"/>
  <c r="AC60" i="8"/>
  <c r="AB60" i="8"/>
  <c r="X60" i="8"/>
  <c r="AC59" i="8"/>
  <c r="AB59" i="8"/>
  <c r="X59" i="8"/>
  <c r="AC58" i="8"/>
  <c r="AB58" i="8"/>
  <c r="X58" i="8"/>
  <c r="AC57" i="8"/>
  <c r="AB57" i="8"/>
  <c r="X57" i="8"/>
  <c r="AC56" i="8"/>
  <c r="AB56" i="8"/>
  <c r="X56" i="8"/>
  <c r="AC55" i="8"/>
  <c r="AB55" i="8"/>
  <c r="X55" i="8"/>
  <c r="AC54" i="8"/>
  <c r="AB54" i="8"/>
  <c r="X54" i="8"/>
  <c r="AC53" i="8"/>
  <c r="AB53" i="8"/>
  <c r="X53" i="8"/>
  <c r="AC52" i="8"/>
  <c r="AB52" i="8"/>
  <c r="X52" i="8"/>
  <c r="AC51" i="8"/>
  <c r="AB51" i="8"/>
  <c r="X51" i="8"/>
  <c r="AC50" i="8"/>
  <c r="AB50" i="8"/>
  <c r="X50" i="8"/>
  <c r="AC49" i="8"/>
  <c r="AB49" i="8"/>
  <c r="X49" i="8"/>
  <c r="AC48" i="8"/>
  <c r="AB48" i="8"/>
  <c r="X48" i="8"/>
  <c r="AC47" i="8"/>
  <c r="AB47" i="8"/>
  <c r="X47" i="8"/>
  <c r="AC46" i="8"/>
  <c r="AB46" i="8"/>
  <c r="X46" i="8"/>
  <c r="AC45" i="8"/>
  <c r="AB45" i="8"/>
  <c r="X45" i="8"/>
  <c r="AC44" i="8"/>
  <c r="AB44" i="8"/>
  <c r="X44" i="8"/>
  <c r="AC43" i="8"/>
  <c r="AB43" i="8"/>
  <c r="X43" i="8"/>
  <c r="AC42" i="8"/>
  <c r="AB42" i="8"/>
  <c r="X42" i="8"/>
  <c r="AC41" i="8"/>
  <c r="AB41" i="8"/>
  <c r="X41" i="8"/>
  <c r="AC40" i="8"/>
  <c r="AB40" i="8"/>
  <c r="X40" i="8"/>
  <c r="AC39" i="8"/>
  <c r="AB39" i="8"/>
  <c r="X39" i="8"/>
  <c r="AC38" i="8"/>
  <c r="AB38" i="8"/>
  <c r="X38" i="8"/>
  <c r="AC37" i="8"/>
  <c r="AB37" i="8"/>
  <c r="X37" i="8"/>
  <c r="AC36" i="8"/>
  <c r="AB36" i="8"/>
  <c r="X36" i="8"/>
  <c r="AC35" i="8"/>
  <c r="AB35" i="8"/>
  <c r="X35" i="8"/>
  <c r="AC34" i="8"/>
  <c r="AB34" i="8"/>
  <c r="X34" i="8"/>
  <c r="AC33" i="8"/>
  <c r="AB33" i="8"/>
  <c r="X33" i="8"/>
  <c r="AC32" i="8"/>
  <c r="AB32" i="8"/>
  <c r="X32" i="8"/>
  <c r="AC31" i="8"/>
  <c r="AB31" i="8"/>
  <c r="X31" i="8"/>
  <c r="AC30" i="8"/>
  <c r="AB30" i="8"/>
  <c r="X30" i="8"/>
  <c r="AC29" i="8"/>
  <c r="AB29" i="8"/>
  <c r="X29" i="8"/>
  <c r="AC28" i="8"/>
  <c r="AB28" i="8"/>
  <c r="X28" i="8"/>
  <c r="AC27" i="8"/>
  <c r="AB27" i="8"/>
  <c r="X27" i="8"/>
  <c r="AC26" i="8"/>
  <c r="AB26" i="8"/>
  <c r="X26" i="8"/>
  <c r="AC25" i="8"/>
  <c r="AB25" i="8"/>
  <c r="X25" i="8"/>
  <c r="AC24" i="8"/>
  <c r="AB24" i="8"/>
  <c r="X24" i="8"/>
  <c r="AC23" i="8"/>
  <c r="AB23" i="8"/>
  <c r="X23" i="8"/>
  <c r="AC22" i="8"/>
  <c r="AB22" i="8"/>
  <c r="X22" i="8"/>
  <c r="AC21" i="8"/>
  <c r="AB21" i="8"/>
  <c r="X21" i="8"/>
  <c r="AC20" i="8"/>
  <c r="AB20" i="8"/>
  <c r="X20" i="8"/>
  <c r="AC19" i="8"/>
  <c r="AB19" i="8"/>
  <c r="X19" i="8"/>
  <c r="AC18" i="8"/>
  <c r="AB18" i="8"/>
  <c r="X18" i="8"/>
  <c r="AC17" i="8"/>
  <c r="AB17" i="8"/>
  <c r="X17" i="8"/>
  <c r="AC16" i="8"/>
  <c r="AB16" i="8"/>
  <c r="X16" i="8"/>
  <c r="AC15" i="8"/>
  <c r="AB15" i="8"/>
  <c r="X15" i="8"/>
  <c r="AC14" i="8"/>
  <c r="AB14" i="8"/>
  <c r="X14" i="8"/>
  <c r="AC13" i="8"/>
  <c r="AB13" i="8"/>
  <c r="X13" i="8"/>
  <c r="AC12" i="8"/>
  <c r="AB12" i="8"/>
  <c r="X12" i="8"/>
  <c r="AC11" i="8"/>
  <c r="AB11" i="8"/>
  <c r="X11" i="8"/>
  <c r="AC10" i="8"/>
  <c r="AB10" i="8"/>
  <c r="X10" i="8"/>
  <c r="AC9" i="8"/>
  <c r="AB9" i="8"/>
  <c r="X9" i="8"/>
  <c r="AB8" i="8"/>
  <c r="X8" i="8"/>
  <c r="AC7" i="8"/>
  <c r="AB7" i="8"/>
  <c r="X7" i="8"/>
  <c r="AC6" i="8"/>
  <c r="AB6" i="8"/>
  <c r="X6" i="8"/>
  <c r="AB5" i="8"/>
  <c r="X5" i="8"/>
  <c r="AB4" i="8"/>
  <c r="X4" i="8"/>
  <c r="AB3" i="8"/>
  <c r="X3" i="8"/>
  <c r="AB2" i="8"/>
  <c r="X2" i="8"/>
  <c r="U134" i="7"/>
  <c r="B133" i="7"/>
  <c r="U133" i="7" s="1"/>
  <c r="U132" i="7"/>
  <c r="M132" i="7"/>
  <c r="P132" i="7" s="1"/>
  <c r="W132" i="7" s="1"/>
  <c r="B132" i="7"/>
  <c r="B131" i="7"/>
  <c r="U131" i="7" s="1"/>
  <c r="P130" i="7"/>
  <c r="M130" i="7"/>
  <c r="B130" i="7"/>
  <c r="B129" i="7"/>
  <c r="M128" i="7"/>
  <c r="P128" i="7" s="1"/>
  <c r="B128" i="7"/>
  <c r="U128" i="7" s="1"/>
  <c r="P127" i="7"/>
  <c r="M127" i="7"/>
  <c r="B127" i="7"/>
  <c r="M126" i="7"/>
  <c r="P126" i="7" s="1"/>
  <c r="B126" i="7"/>
  <c r="U126" i="7" s="1"/>
  <c r="U125" i="7"/>
  <c r="W125" i="7" s="1"/>
  <c r="P125" i="7"/>
  <c r="M125" i="7"/>
  <c r="B125" i="7"/>
  <c r="O123" i="7"/>
  <c r="M123" i="7"/>
  <c r="M122" i="7"/>
  <c r="M134" i="7" s="1"/>
  <c r="P134" i="7" s="1"/>
  <c r="W134" i="7" s="1"/>
  <c r="K121" i="7"/>
  <c r="J121" i="7"/>
  <c r="I121" i="7"/>
  <c r="H121" i="7"/>
  <c r="G121" i="7"/>
  <c r="U130" i="7" s="1"/>
  <c r="F121" i="7"/>
  <c r="U129" i="7" s="1"/>
  <c r="E121" i="7"/>
  <c r="D121" i="7"/>
  <c r="U127" i="7" s="1"/>
  <c r="C121" i="7"/>
  <c r="B121" i="7"/>
  <c r="A121" i="7"/>
  <c r="AC119" i="7"/>
  <c r="AB119" i="7"/>
  <c r="X119" i="7"/>
  <c r="AC118" i="7"/>
  <c r="AB118" i="7"/>
  <c r="X118" i="7"/>
  <c r="AC117" i="7"/>
  <c r="AB117" i="7"/>
  <c r="X117" i="7"/>
  <c r="AC116" i="7"/>
  <c r="AB116" i="7"/>
  <c r="X116" i="7"/>
  <c r="AC115" i="7"/>
  <c r="AB115" i="7"/>
  <c r="X115" i="7"/>
  <c r="AC114" i="7"/>
  <c r="AB114" i="7"/>
  <c r="X114" i="7"/>
  <c r="AC113" i="7"/>
  <c r="AB113" i="7"/>
  <c r="X113" i="7"/>
  <c r="AC112" i="7"/>
  <c r="AB112" i="7"/>
  <c r="X112" i="7"/>
  <c r="AC111" i="7"/>
  <c r="AB111" i="7"/>
  <c r="X111" i="7"/>
  <c r="AC110" i="7"/>
  <c r="AB110" i="7"/>
  <c r="X110" i="7"/>
  <c r="AC109" i="7"/>
  <c r="AB109" i="7"/>
  <c r="X109" i="7"/>
  <c r="AC108" i="7"/>
  <c r="AB108" i="7"/>
  <c r="X108" i="7"/>
  <c r="AC107" i="7"/>
  <c r="AB107" i="7"/>
  <c r="X107" i="7"/>
  <c r="AC106" i="7"/>
  <c r="AB106" i="7"/>
  <c r="X106" i="7"/>
  <c r="AC105" i="7"/>
  <c r="AB105" i="7"/>
  <c r="X105" i="7"/>
  <c r="AC104" i="7"/>
  <c r="AB104" i="7"/>
  <c r="X104" i="7"/>
  <c r="AC103" i="7"/>
  <c r="AB103" i="7"/>
  <c r="X103" i="7"/>
  <c r="AC102" i="7"/>
  <c r="AB102" i="7"/>
  <c r="X102" i="7"/>
  <c r="AC101" i="7"/>
  <c r="AB101" i="7"/>
  <c r="X101" i="7"/>
  <c r="AC100" i="7"/>
  <c r="AB100" i="7"/>
  <c r="X100" i="7"/>
  <c r="AC99" i="7"/>
  <c r="AB99" i="7"/>
  <c r="X99" i="7"/>
  <c r="AC98" i="7"/>
  <c r="AB98" i="7"/>
  <c r="X98" i="7"/>
  <c r="AC97" i="7"/>
  <c r="AB97" i="7"/>
  <c r="X97" i="7"/>
  <c r="AC96" i="7"/>
  <c r="AB96" i="7"/>
  <c r="X96" i="7"/>
  <c r="AC95" i="7"/>
  <c r="AB95" i="7"/>
  <c r="X95" i="7"/>
  <c r="AC94" i="7"/>
  <c r="AB94" i="7"/>
  <c r="X94" i="7"/>
  <c r="AC93" i="7"/>
  <c r="AB93" i="7"/>
  <c r="X93" i="7"/>
  <c r="AC92" i="7"/>
  <c r="AB92" i="7"/>
  <c r="X92" i="7"/>
  <c r="AC91" i="7"/>
  <c r="AB91" i="7"/>
  <c r="X91" i="7"/>
  <c r="AC90" i="7"/>
  <c r="AB90" i="7"/>
  <c r="X90" i="7"/>
  <c r="AC89" i="7"/>
  <c r="AB89" i="7"/>
  <c r="X89" i="7"/>
  <c r="AC88" i="7"/>
  <c r="AB88" i="7"/>
  <c r="X88" i="7"/>
  <c r="AC87" i="7"/>
  <c r="AB87" i="7"/>
  <c r="X87" i="7"/>
  <c r="AC86" i="7"/>
  <c r="AB86" i="7"/>
  <c r="X86" i="7"/>
  <c r="AC85" i="7"/>
  <c r="AB85" i="7"/>
  <c r="X85" i="7"/>
  <c r="AC84" i="7"/>
  <c r="AB84" i="7"/>
  <c r="X84" i="7"/>
  <c r="AC83" i="7"/>
  <c r="AB83" i="7"/>
  <c r="X83" i="7"/>
  <c r="AC82" i="7"/>
  <c r="AB82" i="7"/>
  <c r="X82" i="7"/>
  <c r="AC81" i="7"/>
  <c r="AB81" i="7"/>
  <c r="X81" i="7"/>
  <c r="AC80" i="7"/>
  <c r="AB80" i="7"/>
  <c r="X80" i="7"/>
  <c r="AC79" i="7"/>
  <c r="AB79" i="7"/>
  <c r="X79" i="7"/>
  <c r="AC78" i="7"/>
  <c r="AB78" i="7"/>
  <c r="X78" i="7"/>
  <c r="AC77" i="7"/>
  <c r="AB77" i="7"/>
  <c r="X77" i="7"/>
  <c r="AC76" i="7"/>
  <c r="AB76" i="7"/>
  <c r="X76" i="7"/>
  <c r="AC75" i="7"/>
  <c r="AB75" i="7"/>
  <c r="X75" i="7"/>
  <c r="AC74" i="7"/>
  <c r="AB74" i="7"/>
  <c r="X74" i="7"/>
  <c r="AC73" i="7"/>
  <c r="AB73" i="7"/>
  <c r="X73" i="7"/>
  <c r="AC72" i="7"/>
  <c r="AB72" i="7"/>
  <c r="X72" i="7"/>
  <c r="AC71" i="7"/>
  <c r="AB71" i="7"/>
  <c r="X71" i="7"/>
  <c r="AC70" i="7"/>
  <c r="AB70" i="7"/>
  <c r="X70" i="7"/>
  <c r="AC69" i="7"/>
  <c r="AB69" i="7"/>
  <c r="X69" i="7"/>
  <c r="AC68" i="7"/>
  <c r="AB68" i="7"/>
  <c r="X68" i="7"/>
  <c r="AC67" i="7"/>
  <c r="AB67" i="7"/>
  <c r="X67" i="7"/>
  <c r="AC66" i="7"/>
  <c r="AB66" i="7"/>
  <c r="X66" i="7"/>
  <c r="AC65" i="7"/>
  <c r="AB65" i="7"/>
  <c r="X65" i="7"/>
  <c r="AC64" i="7"/>
  <c r="AB64" i="7"/>
  <c r="X64" i="7"/>
  <c r="AC63" i="7"/>
  <c r="AB63" i="7"/>
  <c r="X63" i="7"/>
  <c r="AC62" i="7"/>
  <c r="AB62" i="7"/>
  <c r="X62" i="7"/>
  <c r="AC61" i="7"/>
  <c r="AB61" i="7"/>
  <c r="X61" i="7"/>
  <c r="AC60" i="7"/>
  <c r="AB60" i="7"/>
  <c r="X60" i="7"/>
  <c r="AC59" i="7"/>
  <c r="AB59" i="7"/>
  <c r="X59" i="7"/>
  <c r="AC58" i="7"/>
  <c r="AB58" i="7"/>
  <c r="X58" i="7"/>
  <c r="AC57" i="7"/>
  <c r="AB57" i="7"/>
  <c r="X57" i="7"/>
  <c r="AC56" i="7"/>
  <c r="AB56" i="7"/>
  <c r="X56" i="7"/>
  <c r="AC55" i="7"/>
  <c r="AB55" i="7"/>
  <c r="X55" i="7"/>
  <c r="AC54" i="7"/>
  <c r="AB54" i="7"/>
  <c r="X54" i="7"/>
  <c r="AC53" i="7"/>
  <c r="AB53" i="7"/>
  <c r="X53" i="7"/>
  <c r="AC52" i="7"/>
  <c r="AB52" i="7"/>
  <c r="X52" i="7"/>
  <c r="AC51" i="7"/>
  <c r="AB51" i="7"/>
  <c r="X51" i="7"/>
  <c r="AC50" i="7"/>
  <c r="AB50" i="7"/>
  <c r="X50" i="7"/>
  <c r="AC49" i="7"/>
  <c r="AB49" i="7"/>
  <c r="X49" i="7"/>
  <c r="AC48" i="7"/>
  <c r="AB48" i="7"/>
  <c r="X48" i="7"/>
  <c r="AC47" i="7"/>
  <c r="AB47" i="7"/>
  <c r="X47" i="7"/>
  <c r="AC46" i="7"/>
  <c r="AB46" i="7"/>
  <c r="X46" i="7"/>
  <c r="AC45" i="7"/>
  <c r="AB45" i="7"/>
  <c r="X45" i="7"/>
  <c r="AC44" i="7"/>
  <c r="AB44" i="7"/>
  <c r="X44" i="7"/>
  <c r="AC43" i="7"/>
  <c r="AB43" i="7"/>
  <c r="X43" i="7"/>
  <c r="AC42" i="7"/>
  <c r="AB42" i="7"/>
  <c r="X42" i="7"/>
  <c r="AC41" i="7"/>
  <c r="AB41" i="7"/>
  <c r="X41" i="7"/>
  <c r="AC40" i="7"/>
  <c r="AB40" i="7"/>
  <c r="X40" i="7"/>
  <c r="AC39" i="7"/>
  <c r="AB39" i="7"/>
  <c r="X39" i="7"/>
  <c r="AC38" i="7"/>
  <c r="AB38" i="7"/>
  <c r="X38" i="7"/>
  <c r="AC37" i="7"/>
  <c r="AB37" i="7"/>
  <c r="X37" i="7"/>
  <c r="AC36" i="7"/>
  <c r="AB36" i="7"/>
  <c r="X36" i="7"/>
  <c r="AC35" i="7"/>
  <c r="AB35" i="7"/>
  <c r="X35" i="7"/>
  <c r="AC34" i="7"/>
  <c r="AB34" i="7"/>
  <c r="X34" i="7"/>
  <c r="AC33" i="7"/>
  <c r="AB33" i="7"/>
  <c r="X33" i="7"/>
  <c r="AC32" i="7"/>
  <c r="AB32" i="7"/>
  <c r="X32" i="7"/>
  <c r="AC31" i="7"/>
  <c r="AB31" i="7"/>
  <c r="X31" i="7"/>
  <c r="AC30" i="7"/>
  <c r="AB30" i="7"/>
  <c r="X30" i="7"/>
  <c r="AC29" i="7"/>
  <c r="AB29" i="7"/>
  <c r="X29" i="7"/>
  <c r="AC28" i="7"/>
  <c r="AB28" i="7"/>
  <c r="X28" i="7"/>
  <c r="AC27" i="7"/>
  <c r="AB27" i="7"/>
  <c r="X27" i="7"/>
  <c r="AC26" i="7"/>
  <c r="AB26" i="7"/>
  <c r="X26" i="7"/>
  <c r="AC25" i="7"/>
  <c r="AB25" i="7"/>
  <c r="X25" i="7"/>
  <c r="AC24" i="7"/>
  <c r="AB24" i="7"/>
  <c r="X24" i="7"/>
  <c r="AC23" i="7"/>
  <c r="AB23" i="7"/>
  <c r="X23" i="7"/>
  <c r="AC22" i="7"/>
  <c r="AB22" i="7"/>
  <c r="X22" i="7"/>
  <c r="AC21" i="7"/>
  <c r="AB21" i="7"/>
  <c r="X21" i="7"/>
  <c r="AC20" i="7"/>
  <c r="AB20" i="7"/>
  <c r="X20" i="7"/>
  <c r="AC19" i="7"/>
  <c r="AB19" i="7"/>
  <c r="X19" i="7"/>
  <c r="AC18" i="7"/>
  <c r="AB18" i="7"/>
  <c r="X18" i="7"/>
  <c r="AC17" i="7"/>
  <c r="AB17" i="7"/>
  <c r="X17" i="7"/>
  <c r="AC16" i="7"/>
  <c r="AB16" i="7"/>
  <c r="X16" i="7"/>
  <c r="AC15" i="7"/>
  <c r="AB15" i="7"/>
  <c r="X15" i="7"/>
  <c r="AC14" i="7"/>
  <c r="AB14" i="7"/>
  <c r="X14" i="7"/>
  <c r="AC13" i="7"/>
  <c r="AB13" i="7"/>
  <c r="X13" i="7"/>
  <c r="AC12" i="7"/>
  <c r="AB12" i="7"/>
  <c r="X12" i="7"/>
  <c r="AC11" i="7"/>
  <c r="AB11" i="7"/>
  <c r="X11" i="7"/>
  <c r="AC10" i="7"/>
  <c r="AB10" i="7"/>
  <c r="X10" i="7"/>
  <c r="AC9" i="7"/>
  <c r="AB9" i="7"/>
  <c r="X9" i="7"/>
  <c r="AB8" i="7"/>
  <c r="X8" i="7"/>
  <c r="AC7" i="7"/>
  <c r="AB7" i="7"/>
  <c r="X7" i="7"/>
  <c r="AC6" i="7"/>
  <c r="AB6" i="7"/>
  <c r="X6" i="7"/>
  <c r="AB5" i="7"/>
  <c r="X5" i="7"/>
  <c r="AB4" i="7"/>
  <c r="X4" i="7"/>
  <c r="AB3" i="7"/>
  <c r="X3" i="7"/>
  <c r="AB2" i="7"/>
  <c r="X2" i="7"/>
  <c r="P133" i="6"/>
  <c r="M133" i="6"/>
  <c r="B133" i="6"/>
  <c r="B132" i="6"/>
  <c r="M131" i="6"/>
  <c r="P131" i="6" s="1"/>
  <c r="W131" i="6" s="1"/>
  <c r="B131" i="6"/>
  <c r="U131" i="6" s="1"/>
  <c r="P130" i="6"/>
  <c r="M130" i="6"/>
  <c r="B130" i="6"/>
  <c r="B129" i="6"/>
  <c r="U128" i="6"/>
  <c r="M128" i="6"/>
  <c r="P128" i="6" s="1"/>
  <c r="W128" i="6" s="1"/>
  <c r="B128" i="6"/>
  <c r="B127" i="6"/>
  <c r="M126" i="6"/>
  <c r="P126" i="6" s="1"/>
  <c r="B126" i="6"/>
  <c r="U126" i="6" s="1"/>
  <c r="U125" i="6"/>
  <c r="B125" i="6"/>
  <c r="O123" i="6"/>
  <c r="M123" i="6"/>
  <c r="M132" i="6" s="1"/>
  <c r="P132" i="6" s="1"/>
  <c r="W132" i="6" s="1"/>
  <c r="M122" i="6"/>
  <c r="M125" i="6" s="1"/>
  <c r="P125" i="6" s="1"/>
  <c r="K121" i="6"/>
  <c r="U134" i="6" s="1"/>
  <c r="J121" i="6"/>
  <c r="U133" i="6" s="1"/>
  <c r="I121" i="6"/>
  <c r="U132" i="6" s="1"/>
  <c r="H121" i="6"/>
  <c r="G121" i="6"/>
  <c r="U130" i="6" s="1"/>
  <c r="F121" i="6"/>
  <c r="U129" i="6" s="1"/>
  <c r="E121" i="6"/>
  <c r="D121" i="6"/>
  <c r="U127" i="6" s="1"/>
  <c r="C121" i="6"/>
  <c r="B121" i="6"/>
  <c r="A121" i="6"/>
  <c r="AC119" i="6"/>
  <c r="AB119" i="6"/>
  <c r="X119" i="6"/>
  <c r="AC118" i="6"/>
  <c r="AB118" i="6"/>
  <c r="X118" i="6"/>
  <c r="AC117" i="6"/>
  <c r="AB117" i="6"/>
  <c r="X117" i="6"/>
  <c r="AC116" i="6"/>
  <c r="AB116" i="6"/>
  <c r="X116" i="6"/>
  <c r="AC115" i="6"/>
  <c r="AB115" i="6"/>
  <c r="X115" i="6"/>
  <c r="AC114" i="6"/>
  <c r="AB114" i="6"/>
  <c r="X114" i="6"/>
  <c r="AC113" i="6"/>
  <c r="AB113" i="6"/>
  <c r="X113" i="6"/>
  <c r="AC112" i="6"/>
  <c r="AB112" i="6"/>
  <c r="X112" i="6"/>
  <c r="AC111" i="6"/>
  <c r="AB111" i="6"/>
  <c r="X111" i="6"/>
  <c r="AC110" i="6"/>
  <c r="AB110" i="6"/>
  <c r="X110" i="6"/>
  <c r="AC109" i="6"/>
  <c r="AB109" i="6"/>
  <c r="X109" i="6"/>
  <c r="AC108" i="6"/>
  <c r="AB108" i="6"/>
  <c r="X108" i="6"/>
  <c r="AC107" i="6"/>
  <c r="AB107" i="6"/>
  <c r="X107" i="6"/>
  <c r="AC106" i="6"/>
  <c r="AB106" i="6"/>
  <c r="X106" i="6"/>
  <c r="AC105" i="6"/>
  <c r="AB105" i="6"/>
  <c r="X105" i="6"/>
  <c r="AC104" i="6"/>
  <c r="AB104" i="6"/>
  <c r="X104" i="6"/>
  <c r="AC103" i="6"/>
  <c r="AB103" i="6"/>
  <c r="X103" i="6"/>
  <c r="AC102" i="6"/>
  <c r="AB102" i="6"/>
  <c r="X102" i="6"/>
  <c r="AC101" i="6"/>
  <c r="AB101" i="6"/>
  <c r="X101" i="6"/>
  <c r="AC100" i="6"/>
  <c r="AB100" i="6"/>
  <c r="X100" i="6"/>
  <c r="AC99" i="6"/>
  <c r="AB99" i="6"/>
  <c r="X99" i="6"/>
  <c r="AC98" i="6"/>
  <c r="AB98" i="6"/>
  <c r="X98" i="6"/>
  <c r="AC97" i="6"/>
  <c r="AB97" i="6"/>
  <c r="X97" i="6"/>
  <c r="AC96" i="6"/>
  <c r="AB96" i="6"/>
  <c r="X96" i="6"/>
  <c r="AC95" i="6"/>
  <c r="AB95" i="6"/>
  <c r="X95" i="6"/>
  <c r="AC94" i="6"/>
  <c r="AB94" i="6"/>
  <c r="X94" i="6"/>
  <c r="AC93" i="6"/>
  <c r="AB93" i="6"/>
  <c r="X93" i="6"/>
  <c r="AC92" i="6"/>
  <c r="AB92" i="6"/>
  <c r="X92" i="6"/>
  <c r="AC91" i="6"/>
  <c r="AB91" i="6"/>
  <c r="X91" i="6"/>
  <c r="AC90" i="6"/>
  <c r="AB90" i="6"/>
  <c r="X90" i="6"/>
  <c r="AC89" i="6"/>
  <c r="AB89" i="6"/>
  <c r="X89" i="6"/>
  <c r="AC88" i="6"/>
  <c r="AB88" i="6"/>
  <c r="X88" i="6"/>
  <c r="AC87" i="6"/>
  <c r="AB87" i="6"/>
  <c r="X87" i="6"/>
  <c r="AC86" i="6"/>
  <c r="AB86" i="6"/>
  <c r="X86" i="6"/>
  <c r="AC85" i="6"/>
  <c r="AB85" i="6"/>
  <c r="X85" i="6"/>
  <c r="AC84" i="6"/>
  <c r="AB84" i="6"/>
  <c r="X84" i="6"/>
  <c r="AC83" i="6"/>
  <c r="AB83" i="6"/>
  <c r="X83" i="6"/>
  <c r="AC82" i="6"/>
  <c r="AB82" i="6"/>
  <c r="X82" i="6"/>
  <c r="AC81" i="6"/>
  <c r="AB81" i="6"/>
  <c r="X81" i="6"/>
  <c r="AC80" i="6"/>
  <c r="AB80" i="6"/>
  <c r="X80" i="6"/>
  <c r="AC79" i="6"/>
  <c r="AB79" i="6"/>
  <c r="X79" i="6"/>
  <c r="AC78" i="6"/>
  <c r="AB78" i="6"/>
  <c r="X78" i="6"/>
  <c r="AC77" i="6"/>
  <c r="AB77" i="6"/>
  <c r="X77" i="6"/>
  <c r="AC76" i="6"/>
  <c r="AB76" i="6"/>
  <c r="X76" i="6"/>
  <c r="AC75" i="6"/>
  <c r="AB75" i="6"/>
  <c r="X75" i="6"/>
  <c r="AC74" i="6"/>
  <c r="AB74" i="6"/>
  <c r="X74" i="6"/>
  <c r="AC73" i="6"/>
  <c r="AB73" i="6"/>
  <c r="X73" i="6"/>
  <c r="AC72" i="6"/>
  <c r="AB72" i="6"/>
  <c r="X72" i="6"/>
  <c r="AC71" i="6"/>
  <c r="AB71" i="6"/>
  <c r="X71" i="6"/>
  <c r="AC70" i="6"/>
  <c r="AB70" i="6"/>
  <c r="X70" i="6"/>
  <c r="AC69" i="6"/>
  <c r="AB69" i="6"/>
  <c r="X69" i="6"/>
  <c r="AC68" i="6"/>
  <c r="AB68" i="6"/>
  <c r="X68" i="6"/>
  <c r="AC67" i="6"/>
  <c r="AB67" i="6"/>
  <c r="X67" i="6"/>
  <c r="AC66" i="6"/>
  <c r="AB66" i="6"/>
  <c r="X66" i="6"/>
  <c r="AC65" i="6"/>
  <c r="AB65" i="6"/>
  <c r="X65" i="6"/>
  <c r="AC64" i="6"/>
  <c r="AB64" i="6"/>
  <c r="X64" i="6"/>
  <c r="AC63" i="6"/>
  <c r="AB63" i="6"/>
  <c r="X63" i="6"/>
  <c r="AC62" i="6"/>
  <c r="AB62" i="6"/>
  <c r="X62" i="6"/>
  <c r="AC61" i="6"/>
  <c r="AB61" i="6"/>
  <c r="X61" i="6"/>
  <c r="AC60" i="6"/>
  <c r="AB60" i="6"/>
  <c r="X60" i="6"/>
  <c r="AC59" i="6"/>
  <c r="AB59" i="6"/>
  <c r="X59" i="6"/>
  <c r="AC58" i="6"/>
  <c r="AB58" i="6"/>
  <c r="X58" i="6"/>
  <c r="AC57" i="6"/>
  <c r="AB57" i="6"/>
  <c r="X57" i="6"/>
  <c r="AC56" i="6"/>
  <c r="AB56" i="6"/>
  <c r="X56" i="6"/>
  <c r="AC55" i="6"/>
  <c r="AB55" i="6"/>
  <c r="X55" i="6"/>
  <c r="AC54" i="6"/>
  <c r="AB54" i="6"/>
  <c r="X54" i="6"/>
  <c r="AC53" i="6"/>
  <c r="AB53" i="6"/>
  <c r="X53" i="6"/>
  <c r="AC52" i="6"/>
  <c r="AB52" i="6"/>
  <c r="X52" i="6"/>
  <c r="AC51" i="6"/>
  <c r="AB51" i="6"/>
  <c r="X51" i="6"/>
  <c r="AC50" i="6"/>
  <c r="AB50" i="6"/>
  <c r="X50" i="6"/>
  <c r="AC49" i="6"/>
  <c r="AB49" i="6"/>
  <c r="X49" i="6"/>
  <c r="AC48" i="6"/>
  <c r="AB48" i="6"/>
  <c r="X48" i="6"/>
  <c r="AC47" i="6"/>
  <c r="AB47" i="6"/>
  <c r="X47" i="6"/>
  <c r="AC46" i="6"/>
  <c r="AB46" i="6"/>
  <c r="X46" i="6"/>
  <c r="AC45" i="6"/>
  <c r="AB45" i="6"/>
  <c r="X45" i="6"/>
  <c r="AC44" i="6"/>
  <c r="AB44" i="6"/>
  <c r="X44" i="6"/>
  <c r="AC43" i="6"/>
  <c r="AB43" i="6"/>
  <c r="X43" i="6"/>
  <c r="AC42" i="6"/>
  <c r="AB42" i="6"/>
  <c r="X42" i="6"/>
  <c r="AC41" i="6"/>
  <c r="AB41" i="6"/>
  <c r="X41" i="6"/>
  <c r="AC40" i="6"/>
  <c r="AB40" i="6"/>
  <c r="X40" i="6"/>
  <c r="AC39" i="6"/>
  <c r="AB39" i="6"/>
  <c r="X39" i="6"/>
  <c r="AC38" i="6"/>
  <c r="AB38" i="6"/>
  <c r="X38" i="6"/>
  <c r="AC37" i="6"/>
  <c r="AB37" i="6"/>
  <c r="X37" i="6"/>
  <c r="AC36" i="6"/>
  <c r="AB36" i="6"/>
  <c r="X36" i="6"/>
  <c r="AC35" i="6"/>
  <c r="AB35" i="6"/>
  <c r="X35" i="6"/>
  <c r="AC34" i="6"/>
  <c r="AB34" i="6"/>
  <c r="X34" i="6"/>
  <c r="AC33" i="6"/>
  <c r="AB33" i="6"/>
  <c r="X33" i="6"/>
  <c r="AC32" i="6"/>
  <c r="AB32" i="6"/>
  <c r="X32" i="6"/>
  <c r="AC31" i="6"/>
  <c r="AB31" i="6"/>
  <c r="X31" i="6"/>
  <c r="AC30" i="6"/>
  <c r="AB30" i="6"/>
  <c r="X30" i="6"/>
  <c r="AC29" i="6"/>
  <c r="AB29" i="6"/>
  <c r="X29" i="6"/>
  <c r="AC28" i="6"/>
  <c r="AB28" i="6"/>
  <c r="X28" i="6"/>
  <c r="AC27" i="6"/>
  <c r="AB27" i="6"/>
  <c r="X27" i="6"/>
  <c r="AC26" i="6"/>
  <c r="AB26" i="6"/>
  <c r="X26" i="6"/>
  <c r="AC25" i="6"/>
  <c r="AB25" i="6"/>
  <c r="X25" i="6"/>
  <c r="AC24" i="6"/>
  <c r="AB24" i="6"/>
  <c r="X24" i="6"/>
  <c r="AC23" i="6"/>
  <c r="AB23" i="6"/>
  <c r="X23" i="6"/>
  <c r="AC22" i="6"/>
  <c r="AB22" i="6"/>
  <c r="X22" i="6"/>
  <c r="AC21" i="6"/>
  <c r="AB21" i="6"/>
  <c r="X21" i="6"/>
  <c r="AC20" i="6"/>
  <c r="AB20" i="6"/>
  <c r="X20" i="6"/>
  <c r="AC19" i="6"/>
  <c r="AB19" i="6"/>
  <c r="X19" i="6"/>
  <c r="AC18" i="6"/>
  <c r="AB18" i="6"/>
  <c r="X18" i="6"/>
  <c r="AC17" i="6"/>
  <c r="AB17" i="6"/>
  <c r="X17" i="6"/>
  <c r="AC16" i="6"/>
  <c r="AB16" i="6"/>
  <c r="X16" i="6"/>
  <c r="AC15" i="6"/>
  <c r="AB15" i="6"/>
  <c r="X15" i="6"/>
  <c r="AC14" i="6"/>
  <c r="AB14" i="6"/>
  <c r="X14" i="6"/>
  <c r="AC13" i="6"/>
  <c r="AB13" i="6"/>
  <c r="X13" i="6"/>
  <c r="AC12" i="6"/>
  <c r="AB12" i="6"/>
  <c r="X12" i="6"/>
  <c r="AC11" i="6"/>
  <c r="AB11" i="6"/>
  <c r="X11" i="6"/>
  <c r="AC10" i="6"/>
  <c r="AB10" i="6"/>
  <c r="X10" i="6"/>
  <c r="AC9" i="6"/>
  <c r="AB9" i="6"/>
  <c r="X9" i="6"/>
  <c r="AB8" i="6"/>
  <c r="X8" i="6"/>
  <c r="AC7" i="6"/>
  <c r="AB7" i="6"/>
  <c r="X7" i="6"/>
  <c r="AC6" i="6"/>
  <c r="AB6" i="6"/>
  <c r="X6" i="6"/>
  <c r="AB5" i="6"/>
  <c r="X5" i="6"/>
  <c r="AB4" i="6"/>
  <c r="X4" i="6"/>
  <c r="AB3" i="6"/>
  <c r="X3" i="6"/>
  <c r="AB2" i="6"/>
  <c r="X2" i="6"/>
  <c r="B133" i="5"/>
  <c r="B132" i="5"/>
  <c r="U131" i="5"/>
  <c r="B131" i="5"/>
  <c r="B130" i="5"/>
  <c r="B129" i="5"/>
  <c r="B128" i="5"/>
  <c r="B127" i="5"/>
  <c r="M126" i="5"/>
  <c r="P126" i="5" s="1"/>
  <c r="B126" i="5"/>
  <c r="B125" i="5"/>
  <c r="O123" i="5"/>
  <c r="M123" i="5"/>
  <c r="M122" i="5"/>
  <c r="K121" i="5"/>
  <c r="J121" i="5"/>
  <c r="I121" i="5"/>
  <c r="H121" i="5"/>
  <c r="G121" i="5"/>
  <c r="F121" i="5"/>
  <c r="E121" i="5"/>
  <c r="D121" i="5"/>
  <c r="C121" i="5"/>
  <c r="B121" i="5"/>
  <c r="A121" i="5"/>
  <c r="AC119" i="5"/>
  <c r="AB119" i="5"/>
  <c r="X119" i="5"/>
  <c r="AC118" i="5"/>
  <c r="AB118" i="5"/>
  <c r="X118" i="5"/>
  <c r="AC117" i="5"/>
  <c r="AB117" i="5"/>
  <c r="X117" i="5"/>
  <c r="AC116" i="5"/>
  <c r="AB116" i="5"/>
  <c r="X116" i="5"/>
  <c r="AC115" i="5"/>
  <c r="AB115" i="5"/>
  <c r="X115" i="5"/>
  <c r="AC114" i="5"/>
  <c r="AB114" i="5"/>
  <c r="X114" i="5"/>
  <c r="AC113" i="5"/>
  <c r="AB113" i="5"/>
  <c r="X113" i="5"/>
  <c r="AC112" i="5"/>
  <c r="AB112" i="5"/>
  <c r="X112" i="5"/>
  <c r="AC111" i="5"/>
  <c r="AB111" i="5"/>
  <c r="X111" i="5"/>
  <c r="AC110" i="5"/>
  <c r="AB110" i="5"/>
  <c r="X110" i="5"/>
  <c r="AC109" i="5"/>
  <c r="AB109" i="5"/>
  <c r="X109" i="5"/>
  <c r="AC108" i="5"/>
  <c r="AB108" i="5"/>
  <c r="X108" i="5"/>
  <c r="AC107" i="5"/>
  <c r="AB107" i="5"/>
  <c r="X107" i="5"/>
  <c r="AC106" i="5"/>
  <c r="AB106" i="5"/>
  <c r="X106" i="5"/>
  <c r="AC105" i="5"/>
  <c r="AB105" i="5"/>
  <c r="X105" i="5"/>
  <c r="AC104" i="5"/>
  <c r="AB104" i="5"/>
  <c r="X104" i="5"/>
  <c r="AC103" i="5"/>
  <c r="AB103" i="5"/>
  <c r="X103" i="5"/>
  <c r="AC102" i="5"/>
  <c r="AB102" i="5"/>
  <c r="X102" i="5"/>
  <c r="AC101" i="5"/>
  <c r="AB101" i="5"/>
  <c r="X101" i="5"/>
  <c r="AC100" i="5"/>
  <c r="AB100" i="5"/>
  <c r="X100" i="5"/>
  <c r="AC99" i="5"/>
  <c r="AB99" i="5"/>
  <c r="X99" i="5"/>
  <c r="AC98" i="5"/>
  <c r="AB98" i="5"/>
  <c r="X98" i="5"/>
  <c r="AC97" i="5"/>
  <c r="AB97" i="5"/>
  <c r="X97" i="5"/>
  <c r="AC96" i="5"/>
  <c r="AB96" i="5"/>
  <c r="X96" i="5"/>
  <c r="AC95" i="5"/>
  <c r="AB95" i="5"/>
  <c r="X95" i="5"/>
  <c r="AC94" i="5"/>
  <c r="AB94" i="5"/>
  <c r="X94" i="5"/>
  <c r="AC93" i="5"/>
  <c r="AB93" i="5"/>
  <c r="X93" i="5"/>
  <c r="AC92" i="5"/>
  <c r="AB92" i="5"/>
  <c r="X92" i="5"/>
  <c r="AC91" i="5"/>
  <c r="AB91" i="5"/>
  <c r="X91" i="5"/>
  <c r="AC90" i="5"/>
  <c r="AB90" i="5"/>
  <c r="X90" i="5"/>
  <c r="AC89" i="5"/>
  <c r="AB89" i="5"/>
  <c r="X89" i="5"/>
  <c r="AC88" i="5"/>
  <c r="AB88" i="5"/>
  <c r="X88" i="5"/>
  <c r="AC87" i="5"/>
  <c r="AB87" i="5"/>
  <c r="X87" i="5"/>
  <c r="AC86" i="5"/>
  <c r="AB86" i="5"/>
  <c r="X86" i="5"/>
  <c r="AC85" i="5"/>
  <c r="AB85" i="5"/>
  <c r="X85" i="5"/>
  <c r="AC84" i="5"/>
  <c r="AB84" i="5"/>
  <c r="X84" i="5"/>
  <c r="AC83" i="5"/>
  <c r="AB83" i="5"/>
  <c r="X83" i="5"/>
  <c r="AC82" i="5"/>
  <c r="AB82" i="5"/>
  <c r="X82" i="5"/>
  <c r="AC81" i="5"/>
  <c r="AB81" i="5"/>
  <c r="X81" i="5"/>
  <c r="AC80" i="5"/>
  <c r="AB80" i="5"/>
  <c r="X80" i="5"/>
  <c r="AC79" i="5"/>
  <c r="AB79" i="5"/>
  <c r="X79" i="5"/>
  <c r="AC78" i="5"/>
  <c r="AB78" i="5"/>
  <c r="X78" i="5"/>
  <c r="AC77" i="5"/>
  <c r="AB77" i="5"/>
  <c r="X77" i="5"/>
  <c r="AC76" i="5"/>
  <c r="AB76" i="5"/>
  <c r="X76" i="5"/>
  <c r="AC75" i="5"/>
  <c r="AB75" i="5"/>
  <c r="X75" i="5"/>
  <c r="AC74" i="5"/>
  <c r="AB74" i="5"/>
  <c r="X74" i="5"/>
  <c r="AC73" i="5"/>
  <c r="AB73" i="5"/>
  <c r="X73" i="5"/>
  <c r="AC72" i="5"/>
  <c r="AB72" i="5"/>
  <c r="X72" i="5"/>
  <c r="AC71" i="5"/>
  <c r="AB71" i="5"/>
  <c r="X71" i="5"/>
  <c r="AC70" i="5"/>
  <c r="AB70" i="5"/>
  <c r="X70" i="5"/>
  <c r="AC69" i="5"/>
  <c r="AB69" i="5"/>
  <c r="X69" i="5"/>
  <c r="AC68" i="5"/>
  <c r="AB68" i="5"/>
  <c r="X68" i="5"/>
  <c r="AC67" i="5"/>
  <c r="AB67" i="5"/>
  <c r="X67" i="5"/>
  <c r="AC66" i="5"/>
  <c r="AB66" i="5"/>
  <c r="X66" i="5"/>
  <c r="AC65" i="5"/>
  <c r="AB65" i="5"/>
  <c r="X65" i="5"/>
  <c r="AC64" i="5"/>
  <c r="AB64" i="5"/>
  <c r="X64" i="5"/>
  <c r="AC63" i="5"/>
  <c r="AB63" i="5"/>
  <c r="X63" i="5"/>
  <c r="AC62" i="5"/>
  <c r="AB62" i="5"/>
  <c r="X62" i="5"/>
  <c r="AC61" i="5"/>
  <c r="AB61" i="5"/>
  <c r="X61" i="5"/>
  <c r="AC60" i="5"/>
  <c r="AB60" i="5"/>
  <c r="X60" i="5"/>
  <c r="AC59" i="5"/>
  <c r="AB59" i="5"/>
  <c r="X59" i="5"/>
  <c r="AC58" i="5"/>
  <c r="AB58" i="5"/>
  <c r="X58" i="5"/>
  <c r="AC57" i="5"/>
  <c r="AB57" i="5"/>
  <c r="X57" i="5"/>
  <c r="AC56" i="5"/>
  <c r="AB56" i="5"/>
  <c r="X56" i="5"/>
  <c r="AC55" i="5"/>
  <c r="AB55" i="5"/>
  <c r="X55" i="5"/>
  <c r="AC54" i="5"/>
  <c r="AB54" i="5"/>
  <c r="X54" i="5"/>
  <c r="AC53" i="5"/>
  <c r="AB53" i="5"/>
  <c r="X53" i="5"/>
  <c r="AC52" i="5"/>
  <c r="AB52" i="5"/>
  <c r="X52" i="5"/>
  <c r="AC51" i="5"/>
  <c r="AB51" i="5"/>
  <c r="X51" i="5"/>
  <c r="AC50" i="5"/>
  <c r="AB50" i="5"/>
  <c r="X50" i="5"/>
  <c r="AC49" i="5"/>
  <c r="AB49" i="5"/>
  <c r="X49" i="5"/>
  <c r="AC48" i="5"/>
  <c r="AB48" i="5"/>
  <c r="X48" i="5"/>
  <c r="AC47" i="5"/>
  <c r="AB47" i="5"/>
  <c r="X47" i="5"/>
  <c r="AC46" i="5"/>
  <c r="AB46" i="5"/>
  <c r="X46" i="5"/>
  <c r="AC45" i="5"/>
  <c r="AB45" i="5"/>
  <c r="X45" i="5"/>
  <c r="AC44" i="5"/>
  <c r="AB44" i="5"/>
  <c r="X44" i="5"/>
  <c r="AC43" i="5"/>
  <c r="AB43" i="5"/>
  <c r="X43" i="5"/>
  <c r="AC42" i="5"/>
  <c r="AB42" i="5"/>
  <c r="X42" i="5"/>
  <c r="AC41" i="5"/>
  <c r="AB41" i="5"/>
  <c r="X41" i="5"/>
  <c r="AC40" i="5"/>
  <c r="AB40" i="5"/>
  <c r="X40" i="5"/>
  <c r="AC39" i="5"/>
  <c r="AB39" i="5"/>
  <c r="X39" i="5"/>
  <c r="AC38" i="5"/>
  <c r="AB38" i="5"/>
  <c r="X38" i="5"/>
  <c r="AC37" i="5"/>
  <c r="AB37" i="5"/>
  <c r="X37" i="5"/>
  <c r="AC36" i="5"/>
  <c r="AB36" i="5"/>
  <c r="X36" i="5"/>
  <c r="AC35" i="5"/>
  <c r="AB35" i="5"/>
  <c r="X35" i="5"/>
  <c r="AC34" i="5"/>
  <c r="AB34" i="5"/>
  <c r="X34" i="5"/>
  <c r="AC33" i="5"/>
  <c r="AB33" i="5"/>
  <c r="X33" i="5"/>
  <c r="AC32" i="5"/>
  <c r="AB32" i="5"/>
  <c r="X32" i="5"/>
  <c r="AC31" i="5"/>
  <c r="AB31" i="5"/>
  <c r="X31" i="5"/>
  <c r="AC30" i="5"/>
  <c r="AB30" i="5"/>
  <c r="X30" i="5"/>
  <c r="AC29" i="5"/>
  <c r="AB29" i="5"/>
  <c r="X29" i="5"/>
  <c r="AC28" i="5"/>
  <c r="AB28" i="5"/>
  <c r="X28" i="5"/>
  <c r="AC27" i="5"/>
  <c r="AB27" i="5"/>
  <c r="X27" i="5"/>
  <c r="AC26" i="5"/>
  <c r="AB26" i="5"/>
  <c r="X26" i="5"/>
  <c r="AC25" i="5"/>
  <c r="AB25" i="5"/>
  <c r="X25" i="5"/>
  <c r="AC24" i="5"/>
  <c r="AB24" i="5"/>
  <c r="X24" i="5"/>
  <c r="AC23" i="5"/>
  <c r="AB23" i="5"/>
  <c r="X23" i="5"/>
  <c r="AC22" i="5"/>
  <c r="AB22" i="5"/>
  <c r="X22" i="5"/>
  <c r="AC21" i="5"/>
  <c r="AB21" i="5"/>
  <c r="X21" i="5"/>
  <c r="AC20" i="5"/>
  <c r="AB20" i="5"/>
  <c r="X20" i="5"/>
  <c r="AC19" i="5"/>
  <c r="AB19" i="5"/>
  <c r="X19" i="5"/>
  <c r="AC18" i="5"/>
  <c r="AB18" i="5"/>
  <c r="X18" i="5"/>
  <c r="AC17" i="5"/>
  <c r="AB17" i="5"/>
  <c r="X17" i="5"/>
  <c r="AC16" i="5"/>
  <c r="AB16" i="5"/>
  <c r="X16" i="5"/>
  <c r="AC15" i="5"/>
  <c r="AB15" i="5"/>
  <c r="X15" i="5"/>
  <c r="AC14" i="5"/>
  <c r="AB14" i="5"/>
  <c r="X14" i="5"/>
  <c r="AC13" i="5"/>
  <c r="AB13" i="5"/>
  <c r="X13" i="5"/>
  <c r="AC12" i="5"/>
  <c r="AB12" i="5"/>
  <c r="X12" i="5"/>
  <c r="AC11" i="5"/>
  <c r="AB11" i="5"/>
  <c r="X11" i="5"/>
  <c r="AC10" i="5"/>
  <c r="AB10" i="5"/>
  <c r="X10" i="5"/>
  <c r="AC9" i="5"/>
  <c r="AB9" i="5"/>
  <c r="X9" i="5"/>
  <c r="AB8" i="5"/>
  <c r="X8" i="5"/>
  <c r="AC7" i="5"/>
  <c r="AB7" i="5"/>
  <c r="X7" i="5"/>
  <c r="AC6" i="5"/>
  <c r="AB6" i="5"/>
  <c r="X6" i="5"/>
  <c r="AB5" i="5"/>
  <c r="X5" i="5"/>
  <c r="AB4" i="5"/>
  <c r="X4" i="5"/>
  <c r="AB3" i="5"/>
  <c r="X3" i="5"/>
  <c r="AB2" i="5"/>
  <c r="X2" i="5"/>
  <c r="U134" i="4"/>
  <c r="B133" i="4"/>
  <c r="B132" i="4"/>
  <c r="U132" i="4" s="1"/>
  <c r="U131" i="4"/>
  <c r="B131" i="4"/>
  <c r="B130" i="4"/>
  <c r="U130" i="4" s="1"/>
  <c r="U129" i="4"/>
  <c r="B129" i="4"/>
  <c r="U128" i="4"/>
  <c r="B128" i="4"/>
  <c r="B127" i="4"/>
  <c r="B126" i="4"/>
  <c r="U126" i="4" s="1"/>
  <c r="B125" i="4"/>
  <c r="U125" i="4" s="1"/>
  <c r="O123" i="4"/>
  <c r="M123" i="4"/>
  <c r="M128" i="4" s="1"/>
  <c r="P128" i="4" s="1"/>
  <c r="W128" i="4" s="1"/>
  <c r="M122" i="4"/>
  <c r="M125" i="4" s="1"/>
  <c r="P125" i="4" s="1"/>
  <c r="K121" i="4"/>
  <c r="J121" i="4"/>
  <c r="U133" i="4" s="1"/>
  <c r="I121" i="4"/>
  <c r="H121" i="4"/>
  <c r="G121" i="4"/>
  <c r="F121" i="4"/>
  <c r="E121" i="4"/>
  <c r="D121" i="4"/>
  <c r="U127" i="4" s="1"/>
  <c r="C121" i="4"/>
  <c r="B121" i="4"/>
  <c r="A121" i="4"/>
  <c r="AC119" i="4"/>
  <c r="AB119" i="4"/>
  <c r="X119" i="4"/>
  <c r="AC118" i="4"/>
  <c r="AB118" i="4"/>
  <c r="X118" i="4"/>
  <c r="AC117" i="4"/>
  <c r="AB117" i="4"/>
  <c r="X117" i="4"/>
  <c r="AC116" i="4"/>
  <c r="AB116" i="4"/>
  <c r="X116" i="4"/>
  <c r="AC115" i="4"/>
  <c r="AB115" i="4"/>
  <c r="X115" i="4"/>
  <c r="AC114" i="4"/>
  <c r="AB114" i="4"/>
  <c r="X114" i="4"/>
  <c r="AC113" i="4"/>
  <c r="AB113" i="4"/>
  <c r="X113" i="4"/>
  <c r="AC112" i="4"/>
  <c r="AB112" i="4"/>
  <c r="X112" i="4"/>
  <c r="AC111" i="4"/>
  <c r="AB111" i="4"/>
  <c r="X111" i="4"/>
  <c r="AC110" i="4"/>
  <c r="AB110" i="4"/>
  <c r="X110" i="4"/>
  <c r="AC109" i="4"/>
  <c r="AB109" i="4"/>
  <c r="X109" i="4"/>
  <c r="AC108" i="4"/>
  <c r="AB108" i="4"/>
  <c r="X108" i="4"/>
  <c r="AC107" i="4"/>
  <c r="AB107" i="4"/>
  <c r="X107" i="4"/>
  <c r="AC106" i="4"/>
  <c r="AB106" i="4"/>
  <c r="X106" i="4"/>
  <c r="AC105" i="4"/>
  <c r="AB105" i="4"/>
  <c r="X105" i="4"/>
  <c r="AC104" i="4"/>
  <c r="AB104" i="4"/>
  <c r="X104" i="4"/>
  <c r="AC103" i="4"/>
  <c r="AB103" i="4"/>
  <c r="X103" i="4"/>
  <c r="AC102" i="4"/>
  <c r="AB102" i="4"/>
  <c r="X102" i="4"/>
  <c r="AC101" i="4"/>
  <c r="AB101" i="4"/>
  <c r="X101" i="4"/>
  <c r="AC100" i="4"/>
  <c r="AB100" i="4"/>
  <c r="X100" i="4"/>
  <c r="AC99" i="4"/>
  <c r="AB99" i="4"/>
  <c r="X99" i="4"/>
  <c r="AC98" i="4"/>
  <c r="AB98" i="4"/>
  <c r="X98" i="4"/>
  <c r="AC97" i="4"/>
  <c r="AB97" i="4"/>
  <c r="X97" i="4"/>
  <c r="AC96" i="4"/>
  <c r="AB96" i="4"/>
  <c r="X96" i="4"/>
  <c r="AC95" i="4"/>
  <c r="AB95" i="4"/>
  <c r="X95" i="4"/>
  <c r="AC94" i="4"/>
  <c r="AB94" i="4"/>
  <c r="X94" i="4"/>
  <c r="AC93" i="4"/>
  <c r="AB93" i="4"/>
  <c r="X93" i="4"/>
  <c r="AC92" i="4"/>
  <c r="AB92" i="4"/>
  <c r="X92" i="4"/>
  <c r="AC91" i="4"/>
  <c r="AB91" i="4"/>
  <c r="X91" i="4"/>
  <c r="AC90" i="4"/>
  <c r="AB90" i="4"/>
  <c r="X90" i="4"/>
  <c r="AC89" i="4"/>
  <c r="AB89" i="4"/>
  <c r="X89" i="4"/>
  <c r="AC88" i="4"/>
  <c r="AB88" i="4"/>
  <c r="X88" i="4"/>
  <c r="AC87" i="4"/>
  <c r="AB87" i="4"/>
  <c r="X87" i="4"/>
  <c r="AC86" i="4"/>
  <c r="AB86" i="4"/>
  <c r="X86" i="4"/>
  <c r="AC85" i="4"/>
  <c r="AB85" i="4"/>
  <c r="X85" i="4"/>
  <c r="AC84" i="4"/>
  <c r="AB84" i="4"/>
  <c r="X84" i="4"/>
  <c r="AC83" i="4"/>
  <c r="AB83" i="4"/>
  <c r="X83" i="4"/>
  <c r="AC82" i="4"/>
  <c r="AB82" i="4"/>
  <c r="X82" i="4"/>
  <c r="AC81" i="4"/>
  <c r="AB81" i="4"/>
  <c r="X81" i="4"/>
  <c r="AC80" i="4"/>
  <c r="AB80" i="4"/>
  <c r="X80" i="4"/>
  <c r="AC79" i="4"/>
  <c r="AB79" i="4"/>
  <c r="X79" i="4"/>
  <c r="AC78" i="4"/>
  <c r="AB78" i="4"/>
  <c r="X78" i="4"/>
  <c r="AC77" i="4"/>
  <c r="AB77" i="4"/>
  <c r="X77" i="4"/>
  <c r="AC76" i="4"/>
  <c r="AB76" i="4"/>
  <c r="X76" i="4"/>
  <c r="AC75" i="4"/>
  <c r="AB75" i="4"/>
  <c r="X75" i="4"/>
  <c r="AC74" i="4"/>
  <c r="AB74" i="4"/>
  <c r="X74" i="4"/>
  <c r="AC73" i="4"/>
  <c r="AB73" i="4"/>
  <c r="X73" i="4"/>
  <c r="AC72" i="4"/>
  <c r="AB72" i="4"/>
  <c r="X72" i="4"/>
  <c r="AC71" i="4"/>
  <c r="AB71" i="4"/>
  <c r="X71" i="4"/>
  <c r="AC70" i="4"/>
  <c r="AB70" i="4"/>
  <c r="X70" i="4"/>
  <c r="AC69" i="4"/>
  <c r="AB69" i="4"/>
  <c r="X69" i="4"/>
  <c r="AC68" i="4"/>
  <c r="AB68" i="4"/>
  <c r="X68" i="4"/>
  <c r="AC67" i="4"/>
  <c r="AB67" i="4"/>
  <c r="X67" i="4"/>
  <c r="AC66" i="4"/>
  <c r="AB66" i="4"/>
  <c r="X66" i="4"/>
  <c r="AC65" i="4"/>
  <c r="AB65" i="4"/>
  <c r="X65" i="4"/>
  <c r="AC64" i="4"/>
  <c r="AB64" i="4"/>
  <c r="X64" i="4"/>
  <c r="AC63" i="4"/>
  <c r="AB63" i="4"/>
  <c r="X63" i="4"/>
  <c r="AC62" i="4"/>
  <c r="AB62" i="4"/>
  <c r="X62" i="4"/>
  <c r="AC61" i="4"/>
  <c r="AB61" i="4"/>
  <c r="X61" i="4"/>
  <c r="AC60" i="4"/>
  <c r="AB60" i="4"/>
  <c r="X60" i="4"/>
  <c r="AC59" i="4"/>
  <c r="AB59" i="4"/>
  <c r="X59" i="4"/>
  <c r="AC58" i="4"/>
  <c r="AB58" i="4"/>
  <c r="X58" i="4"/>
  <c r="AC57" i="4"/>
  <c r="AB57" i="4"/>
  <c r="X57" i="4"/>
  <c r="AC56" i="4"/>
  <c r="AB56" i="4"/>
  <c r="X56" i="4"/>
  <c r="AC55" i="4"/>
  <c r="AB55" i="4"/>
  <c r="X55" i="4"/>
  <c r="AC54" i="4"/>
  <c r="AB54" i="4"/>
  <c r="X54" i="4"/>
  <c r="AC53" i="4"/>
  <c r="AB53" i="4"/>
  <c r="X53" i="4"/>
  <c r="AC52" i="4"/>
  <c r="AB52" i="4"/>
  <c r="X52" i="4"/>
  <c r="AC51" i="4"/>
  <c r="AB51" i="4"/>
  <c r="X51" i="4"/>
  <c r="AC50" i="4"/>
  <c r="AB50" i="4"/>
  <c r="X50" i="4"/>
  <c r="AC49" i="4"/>
  <c r="AB49" i="4"/>
  <c r="X49" i="4"/>
  <c r="AC48" i="4"/>
  <c r="AB48" i="4"/>
  <c r="X48" i="4"/>
  <c r="AC47" i="4"/>
  <c r="AB47" i="4"/>
  <c r="X47" i="4"/>
  <c r="AC46" i="4"/>
  <c r="AB46" i="4"/>
  <c r="X46" i="4"/>
  <c r="AC45" i="4"/>
  <c r="AB45" i="4"/>
  <c r="X45" i="4"/>
  <c r="AC44" i="4"/>
  <c r="AB44" i="4"/>
  <c r="X44" i="4"/>
  <c r="AC43" i="4"/>
  <c r="AB43" i="4"/>
  <c r="X43" i="4"/>
  <c r="AC42" i="4"/>
  <c r="AB42" i="4"/>
  <c r="X42" i="4"/>
  <c r="AC41" i="4"/>
  <c r="AB41" i="4"/>
  <c r="X41" i="4"/>
  <c r="AC40" i="4"/>
  <c r="AB40" i="4"/>
  <c r="X40" i="4"/>
  <c r="AC39" i="4"/>
  <c r="AB39" i="4"/>
  <c r="X39" i="4"/>
  <c r="AC38" i="4"/>
  <c r="AB38" i="4"/>
  <c r="X38" i="4"/>
  <c r="AC37" i="4"/>
  <c r="AB37" i="4"/>
  <c r="X37" i="4"/>
  <c r="AC36" i="4"/>
  <c r="AB36" i="4"/>
  <c r="X36" i="4"/>
  <c r="AC35" i="4"/>
  <c r="AB35" i="4"/>
  <c r="X35" i="4"/>
  <c r="AC34" i="4"/>
  <c r="AB34" i="4"/>
  <c r="X34" i="4"/>
  <c r="AC33" i="4"/>
  <c r="AB33" i="4"/>
  <c r="X33" i="4"/>
  <c r="AC32" i="4"/>
  <c r="AB32" i="4"/>
  <c r="X32" i="4"/>
  <c r="AC31" i="4"/>
  <c r="AB31" i="4"/>
  <c r="X31" i="4"/>
  <c r="AC30" i="4"/>
  <c r="AB30" i="4"/>
  <c r="X30" i="4"/>
  <c r="AC29" i="4"/>
  <c r="AB29" i="4"/>
  <c r="X29" i="4"/>
  <c r="AC28" i="4"/>
  <c r="AB28" i="4"/>
  <c r="X28" i="4"/>
  <c r="AC27" i="4"/>
  <c r="AB27" i="4"/>
  <c r="X27" i="4"/>
  <c r="AC26" i="4"/>
  <c r="AB26" i="4"/>
  <c r="X26" i="4"/>
  <c r="AC25" i="4"/>
  <c r="AB25" i="4"/>
  <c r="X25" i="4"/>
  <c r="AC24" i="4"/>
  <c r="AB24" i="4"/>
  <c r="X24" i="4"/>
  <c r="AC23" i="4"/>
  <c r="AB23" i="4"/>
  <c r="X23" i="4"/>
  <c r="AC22" i="4"/>
  <c r="AB22" i="4"/>
  <c r="X22" i="4"/>
  <c r="AC21" i="4"/>
  <c r="AB21" i="4"/>
  <c r="X21" i="4"/>
  <c r="AC20" i="4"/>
  <c r="AB20" i="4"/>
  <c r="X20" i="4"/>
  <c r="AC19" i="4"/>
  <c r="AB19" i="4"/>
  <c r="X19" i="4"/>
  <c r="AC18" i="4"/>
  <c r="AB18" i="4"/>
  <c r="X18" i="4"/>
  <c r="AC17" i="4"/>
  <c r="AB17" i="4"/>
  <c r="X17" i="4"/>
  <c r="AC16" i="4"/>
  <c r="AB16" i="4"/>
  <c r="X16" i="4"/>
  <c r="AC15" i="4"/>
  <c r="AB15" i="4"/>
  <c r="X15" i="4"/>
  <c r="AC14" i="4"/>
  <c r="AB14" i="4"/>
  <c r="X14" i="4"/>
  <c r="AC13" i="4"/>
  <c r="AB13" i="4"/>
  <c r="X13" i="4"/>
  <c r="AC12" i="4"/>
  <c r="AB12" i="4"/>
  <c r="X12" i="4"/>
  <c r="AC11" i="4"/>
  <c r="AB11" i="4"/>
  <c r="X11" i="4"/>
  <c r="AC10" i="4"/>
  <c r="AB10" i="4"/>
  <c r="X10" i="4"/>
  <c r="AC9" i="4"/>
  <c r="AB9" i="4"/>
  <c r="X9" i="4"/>
  <c r="AB8" i="4"/>
  <c r="X8" i="4"/>
  <c r="AC7" i="4"/>
  <c r="AB7" i="4"/>
  <c r="X7" i="4"/>
  <c r="AC6" i="4"/>
  <c r="AB6" i="4"/>
  <c r="X6" i="4"/>
  <c r="AB5" i="4"/>
  <c r="X5" i="4"/>
  <c r="AB4" i="4"/>
  <c r="X4" i="4"/>
  <c r="AB3" i="4"/>
  <c r="X3" i="4"/>
  <c r="AB2" i="4"/>
  <c r="X2" i="4"/>
  <c r="B133" i="3"/>
  <c r="U133" i="3" s="1"/>
  <c r="U132" i="3"/>
  <c r="M132" i="3"/>
  <c r="P132" i="3" s="1"/>
  <c r="W132" i="3" s="1"/>
  <c r="B132" i="3"/>
  <c r="U131" i="3"/>
  <c r="B131" i="3"/>
  <c r="B130" i="3"/>
  <c r="B129" i="3"/>
  <c r="U129" i="3" s="1"/>
  <c r="B128" i="3"/>
  <c r="U128" i="3" s="1"/>
  <c r="B127" i="3"/>
  <c r="U127" i="3" s="1"/>
  <c r="B126" i="3"/>
  <c r="B125" i="3"/>
  <c r="U125" i="3" s="1"/>
  <c r="O123" i="3"/>
  <c r="M123" i="3"/>
  <c r="M131" i="3" s="1"/>
  <c r="P131" i="3" s="1"/>
  <c r="W131" i="3" s="1"/>
  <c r="M122" i="3"/>
  <c r="M126" i="3" s="1"/>
  <c r="P126" i="3" s="1"/>
  <c r="W126" i="3" s="1"/>
  <c r="K121" i="3"/>
  <c r="J121" i="3"/>
  <c r="I121" i="3"/>
  <c r="H121" i="3"/>
  <c r="G121" i="3"/>
  <c r="F121" i="3"/>
  <c r="E121" i="3"/>
  <c r="D121" i="3"/>
  <c r="C121" i="3"/>
  <c r="U126" i="3" s="1"/>
  <c r="B121" i="3"/>
  <c r="A121" i="3"/>
  <c r="U130" i="3" s="1"/>
  <c r="AC119" i="3"/>
  <c r="AB119" i="3"/>
  <c r="X119" i="3"/>
  <c r="AC118" i="3"/>
  <c r="AB118" i="3"/>
  <c r="X118" i="3"/>
  <c r="AC117" i="3"/>
  <c r="AB117" i="3"/>
  <c r="X117" i="3"/>
  <c r="AC116" i="3"/>
  <c r="AB116" i="3"/>
  <c r="X116" i="3"/>
  <c r="AC115" i="3"/>
  <c r="AB115" i="3"/>
  <c r="X115" i="3"/>
  <c r="AC114" i="3"/>
  <c r="AB114" i="3"/>
  <c r="X114" i="3"/>
  <c r="AC113" i="3"/>
  <c r="AB113" i="3"/>
  <c r="X113" i="3"/>
  <c r="AC112" i="3"/>
  <c r="AB112" i="3"/>
  <c r="X112" i="3"/>
  <c r="AC111" i="3"/>
  <c r="AB111" i="3"/>
  <c r="X111" i="3"/>
  <c r="AC110" i="3"/>
  <c r="AB110" i="3"/>
  <c r="X110" i="3"/>
  <c r="AC109" i="3"/>
  <c r="AB109" i="3"/>
  <c r="X109" i="3"/>
  <c r="AC108" i="3"/>
  <c r="AB108" i="3"/>
  <c r="X108" i="3"/>
  <c r="AC107" i="3"/>
  <c r="AB107" i="3"/>
  <c r="X107" i="3"/>
  <c r="AC106" i="3"/>
  <c r="AB106" i="3"/>
  <c r="X106" i="3"/>
  <c r="AC105" i="3"/>
  <c r="AB105" i="3"/>
  <c r="X105" i="3"/>
  <c r="AC104" i="3"/>
  <c r="AB104" i="3"/>
  <c r="X104" i="3"/>
  <c r="AC103" i="3"/>
  <c r="AB103" i="3"/>
  <c r="X103" i="3"/>
  <c r="AC102" i="3"/>
  <c r="AB102" i="3"/>
  <c r="X102" i="3"/>
  <c r="AC101" i="3"/>
  <c r="AB101" i="3"/>
  <c r="X101" i="3"/>
  <c r="AC100" i="3"/>
  <c r="AB100" i="3"/>
  <c r="X100" i="3"/>
  <c r="AC99" i="3"/>
  <c r="AB99" i="3"/>
  <c r="X99" i="3"/>
  <c r="AC98" i="3"/>
  <c r="AB98" i="3"/>
  <c r="X98" i="3"/>
  <c r="AC97" i="3"/>
  <c r="AB97" i="3"/>
  <c r="X97" i="3"/>
  <c r="AC96" i="3"/>
  <c r="AB96" i="3"/>
  <c r="X96" i="3"/>
  <c r="AC95" i="3"/>
  <c r="AB95" i="3"/>
  <c r="X95" i="3"/>
  <c r="AC94" i="3"/>
  <c r="AB94" i="3"/>
  <c r="X94" i="3"/>
  <c r="AC93" i="3"/>
  <c r="AB93" i="3"/>
  <c r="X93" i="3"/>
  <c r="AC92" i="3"/>
  <c r="AB92" i="3"/>
  <c r="X92" i="3"/>
  <c r="AC91" i="3"/>
  <c r="AB91" i="3"/>
  <c r="X91" i="3"/>
  <c r="AC90" i="3"/>
  <c r="AB90" i="3"/>
  <c r="X90" i="3"/>
  <c r="AC89" i="3"/>
  <c r="AB89" i="3"/>
  <c r="X89" i="3"/>
  <c r="AC88" i="3"/>
  <c r="AB88" i="3"/>
  <c r="X88" i="3"/>
  <c r="AC87" i="3"/>
  <c r="AB87" i="3"/>
  <c r="X87" i="3"/>
  <c r="AC86" i="3"/>
  <c r="AB86" i="3"/>
  <c r="X86" i="3"/>
  <c r="AC85" i="3"/>
  <c r="AB85" i="3"/>
  <c r="X85" i="3"/>
  <c r="AC84" i="3"/>
  <c r="AB84" i="3"/>
  <c r="X84" i="3"/>
  <c r="AC83" i="3"/>
  <c r="AB83" i="3"/>
  <c r="X83" i="3"/>
  <c r="AC82" i="3"/>
  <c r="AB82" i="3"/>
  <c r="X82" i="3"/>
  <c r="AC81" i="3"/>
  <c r="AB81" i="3"/>
  <c r="X81" i="3"/>
  <c r="AC80" i="3"/>
  <c r="AB80" i="3"/>
  <c r="X80" i="3"/>
  <c r="AC79" i="3"/>
  <c r="AB79" i="3"/>
  <c r="X79" i="3"/>
  <c r="AC78" i="3"/>
  <c r="AB78" i="3"/>
  <c r="X78" i="3"/>
  <c r="AC77" i="3"/>
  <c r="AB77" i="3"/>
  <c r="X77" i="3"/>
  <c r="AC76" i="3"/>
  <c r="AB76" i="3"/>
  <c r="X76" i="3"/>
  <c r="AC75" i="3"/>
  <c r="AB75" i="3"/>
  <c r="X75" i="3"/>
  <c r="AC74" i="3"/>
  <c r="AB74" i="3"/>
  <c r="X74" i="3"/>
  <c r="AC73" i="3"/>
  <c r="AB73" i="3"/>
  <c r="X73" i="3"/>
  <c r="AC72" i="3"/>
  <c r="AB72" i="3"/>
  <c r="X72" i="3"/>
  <c r="AC71" i="3"/>
  <c r="AB71" i="3"/>
  <c r="X71" i="3"/>
  <c r="AC70" i="3"/>
  <c r="AB70" i="3"/>
  <c r="X70" i="3"/>
  <c r="AC69" i="3"/>
  <c r="AB69" i="3"/>
  <c r="X69" i="3"/>
  <c r="AC68" i="3"/>
  <c r="AB68" i="3"/>
  <c r="X68" i="3"/>
  <c r="AC67" i="3"/>
  <c r="AB67" i="3"/>
  <c r="X67" i="3"/>
  <c r="AC66" i="3"/>
  <c r="AB66" i="3"/>
  <c r="X66" i="3"/>
  <c r="AC65" i="3"/>
  <c r="AB65" i="3"/>
  <c r="X65" i="3"/>
  <c r="AC64" i="3"/>
  <c r="AB64" i="3"/>
  <c r="X64" i="3"/>
  <c r="AC63" i="3"/>
  <c r="AB63" i="3"/>
  <c r="X63" i="3"/>
  <c r="AC62" i="3"/>
  <c r="AB62" i="3"/>
  <c r="X62" i="3"/>
  <c r="AC61" i="3"/>
  <c r="AB61" i="3"/>
  <c r="X61" i="3"/>
  <c r="AC60" i="3"/>
  <c r="AB60" i="3"/>
  <c r="X60" i="3"/>
  <c r="AC59" i="3"/>
  <c r="AB59" i="3"/>
  <c r="X59" i="3"/>
  <c r="AC58" i="3"/>
  <c r="AB58" i="3"/>
  <c r="X58" i="3"/>
  <c r="AC57" i="3"/>
  <c r="AB57" i="3"/>
  <c r="X57" i="3"/>
  <c r="AC56" i="3"/>
  <c r="AB56" i="3"/>
  <c r="X56" i="3"/>
  <c r="AC55" i="3"/>
  <c r="AB55" i="3"/>
  <c r="X55" i="3"/>
  <c r="AC54" i="3"/>
  <c r="AB54" i="3"/>
  <c r="X54" i="3"/>
  <c r="AC53" i="3"/>
  <c r="AB53" i="3"/>
  <c r="X53" i="3"/>
  <c r="AC52" i="3"/>
  <c r="AB52" i="3"/>
  <c r="X52" i="3"/>
  <c r="AC51" i="3"/>
  <c r="AB51" i="3"/>
  <c r="X51" i="3"/>
  <c r="AC50" i="3"/>
  <c r="AB50" i="3"/>
  <c r="X50" i="3"/>
  <c r="AC49" i="3"/>
  <c r="AB49" i="3"/>
  <c r="X49" i="3"/>
  <c r="AC48" i="3"/>
  <c r="AB48" i="3"/>
  <c r="X48" i="3"/>
  <c r="AC47" i="3"/>
  <c r="AB47" i="3"/>
  <c r="X47" i="3"/>
  <c r="AC46" i="3"/>
  <c r="AB46" i="3"/>
  <c r="X46" i="3"/>
  <c r="AC45" i="3"/>
  <c r="AB45" i="3"/>
  <c r="X45" i="3"/>
  <c r="AC44" i="3"/>
  <c r="AB44" i="3"/>
  <c r="X44" i="3"/>
  <c r="AC43" i="3"/>
  <c r="AB43" i="3"/>
  <c r="X43" i="3"/>
  <c r="AC42" i="3"/>
  <c r="AB42" i="3"/>
  <c r="X42" i="3"/>
  <c r="AC41" i="3"/>
  <c r="AB41" i="3"/>
  <c r="X41" i="3"/>
  <c r="AC40" i="3"/>
  <c r="AB40" i="3"/>
  <c r="X40" i="3"/>
  <c r="AC39" i="3"/>
  <c r="AB39" i="3"/>
  <c r="X39" i="3"/>
  <c r="AC38" i="3"/>
  <c r="AB38" i="3"/>
  <c r="X38" i="3"/>
  <c r="AC37" i="3"/>
  <c r="AB37" i="3"/>
  <c r="X37" i="3"/>
  <c r="AC36" i="3"/>
  <c r="AB36" i="3"/>
  <c r="X36" i="3"/>
  <c r="AC35" i="3"/>
  <c r="AB35" i="3"/>
  <c r="X35" i="3"/>
  <c r="AC34" i="3"/>
  <c r="AB34" i="3"/>
  <c r="X34" i="3"/>
  <c r="AC33" i="3"/>
  <c r="AB33" i="3"/>
  <c r="X33" i="3"/>
  <c r="AC32" i="3"/>
  <c r="AB32" i="3"/>
  <c r="X32" i="3"/>
  <c r="AC31" i="3"/>
  <c r="AB31" i="3"/>
  <c r="X31" i="3"/>
  <c r="AC30" i="3"/>
  <c r="AB30" i="3"/>
  <c r="X30" i="3"/>
  <c r="AC29" i="3"/>
  <c r="AB29" i="3"/>
  <c r="X29" i="3"/>
  <c r="AC28" i="3"/>
  <c r="AB28" i="3"/>
  <c r="X28" i="3"/>
  <c r="AC27" i="3"/>
  <c r="AB27" i="3"/>
  <c r="X27" i="3"/>
  <c r="AC26" i="3"/>
  <c r="AB26" i="3"/>
  <c r="X26" i="3"/>
  <c r="AC25" i="3"/>
  <c r="AB25" i="3"/>
  <c r="X25" i="3"/>
  <c r="AC24" i="3"/>
  <c r="AB24" i="3"/>
  <c r="X24" i="3"/>
  <c r="AC23" i="3"/>
  <c r="AB23" i="3"/>
  <c r="X23" i="3"/>
  <c r="AC22" i="3"/>
  <c r="AB22" i="3"/>
  <c r="X22" i="3"/>
  <c r="AC21" i="3"/>
  <c r="AB21" i="3"/>
  <c r="X21" i="3"/>
  <c r="AC20" i="3"/>
  <c r="AB20" i="3"/>
  <c r="X20" i="3"/>
  <c r="AC19" i="3"/>
  <c r="AB19" i="3"/>
  <c r="X19" i="3"/>
  <c r="AC18" i="3"/>
  <c r="AB18" i="3"/>
  <c r="X18" i="3"/>
  <c r="AC17" i="3"/>
  <c r="AB17" i="3"/>
  <c r="X17" i="3"/>
  <c r="AC16" i="3"/>
  <c r="AB16" i="3"/>
  <c r="X16" i="3"/>
  <c r="AC15" i="3"/>
  <c r="AB15" i="3"/>
  <c r="X15" i="3"/>
  <c r="AC14" i="3"/>
  <c r="AB14" i="3"/>
  <c r="X14" i="3"/>
  <c r="AC13" i="3"/>
  <c r="AB13" i="3"/>
  <c r="X13" i="3"/>
  <c r="AC12" i="3"/>
  <c r="AB12" i="3"/>
  <c r="X12" i="3"/>
  <c r="AC11" i="3"/>
  <c r="AB11" i="3"/>
  <c r="X11" i="3"/>
  <c r="AC10" i="3"/>
  <c r="AB10" i="3"/>
  <c r="X10" i="3"/>
  <c r="AC9" i="3"/>
  <c r="AB9" i="3"/>
  <c r="X9" i="3"/>
  <c r="AB8" i="3"/>
  <c r="X8" i="3"/>
  <c r="AC7" i="3"/>
  <c r="AB7" i="3"/>
  <c r="X7" i="3"/>
  <c r="AC6" i="3"/>
  <c r="AB6" i="3"/>
  <c r="X6" i="3"/>
  <c r="AB5" i="3"/>
  <c r="X5" i="3"/>
  <c r="AB4" i="3"/>
  <c r="X4" i="3"/>
  <c r="AB3" i="3"/>
  <c r="X3" i="3"/>
  <c r="AB2" i="3"/>
  <c r="X2" i="3"/>
  <c r="U134" i="2"/>
  <c r="M133" i="2"/>
  <c r="P133" i="2" s="1"/>
  <c r="W133" i="2" s="1"/>
  <c r="B133" i="2"/>
  <c r="U133" i="2" s="1"/>
  <c r="M132" i="2"/>
  <c r="B132" i="2"/>
  <c r="U132" i="2" s="1"/>
  <c r="B131" i="2"/>
  <c r="B130" i="2"/>
  <c r="U130" i="2" s="1"/>
  <c r="B129" i="2"/>
  <c r="B128" i="2"/>
  <c r="U128" i="2" s="1"/>
  <c r="M127" i="2"/>
  <c r="P127" i="2" s="1"/>
  <c r="W127" i="2" s="1"/>
  <c r="B127" i="2"/>
  <c r="U127" i="2" s="1"/>
  <c r="M126" i="2"/>
  <c r="P126" i="2" s="1"/>
  <c r="B126" i="2"/>
  <c r="U126" i="2" s="1"/>
  <c r="U125" i="2"/>
  <c r="B125" i="2"/>
  <c r="O123" i="2"/>
  <c r="M123" i="2"/>
  <c r="M134" i="2" s="1"/>
  <c r="M122" i="2"/>
  <c r="M129" i="2" s="1"/>
  <c r="K121" i="2"/>
  <c r="J121" i="2"/>
  <c r="I121" i="2"/>
  <c r="H121" i="2"/>
  <c r="G121" i="2"/>
  <c r="F121" i="2"/>
  <c r="U129" i="2" s="1"/>
  <c r="E121" i="2"/>
  <c r="D121" i="2"/>
  <c r="C121" i="2"/>
  <c r="B121" i="2"/>
  <c r="A121" i="2"/>
  <c r="AC119" i="2"/>
  <c r="AB119" i="2"/>
  <c r="X119" i="2"/>
  <c r="AC118" i="2"/>
  <c r="AB118" i="2"/>
  <c r="X118" i="2"/>
  <c r="AC117" i="2"/>
  <c r="AB117" i="2"/>
  <c r="X117" i="2"/>
  <c r="AC116" i="2"/>
  <c r="AB116" i="2"/>
  <c r="X116" i="2"/>
  <c r="AC115" i="2"/>
  <c r="AB115" i="2"/>
  <c r="X115" i="2"/>
  <c r="AC114" i="2"/>
  <c r="AB114" i="2"/>
  <c r="X114" i="2"/>
  <c r="AC113" i="2"/>
  <c r="AB113" i="2"/>
  <c r="X113" i="2"/>
  <c r="AC112" i="2"/>
  <c r="AB112" i="2"/>
  <c r="X112" i="2"/>
  <c r="AC111" i="2"/>
  <c r="AB111" i="2"/>
  <c r="X111" i="2"/>
  <c r="AC110" i="2"/>
  <c r="AB110" i="2"/>
  <c r="X110" i="2"/>
  <c r="AC109" i="2"/>
  <c r="AB109" i="2"/>
  <c r="X109" i="2"/>
  <c r="AC108" i="2"/>
  <c r="AB108" i="2"/>
  <c r="X108" i="2"/>
  <c r="AC107" i="2"/>
  <c r="AB107" i="2"/>
  <c r="X107" i="2"/>
  <c r="AC106" i="2"/>
  <c r="AB106" i="2"/>
  <c r="X106" i="2"/>
  <c r="AC105" i="2"/>
  <c r="AB105" i="2"/>
  <c r="X105" i="2"/>
  <c r="AC104" i="2"/>
  <c r="AB104" i="2"/>
  <c r="X104" i="2"/>
  <c r="AC103" i="2"/>
  <c r="AB103" i="2"/>
  <c r="X103" i="2"/>
  <c r="AC102" i="2"/>
  <c r="AB102" i="2"/>
  <c r="X102" i="2"/>
  <c r="AC101" i="2"/>
  <c r="AB101" i="2"/>
  <c r="X101" i="2"/>
  <c r="AC100" i="2"/>
  <c r="AB100" i="2"/>
  <c r="X100" i="2"/>
  <c r="AC99" i="2"/>
  <c r="AB99" i="2"/>
  <c r="X99" i="2"/>
  <c r="AC98" i="2"/>
  <c r="AB98" i="2"/>
  <c r="X98" i="2"/>
  <c r="AC97" i="2"/>
  <c r="AB97" i="2"/>
  <c r="X97" i="2"/>
  <c r="AC96" i="2"/>
  <c r="AB96" i="2"/>
  <c r="X96" i="2"/>
  <c r="AC95" i="2"/>
  <c r="AB95" i="2"/>
  <c r="X95" i="2"/>
  <c r="AC94" i="2"/>
  <c r="AB94" i="2"/>
  <c r="X94" i="2"/>
  <c r="AC93" i="2"/>
  <c r="AB93" i="2"/>
  <c r="X93" i="2"/>
  <c r="AC92" i="2"/>
  <c r="AB92" i="2"/>
  <c r="X92" i="2"/>
  <c r="AC91" i="2"/>
  <c r="AB91" i="2"/>
  <c r="X91" i="2"/>
  <c r="AC90" i="2"/>
  <c r="AB90" i="2"/>
  <c r="X90" i="2"/>
  <c r="AC89" i="2"/>
  <c r="AB89" i="2"/>
  <c r="X89" i="2"/>
  <c r="AC88" i="2"/>
  <c r="AB88" i="2"/>
  <c r="X88" i="2"/>
  <c r="AC87" i="2"/>
  <c r="AB87" i="2"/>
  <c r="X87" i="2"/>
  <c r="AC86" i="2"/>
  <c r="AB86" i="2"/>
  <c r="X86" i="2"/>
  <c r="AC85" i="2"/>
  <c r="AB85" i="2"/>
  <c r="X85" i="2"/>
  <c r="AC84" i="2"/>
  <c r="AB84" i="2"/>
  <c r="X84" i="2"/>
  <c r="AC83" i="2"/>
  <c r="AB83" i="2"/>
  <c r="X83" i="2"/>
  <c r="AC82" i="2"/>
  <c r="AB82" i="2"/>
  <c r="X82" i="2"/>
  <c r="AC81" i="2"/>
  <c r="AB81" i="2"/>
  <c r="X81" i="2"/>
  <c r="AC80" i="2"/>
  <c r="AB80" i="2"/>
  <c r="X80" i="2"/>
  <c r="AC79" i="2"/>
  <c r="AB79" i="2"/>
  <c r="X79" i="2"/>
  <c r="AC78" i="2"/>
  <c r="AB78" i="2"/>
  <c r="X78" i="2"/>
  <c r="AC77" i="2"/>
  <c r="AB77" i="2"/>
  <c r="X77" i="2"/>
  <c r="AC76" i="2"/>
  <c r="AB76" i="2"/>
  <c r="X76" i="2"/>
  <c r="AC75" i="2"/>
  <c r="AB75" i="2"/>
  <c r="X75" i="2"/>
  <c r="AC74" i="2"/>
  <c r="AB74" i="2"/>
  <c r="X74" i="2"/>
  <c r="AC73" i="2"/>
  <c r="AB73" i="2"/>
  <c r="X73" i="2"/>
  <c r="AC72" i="2"/>
  <c r="AB72" i="2"/>
  <c r="X72" i="2"/>
  <c r="AC71" i="2"/>
  <c r="AB71" i="2"/>
  <c r="X71" i="2"/>
  <c r="AC70" i="2"/>
  <c r="AB70" i="2"/>
  <c r="X70" i="2"/>
  <c r="AC69" i="2"/>
  <c r="AB69" i="2"/>
  <c r="X69" i="2"/>
  <c r="AC68" i="2"/>
  <c r="AB68" i="2"/>
  <c r="X68" i="2"/>
  <c r="AC67" i="2"/>
  <c r="AB67" i="2"/>
  <c r="X67" i="2"/>
  <c r="AC66" i="2"/>
  <c r="AB66" i="2"/>
  <c r="X66" i="2"/>
  <c r="AC65" i="2"/>
  <c r="AB65" i="2"/>
  <c r="X65" i="2"/>
  <c r="AC64" i="2"/>
  <c r="AB64" i="2"/>
  <c r="X64" i="2"/>
  <c r="AC63" i="2"/>
  <c r="AB63" i="2"/>
  <c r="X63" i="2"/>
  <c r="AC62" i="2"/>
  <c r="AB62" i="2"/>
  <c r="X62" i="2"/>
  <c r="AC61" i="2"/>
  <c r="AB61" i="2"/>
  <c r="X61" i="2"/>
  <c r="AC60" i="2"/>
  <c r="AB60" i="2"/>
  <c r="X60" i="2"/>
  <c r="AC59" i="2"/>
  <c r="AB59" i="2"/>
  <c r="X59" i="2"/>
  <c r="AC58" i="2"/>
  <c r="AB58" i="2"/>
  <c r="X58" i="2"/>
  <c r="AC57" i="2"/>
  <c r="AB57" i="2"/>
  <c r="X57" i="2"/>
  <c r="AC56" i="2"/>
  <c r="AB56" i="2"/>
  <c r="X56" i="2"/>
  <c r="AC55" i="2"/>
  <c r="AB55" i="2"/>
  <c r="X55" i="2"/>
  <c r="AC54" i="2"/>
  <c r="AB54" i="2"/>
  <c r="X54" i="2"/>
  <c r="AC53" i="2"/>
  <c r="AB53" i="2"/>
  <c r="X53" i="2"/>
  <c r="AC52" i="2"/>
  <c r="AB52" i="2"/>
  <c r="X52" i="2"/>
  <c r="AC51" i="2"/>
  <c r="AB51" i="2"/>
  <c r="X51" i="2"/>
  <c r="AC50" i="2"/>
  <c r="AB50" i="2"/>
  <c r="X50" i="2"/>
  <c r="AC49" i="2"/>
  <c r="AB49" i="2"/>
  <c r="X49" i="2"/>
  <c r="AC48" i="2"/>
  <c r="AB48" i="2"/>
  <c r="X48" i="2"/>
  <c r="AC47" i="2"/>
  <c r="AB47" i="2"/>
  <c r="X47" i="2"/>
  <c r="AC46" i="2"/>
  <c r="AB46" i="2"/>
  <c r="X46" i="2"/>
  <c r="AC45" i="2"/>
  <c r="AB45" i="2"/>
  <c r="X45" i="2"/>
  <c r="AC44" i="2"/>
  <c r="AB44" i="2"/>
  <c r="X44" i="2"/>
  <c r="AC43" i="2"/>
  <c r="AB43" i="2"/>
  <c r="X43" i="2"/>
  <c r="AC42" i="2"/>
  <c r="AB42" i="2"/>
  <c r="X42" i="2"/>
  <c r="AC41" i="2"/>
  <c r="AB41" i="2"/>
  <c r="X41" i="2"/>
  <c r="AC40" i="2"/>
  <c r="AB40" i="2"/>
  <c r="X40" i="2"/>
  <c r="AC39" i="2"/>
  <c r="AB39" i="2"/>
  <c r="X39" i="2"/>
  <c r="AC38" i="2"/>
  <c r="AB38" i="2"/>
  <c r="X38" i="2"/>
  <c r="AC37" i="2"/>
  <c r="AB37" i="2"/>
  <c r="X37" i="2"/>
  <c r="AC36" i="2"/>
  <c r="AB36" i="2"/>
  <c r="X36" i="2"/>
  <c r="AC35" i="2"/>
  <c r="AB35" i="2"/>
  <c r="X35" i="2"/>
  <c r="AC34" i="2"/>
  <c r="AB34" i="2"/>
  <c r="X34" i="2"/>
  <c r="AC33" i="2"/>
  <c r="AB33" i="2"/>
  <c r="X33" i="2"/>
  <c r="AC32" i="2"/>
  <c r="AB32" i="2"/>
  <c r="X32" i="2"/>
  <c r="AC31" i="2"/>
  <c r="AB31" i="2"/>
  <c r="X31" i="2"/>
  <c r="AC30" i="2"/>
  <c r="AB30" i="2"/>
  <c r="X30" i="2"/>
  <c r="AC29" i="2"/>
  <c r="AB29" i="2"/>
  <c r="X29" i="2"/>
  <c r="AC28" i="2"/>
  <c r="AB28" i="2"/>
  <c r="X28" i="2"/>
  <c r="AC27" i="2"/>
  <c r="AB27" i="2"/>
  <c r="X27" i="2"/>
  <c r="AC26" i="2"/>
  <c r="AB26" i="2"/>
  <c r="X26" i="2"/>
  <c r="AC25" i="2"/>
  <c r="AB25" i="2"/>
  <c r="X25" i="2"/>
  <c r="AC24" i="2"/>
  <c r="AB24" i="2"/>
  <c r="X24" i="2"/>
  <c r="AC23" i="2"/>
  <c r="AB23" i="2"/>
  <c r="X23" i="2"/>
  <c r="AC22" i="2"/>
  <c r="AB22" i="2"/>
  <c r="X22" i="2"/>
  <c r="AC21" i="2"/>
  <c r="AB21" i="2"/>
  <c r="X21" i="2"/>
  <c r="AC20" i="2"/>
  <c r="AB20" i="2"/>
  <c r="X20" i="2"/>
  <c r="AC19" i="2"/>
  <c r="AB19" i="2"/>
  <c r="X19" i="2"/>
  <c r="AC18" i="2"/>
  <c r="AB18" i="2"/>
  <c r="X18" i="2"/>
  <c r="AC17" i="2"/>
  <c r="AB17" i="2"/>
  <c r="X17" i="2"/>
  <c r="AC16" i="2"/>
  <c r="AB16" i="2"/>
  <c r="X16" i="2"/>
  <c r="AC15" i="2"/>
  <c r="AB15" i="2"/>
  <c r="X15" i="2"/>
  <c r="AC14" i="2"/>
  <c r="AB14" i="2"/>
  <c r="X14" i="2"/>
  <c r="AC13" i="2"/>
  <c r="AB13" i="2"/>
  <c r="X13" i="2"/>
  <c r="AC12" i="2"/>
  <c r="AB12" i="2"/>
  <c r="X12" i="2"/>
  <c r="AC11" i="2"/>
  <c r="AB11" i="2"/>
  <c r="X11" i="2"/>
  <c r="AC10" i="2"/>
  <c r="AB10" i="2"/>
  <c r="X10" i="2"/>
  <c r="AC9" i="2"/>
  <c r="AB9" i="2"/>
  <c r="X9" i="2"/>
  <c r="AB8" i="2"/>
  <c r="X8" i="2"/>
  <c r="AC7" i="2"/>
  <c r="AB7" i="2"/>
  <c r="X7" i="2"/>
  <c r="AC6" i="2"/>
  <c r="AB6" i="2"/>
  <c r="X6" i="2"/>
  <c r="AB5" i="2"/>
  <c r="X5" i="2"/>
  <c r="AB4" i="2"/>
  <c r="X4" i="2"/>
  <c r="AB3" i="2"/>
  <c r="X3" i="2"/>
  <c r="AB2" i="2"/>
  <c r="X2" i="2"/>
  <c r="B133" i="1"/>
  <c r="U133" i="1" s="1"/>
  <c r="B132" i="1"/>
  <c r="U132" i="1" s="1"/>
  <c r="U131" i="1"/>
  <c r="B131" i="1"/>
  <c r="B130" i="1"/>
  <c r="B129" i="1"/>
  <c r="U129" i="1" s="1"/>
  <c r="U128" i="1"/>
  <c r="B128" i="1"/>
  <c r="B127" i="1"/>
  <c r="U127" i="1" s="1"/>
  <c r="B126" i="1"/>
  <c r="B125" i="1"/>
  <c r="U125" i="1" s="1"/>
  <c r="O123" i="1"/>
  <c r="M123" i="1"/>
  <c r="M131" i="1" s="1"/>
  <c r="P131" i="1" s="1"/>
  <c r="W131" i="1" s="1"/>
  <c r="M122" i="1"/>
  <c r="M126" i="1" s="1"/>
  <c r="P126" i="1" s="1"/>
  <c r="K121" i="1"/>
  <c r="U134" i="1" s="1"/>
  <c r="J121" i="1"/>
  <c r="I121" i="1"/>
  <c r="H121" i="1"/>
  <c r="G121" i="1"/>
  <c r="F121" i="1"/>
  <c r="E121" i="1"/>
  <c r="D121" i="1"/>
  <c r="C121" i="1"/>
  <c r="U126" i="1" s="1"/>
  <c r="B121" i="1"/>
  <c r="A121" i="1"/>
  <c r="U130" i="1" s="1"/>
  <c r="AC119" i="1"/>
  <c r="AB119" i="1"/>
  <c r="X119" i="1"/>
  <c r="AC118" i="1"/>
  <c r="AB118" i="1"/>
  <c r="X118" i="1"/>
  <c r="AC117" i="1"/>
  <c r="AB117" i="1"/>
  <c r="X117" i="1"/>
  <c r="AC116" i="1"/>
  <c r="AB116" i="1"/>
  <c r="X116" i="1"/>
  <c r="AC115" i="1"/>
  <c r="AB115" i="1"/>
  <c r="X115" i="1"/>
  <c r="AC114" i="1"/>
  <c r="AB114" i="1"/>
  <c r="X114" i="1"/>
  <c r="AC113" i="1"/>
  <c r="AB113" i="1"/>
  <c r="X113" i="1"/>
  <c r="AC112" i="1"/>
  <c r="AB112" i="1"/>
  <c r="X112" i="1"/>
  <c r="AC111" i="1"/>
  <c r="AB111" i="1"/>
  <c r="X111" i="1"/>
  <c r="AC110" i="1"/>
  <c r="AB110" i="1"/>
  <c r="X110" i="1"/>
  <c r="AC109" i="1"/>
  <c r="AB109" i="1"/>
  <c r="X109" i="1"/>
  <c r="AC108" i="1"/>
  <c r="AB108" i="1"/>
  <c r="X108" i="1"/>
  <c r="AC107" i="1"/>
  <c r="AB107" i="1"/>
  <c r="X107" i="1"/>
  <c r="AC106" i="1"/>
  <c r="AB106" i="1"/>
  <c r="X106" i="1"/>
  <c r="AC105" i="1"/>
  <c r="AB105" i="1"/>
  <c r="X105" i="1"/>
  <c r="AC104" i="1"/>
  <c r="AB104" i="1"/>
  <c r="X104" i="1"/>
  <c r="AC103" i="1"/>
  <c r="AB103" i="1"/>
  <c r="X103" i="1"/>
  <c r="AC102" i="1"/>
  <c r="AB102" i="1"/>
  <c r="X102" i="1"/>
  <c r="AC101" i="1"/>
  <c r="AB101" i="1"/>
  <c r="X101" i="1"/>
  <c r="AC100" i="1"/>
  <c r="AB100" i="1"/>
  <c r="X100" i="1"/>
  <c r="AC99" i="1"/>
  <c r="AB99" i="1"/>
  <c r="X99" i="1"/>
  <c r="AC98" i="1"/>
  <c r="AB98" i="1"/>
  <c r="X98" i="1"/>
  <c r="AC97" i="1"/>
  <c r="AB97" i="1"/>
  <c r="X97" i="1"/>
  <c r="AC96" i="1"/>
  <c r="AB96" i="1"/>
  <c r="X96" i="1"/>
  <c r="AC95" i="1"/>
  <c r="AB95" i="1"/>
  <c r="X95" i="1"/>
  <c r="AC94" i="1"/>
  <c r="AB94" i="1"/>
  <c r="X94" i="1"/>
  <c r="AC93" i="1"/>
  <c r="AB93" i="1"/>
  <c r="X93" i="1"/>
  <c r="AC92" i="1"/>
  <c r="AB92" i="1"/>
  <c r="X92" i="1"/>
  <c r="AC91" i="1"/>
  <c r="AB91" i="1"/>
  <c r="X91" i="1"/>
  <c r="AC90" i="1"/>
  <c r="AB90" i="1"/>
  <c r="X90" i="1"/>
  <c r="AC89" i="1"/>
  <c r="AB89" i="1"/>
  <c r="X89" i="1"/>
  <c r="AC88" i="1"/>
  <c r="AB88" i="1"/>
  <c r="X88" i="1"/>
  <c r="AC87" i="1"/>
  <c r="AB87" i="1"/>
  <c r="X87" i="1"/>
  <c r="AC86" i="1"/>
  <c r="AB86" i="1"/>
  <c r="X86" i="1"/>
  <c r="AC85" i="1"/>
  <c r="AB85" i="1"/>
  <c r="X85" i="1"/>
  <c r="AC84" i="1"/>
  <c r="AB84" i="1"/>
  <c r="X84" i="1"/>
  <c r="AC83" i="1"/>
  <c r="AB83" i="1"/>
  <c r="X83" i="1"/>
  <c r="AC82" i="1"/>
  <c r="AB82" i="1"/>
  <c r="X82" i="1"/>
  <c r="AC81" i="1"/>
  <c r="AB81" i="1"/>
  <c r="X81" i="1"/>
  <c r="AC80" i="1"/>
  <c r="AB80" i="1"/>
  <c r="X80" i="1"/>
  <c r="AC79" i="1"/>
  <c r="AB79" i="1"/>
  <c r="X79" i="1"/>
  <c r="AC78" i="1"/>
  <c r="AB78" i="1"/>
  <c r="X78" i="1"/>
  <c r="AC77" i="1"/>
  <c r="AB77" i="1"/>
  <c r="X77" i="1"/>
  <c r="AC76" i="1"/>
  <c r="AB76" i="1"/>
  <c r="X76" i="1"/>
  <c r="AC75" i="1"/>
  <c r="AB75" i="1"/>
  <c r="X75" i="1"/>
  <c r="AC74" i="1"/>
  <c r="AB74" i="1"/>
  <c r="X74" i="1"/>
  <c r="AC73" i="1"/>
  <c r="AB73" i="1"/>
  <c r="X73" i="1"/>
  <c r="AC72" i="1"/>
  <c r="AB72" i="1"/>
  <c r="X72" i="1"/>
  <c r="AC71" i="1"/>
  <c r="AB71" i="1"/>
  <c r="X71" i="1"/>
  <c r="AC70" i="1"/>
  <c r="AB70" i="1"/>
  <c r="X70" i="1"/>
  <c r="AC69" i="1"/>
  <c r="AB69" i="1"/>
  <c r="X69" i="1"/>
  <c r="AC68" i="1"/>
  <c r="AB68" i="1"/>
  <c r="X68" i="1"/>
  <c r="AC67" i="1"/>
  <c r="AB67" i="1"/>
  <c r="X67" i="1"/>
  <c r="AC66" i="1"/>
  <c r="AB66" i="1"/>
  <c r="X66" i="1"/>
  <c r="AC65" i="1"/>
  <c r="AB65" i="1"/>
  <c r="X65" i="1"/>
  <c r="AC64" i="1"/>
  <c r="AB64" i="1"/>
  <c r="X64" i="1"/>
  <c r="AC63" i="1"/>
  <c r="AB63" i="1"/>
  <c r="X63" i="1"/>
  <c r="AC62" i="1"/>
  <c r="AB62" i="1"/>
  <c r="X62" i="1"/>
  <c r="AC61" i="1"/>
  <c r="AB61" i="1"/>
  <c r="X61" i="1"/>
  <c r="AC60" i="1"/>
  <c r="AB60" i="1"/>
  <c r="X60" i="1"/>
  <c r="AC59" i="1"/>
  <c r="AB59" i="1"/>
  <c r="X59" i="1"/>
  <c r="AC58" i="1"/>
  <c r="AB58" i="1"/>
  <c r="X58" i="1"/>
  <c r="AC57" i="1"/>
  <c r="AB57" i="1"/>
  <c r="X57" i="1"/>
  <c r="AC56" i="1"/>
  <c r="AB56" i="1"/>
  <c r="X56" i="1"/>
  <c r="AC55" i="1"/>
  <c r="AB55" i="1"/>
  <c r="X55" i="1"/>
  <c r="AC54" i="1"/>
  <c r="AB54" i="1"/>
  <c r="X54" i="1"/>
  <c r="AC53" i="1"/>
  <c r="AB53" i="1"/>
  <c r="X53" i="1"/>
  <c r="AC52" i="1"/>
  <c r="AB52" i="1"/>
  <c r="X52" i="1"/>
  <c r="AC51" i="1"/>
  <c r="AB51" i="1"/>
  <c r="X51" i="1"/>
  <c r="AC50" i="1"/>
  <c r="AB50" i="1"/>
  <c r="X50" i="1"/>
  <c r="AC49" i="1"/>
  <c r="AB49" i="1"/>
  <c r="X49" i="1"/>
  <c r="AC48" i="1"/>
  <c r="AB48" i="1"/>
  <c r="X48" i="1"/>
  <c r="AC47" i="1"/>
  <c r="AB47" i="1"/>
  <c r="X47" i="1"/>
  <c r="AC46" i="1"/>
  <c r="AB46" i="1"/>
  <c r="X46" i="1"/>
  <c r="AC45" i="1"/>
  <c r="AB45" i="1"/>
  <c r="X45" i="1"/>
  <c r="AC44" i="1"/>
  <c r="AB44" i="1"/>
  <c r="X44" i="1"/>
  <c r="AC43" i="1"/>
  <c r="AB43" i="1"/>
  <c r="X43" i="1"/>
  <c r="AC42" i="1"/>
  <c r="AB42" i="1"/>
  <c r="X42" i="1"/>
  <c r="AC41" i="1"/>
  <c r="AB41" i="1"/>
  <c r="X41" i="1"/>
  <c r="AC40" i="1"/>
  <c r="AB40" i="1"/>
  <c r="X40" i="1"/>
  <c r="AC39" i="1"/>
  <c r="AB39" i="1"/>
  <c r="X39" i="1"/>
  <c r="AC38" i="1"/>
  <c r="AB38" i="1"/>
  <c r="X38" i="1"/>
  <c r="AC37" i="1"/>
  <c r="AB37" i="1"/>
  <c r="X37" i="1"/>
  <c r="AC36" i="1"/>
  <c r="AB36" i="1"/>
  <c r="X36" i="1"/>
  <c r="AC35" i="1"/>
  <c r="AB35" i="1"/>
  <c r="X35" i="1"/>
  <c r="AC34" i="1"/>
  <c r="AB34" i="1"/>
  <c r="X34" i="1"/>
  <c r="AC33" i="1"/>
  <c r="AB33" i="1"/>
  <c r="X33" i="1"/>
  <c r="AC32" i="1"/>
  <c r="AB32" i="1"/>
  <c r="X32" i="1"/>
  <c r="AC31" i="1"/>
  <c r="AB31" i="1"/>
  <c r="X31" i="1"/>
  <c r="AC30" i="1"/>
  <c r="AB30" i="1"/>
  <c r="X30" i="1"/>
  <c r="AC29" i="1"/>
  <c r="AB29" i="1"/>
  <c r="X29" i="1"/>
  <c r="AC28" i="1"/>
  <c r="AB28" i="1"/>
  <c r="X28" i="1"/>
  <c r="AC27" i="1"/>
  <c r="AB27" i="1"/>
  <c r="X27" i="1"/>
  <c r="AC26" i="1"/>
  <c r="AB26" i="1"/>
  <c r="X26" i="1"/>
  <c r="AC25" i="1"/>
  <c r="AB25" i="1"/>
  <c r="X25" i="1"/>
  <c r="AC24" i="1"/>
  <c r="AB24" i="1"/>
  <c r="X24" i="1"/>
  <c r="AC23" i="1"/>
  <c r="AB23" i="1"/>
  <c r="X23" i="1"/>
  <c r="AC22" i="1"/>
  <c r="AB22" i="1"/>
  <c r="X22" i="1"/>
  <c r="AC21" i="1"/>
  <c r="AB21" i="1"/>
  <c r="X21" i="1"/>
  <c r="AC20" i="1"/>
  <c r="AB20" i="1"/>
  <c r="X20" i="1"/>
  <c r="AC19" i="1"/>
  <c r="AB19" i="1"/>
  <c r="X19" i="1"/>
  <c r="AC18" i="1"/>
  <c r="AB18" i="1"/>
  <c r="X18" i="1"/>
  <c r="AC17" i="1"/>
  <c r="AB17" i="1"/>
  <c r="X17" i="1"/>
  <c r="AC16" i="1"/>
  <c r="AB16" i="1"/>
  <c r="X16" i="1"/>
  <c r="AC15" i="1"/>
  <c r="AB15" i="1"/>
  <c r="X15" i="1"/>
  <c r="AC14" i="1"/>
  <c r="AB14" i="1"/>
  <c r="X14" i="1"/>
  <c r="AC13" i="1"/>
  <c r="AB13" i="1"/>
  <c r="X13" i="1"/>
  <c r="AC12" i="1"/>
  <c r="AB12" i="1"/>
  <c r="X12" i="1"/>
  <c r="AC11" i="1"/>
  <c r="AB11" i="1"/>
  <c r="X11" i="1"/>
  <c r="AC10" i="1"/>
  <c r="AB10" i="1"/>
  <c r="X10" i="1"/>
  <c r="AC9" i="1"/>
  <c r="AB9" i="1"/>
  <c r="X9" i="1"/>
  <c r="AB8" i="1"/>
  <c r="X8" i="1"/>
  <c r="AC7" i="1"/>
  <c r="AB7" i="1"/>
  <c r="X7" i="1"/>
  <c r="AC6" i="1"/>
  <c r="AB6" i="1"/>
  <c r="X6" i="1"/>
  <c r="AB5" i="1"/>
  <c r="X5" i="1"/>
  <c r="AB4" i="1"/>
  <c r="X4" i="1"/>
  <c r="AB3" i="1"/>
  <c r="X3" i="1"/>
  <c r="AB2" i="1"/>
  <c r="X2" i="1"/>
  <c r="A140" i="10" a="1"/>
  <c r="A140" i="13" a="1"/>
  <c r="A140" i="12" a="1"/>
  <c r="A140" i="11" a="1"/>
  <c r="A140" i="9" a="1"/>
  <c r="A140" i="8" a="1"/>
  <c r="A140" i="5" a="1"/>
  <c r="A140" i="7" a="1"/>
  <c r="A140" i="6" a="1"/>
  <c r="A140" i="4" a="1"/>
  <c r="A140" i="3" a="1"/>
  <c r="A140" i="2" a="1"/>
  <c r="A140" i="1" a="1"/>
  <c r="A143" i="1" l="1"/>
  <c r="A142" i="1"/>
  <c r="A141" i="1"/>
  <c r="A140" i="1"/>
  <c r="A144" i="1"/>
  <c r="A144" i="2"/>
  <c r="A143" i="2"/>
  <c r="A142" i="2"/>
  <c r="A141" i="2"/>
  <c r="A140" i="2"/>
  <c r="A143" i="3"/>
  <c r="A142" i="3"/>
  <c r="A141" i="3"/>
  <c r="A140" i="3"/>
  <c r="A144" i="3"/>
  <c r="A140" i="4"/>
  <c r="A144" i="4"/>
  <c r="A143" i="4"/>
  <c r="A142" i="4"/>
  <c r="A141" i="4"/>
  <c r="A144" i="6"/>
  <c r="A143" i="6"/>
  <c r="A142" i="6"/>
  <c r="A141" i="6"/>
  <c r="A140" i="6"/>
  <c r="A144" i="7"/>
  <c r="A143" i="7"/>
  <c r="A142" i="7"/>
  <c r="A141" i="7"/>
  <c r="A140" i="7"/>
  <c r="A140" i="5"/>
  <c r="A144" i="5"/>
  <c r="A143" i="5"/>
  <c r="A142" i="5"/>
  <c r="A141" i="5"/>
  <c r="A144" i="8"/>
  <c r="A143" i="8"/>
  <c r="A142" i="8"/>
  <c r="A141" i="8"/>
  <c r="A140" i="8"/>
  <c r="A144" i="9"/>
  <c r="A143" i="9"/>
  <c r="A142" i="9"/>
  <c r="A141" i="9"/>
  <c r="A140" i="9"/>
  <c r="A144" i="11"/>
  <c r="A143" i="11"/>
  <c r="A142" i="11"/>
  <c r="A141" i="11"/>
  <c r="A140" i="11"/>
  <c r="A143" i="12"/>
  <c r="A142" i="12"/>
  <c r="A141" i="12"/>
  <c r="A140" i="12"/>
  <c r="A144" i="12"/>
  <c r="A144" i="13"/>
  <c r="A143" i="13"/>
  <c r="A142" i="13"/>
  <c r="A141" i="13"/>
  <c r="A140" i="13"/>
  <c r="A141" i="10"/>
  <c r="A140" i="10"/>
  <c r="A144" i="10"/>
  <c r="A143" i="10"/>
  <c r="A142" i="10"/>
  <c r="W126" i="1"/>
  <c r="M129" i="1"/>
  <c r="P129" i="1" s="1"/>
  <c r="W129" i="1" s="1"/>
  <c r="M134" i="1"/>
  <c r="P134" i="1" s="1"/>
  <c r="W134" i="1" s="1"/>
  <c r="W126" i="2"/>
  <c r="M127" i="1"/>
  <c r="P127" i="1" s="1"/>
  <c r="W127" i="1" s="1"/>
  <c r="U131" i="2"/>
  <c r="M132" i="1"/>
  <c r="P132" i="1" s="1"/>
  <c r="W132" i="1" s="1"/>
  <c r="M125" i="1"/>
  <c r="P125" i="1" s="1"/>
  <c r="P132" i="2"/>
  <c r="W132" i="2" s="1"/>
  <c r="M130" i="1"/>
  <c r="P130" i="1" s="1"/>
  <c r="W130" i="1" s="1"/>
  <c r="M128" i="1"/>
  <c r="P128" i="1" s="1"/>
  <c r="W128" i="1" s="1"/>
  <c r="P129" i="2"/>
  <c r="W129" i="2" s="1"/>
  <c r="M133" i="1"/>
  <c r="P133" i="1" s="1"/>
  <c r="W133" i="1" s="1"/>
  <c r="P134" i="2"/>
  <c r="W134" i="2" s="1"/>
  <c r="W125" i="4"/>
  <c r="A109" i="4"/>
  <c r="A80" i="4"/>
  <c r="A100" i="4"/>
  <c r="A83" i="4"/>
  <c r="M133" i="4"/>
  <c r="P133" i="4" s="1"/>
  <c r="W133" i="4" s="1"/>
  <c r="U130" i="5"/>
  <c r="U134" i="5"/>
  <c r="U126" i="5"/>
  <c r="W126" i="5" s="1"/>
  <c r="U133" i="5"/>
  <c r="U128" i="5"/>
  <c r="M128" i="5"/>
  <c r="P128" i="5" s="1"/>
  <c r="M130" i="5"/>
  <c r="P130" i="5" s="1"/>
  <c r="M125" i="5"/>
  <c r="P125" i="5" s="1"/>
  <c r="M132" i="5"/>
  <c r="P132" i="5" s="1"/>
  <c r="M127" i="5"/>
  <c r="P127" i="5" s="1"/>
  <c r="M131" i="5"/>
  <c r="P131" i="5" s="1"/>
  <c r="W131" i="5" s="1"/>
  <c r="M133" i="5"/>
  <c r="P133" i="5" s="1"/>
  <c r="M129" i="3"/>
  <c r="P129" i="3" s="1"/>
  <c r="W129" i="3" s="1"/>
  <c r="M134" i="3"/>
  <c r="P134" i="3" s="1"/>
  <c r="M126" i="4"/>
  <c r="P126" i="4" s="1"/>
  <c r="A78" i="4" s="1"/>
  <c r="W128" i="7"/>
  <c r="M125" i="2"/>
  <c r="P125" i="2" s="1"/>
  <c r="M131" i="4"/>
  <c r="P131" i="4" s="1"/>
  <c r="W131" i="4" s="1"/>
  <c r="U125" i="5"/>
  <c r="M130" i="2"/>
  <c r="P130" i="2" s="1"/>
  <c r="W130" i="2" s="1"/>
  <c r="M127" i="3"/>
  <c r="P127" i="3" s="1"/>
  <c r="W127" i="3" s="1"/>
  <c r="U134" i="3"/>
  <c r="U132" i="5"/>
  <c r="W125" i="6"/>
  <c r="M129" i="4"/>
  <c r="P129" i="4" s="1"/>
  <c r="W129" i="4" s="1"/>
  <c r="M134" i="4"/>
  <c r="P134" i="4" s="1"/>
  <c r="W134" i="4" s="1"/>
  <c r="M128" i="2"/>
  <c r="P128" i="2" s="1"/>
  <c r="W128" i="2" s="1"/>
  <c r="M125" i="3"/>
  <c r="P125" i="3" s="1"/>
  <c r="M134" i="5"/>
  <c r="P134" i="5" s="1"/>
  <c r="W134" i="5" s="1"/>
  <c r="W130" i="6"/>
  <c r="W130" i="7"/>
  <c r="M130" i="3"/>
  <c r="P130" i="3" s="1"/>
  <c r="W130" i="3" s="1"/>
  <c r="M127" i="4"/>
  <c r="P127" i="4" s="1"/>
  <c r="W127" i="4" s="1"/>
  <c r="U127" i="5"/>
  <c r="M132" i="4"/>
  <c r="P132" i="4" s="1"/>
  <c r="W132" i="4" s="1"/>
  <c r="M131" i="2"/>
  <c r="P131" i="2" s="1"/>
  <c r="W131" i="2" s="1"/>
  <c r="M128" i="3"/>
  <c r="P128" i="3" s="1"/>
  <c r="W128" i="3" s="1"/>
  <c r="U129" i="5"/>
  <c r="W126" i="7"/>
  <c r="A14" i="7"/>
  <c r="A109" i="7"/>
  <c r="A63" i="7"/>
  <c r="A41" i="7"/>
  <c r="M133" i="3"/>
  <c r="P133" i="3" s="1"/>
  <c r="W133" i="3" s="1"/>
  <c r="M130" i="4"/>
  <c r="P130" i="4" s="1"/>
  <c r="W130" i="4" s="1"/>
  <c r="M129" i="5"/>
  <c r="P129" i="5" s="1"/>
  <c r="W129" i="5" s="1"/>
  <c r="W126" i="6"/>
  <c r="W133" i="6"/>
  <c r="W127" i="7"/>
  <c r="U129" i="8"/>
  <c r="A59" i="7"/>
  <c r="M133" i="7"/>
  <c r="P133" i="7" s="1"/>
  <c r="W133" i="7" s="1"/>
  <c r="W132" i="9"/>
  <c r="M129" i="6"/>
  <c r="P129" i="6" s="1"/>
  <c r="W129" i="6" s="1"/>
  <c r="M134" i="6"/>
  <c r="P134" i="6" s="1"/>
  <c r="W134" i="6" s="1"/>
  <c r="A45" i="7"/>
  <c r="M131" i="7"/>
  <c r="P131" i="7" s="1"/>
  <c r="W131" i="7" s="1"/>
  <c r="M127" i="6"/>
  <c r="P127" i="6" s="1"/>
  <c r="A62" i="7"/>
  <c r="A98" i="7"/>
  <c r="A55" i="7"/>
  <c r="A67" i="7"/>
  <c r="M129" i="7"/>
  <c r="P129" i="7" s="1"/>
  <c r="A47" i="7" s="1"/>
  <c r="A60" i="7"/>
  <c r="A72" i="7"/>
  <c r="A84" i="7"/>
  <c r="W127" i="9"/>
  <c r="M125" i="8"/>
  <c r="P125" i="8" s="1"/>
  <c r="P130" i="11"/>
  <c r="W128" i="12"/>
  <c r="P133" i="11"/>
  <c r="M128" i="8"/>
  <c r="P128" i="8" s="1"/>
  <c r="W128" i="8" s="1"/>
  <c r="M125" i="9"/>
  <c r="P125" i="9" s="1"/>
  <c r="M133" i="8"/>
  <c r="P133" i="8" s="1"/>
  <c r="W133" i="8" s="1"/>
  <c r="M130" i="9"/>
  <c r="P130" i="9" s="1"/>
  <c r="W130" i="9" s="1"/>
  <c r="M126" i="8"/>
  <c r="P126" i="8" s="1"/>
  <c r="W126" i="8" s="1"/>
  <c r="P127" i="11"/>
  <c r="W127" i="11" s="1"/>
  <c r="M131" i="8"/>
  <c r="P131" i="8" s="1"/>
  <c r="M128" i="9"/>
  <c r="P128" i="9" s="1"/>
  <c r="W128" i="9" s="1"/>
  <c r="W131" i="12"/>
  <c r="M133" i="9"/>
  <c r="P133" i="9" s="1"/>
  <c r="W133" i="9" s="1"/>
  <c r="U134" i="10"/>
  <c r="W133" i="10"/>
  <c r="W130" i="10"/>
  <c r="W126" i="12"/>
  <c r="M129" i="8"/>
  <c r="P129" i="8" s="1"/>
  <c r="W129" i="8" s="1"/>
  <c r="U131" i="8"/>
  <c r="M134" i="8"/>
  <c r="P134" i="8" s="1"/>
  <c r="W134" i="8" s="1"/>
  <c r="M126" i="9"/>
  <c r="P126" i="9" s="1"/>
  <c r="W126" i="9" s="1"/>
  <c r="M131" i="9"/>
  <c r="P131" i="9" s="1"/>
  <c r="W131" i="9" s="1"/>
  <c r="M127" i="8"/>
  <c r="P127" i="8" s="1"/>
  <c r="W127" i="8" s="1"/>
  <c r="W127" i="12"/>
  <c r="M129" i="9"/>
  <c r="P129" i="9" s="1"/>
  <c r="W129" i="9" s="1"/>
  <c r="W125" i="10"/>
  <c r="M126" i="10"/>
  <c r="P126" i="10" s="1"/>
  <c r="M132" i="12"/>
  <c r="P132" i="12" s="1"/>
  <c r="W132" i="12" s="1"/>
  <c r="M129" i="13"/>
  <c r="P129" i="13" s="1"/>
  <c r="W129" i="13" s="1"/>
  <c r="M134" i="13"/>
  <c r="P134" i="13" s="1"/>
  <c r="W134" i="13" s="1"/>
  <c r="M128" i="11"/>
  <c r="P128" i="11" s="1"/>
  <c r="U130" i="11"/>
  <c r="M129" i="10"/>
  <c r="P129" i="10" s="1"/>
  <c r="W129" i="10" s="1"/>
  <c r="U131" i="10"/>
  <c r="W131" i="10" s="1"/>
  <c r="M134" i="10"/>
  <c r="P134" i="10" s="1"/>
  <c r="W134" i="10" s="1"/>
  <c r="M126" i="11"/>
  <c r="P126" i="11" s="1"/>
  <c r="W126" i="11" s="1"/>
  <c r="U128" i="11"/>
  <c r="A37" i="12"/>
  <c r="M132" i="13"/>
  <c r="P132" i="13" s="1"/>
  <c r="W132" i="13" s="1"/>
  <c r="M131" i="11"/>
  <c r="P131" i="11" s="1"/>
  <c r="W131" i="11" s="1"/>
  <c r="U133" i="11"/>
  <c r="W125" i="12"/>
  <c r="M125" i="13"/>
  <c r="P125" i="13" s="1"/>
  <c r="M127" i="10"/>
  <c r="P127" i="10" s="1"/>
  <c r="W127" i="10" s="1"/>
  <c r="M133" i="12"/>
  <c r="P133" i="12" s="1"/>
  <c r="W133" i="12" s="1"/>
  <c r="M130" i="13"/>
  <c r="P130" i="13" s="1"/>
  <c r="W130" i="13" s="1"/>
  <c r="M132" i="10"/>
  <c r="P132" i="10" s="1"/>
  <c r="W132" i="10" s="1"/>
  <c r="M129" i="11"/>
  <c r="P129" i="11" s="1"/>
  <c r="W129" i="11" s="1"/>
  <c r="M134" i="11"/>
  <c r="P134" i="11" s="1"/>
  <c r="W134" i="11" s="1"/>
  <c r="A105" i="12"/>
  <c r="A117" i="12"/>
  <c r="M133" i="13"/>
  <c r="P133" i="13" s="1"/>
  <c r="W133" i="13" s="1"/>
  <c r="M132" i="11"/>
  <c r="P132" i="11" s="1"/>
  <c r="W132" i="11" s="1"/>
  <c r="A43" i="12"/>
  <c r="A55" i="12"/>
  <c r="A67" i="12"/>
  <c r="A79" i="12"/>
  <c r="M129" i="12"/>
  <c r="P129" i="12" s="1"/>
  <c r="A94" i="12" s="1"/>
  <c r="M126" i="13"/>
  <c r="P126" i="13" s="1"/>
  <c r="W126" i="13" s="1"/>
  <c r="M128" i="10"/>
  <c r="P128" i="10" s="1"/>
  <c r="W128" i="10" s="1"/>
  <c r="M125" i="11"/>
  <c r="P125" i="11" s="1"/>
  <c r="A60" i="12"/>
  <c r="A72" i="12"/>
  <c r="A84" i="12"/>
  <c r="A89" i="12"/>
  <c r="A101" i="12"/>
  <c r="A13" i="12" l="1"/>
  <c r="A6" i="12"/>
  <c r="A66" i="12"/>
  <c r="A16" i="6"/>
  <c r="A91" i="10"/>
  <c r="A64" i="12"/>
  <c r="A31" i="12"/>
  <c r="A113" i="10"/>
  <c r="A45" i="12"/>
  <c r="A48" i="12"/>
  <c r="A19" i="12"/>
  <c r="A83" i="12"/>
  <c r="A109" i="10"/>
  <c r="A5" i="12"/>
  <c r="A71" i="12"/>
  <c r="A65" i="12"/>
  <c r="A36" i="12"/>
  <c r="A59" i="12"/>
  <c r="A111" i="12"/>
  <c r="A22" i="6"/>
  <c r="A33" i="6"/>
  <c r="A112" i="12"/>
  <c r="A35" i="12"/>
  <c r="A75" i="12"/>
  <c r="A116" i="11"/>
  <c r="A104" i="11"/>
  <c r="A92" i="11"/>
  <c r="A80" i="11"/>
  <c r="A68" i="11"/>
  <c r="A56" i="11"/>
  <c r="A44" i="11"/>
  <c r="A32" i="11"/>
  <c r="A20" i="11"/>
  <c r="A8" i="11"/>
  <c r="P135" i="11"/>
  <c r="A111" i="11"/>
  <c r="A99" i="11"/>
  <c r="A87" i="11"/>
  <c r="A75" i="11"/>
  <c r="A63" i="11"/>
  <c r="A51" i="11"/>
  <c r="A39" i="11"/>
  <c r="A27" i="11"/>
  <c r="A15" i="11"/>
  <c r="A3" i="11"/>
  <c r="Y3" i="11" s="1"/>
  <c r="AC3" i="11" s="1"/>
  <c r="A118" i="11"/>
  <c r="A106" i="11"/>
  <c r="A94" i="11"/>
  <c r="A82" i="11"/>
  <c r="A70" i="11"/>
  <c r="A58" i="11"/>
  <c r="A46" i="11"/>
  <c r="A34" i="11"/>
  <c r="A22" i="11"/>
  <c r="A10" i="11"/>
  <c r="A108" i="11"/>
  <c r="A96" i="11"/>
  <c r="A84" i="11"/>
  <c r="A72" i="11"/>
  <c r="A60" i="11"/>
  <c r="A48" i="11"/>
  <c r="A36" i="11"/>
  <c r="A24" i="11"/>
  <c r="A12" i="11"/>
  <c r="A115" i="11"/>
  <c r="A103" i="11"/>
  <c r="A91" i="11"/>
  <c r="A79" i="11"/>
  <c r="A67" i="11"/>
  <c r="A55" i="11"/>
  <c r="A43" i="11"/>
  <c r="A31" i="11"/>
  <c r="A19" i="11"/>
  <c r="A7" i="11"/>
  <c r="A110" i="11"/>
  <c r="A98" i="11"/>
  <c r="A86" i="11"/>
  <c r="A74" i="11"/>
  <c r="A62" i="11"/>
  <c r="A50" i="11"/>
  <c r="A38" i="11"/>
  <c r="A26" i="11"/>
  <c r="A14" i="11"/>
  <c r="A2" i="11"/>
  <c r="Y2" i="11" s="1"/>
  <c r="A117" i="11"/>
  <c r="A105" i="11"/>
  <c r="A93" i="11"/>
  <c r="A81" i="11"/>
  <c r="A69" i="11"/>
  <c r="A57" i="11"/>
  <c r="A45" i="11"/>
  <c r="A33" i="11"/>
  <c r="A21" i="11"/>
  <c r="A9" i="11"/>
  <c r="A112" i="11"/>
  <c r="A100" i="11"/>
  <c r="A88" i="11"/>
  <c r="A76" i="11"/>
  <c r="A64" i="11"/>
  <c r="A52" i="11"/>
  <c r="A40" i="11"/>
  <c r="A28" i="11"/>
  <c r="A16" i="11"/>
  <c r="A4" i="11"/>
  <c r="Y4" i="11" s="1"/>
  <c r="AC4" i="11" s="1"/>
  <c r="A119" i="11"/>
  <c r="A107" i="11"/>
  <c r="A95" i="11"/>
  <c r="A83" i="11"/>
  <c r="A71" i="11"/>
  <c r="A59" i="11"/>
  <c r="A47" i="11"/>
  <c r="A35" i="11"/>
  <c r="A23" i="11"/>
  <c r="A11" i="11"/>
  <c r="W125" i="11"/>
  <c r="A114" i="11"/>
  <c r="A102" i="11"/>
  <c r="A90" i="11"/>
  <c r="A78" i="11"/>
  <c r="A66" i="11"/>
  <c r="A54" i="11"/>
  <c r="A42" i="11"/>
  <c r="A30" i="11"/>
  <c r="A18" i="11"/>
  <c r="A6" i="11"/>
  <c r="A109" i="11"/>
  <c r="A97" i="11"/>
  <c r="A85" i="11"/>
  <c r="A73" i="11"/>
  <c r="A61" i="11"/>
  <c r="A49" i="11"/>
  <c r="A37" i="11"/>
  <c r="A25" i="11"/>
  <c r="A13" i="11"/>
  <c r="A101" i="11"/>
  <c r="A29" i="11"/>
  <c r="A89" i="11"/>
  <c r="A17" i="11"/>
  <c r="A5" i="11"/>
  <c r="A77" i="11"/>
  <c r="A65" i="11"/>
  <c r="A53" i="11"/>
  <c r="A113" i="11"/>
  <c r="A41" i="11"/>
  <c r="A23" i="12"/>
  <c r="W129" i="12"/>
  <c r="W135" i="12" s="1"/>
  <c r="A62" i="12"/>
  <c r="A50" i="12"/>
  <c r="A110" i="12"/>
  <c r="A38" i="12"/>
  <c r="A2" i="12"/>
  <c r="Y2" i="12" s="1"/>
  <c r="A98" i="12"/>
  <c r="A26" i="12"/>
  <c r="A86" i="12"/>
  <c r="A14" i="12"/>
  <c r="A24" i="12"/>
  <c r="A52" i="12"/>
  <c r="A51" i="12"/>
  <c r="A106" i="12"/>
  <c r="A73" i="12"/>
  <c r="A90" i="12"/>
  <c r="A95" i="12"/>
  <c r="A115" i="12"/>
  <c r="A12" i="12"/>
  <c r="A40" i="12"/>
  <c r="A116" i="12"/>
  <c r="A39" i="12"/>
  <c r="A118" i="12"/>
  <c r="A87" i="12"/>
  <c r="A85" i="12"/>
  <c r="A107" i="12"/>
  <c r="A88" i="12"/>
  <c r="A93" i="12"/>
  <c r="A28" i="12"/>
  <c r="A104" i="12"/>
  <c r="A27" i="12"/>
  <c r="A97" i="12"/>
  <c r="A102" i="12"/>
  <c r="A119" i="12"/>
  <c r="A74" i="12"/>
  <c r="A81" i="12"/>
  <c r="A16" i="12"/>
  <c r="A92" i="12"/>
  <c r="A15" i="12"/>
  <c r="A99" i="12"/>
  <c r="A109" i="12"/>
  <c r="A100" i="12"/>
  <c r="A7" i="12"/>
  <c r="A96" i="12"/>
  <c r="A113" i="12"/>
  <c r="A69" i="12"/>
  <c r="A4" i="12"/>
  <c r="Y4" i="12" s="1"/>
  <c r="AC4" i="12" s="1"/>
  <c r="A80" i="12"/>
  <c r="A3" i="12"/>
  <c r="Y3" i="12" s="1"/>
  <c r="AC3" i="12" s="1"/>
  <c r="A10" i="12"/>
  <c r="A114" i="12"/>
  <c r="A77" i="12"/>
  <c r="A57" i="12"/>
  <c r="A78" i="12"/>
  <c r="A68" i="12"/>
  <c r="A22" i="12"/>
  <c r="A53" i="12"/>
  <c r="A33" i="12"/>
  <c r="A54" i="12"/>
  <c r="A44" i="12"/>
  <c r="A46" i="12"/>
  <c r="P135" i="12"/>
  <c r="A41" i="12"/>
  <c r="A21" i="12"/>
  <c r="A42" i="12"/>
  <c r="A32" i="12"/>
  <c r="A58" i="12"/>
  <c r="A25" i="12"/>
  <c r="A47" i="12"/>
  <c r="A29" i="12"/>
  <c r="A9" i="12"/>
  <c r="A30" i="12"/>
  <c r="A20" i="12"/>
  <c r="A70" i="12"/>
  <c r="A17" i="12"/>
  <c r="A76" i="12"/>
  <c r="A18" i="12"/>
  <c r="A8" i="12"/>
  <c r="A103" i="12"/>
  <c r="A11" i="12"/>
  <c r="A61" i="12"/>
  <c r="A82" i="12"/>
  <c r="A63" i="12"/>
  <c r="A108" i="12"/>
  <c r="A91" i="12"/>
  <c r="A49" i="12"/>
  <c r="A34" i="12"/>
  <c r="A56" i="12"/>
  <c r="A103" i="10"/>
  <c r="A78" i="10"/>
  <c r="A118" i="8"/>
  <c r="A106" i="8"/>
  <c r="A94" i="8"/>
  <c r="A82" i="8"/>
  <c r="A70" i="8"/>
  <c r="A58" i="8"/>
  <c r="A46" i="8"/>
  <c r="A34" i="8"/>
  <c r="A22" i="8"/>
  <c r="A10" i="8"/>
  <c r="A113" i="8"/>
  <c r="A101" i="8"/>
  <c r="A89" i="8"/>
  <c r="A77" i="8"/>
  <c r="A65" i="8"/>
  <c r="A53" i="8"/>
  <c r="A41" i="8"/>
  <c r="A29" i="8"/>
  <c r="A17" i="8"/>
  <c r="A108" i="8"/>
  <c r="A96" i="8"/>
  <c r="A84" i="8"/>
  <c r="A115" i="8"/>
  <c r="A103" i="8"/>
  <c r="A91" i="8"/>
  <c r="A79" i="8"/>
  <c r="A67" i="8"/>
  <c r="A110" i="8"/>
  <c r="A98" i="8"/>
  <c r="A86" i="8"/>
  <c r="A74" i="8"/>
  <c r="A62" i="8"/>
  <c r="A50" i="8"/>
  <c r="A38" i="8"/>
  <c r="A26" i="8"/>
  <c r="A117" i="8"/>
  <c r="A105" i="8"/>
  <c r="A93" i="8"/>
  <c r="A81" i="8"/>
  <c r="A69" i="8"/>
  <c r="A57" i="8"/>
  <c r="A45" i="8"/>
  <c r="A33" i="8"/>
  <c r="A21" i="8"/>
  <c r="A9" i="8"/>
  <c r="A112" i="8"/>
  <c r="A100" i="8"/>
  <c r="A88" i="8"/>
  <c r="A76" i="8"/>
  <c r="A64" i="8"/>
  <c r="A52" i="8"/>
  <c r="A40" i="8"/>
  <c r="A119" i="8"/>
  <c r="A107" i="8"/>
  <c r="A95" i="8"/>
  <c r="A83" i="8"/>
  <c r="A71" i="8"/>
  <c r="A59" i="8"/>
  <c r="A47" i="8"/>
  <c r="W125" i="8"/>
  <c r="A114" i="8"/>
  <c r="A102" i="8"/>
  <c r="A90" i="8"/>
  <c r="A78" i="8"/>
  <c r="A66" i="8"/>
  <c r="A54" i="8"/>
  <c r="A42" i="8"/>
  <c r="A30" i="8"/>
  <c r="A116" i="8"/>
  <c r="A104" i="8"/>
  <c r="P135" i="8"/>
  <c r="A111" i="8"/>
  <c r="A99" i="8"/>
  <c r="A87" i="8"/>
  <c r="A75" i="8"/>
  <c r="A63" i="8"/>
  <c r="A51" i="8"/>
  <c r="A20" i="8"/>
  <c r="A12" i="8"/>
  <c r="A73" i="8"/>
  <c r="A56" i="8"/>
  <c r="A43" i="8"/>
  <c r="A37" i="8"/>
  <c r="A31" i="8"/>
  <c r="A28" i="8"/>
  <c r="A4" i="8"/>
  <c r="Y4" i="8" s="1"/>
  <c r="AC4" i="8" s="1"/>
  <c r="A80" i="8"/>
  <c r="A49" i="8"/>
  <c r="A109" i="8"/>
  <c r="A25" i="8"/>
  <c r="A14" i="8"/>
  <c r="A6" i="8"/>
  <c r="A39" i="8"/>
  <c r="A19" i="8"/>
  <c r="A11" i="8"/>
  <c r="A97" i="8"/>
  <c r="A72" i="8"/>
  <c r="A55" i="8"/>
  <c r="A36" i="8"/>
  <c r="A16" i="8"/>
  <c r="A8" i="8"/>
  <c r="A48" i="8"/>
  <c r="A27" i="8"/>
  <c r="A3" i="8"/>
  <c r="Y3" i="8" s="1"/>
  <c r="AC3" i="8" s="1"/>
  <c r="A68" i="8"/>
  <c r="A61" i="8"/>
  <c r="A24" i="8"/>
  <c r="A13" i="8"/>
  <c r="A5" i="8"/>
  <c r="A85" i="8"/>
  <c r="A44" i="8"/>
  <c r="A35" i="8"/>
  <c r="A32" i="8"/>
  <c r="A18" i="8"/>
  <c r="A92" i="8"/>
  <c r="A15" i="8"/>
  <c r="A7" i="8"/>
  <c r="A60" i="8"/>
  <c r="A23" i="8"/>
  <c r="A2" i="8"/>
  <c r="Y2" i="8" s="1"/>
  <c r="A53" i="7"/>
  <c r="A75" i="7"/>
  <c r="A18" i="7"/>
  <c r="A26" i="7"/>
  <c r="A50" i="6"/>
  <c r="A115" i="10"/>
  <c r="A90" i="10"/>
  <c r="A43" i="7"/>
  <c r="A112" i="7"/>
  <c r="A77" i="7"/>
  <c r="A99" i="7"/>
  <c r="A42" i="7"/>
  <c r="A79" i="6"/>
  <c r="A108" i="10"/>
  <c r="A102" i="10"/>
  <c r="A96" i="7"/>
  <c r="A31" i="7"/>
  <c r="A113" i="7"/>
  <c r="A4" i="6"/>
  <c r="Y4" i="6" s="1"/>
  <c r="AC4" i="6" s="1"/>
  <c r="A22" i="7"/>
  <c r="A111" i="7"/>
  <c r="A54" i="7"/>
  <c r="A12" i="7"/>
  <c r="A108" i="6"/>
  <c r="A101" i="10"/>
  <c r="A114" i="10"/>
  <c r="W131" i="8"/>
  <c r="A110" i="7"/>
  <c r="A34" i="7"/>
  <c r="A20" i="7"/>
  <c r="A11" i="7"/>
  <c r="A24" i="7"/>
  <c r="W130" i="11"/>
  <c r="W127" i="6"/>
  <c r="A40" i="6"/>
  <c r="A28" i="6"/>
  <c r="A27" i="6"/>
  <c r="A10" i="6"/>
  <c r="A96" i="6"/>
  <c r="A67" i="6"/>
  <c r="A38" i="6"/>
  <c r="A21" i="6"/>
  <c r="A71" i="6"/>
  <c r="A54" i="6"/>
  <c r="A25" i="6"/>
  <c r="A15" i="6"/>
  <c r="A113" i="6"/>
  <c r="A84" i="6"/>
  <c r="A55" i="6"/>
  <c r="A26" i="6"/>
  <c r="A9" i="6"/>
  <c r="A59" i="6"/>
  <c r="A42" i="6"/>
  <c r="A13" i="6"/>
  <c r="A3" i="6"/>
  <c r="Y3" i="6" s="1"/>
  <c r="AC3" i="6" s="1"/>
  <c r="A101" i="6"/>
  <c r="A72" i="6"/>
  <c r="A43" i="6"/>
  <c r="A14" i="6"/>
  <c r="A112" i="6"/>
  <c r="A47" i="6"/>
  <c r="A30" i="6"/>
  <c r="A116" i="6"/>
  <c r="A118" i="6"/>
  <c r="A89" i="6"/>
  <c r="A60" i="6"/>
  <c r="A31" i="6"/>
  <c r="A2" i="6"/>
  <c r="Y2" i="6" s="1"/>
  <c r="A100" i="6"/>
  <c r="A35" i="6"/>
  <c r="A18" i="6"/>
  <c r="A104" i="6"/>
  <c r="P135" i="6"/>
  <c r="A106" i="6"/>
  <c r="A77" i="6"/>
  <c r="A48" i="6"/>
  <c r="A19" i="6"/>
  <c r="A117" i="6"/>
  <c r="A88" i="6"/>
  <c r="A23" i="6"/>
  <c r="A6" i="6"/>
  <c r="A92" i="6"/>
  <c r="A111" i="6"/>
  <c r="A94" i="6"/>
  <c r="A65" i="6"/>
  <c r="A36" i="6"/>
  <c r="A7" i="6"/>
  <c r="A105" i="6"/>
  <c r="A76" i="6"/>
  <c r="A11" i="6"/>
  <c r="A109" i="6"/>
  <c r="A80" i="6"/>
  <c r="A99" i="6"/>
  <c r="A82" i="6"/>
  <c r="A53" i="6"/>
  <c r="A24" i="6"/>
  <c r="A110" i="6"/>
  <c r="A93" i="6"/>
  <c r="A64" i="6"/>
  <c r="A97" i="6"/>
  <c r="A68" i="6"/>
  <c r="A87" i="6"/>
  <c r="A70" i="6"/>
  <c r="A41" i="6"/>
  <c r="A12" i="6"/>
  <c r="A98" i="6"/>
  <c r="A81" i="6"/>
  <c r="A52" i="6"/>
  <c r="A114" i="6"/>
  <c r="A85" i="6"/>
  <c r="A56" i="6"/>
  <c r="A75" i="6"/>
  <c r="A58" i="6"/>
  <c r="A29" i="6"/>
  <c r="A115" i="6"/>
  <c r="A86" i="6"/>
  <c r="A69" i="6"/>
  <c r="A119" i="6"/>
  <c r="A102" i="6"/>
  <c r="A73" i="6"/>
  <c r="A44" i="6"/>
  <c r="A63" i="6"/>
  <c r="A46" i="6"/>
  <c r="A17" i="6"/>
  <c r="A103" i="6"/>
  <c r="A74" i="6"/>
  <c r="A57" i="6"/>
  <c r="A107" i="6"/>
  <c r="A90" i="6"/>
  <c r="A61" i="6"/>
  <c r="A32" i="6"/>
  <c r="A51" i="6"/>
  <c r="A34" i="6"/>
  <c r="A5" i="6"/>
  <c r="A91" i="6"/>
  <c r="A62" i="6"/>
  <c r="A45" i="6"/>
  <c r="A95" i="6"/>
  <c r="A78" i="6"/>
  <c r="A49" i="6"/>
  <c r="A20" i="6"/>
  <c r="P135" i="7"/>
  <c r="A46" i="7"/>
  <c r="A68" i="7"/>
  <c r="A23" i="7"/>
  <c r="A39" i="6"/>
  <c r="A94" i="10"/>
  <c r="A107" i="10"/>
  <c r="A117" i="7"/>
  <c r="A58" i="7"/>
  <c r="A80" i="7"/>
  <c r="A106" i="10"/>
  <c r="A119" i="10"/>
  <c r="W133" i="11"/>
  <c r="W129" i="7"/>
  <c r="A88" i="7"/>
  <c r="A114" i="7"/>
  <c r="A85" i="7"/>
  <c r="A56" i="7"/>
  <c r="A27" i="7"/>
  <c r="A10" i="7"/>
  <c r="A19" i="7"/>
  <c r="A76" i="7"/>
  <c r="A102" i="7"/>
  <c r="A73" i="7"/>
  <c r="A44" i="7"/>
  <c r="A15" i="7"/>
  <c r="A101" i="7"/>
  <c r="A7" i="7"/>
  <c r="A64" i="7"/>
  <c r="A90" i="7"/>
  <c r="A61" i="7"/>
  <c r="A32" i="7"/>
  <c r="A3" i="7"/>
  <c r="Y3" i="7" s="1"/>
  <c r="AC3" i="7" s="1"/>
  <c r="A89" i="7"/>
  <c r="A50" i="7"/>
  <c r="A52" i="7"/>
  <c r="A78" i="7"/>
  <c r="A49" i="7"/>
  <c r="A108" i="7"/>
  <c r="A38" i="7"/>
  <c r="A40" i="7"/>
  <c r="A66" i="7"/>
  <c r="A37" i="7"/>
  <c r="A8" i="7"/>
  <c r="A106" i="7"/>
  <c r="A65" i="7"/>
  <c r="A2" i="7"/>
  <c r="Y2" i="7" s="1"/>
  <c r="A4" i="7"/>
  <c r="Y4" i="7" s="1"/>
  <c r="AC4" i="7" s="1"/>
  <c r="A30" i="7"/>
  <c r="A116" i="7"/>
  <c r="A87" i="7"/>
  <c r="A70" i="7"/>
  <c r="A29" i="7"/>
  <c r="A36" i="7"/>
  <c r="A21" i="7"/>
  <c r="A35" i="7"/>
  <c r="A6" i="7"/>
  <c r="A105" i="7"/>
  <c r="A119" i="7"/>
  <c r="A82" i="7"/>
  <c r="A92" i="7"/>
  <c r="A16" i="7"/>
  <c r="A8" i="6"/>
  <c r="A2" i="4"/>
  <c r="Y2" i="4" s="1"/>
  <c r="A110" i="13"/>
  <c r="A98" i="13"/>
  <c r="A86" i="13"/>
  <c r="A74" i="13"/>
  <c r="A62" i="13"/>
  <c r="A50" i="13"/>
  <c r="A38" i="13"/>
  <c r="A26" i="13"/>
  <c r="A14" i="13"/>
  <c r="A2" i="13"/>
  <c r="Y2" i="13" s="1"/>
  <c r="A117" i="13"/>
  <c r="A105" i="13"/>
  <c r="A93" i="13"/>
  <c r="A81" i="13"/>
  <c r="A69" i="13"/>
  <c r="A57" i="13"/>
  <c r="A45" i="13"/>
  <c r="A33" i="13"/>
  <c r="A21" i="13"/>
  <c r="A9" i="13"/>
  <c r="A112" i="13"/>
  <c r="A100" i="13"/>
  <c r="A88" i="13"/>
  <c r="A76" i="13"/>
  <c r="A64" i="13"/>
  <c r="A52" i="13"/>
  <c r="A40" i="13"/>
  <c r="A28" i="13"/>
  <c r="A16" i="13"/>
  <c r="A4" i="13"/>
  <c r="Y4" i="13" s="1"/>
  <c r="AC4" i="13" s="1"/>
  <c r="A119" i="13"/>
  <c r="W125" i="13"/>
  <c r="W135" i="13" s="1"/>
  <c r="A114" i="13"/>
  <c r="A102" i="13"/>
  <c r="A90" i="13"/>
  <c r="A78" i="13"/>
  <c r="A66" i="13"/>
  <c r="A54" i="13"/>
  <c r="A42" i="13"/>
  <c r="A30" i="13"/>
  <c r="A18" i="13"/>
  <c r="A6" i="13"/>
  <c r="A109" i="13"/>
  <c r="A97" i="13"/>
  <c r="A85" i="13"/>
  <c r="A73" i="13"/>
  <c r="A61" i="13"/>
  <c r="A49" i="13"/>
  <c r="A37" i="13"/>
  <c r="A25" i="13"/>
  <c r="A13" i="13"/>
  <c r="A116" i="13"/>
  <c r="A104" i="13"/>
  <c r="A92" i="13"/>
  <c r="A80" i="13"/>
  <c r="A68" i="13"/>
  <c r="A56" i="13"/>
  <c r="A44" i="13"/>
  <c r="A32" i="13"/>
  <c r="A20" i="13"/>
  <c r="A8" i="13"/>
  <c r="P135" i="13"/>
  <c r="A111" i="13"/>
  <c r="A99" i="13"/>
  <c r="A87" i="13"/>
  <c r="A75" i="13"/>
  <c r="A63" i="13"/>
  <c r="A51" i="13"/>
  <c r="A39" i="13"/>
  <c r="A27" i="13"/>
  <c r="A15" i="13"/>
  <c r="A3" i="13"/>
  <c r="Y3" i="13" s="1"/>
  <c r="AC3" i="13" s="1"/>
  <c r="A118" i="13"/>
  <c r="A106" i="13"/>
  <c r="A94" i="13"/>
  <c r="A82" i="13"/>
  <c r="A70" i="13"/>
  <c r="A58" i="13"/>
  <c r="A46" i="13"/>
  <c r="A34" i="13"/>
  <c r="A22" i="13"/>
  <c r="A10" i="13"/>
  <c r="A113" i="13"/>
  <c r="A101" i="13"/>
  <c r="A89" i="13"/>
  <c r="A77" i="13"/>
  <c r="A65" i="13"/>
  <c r="A53" i="13"/>
  <c r="A41" i="13"/>
  <c r="A29" i="13"/>
  <c r="A17" i="13"/>
  <c r="A5" i="13"/>
  <c r="A108" i="13"/>
  <c r="A96" i="13"/>
  <c r="A84" i="13"/>
  <c r="A72" i="13"/>
  <c r="A60" i="13"/>
  <c r="A48" i="13"/>
  <c r="A36" i="13"/>
  <c r="A24" i="13"/>
  <c r="A12" i="13"/>
  <c r="A115" i="13"/>
  <c r="A103" i="13"/>
  <c r="A91" i="13"/>
  <c r="A79" i="13"/>
  <c r="A67" i="13"/>
  <c r="A55" i="13"/>
  <c r="A43" i="13"/>
  <c r="A31" i="13"/>
  <c r="A19" i="13"/>
  <c r="A7" i="13"/>
  <c r="A83" i="13"/>
  <c r="A11" i="13"/>
  <c r="A71" i="13"/>
  <c r="A59" i="13"/>
  <c r="A47" i="13"/>
  <c r="A107" i="13"/>
  <c r="A35" i="13"/>
  <c r="A95" i="13"/>
  <c r="A23" i="13"/>
  <c r="W128" i="11"/>
  <c r="W126" i="10"/>
  <c r="W135" i="10" s="1"/>
  <c r="A84" i="10"/>
  <c r="A76" i="10"/>
  <c r="A64" i="10"/>
  <c r="A52" i="10"/>
  <c r="A40" i="10"/>
  <c r="A28" i="10"/>
  <c r="A16" i="10"/>
  <c r="A4" i="10"/>
  <c r="Y4" i="10" s="1"/>
  <c r="AC4" i="10" s="1"/>
  <c r="A111" i="10"/>
  <c r="A71" i="10"/>
  <c r="A59" i="10"/>
  <c r="A47" i="10"/>
  <c r="A35" i="10"/>
  <c r="A23" i="10"/>
  <c r="A11" i="10"/>
  <c r="A98" i="10"/>
  <c r="A89" i="10"/>
  <c r="A81" i="10"/>
  <c r="A66" i="10"/>
  <c r="A54" i="10"/>
  <c r="A42" i="10"/>
  <c r="A30" i="10"/>
  <c r="A18" i="10"/>
  <c r="A6" i="10"/>
  <c r="A117" i="10"/>
  <c r="A104" i="10"/>
  <c r="A95" i="10"/>
  <c r="A92" i="10"/>
  <c r="A86" i="10"/>
  <c r="A73" i="10"/>
  <c r="A61" i="10"/>
  <c r="A49" i="10"/>
  <c r="A37" i="10"/>
  <c r="A25" i="10"/>
  <c r="A13" i="10"/>
  <c r="A68" i="10"/>
  <c r="A56" i="10"/>
  <c r="A44" i="10"/>
  <c r="A32" i="10"/>
  <c r="A20" i="10"/>
  <c r="A8" i="10"/>
  <c r="A110" i="10"/>
  <c r="A83" i="10"/>
  <c r="A75" i="10"/>
  <c r="A63" i="10"/>
  <c r="A51" i="10"/>
  <c r="A39" i="10"/>
  <c r="A27" i="10"/>
  <c r="A15" i="10"/>
  <c r="A3" i="10"/>
  <c r="Y3" i="10" s="1"/>
  <c r="AC3" i="10" s="1"/>
  <c r="A80" i="10"/>
  <c r="A70" i="10"/>
  <c r="A58" i="10"/>
  <c r="A46" i="10"/>
  <c r="A34" i="10"/>
  <c r="A22" i="10"/>
  <c r="A10" i="10"/>
  <c r="A116" i="10"/>
  <c r="A77" i="10"/>
  <c r="A65" i="10"/>
  <c r="A53" i="10"/>
  <c r="A41" i="10"/>
  <c r="A29" i="10"/>
  <c r="A17" i="10"/>
  <c r="A5" i="10"/>
  <c r="A72" i="10"/>
  <c r="A60" i="10"/>
  <c r="A48" i="10"/>
  <c r="A36" i="10"/>
  <c r="A24" i="10"/>
  <c r="A12" i="10"/>
  <c r="A99" i="10"/>
  <c r="A67" i="10"/>
  <c r="A55" i="10"/>
  <c r="A43" i="10"/>
  <c r="A31" i="10"/>
  <c r="A19" i="10"/>
  <c r="A7" i="10"/>
  <c r="A96" i="10"/>
  <c r="A87" i="10"/>
  <c r="A82" i="10"/>
  <c r="A74" i="10"/>
  <c r="A62" i="10"/>
  <c r="A50" i="10"/>
  <c r="A38" i="10"/>
  <c r="A26" i="10"/>
  <c r="A14" i="10"/>
  <c r="A2" i="10"/>
  <c r="Y2" i="10" s="1"/>
  <c r="A105" i="10"/>
  <c r="A93" i="10"/>
  <c r="A79" i="10"/>
  <c r="A69" i="10"/>
  <c r="A57" i="10"/>
  <c r="A45" i="10"/>
  <c r="A33" i="10"/>
  <c r="A21" i="10"/>
  <c r="A9" i="10"/>
  <c r="A118" i="10"/>
  <c r="A48" i="7"/>
  <c r="A115" i="7"/>
  <c r="A86" i="7"/>
  <c r="A93" i="7"/>
  <c r="A107" i="7"/>
  <c r="A94" i="7"/>
  <c r="A104" i="7"/>
  <c r="A28" i="7"/>
  <c r="A37" i="6"/>
  <c r="A103" i="4"/>
  <c r="A88" i="10"/>
  <c r="P135" i="10"/>
  <c r="A103" i="7"/>
  <c r="A81" i="7"/>
  <c r="A95" i="7"/>
  <c r="A118" i="7"/>
  <c r="A13" i="7"/>
  <c r="A100" i="7"/>
  <c r="A66" i="6"/>
  <c r="A17" i="4"/>
  <c r="A100" i="10"/>
  <c r="A85" i="10"/>
  <c r="A115" i="9"/>
  <c r="A103" i="9"/>
  <c r="A91" i="9"/>
  <c r="A79" i="9"/>
  <c r="A67" i="9"/>
  <c r="A55" i="9"/>
  <c r="A43" i="9"/>
  <c r="A31" i="9"/>
  <c r="A19" i="9"/>
  <c r="A7" i="9"/>
  <c r="A110" i="9"/>
  <c r="A98" i="9"/>
  <c r="A86" i="9"/>
  <c r="A74" i="9"/>
  <c r="A62" i="9"/>
  <c r="A50" i="9"/>
  <c r="A38" i="9"/>
  <c r="A26" i="9"/>
  <c r="A14" i="9"/>
  <c r="A2" i="9"/>
  <c r="Y2" i="9" s="1"/>
  <c r="A117" i="9"/>
  <c r="A105" i="9"/>
  <c r="A93" i="9"/>
  <c r="A81" i="9"/>
  <c r="A69" i="9"/>
  <c r="A57" i="9"/>
  <c r="A45" i="9"/>
  <c r="A33" i="9"/>
  <c r="A21" i="9"/>
  <c r="A9" i="9"/>
  <c r="A112" i="9"/>
  <c r="A100" i="9"/>
  <c r="A88" i="9"/>
  <c r="A76" i="9"/>
  <c r="A64" i="9"/>
  <c r="A52" i="9"/>
  <c r="A40" i="9"/>
  <c r="A28" i="9"/>
  <c r="A16" i="9"/>
  <c r="A4" i="9"/>
  <c r="Y4" i="9" s="1"/>
  <c r="AC4" i="9" s="1"/>
  <c r="A119" i="9"/>
  <c r="A107" i="9"/>
  <c r="A95" i="9"/>
  <c r="A83" i="9"/>
  <c r="A71" i="9"/>
  <c r="A59" i="9"/>
  <c r="A47" i="9"/>
  <c r="A35" i="9"/>
  <c r="A23" i="9"/>
  <c r="A11" i="9"/>
  <c r="W125" i="9"/>
  <c r="W135" i="9" s="1"/>
  <c r="A114" i="9"/>
  <c r="A102" i="9"/>
  <c r="A90" i="9"/>
  <c r="A78" i="9"/>
  <c r="A66" i="9"/>
  <c r="A54" i="9"/>
  <c r="A42" i="9"/>
  <c r="A30" i="9"/>
  <c r="A18" i="9"/>
  <c r="A6" i="9"/>
  <c r="A109" i="9"/>
  <c r="A97" i="9"/>
  <c r="A85" i="9"/>
  <c r="A73" i="9"/>
  <c r="A61" i="9"/>
  <c r="A49" i="9"/>
  <c r="A37" i="9"/>
  <c r="A25" i="9"/>
  <c r="A13" i="9"/>
  <c r="A116" i="9"/>
  <c r="A104" i="9"/>
  <c r="A92" i="9"/>
  <c r="A80" i="9"/>
  <c r="A68" i="9"/>
  <c r="A56" i="9"/>
  <c r="A44" i="9"/>
  <c r="A32" i="9"/>
  <c r="A20" i="9"/>
  <c r="A8" i="9"/>
  <c r="P135" i="9"/>
  <c r="A111" i="9"/>
  <c r="A99" i="9"/>
  <c r="A87" i="9"/>
  <c r="A75" i="9"/>
  <c r="A63" i="9"/>
  <c r="A51" i="9"/>
  <c r="A39" i="9"/>
  <c r="A27" i="9"/>
  <c r="A15" i="9"/>
  <c r="A3" i="9"/>
  <c r="Y3" i="9" s="1"/>
  <c r="AC3" i="9" s="1"/>
  <c r="A118" i="9"/>
  <c r="A106" i="9"/>
  <c r="A113" i="9"/>
  <c r="A101" i="9"/>
  <c r="A89" i="9"/>
  <c r="A77" i="9"/>
  <c r="A65" i="9"/>
  <c r="A53" i="9"/>
  <c r="A41" i="9"/>
  <c r="A29" i="9"/>
  <c r="A17" i="9"/>
  <c r="A5" i="9"/>
  <c r="A108" i="9"/>
  <c r="A96" i="9"/>
  <c r="A84" i="9"/>
  <c r="A72" i="9"/>
  <c r="A60" i="9"/>
  <c r="A48" i="9"/>
  <c r="A36" i="9"/>
  <c r="A24" i="9"/>
  <c r="A12" i="9"/>
  <c r="A94" i="9"/>
  <c r="A22" i="9"/>
  <c r="A82" i="9"/>
  <c r="A10" i="9"/>
  <c r="A70" i="9"/>
  <c r="A58" i="9"/>
  <c r="A46" i="9"/>
  <c r="A34" i="9"/>
  <c r="A91" i="7"/>
  <c r="A74" i="7"/>
  <c r="A69" i="7"/>
  <c r="A83" i="7"/>
  <c r="W135" i="7"/>
  <c r="A5" i="7"/>
  <c r="A39" i="7"/>
  <c r="A25" i="7"/>
  <c r="A9" i="7"/>
  <c r="A46" i="4"/>
  <c r="A112" i="10"/>
  <c r="A97" i="10"/>
  <c r="A79" i="7"/>
  <c r="A57" i="7"/>
  <c r="A71" i="7"/>
  <c r="A17" i="7"/>
  <c r="A51" i="7"/>
  <c r="A97" i="7"/>
  <c r="A33" i="7"/>
  <c r="A83" i="6"/>
  <c r="A63" i="4"/>
  <c r="A95" i="4"/>
  <c r="A112" i="4"/>
  <c r="A14" i="4"/>
  <c r="A115" i="4"/>
  <c r="A29" i="4"/>
  <c r="A58" i="4"/>
  <c r="A75" i="4"/>
  <c r="A92" i="4"/>
  <c r="A6" i="4"/>
  <c r="A107" i="4"/>
  <c r="A9" i="4"/>
  <c r="A26" i="4"/>
  <c r="A12" i="4"/>
  <c r="A41" i="4"/>
  <c r="A70" i="4"/>
  <c r="A87" i="4"/>
  <c r="A104" i="4"/>
  <c r="A18" i="4"/>
  <c r="A117" i="3"/>
  <c r="A105" i="3"/>
  <c r="A93" i="3"/>
  <c r="A81" i="3"/>
  <c r="A69" i="3"/>
  <c r="A57" i="3"/>
  <c r="A45" i="3"/>
  <c r="A33" i="3"/>
  <c r="A21" i="3"/>
  <c r="A9" i="3"/>
  <c r="A112" i="3"/>
  <c r="A100" i="3"/>
  <c r="A88" i="3"/>
  <c r="A76" i="3"/>
  <c r="A64" i="3"/>
  <c r="A52" i="3"/>
  <c r="A40" i="3"/>
  <c r="A28" i="3"/>
  <c r="A16" i="3"/>
  <c r="A4" i="3"/>
  <c r="Y4" i="3" s="1"/>
  <c r="AC4" i="3" s="1"/>
  <c r="A119" i="3"/>
  <c r="A107" i="3"/>
  <c r="A95" i="3"/>
  <c r="A83" i="3"/>
  <c r="A71" i="3"/>
  <c r="A59" i="3"/>
  <c r="A47" i="3"/>
  <c r="A35" i="3"/>
  <c r="A23" i="3"/>
  <c r="A11" i="3"/>
  <c r="W125" i="3"/>
  <c r="A114" i="3"/>
  <c r="A102" i="3"/>
  <c r="A90" i="3"/>
  <c r="A78" i="3"/>
  <c r="A66" i="3"/>
  <c r="A54" i="3"/>
  <c r="A42" i="3"/>
  <c r="A30" i="3"/>
  <c r="A18" i="3"/>
  <c r="A6" i="3"/>
  <c r="A109" i="3"/>
  <c r="A97" i="3"/>
  <c r="A85" i="3"/>
  <c r="A73" i="3"/>
  <c r="A61" i="3"/>
  <c r="A49" i="3"/>
  <c r="A37" i="3"/>
  <c r="A25" i="3"/>
  <c r="A13" i="3"/>
  <c r="A116" i="3"/>
  <c r="A104" i="3"/>
  <c r="A92" i="3"/>
  <c r="A80" i="3"/>
  <c r="A68" i="3"/>
  <c r="A56" i="3"/>
  <c r="A44" i="3"/>
  <c r="P135" i="3"/>
  <c r="A111" i="3"/>
  <c r="A99" i="3"/>
  <c r="A87" i="3"/>
  <c r="A75" i="3"/>
  <c r="A63" i="3"/>
  <c r="A51" i="3"/>
  <c r="A39" i="3"/>
  <c r="A27" i="3"/>
  <c r="A15" i="3"/>
  <c r="A3" i="3"/>
  <c r="Y3" i="3" s="1"/>
  <c r="AC3" i="3" s="1"/>
  <c r="A113" i="3"/>
  <c r="A101" i="3"/>
  <c r="A89" i="3"/>
  <c r="A77" i="3"/>
  <c r="A65" i="3"/>
  <c r="A53" i="3"/>
  <c r="A41" i="3"/>
  <c r="A29" i="3"/>
  <c r="A17" i="3"/>
  <c r="A5" i="3"/>
  <c r="A108" i="3"/>
  <c r="A96" i="3"/>
  <c r="A84" i="3"/>
  <c r="A72" i="3"/>
  <c r="A60" i="3"/>
  <c r="A48" i="3"/>
  <c r="A36" i="3"/>
  <c r="A24" i="3"/>
  <c r="A12" i="3"/>
  <c r="A115" i="3"/>
  <c r="A103" i="3"/>
  <c r="A91" i="3"/>
  <c r="A110" i="3"/>
  <c r="A98" i="3"/>
  <c r="A86" i="3"/>
  <c r="A74" i="3"/>
  <c r="A62" i="3"/>
  <c r="A50" i="3"/>
  <c r="A8" i="3"/>
  <c r="A118" i="3"/>
  <c r="A55" i="3"/>
  <c r="A34" i="3"/>
  <c r="A31" i="3"/>
  <c r="A58" i="3"/>
  <c r="A14" i="3"/>
  <c r="A106" i="3"/>
  <c r="A7" i="3"/>
  <c r="A94" i="3"/>
  <c r="A79" i="3"/>
  <c r="A43" i="3"/>
  <c r="A20" i="3"/>
  <c r="A10" i="3"/>
  <c r="A46" i="3"/>
  <c r="A26" i="3"/>
  <c r="A82" i="3"/>
  <c r="A2" i="3"/>
  <c r="Y2" i="3" s="1"/>
  <c r="A67" i="3"/>
  <c r="A32" i="3"/>
  <c r="A22" i="3"/>
  <c r="A19" i="3"/>
  <c r="A70" i="3"/>
  <c r="A38" i="3"/>
  <c r="A119" i="4"/>
  <c r="A21" i="4"/>
  <c r="A38" i="4"/>
  <c r="A24" i="4"/>
  <c r="A53" i="4"/>
  <c r="A82" i="4"/>
  <c r="A99" i="4"/>
  <c r="A116" i="4"/>
  <c r="A30" i="4"/>
  <c r="W133" i="5"/>
  <c r="A4" i="4"/>
  <c r="Y4" i="4" s="1"/>
  <c r="AC4" i="4" s="1"/>
  <c r="A33" i="4"/>
  <c r="A50" i="4"/>
  <c r="A36" i="4"/>
  <c r="A65" i="4"/>
  <c r="A94" i="4"/>
  <c r="A111" i="4"/>
  <c r="A13" i="4"/>
  <c r="A42" i="4"/>
  <c r="W135" i="6"/>
  <c r="A16" i="4"/>
  <c r="A45" i="4"/>
  <c r="A62" i="4"/>
  <c r="A48" i="4"/>
  <c r="A77" i="4"/>
  <c r="A106" i="4"/>
  <c r="P135" i="4"/>
  <c r="A25" i="4"/>
  <c r="A54" i="4"/>
  <c r="W127" i="5"/>
  <c r="A11" i="4"/>
  <c r="A28" i="4"/>
  <c r="A57" i="4"/>
  <c r="A74" i="4"/>
  <c r="A60" i="4"/>
  <c r="A89" i="4"/>
  <c r="A118" i="4"/>
  <c r="A8" i="4"/>
  <c r="A37" i="4"/>
  <c r="A66" i="4"/>
  <c r="W132" i="5"/>
  <c r="A23" i="4"/>
  <c r="A40" i="4"/>
  <c r="A69" i="4"/>
  <c r="A86" i="4"/>
  <c r="A72" i="4"/>
  <c r="A101" i="4"/>
  <c r="A3" i="4"/>
  <c r="Y3" i="4" s="1"/>
  <c r="AC3" i="4" s="1"/>
  <c r="A20" i="4"/>
  <c r="A49" i="4"/>
  <c r="A115" i="2"/>
  <c r="A117" i="2"/>
  <c r="W125" i="2"/>
  <c r="W135" i="2" s="1"/>
  <c r="A114" i="2"/>
  <c r="A116" i="2"/>
  <c r="P135" i="2"/>
  <c r="A102" i="2"/>
  <c r="A90" i="2"/>
  <c r="A78" i="2"/>
  <c r="A66" i="2"/>
  <c r="A54" i="2"/>
  <c r="A42" i="2"/>
  <c r="A30" i="2"/>
  <c r="A18" i="2"/>
  <c r="A6" i="2"/>
  <c r="A109" i="2"/>
  <c r="A97" i="2"/>
  <c r="A85" i="2"/>
  <c r="A73" i="2"/>
  <c r="A61" i="2"/>
  <c r="A49" i="2"/>
  <c r="A37" i="2"/>
  <c r="A25" i="2"/>
  <c r="A13" i="2"/>
  <c r="A104" i="2"/>
  <c r="A92" i="2"/>
  <c r="A80" i="2"/>
  <c r="A68" i="2"/>
  <c r="A56" i="2"/>
  <c r="A44" i="2"/>
  <c r="A32" i="2"/>
  <c r="A20" i="2"/>
  <c r="A8" i="2"/>
  <c r="A111" i="2"/>
  <c r="A99" i="2"/>
  <c r="A87" i="2"/>
  <c r="A75" i="2"/>
  <c r="A63" i="2"/>
  <c r="A51" i="2"/>
  <c r="A39" i="2"/>
  <c r="A27" i="2"/>
  <c r="A15" i="2"/>
  <c r="A3" i="2"/>
  <c r="Y3" i="2" s="1"/>
  <c r="AC3" i="2" s="1"/>
  <c r="A106" i="2"/>
  <c r="A94" i="2"/>
  <c r="A82" i="2"/>
  <c r="A70" i="2"/>
  <c r="A58" i="2"/>
  <c r="A46" i="2"/>
  <c r="A34" i="2"/>
  <c r="A22" i="2"/>
  <c r="A10" i="2"/>
  <c r="A113" i="2"/>
  <c r="A101" i="2"/>
  <c r="A89" i="2"/>
  <c r="A77" i="2"/>
  <c r="A65" i="2"/>
  <c r="A53" i="2"/>
  <c r="A41" i="2"/>
  <c r="A29" i="2"/>
  <c r="A17" i="2"/>
  <c r="A5" i="2"/>
  <c r="A119" i="2"/>
  <c r="A108" i="2"/>
  <c r="A96" i="2"/>
  <c r="A84" i="2"/>
  <c r="A72" i="2"/>
  <c r="A60" i="2"/>
  <c r="A48" i="2"/>
  <c r="A36" i="2"/>
  <c r="A24" i="2"/>
  <c r="A12" i="2"/>
  <c r="A103" i="2"/>
  <c r="A91" i="2"/>
  <c r="A79" i="2"/>
  <c r="A67" i="2"/>
  <c r="A55" i="2"/>
  <c r="A43" i="2"/>
  <c r="A31" i="2"/>
  <c r="A19" i="2"/>
  <c r="A7" i="2"/>
  <c r="A110" i="2"/>
  <c r="A98" i="2"/>
  <c r="A86" i="2"/>
  <c r="A74" i="2"/>
  <c r="A62" i="2"/>
  <c r="A50" i="2"/>
  <c r="A38" i="2"/>
  <c r="A26" i="2"/>
  <c r="A14" i="2"/>
  <c r="A2" i="2"/>
  <c r="Y2" i="2" s="1"/>
  <c r="A105" i="2"/>
  <c r="A93" i="2"/>
  <c r="A81" i="2"/>
  <c r="A69" i="2"/>
  <c r="A57" i="2"/>
  <c r="A45" i="2"/>
  <c r="A33" i="2"/>
  <c r="A21" i="2"/>
  <c r="A9" i="2"/>
  <c r="A118" i="2"/>
  <c r="A112" i="2"/>
  <c r="A100" i="2"/>
  <c r="A88" i="2"/>
  <c r="A76" i="2"/>
  <c r="A64" i="2"/>
  <c r="A52" i="2"/>
  <c r="A40" i="2"/>
  <c r="A28" i="2"/>
  <c r="A16" i="2"/>
  <c r="A4" i="2"/>
  <c r="Y4" i="2" s="1"/>
  <c r="AC4" i="2" s="1"/>
  <c r="A107" i="2"/>
  <c r="A95" i="2"/>
  <c r="A83" i="2"/>
  <c r="A71" i="2"/>
  <c r="A59" i="2"/>
  <c r="A47" i="2"/>
  <c r="A35" i="2"/>
  <c r="A23" i="2"/>
  <c r="A11" i="2"/>
  <c r="W126" i="4"/>
  <c r="A31" i="4"/>
  <c r="A19" i="4"/>
  <c r="A7" i="4"/>
  <c r="A67" i="4"/>
  <c r="A55" i="4"/>
  <c r="A43" i="4"/>
  <c r="W125" i="5"/>
  <c r="A114" i="5"/>
  <c r="A102" i="5"/>
  <c r="A90" i="5"/>
  <c r="A78" i="5"/>
  <c r="A66" i="5"/>
  <c r="A54" i="5"/>
  <c r="A109" i="5"/>
  <c r="A97" i="5"/>
  <c r="A85" i="5"/>
  <c r="A73" i="5"/>
  <c r="A61" i="5"/>
  <c r="A49" i="5"/>
  <c r="A116" i="5"/>
  <c r="A104" i="5"/>
  <c r="A92" i="5"/>
  <c r="A80" i="5"/>
  <c r="A68" i="5"/>
  <c r="A56" i="5"/>
  <c r="P135" i="5"/>
  <c r="A111" i="5"/>
  <c r="A99" i="5"/>
  <c r="A87" i="5"/>
  <c r="A75" i="5"/>
  <c r="A63" i="5"/>
  <c r="A51" i="5"/>
  <c r="A118" i="5"/>
  <c r="A106" i="5"/>
  <c r="A94" i="5"/>
  <c r="A113" i="5"/>
  <c r="A101" i="5"/>
  <c r="A89" i="5"/>
  <c r="A77" i="5"/>
  <c r="A65" i="5"/>
  <c r="A53" i="5"/>
  <c r="A110" i="5"/>
  <c r="A98" i="5"/>
  <c r="A117" i="5"/>
  <c r="A105" i="5"/>
  <c r="A119" i="5"/>
  <c r="A107" i="5"/>
  <c r="A95" i="5"/>
  <c r="A39" i="5"/>
  <c r="A27" i="5"/>
  <c r="A15" i="5"/>
  <c r="A3" i="5"/>
  <c r="Y3" i="5" s="1"/>
  <c r="AC3" i="5" s="1"/>
  <c r="A69" i="5"/>
  <c r="A60" i="5"/>
  <c r="A46" i="5"/>
  <c r="A34" i="5"/>
  <c r="A22" i="5"/>
  <c r="A10" i="5"/>
  <c r="A86" i="5"/>
  <c r="A83" i="5"/>
  <c r="A74" i="5"/>
  <c r="A41" i="5"/>
  <c r="A29" i="5"/>
  <c r="A17" i="5"/>
  <c r="A5" i="5"/>
  <c r="A112" i="5"/>
  <c r="A57" i="5"/>
  <c r="A48" i="5"/>
  <c r="A36" i="5"/>
  <c r="A24" i="5"/>
  <c r="A12" i="5"/>
  <c r="A115" i="5"/>
  <c r="A71" i="5"/>
  <c r="A62" i="5"/>
  <c r="A43" i="5"/>
  <c r="A31" i="5"/>
  <c r="A19" i="5"/>
  <c r="A7" i="5"/>
  <c r="A108" i="5"/>
  <c r="A38" i="5"/>
  <c r="A26" i="5"/>
  <c r="A14" i="5"/>
  <c r="A2" i="5"/>
  <c r="Y2" i="5" s="1"/>
  <c r="A91" i="5"/>
  <c r="A88" i="5"/>
  <c r="A82" i="5"/>
  <c r="A79" i="5"/>
  <c r="A76" i="5"/>
  <c r="A59" i="5"/>
  <c r="A50" i="5"/>
  <c r="A45" i="5"/>
  <c r="A33" i="5"/>
  <c r="A21" i="5"/>
  <c r="A9" i="5"/>
  <c r="A40" i="5"/>
  <c r="A28" i="5"/>
  <c r="A16" i="5"/>
  <c r="A4" i="5"/>
  <c r="Y4" i="5" s="1"/>
  <c r="AC4" i="5" s="1"/>
  <c r="A70" i="5"/>
  <c r="A67" i="5"/>
  <c r="A64" i="5"/>
  <c r="A47" i="5"/>
  <c r="A35" i="5"/>
  <c r="A23" i="5"/>
  <c r="A11" i="5"/>
  <c r="A100" i="5"/>
  <c r="A84" i="5"/>
  <c r="A42" i="5"/>
  <c r="A30" i="5"/>
  <c r="A18" i="5"/>
  <c r="A6" i="5"/>
  <c r="A103" i="5"/>
  <c r="A58" i="5"/>
  <c r="A55" i="5"/>
  <c r="A52" i="5"/>
  <c r="A37" i="5"/>
  <c r="A25" i="5"/>
  <c r="A13" i="5"/>
  <c r="A96" i="5"/>
  <c r="A93" i="5"/>
  <c r="A81" i="5"/>
  <c r="A72" i="5"/>
  <c r="A44" i="5"/>
  <c r="A32" i="5"/>
  <c r="A20" i="5"/>
  <c r="A8" i="5"/>
  <c r="A35" i="4"/>
  <c r="A52" i="4"/>
  <c r="A81" i="4"/>
  <c r="A98" i="4"/>
  <c r="A84" i="4"/>
  <c r="A113" i="4"/>
  <c r="A15" i="4"/>
  <c r="A32" i="4"/>
  <c r="A61" i="4"/>
  <c r="A90" i="4"/>
  <c r="W134" i="3"/>
  <c r="W130" i="5"/>
  <c r="A47" i="4"/>
  <c r="A64" i="4"/>
  <c r="A93" i="4"/>
  <c r="A110" i="4"/>
  <c r="A96" i="4"/>
  <c r="A10" i="4"/>
  <c r="A27" i="4"/>
  <c r="A44" i="4"/>
  <c r="A73" i="4"/>
  <c r="A102" i="4"/>
  <c r="W128" i="5"/>
  <c r="A59" i="4"/>
  <c r="A76" i="4"/>
  <c r="A105" i="4"/>
  <c r="A79" i="4"/>
  <c r="A108" i="4"/>
  <c r="A22" i="4"/>
  <c r="A39" i="4"/>
  <c r="A56" i="4"/>
  <c r="A85" i="4"/>
  <c r="A114" i="4"/>
  <c r="A117" i="1"/>
  <c r="A105" i="1"/>
  <c r="A93" i="1"/>
  <c r="A81" i="1"/>
  <c r="A69" i="1"/>
  <c r="A57" i="1"/>
  <c r="A45" i="1"/>
  <c r="A33" i="1"/>
  <c r="A21" i="1"/>
  <c r="A9" i="1"/>
  <c r="A40" i="1"/>
  <c r="A4" i="1"/>
  <c r="Y4" i="1" s="1"/>
  <c r="AC4" i="1" s="1"/>
  <c r="A38" i="1"/>
  <c r="A112" i="1"/>
  <c r="A100" i="1"/>
  <c r="A88" i="1"/>
  <c r="A76" i="1"/>
  <c r="A64" i="1"/>
  <c r="A52" i="1"/>
  <c r="A28" i="1"/>
  <c r="A16" i="1"/>
  <c r="A119" i="1"/>
  <c r="A107" i="1"/>
  <c r="A95" i="1"/>
  <c r="A83" i="1"/>
  <c r="A71" i="1"/>
  <c r="A59" i="1"/>
  <c r="A47" i="1"/>
  <c r="A35" i="1"/>
  <c r="A23" i="1"/>
  <c r="A11" i="1"/>
  <c r="A2" i="1"/>
  <c r="Y2" i="1" s="1"/>
  <c r="W125" i="1"/>
  <c r="W135" i="1" s="1"/>
  <c r="A114" i="1"/>
  <c r="A102" i="1"/>
  <c r="A90" i="1"/>
  <c r="A78" i="1"/>
  <c r="A66" i="1"/>
  <c r="A54" i="1"/>
  <c r="A42" i="1"/>
  <c r="A30" i="1"/>
  <c r="A18" i="1"/>
  <c r="A6" i="1"/>
  <c r="A41" i="1"/>
  <c r="A19" i="1"/>
  <c r="A14" i="1"/>
  <c r="A109" i="1"/>
  <c r="A97" i="1"/>
  <c r="A85" i="1"/>
  <c r="A73" i="1"/>
  <c r="A61" i="1"/>
  <c r="A49" i="1"/>
  <c r="A37" i="1"/>
  <c r="A25" i="1"/>
  <c r="A13" i="1"/>
  <c r="A34" i="1"/>
  <c r="A116" i="1"/>
  <c r="A104" i="1"/>
  <c r="A92" i="1"/>
  <c r="A80" i="1"/>
  <c r="A68" i="1"/>
  <c r="A56" i="1"/>
  <c r="A44" i="1"/>
  <c r="A32" i="1"/>
  <c r="A20" i="1"/>
  <c r="A8" i="1"/>
  <c r="A29" i="1"/>
  <c r="A5" i="1"/>
  <c r="P135" i="1"/>
  <c r="A111" i="1"/>
  <c r="A99" i="1"/>
  <c r="A87" i="1"/>
  <c r="A75" i="1"/>
  <c r="A63" i="1"/>
  <c r="A51" i="1"/>
  <c r="A39" i="1"/>
  <c r="A27" i="1"/>
  <c r="A15" i="1"/>
  <c r="A3" i="1"/>
  <c r="Y3" i="1" s="1"/>
  <c r="AC3" i="1" s="1"/>
  <c r="A118" i="1"/>
  <c r="A106" i="1"/>
  <c r="A94" i="1"/>
  <c r="A82" i="1"/>
  <c r="A70" i="1"/>
  <c r="A58" i="1"/>
  <c r="A46" i="1"/>
  <c r="A22" i="1"/>
  <c r="A10" i="1"/>
  <c r="A113" i="1"/>
  <c r="A101" i="1"/>
  <c r="A89" i="1"/>
  <c r="A77" i="1"/>
  <c r="A65" i="1"/>
  <c r="A53" i="1"/>
  <c r="A17" i="1"/>
  <c r="A108" i="1"/>
  <c r="A96" i="1"/>
  <c r="A84" i="1"/>
  <c r="A72" i="1"/>
  <c r="A60" i="1"/>
  <c r="A48" i="1"/>
  <c r="A36" i="1"/>
  <c r="A24" i="1"/>
  <c r="A12" i="1"/>
  <c r="A7" i="1"/>
  <c r="A26" i="1"/>
  <c r="A115" i="1"/>
  <c r="A103" i="1"/>
  <c r="A91" i="1"/>
  <c r="A79" i="1"/>
  <c r="A67" i="1"/>
  <c r="A55" i="1"/>
  <c r="A43" i="1"/>
  <c r="A31" i="1"/>
  <c r="A110" i="1"/>
  <c r="A98" i="1"/>
  <c r="A86" i="1"/>
  <c r="A74" i="1"/>
  <c r="A62" i="1"/>
  <c r="A50" i="1"/>
  <c r="A71" i="4"/>
  <c r="A88" i="4"/>
  <c r="A117" i="4"/>
  <c r="A91" i="4"/>
  <c r="A5" i="4"/>
  <c r="A34" i="4"/>
  <c r="A51" i="4"/>
  <c r="A68" i="4"/>
  <c r="A97" i="4"/>
  <c r="W135" i="4"/>
  <c r="Y6" i="5" l="1"/>
  <c r="Y7" i="5"/>
  <c r="Y5" i="5"/>
  <c r="AC5" i="5" s="1"/>
  <c r="Y61" i="13"/>
  <c r="Y49" i="13"/>
  <c r="Y30" i="13"/>
  <c r="Y12" i="13"/>
  <c r="Y52" i="13"/>
  <c r="Y13" i="13"/>
  <c r="Y10" i="13"/>
  <c r="Y27" i="13"/>
  <c r="Y48" i="13"/>
  <c r="Y60" i="13"/>
  <c r="Y62" i="13"/>
  <c r="Y89" i="13"/>
  <c r="Y111" i="13"/>
  <c r="Y116" i="13"/>
  <c r="Y71" i="13"/>
  <c r="Y34" i="13"/>
  <c r="Y69" i="13"/>
  <c r="Y9" i="13"/>
  <c r="Y21" i="13"/>
  <c r="Y78" i="13"/>
  <c r="Y40" i="13"/>
  <c r="Y15" i="13"/>
  <c r="Y97" i="13"/>
  <c r="Y109" i="13"/>
  <c r="Y74" i="13"/>
  <c r="Y101" i="13"/>
  <c r="Y83" i="13"/>
  <c r="Y84" i="13"/>
  <c r="Y24" i="13"/>
  <c r="Y36" i="13"/>
  <c r="Y82" i="13"/>
  <c r="Y28" i="13"/>
  <c r="Y17" i="13"/>
  <c r="Y105" i="13"/>
  <c r="Y117" i="13"/>
  <c r="Y86" i="13"/>
  <c r="Y113" i="13"/>
  <c r="Y98" i="13"/>
  <c r="Y73" i="13"/>
  <c r="Y93" i="13"/>
  <c r="Y16" i="13"/>
  <c r="Y91" i="13"/>
  <c r="Y102" i="13"/>
  <c r="Y81" i="13"/>
  <c r="Y108" i="13"/>
  <c r="Y79" i="13"/>
  <c r="Y106" i="13"/>
  <c r="Y96" i="13"/>
  <c r="Y68" i="13"/>
  <c r="Y67" i="13"/>
  <c r="Y18" i="13"/>
  <c r="Y42" i="13"/>
  <c r="Y54" i="13"/>
  <c r="Y119" i="13"/>
  <c r="Y56" i="13"/>
  <c r="Y55" i="13"/>
  <c r="Y85" i="13"/>
  <c r="Y46" i="13"/>
  <c r="Y58" i="13"/>
  <c r="Y44" i="13"/>
  <c r="Y43" i="13"/>
  <c r="Y90" i="13"/>
  <c r="Y95" i="13"/>
  <c r="Y107" i="13"/>
  <c r="Y32" i="13"/>
  <c r="Y31" i="13"/>
  <c r="Y94" i="13"/>
  <c r="Y14" i="13"/>
  <c r="Y41" i="13"/>
  <c r="Y110" i="13"/>
  <c r="Y66" i="13"/>
  <c r="Y20" i="13"/>
  <c r="Y19" i="13"/>
  <c r="Y26" i="13"/>
  <c r="Y57" i="13"/>
  <c r="Y114" i="13"/>
  <c r="Y70" i="13"/>
  <c r="Y8" i="13"/>
  <c r="AC8" i="13" s="1"/>
  <c r="Y25" i="13"/>
  <c r="Y37" i="13"/>
  <c r="Y112" i="13"/>
  <c r="Y64" i="13"/>
  <c r="Y39" i="13"/>
  <c r="Y80" i="13"/>
  <c r="Y76" i="13"/>
  <c r="Y33" i="13"/>
  <c r="Y22" i="13"/>
  <c r="Y103" i="13"/>
  <c r="Y92" i="13"/>
  <c r="Y88" i="13"/>
  <c r="Y115" i="13"/>
  <c r="Y104" i="13"/>
  <c r="Y23" i="13"/>
  <c r="Y72" i="13"/>
  <c r="Y11" i="13"/>
  <c r="Y100" i="13"/>
  <c r="Y51" i="13"/>
  <c r="Y118" i="13"/>
  <c r="Y38" i="13"/>
  <c r="Y63" i="13"/>
  <c r="Y35" i="13"/>
  <c r="Y50" i="13"/>
  <c r="Y29" i="13"/>
  <c r="Y75" i="13"/>
  <c r="Y47" i="13"/>
  <c r="Y87" i="13"/>
  <c r="Y59" i="13"/>
  <c r="Y53" i="13"/>
  <c r="Y65" i="13"/>
  <c r="Y99" i="13"/>
  <c r="Y45" i="13"/>
  <c r="Y77" i="13"/>
  <c r="Y6" i="6"/>
  <c r="Y5" i="6"/>
  <c r="AC5" i="6" s="1"/>
  <c r="Y7" i="6"/>
  <c r="W135" i="3"/>
  <c r="Y1" i="4"/>
  <c r="AC2" i="4"/>
  <c r="Y7" i="8"/>
  <c r="Y5" i="8"/>
  <c r="AC5" i="8" s="1"/>
  <c r="Y6" i="8"/>
  <c r="AC2" i="2"/>
  <c r="AC2" i="3"/>
  <c r="Y5" i="3"/>
  <c r="AC5" i="3" s="1"/>
  <c r="Y7" i="3"/>
  <c r="Y6" i="3"/>
  <c r="Y42" i="6"/>
  <c r="Y30" i="6"/>
  <c r="Y18" i="6"/>
  <c r="Y71" i="6"/>
  <c r="Y64" i="6"/>
  <c r="Y112" i="6"/>
  <c r="Y97" i="6"/>
  <c r="Y98" i="6"/>
  <c r="Y83" i="6"/>
  <c r="Y68" i="6"/>
  <c r="Y116" i="6"/>
  <c r="Y109" i="6"/>
  <c r="Y110" i="6"/>
  <c r="Y95" i="6"/>
  <c r="Y13" i="6"/>
  <c r="Y32" i="6"/>
  <c r="Y72" i="6"/>
  <c r="Y14" i="6"/>
  <c r="Y107" i="6"/>
  <c r="Y28" i="6"/>
  <c r="Y36" i="6"/>
  <c r="Y76" i="6"/>
  <c r="Y119" i="6"/>
  <c r="Y80" i="6"/>
  <c r="Y113" i="6"/>
  <c r="Y70" i="6"/>
  <c r="Y25" i="6"/>
  <c r="Y84" i="6"/>
  <c r="Y26" i="6"/>
  <c r="Y40" i="6"/>
  <c r="Y44" i="6"/>
  <c r="Y92" i="6"/>
  <c r="Y61" i="6"/>
  <c r="Y20" i="6"/>
  <c r="Y48" i="6"/>
  <c r="Y96" i="6"/>
  <c r="Y37" i="6"/>
  <c r="Y65" i="6"/>
  <c r="Y16" i="6"/>
  <c r="Y24" i="6"/>
  <c r="Y52" i="6"/>
  <c r="Y100" i="6"/>
  <c r="Y73" i="6"/>
  <c r="Y35" i="6"/>
  <c r="Y47" i="6"/>
  <c r="Y56" i="6"/>
  <c r="Y104" i="6"/>
  <c r="Y77" i="6"/>
  <c r="Y75" i="6"/>
  <c r="Y102" i="6"/>
  <c r="Y9" i="6"/>
  <c r="Y55" i="6"/>
  <c r="Y87" i="6"/>
  <c r="Y114" i="6"/>
  <c r="Y21" i="6"/>
  <c r="Y67" i="6"/>
  <c r="Y10" i="6"/>
  <c r="Y99" i="6"/>
  <c r="Y33" i="6"/>
  <c r="Y79" i="6"/>
  <c r="Y23" i="6"/>
  <c r="Y22" i="6"/>
  <c r="Y111" i="6"/>
  <c r="Y45" i="6"/>
  <c r="Y91" i="6"/>
  <c r="Y50" i="6"/>
  <c r="Y34" i="6"/>
  <c r="Y57" i="6"/>
  <c r="Y103" i="6"/>
  <c r="Y62" i="6"/>
  <c r="Y46" i="6"/>
  <c r="Y69" i="6"/>
  <c r="Y115" i="6"/>
  <c r="Y59" i="6"/>
  <c r="Y11" i="6"/>
  <c r="Y38" i="6"/>
  <c r="Y74" i="6"/>
  <c r="Y58" i="6"/>
  <c r="Y81" i="6"/>
  <c r="Y17" i="6"/>
  <c r="Y60" i="6"/>
  <c r="Y49" i="6"/>
  <c r="Y86" i="6"/>
  <c r="Y82" i="6"/>
  <c r="Y15" i="6"/>
  <c r="Y93" i="6"/>
  <c r="Y29" i="6"/>
  <c r="Y88" i="6"/>
  <c r="Y85" i="6"/>
  <c r="Y94" i="6"/>
  <c r="Y27" i="6"/>
  <c r="Y54" i="6"/>
  <c r="Y105" i="6"/>
  <c r="Y41" i="6"/>
  <c r="Y108" i="6"/>
  <c r="Y8" i="6"/>
  <c r="AC8" i="6" s="1"/>
  <c r="Y106" i="6"/>
  <c r="Y39" i="6"/>
  <c r="Y66" i="6"/>
  <c r="Y117" i="6"/>
  <c r="Y19" i="6"/>
  <c r="Y53" i="6"/>
  <c r="Y12" i="6"/>
  <c r="Y118" i="6"/>
  <c r="Y51" i="6"/>
  <c r="Y78" i="6"/>
  <c r="Y31" i="6"/>
  <c r="Y89" i="6"/>
  <c r="Y90" i="6"/>
  <c r="Y101" i="6"/>
  <c r="Y63" i="6"/>
  <c r="Y43" i="6"/>
  <c r="AC2" i="8"/>
  <c r="W135" i="8"/>
  <c r="Y100" i="12"/>
  <c r="Y28" i="12"/>
  <c r="Y88" i="12"/>
  <c r="Y16" i="12"/>
  <c r="Y76" i="12"/>
  <c r="Y64" i="12"/>
  <c r="Y52" i="12"/>
  <c r="Y112" i="12"/>
  <c r="Y40" i="12"/>
  <c r="Y115" i="12"/>
  <c r="Y85" i="12"/>
  <c r="Y77" i="12"/>
  <c r="Y10" i="12"/>
  <c r="Y78" i="12"/>
  <c r="Y47" i="12"/>
  <c r="Y74" i="12"/>
  <c r="Y31" i="12"/>
  <c r="Y15" i="12"/>
  <c r="Y36" i="12"/>
  <c r="Y22" i="12"/>
  <c r="Y92" i="12"/>
  <c r="Y59" i="12"/>
  <c r="Y72" i="12"/>
  <c r="Y51" i="12"/>
  <c r="Y89" i="12"/>
  <c r="Y34" i="12"/>
  <c r="Y87" i="12"/>
  <c r="Y67" i="12"/>
  <c r="Y46" i="12"/>
  <c r="Y104" i="12"/>
  <c r="Y83" i="12"/>
  <c r="Y14" i="12"/>
  <c r="Y79" i="12"/>
  <c r="Y60" i="12"/>
  <c r="Y12" i="12"/>
  <c r="Y108" i="12"/>
  <c r="Y101" i="12"/>
  <c r="Y58" i="12"/>
  <c r="Y33" i="12"/>
  <c r="Y75" i="12"/>
  <c r="Y27" i="12"/>
  <c r="Y37" i="12"/>
  <c r="Y84" i="12"/>
  <c r="Y105" i="12"/>
  <c r="Y99" i="12"/>
  <c r="Y25" i="12"/>
  <c r="Y29" i="12"/>
  <c r="Y94" i="12"/>
  <c r="Y48" i="12"/>
  <c r="Y109" i="12"/>
  <c r="Y24" i="12"/>
  <c r="Y93" i="12"/>
  <c r="Y41" i="12"/>
  <c r="Y106" i="12"/>
  <c r="Y44" i="12"/>
  <c r="Y63" i="12"/>
  <c r="Y45" i="12"/>
  <c r="Y69" i="12"/>
  <c r="Y39" i="12"/>
  <c r="Y9" i="12"/>
  <c r="Y97" i="12"/>
  <c r="Y53" i="12"/>
  <c r="Y118" i="12"/>
  <c r="Y49" i="12"/>
  <c r="Y57" i="12"/>
  <c r="Y73" i="12"/>
  <c r="Y96" i="12"/>
  <c r="Y13" i="12"/>
  <c r="Y81" i="12"/>
  <c r="Y70" i="12"/>
  <c r="Y20" i="12"/>
  <c r="Y66" i="12"/>
  <c r="Y119" i="12"/>
  <c r="Y86" i="12"/>
  <c r="Y103" i="12"/>
  <c r="Y98" i="12"/>
  <c r="Y38" i="12"/>
  <c r="Y17" i="12"/>
  <c r="Y82" i="12"/>
  <c r="Y32" i="12"/>
  <c r="Y90" i="12"/>
  <c r="Y62" i="12"/>
  <c r="Y65" i="12"/>
  <c r="Y56" i="12"/>
  <c r="Y102" i="12"/>
  <c r="Y8" i="12"/>
  <c r="AC8" i="12" s="1"/>
  <c r="Y68" i="12"/>
  <c r="Y26" i="12"/>
  <c r="Y110" i="12"/>
  <c r="Y80" i="12"/>
  <c r="Y114" i="12"/>
  <c r="Y11" i="12"/>
  <c r="Y61" i="12"/>
  <c r="Y113" i="12"/>
  <c r="Y116" i="12"/>
  <c r="Y23" i="12"/>
  <c r="Y35" i="12"/>
  <c r="Y19" i="12"/>
  <c r="Y55" i="12"/>
  <c r="Y71" i="12"/>
  <c r="Y50" i="12"/>
  <c r="Y43" i="12"/>
  <c r="Y18" i="12"/>
  <c r="Y95" i="12"/>
  <c r="Y54" i="12"/>
  <c r="Y117" i="12"/>
  <c r="Y111" i="12"/>
  <c r="Y21" i="12"/>
  <c r="Y30" i="12"/>
  <c r="Y42" i="12"/>
  <c r="Y107" i="12"/>
  <c r="Y91" i="12"/>
  <c r="AC2" i="12"/>
  <c r="AC1" i="12" s="1"/>
  <c r="Y7" i="11"/>
  <c r="Y6" i="11"/>
  <c r="Y5" i="11"/>
  <c r="AC5" i="11" s="1"/>
  <c r="W135" i="11"/>
  <c r="Y55" i="11"/>
  <c r="Y115" i="11"/>
  <c r="Y43" i="11"/>
  <c r="Y103" i="11"/>
  <c r="Y31" i="11"/>
  <c r="Y91" i="11"/>
  <c r="Y19" i="11"/>
  <c r="Y79" i="11"/>
  <c r="Y67" i="11"/>
  <c r="Y16" i="11"/>
  <c r="Y112" i="11"/>
  <c r="Y92" i="11"/>
  <c r="Y95" i="11"/>
  <c r="Y81" i="11"/>
  <c r="Y101" i="11"/>
  <c r="Y18" i="11"/>
  <c r="Y84" i="11"/>
  <c r="Y104" i="11"/>
  <c r="Y107" i="11"/>
  <c r="Y93" i="11"/>
  <c r="Y26" i="11"/>
  <c r="Y75" i="11"/>
  <c r="Y60" i="11"/>
  <c r="Y88" i="11"/>
  <c r="Y116" i="11"/>
  <c r="Y119" i="11"/>
  <c r="Y14" i="11"/>
  <c r="Y90" i="11"/>
  <c r="Y64" i="11"/>
  <c r="Y13" i="11"/>
  <c r="Y117" i="11"/>
  <c r="Y50" i="11"/>
  <c r="Y34" i="11"/>
  <c r="Y48" i="11"/>
  <c r="Y118" i="11"/>
  <c r="Y27" i="11"/>
  <c r="Y24" i="11"/>
  <c r="Y63" i="11"/>
  <c r="Y25" i="11"/>
  <c r="Y52" i="11"/>
  <c r="Y15" i="11"/>
  <c r="Y42" i="11"/>
  <c r="Y39" i="11"/>
  <c r="Y28" i="11"/>
  <c r="Y78" i="11"/>
  <c r="Y30" i="11"/>
  <c r="Y99" i="11"/>
  <c r="Y54" i="11"/>
  <c r="Y96" i="11"/>
  <c r="Y87" i="11"/>
  <c r="Y114" i="11"/>
  <c r="Y111" i="11"/>
  <c r="Y100" i="11"/>
  <c r="Y51" i="11"/>
  <c r="Y32" i="11"/>
  <c r="Y61" i="11"/>
  <c r="Y102" i="11"/>
  <c r="Y66" i="11"/>
  <c r="Y44" i="11"/>
  <c r="Y73" i="11"/>
  <c r="Y47" i="11"/>
  <c r="Y36" i="11"/>
  <c r="Y56" i="11"/>
  <c r="Y85" i="11"/>
  <c r="Y72" i="11"/>
  <c r="Y40" i="11"/>
  <c r="Y33" i="11"/>
  <c r="Y74" i="11"/>
  <c r="Y89" i="11"/>
  <c r="Y58" i="11"/>
  <c r="Y82" i="11"/>
  <c r="Y94" i="11"/>
  <c r="Y22" i="11"/>
  <c r="Y76" i="11"/>
  <c r="Y45" i="11"/>
  <c r="Y86" i="11"/>
  <c r="Y113" i="11"/>
  <c r="Y70" i="11"/>
  <c r="Y57" i="11"/>
  <c r="Y98" i="11"/>
  <c r="Y53" i="11"/>
  <c r="Y46" i="11"/>
  <c r="Y11" i="11"/>
  <c r="Y69" i="11"/>
  <c r="Y110" i="11"/>
  <c r="Y108" i="11"/>
  <c r="Y23" i="11"/>
  <c r="Y105" i="11"/>
  <c r="Y106" i="11"/>
  <c r="Y77" i="11"/>
  <c r="Y35" i="11"/>
  <c r="Y8" i="11"/>
  <c r="AC8" i="11" s="1"/>
  <c r="Y59" i="11"/>
  <c r="Y17" i="11"/>
  <c r="Y21" i="11"/>
  <c r="Y20" i="11"/>
  <c r="Y71" i="11"/>
  <c r="Y29" i="11"/>
  <c r="Y41" i="11"/>
  <c r="Y62" i="11"/>
  <c r="Y12" i="11"/>
  <c r="Y68" i="11"/>
  <c r="Y37" i="11"/>
  <c r="Y83" i="11"/>
  <c r="Y80" i="11"/>
  <c r="Y49" i="11"/>
  <c r="Y10" i="11"/>
  <c r="Y97" i="11"/>
  <c r="Y9" i="11"/>
  <c r="Y38" i="11"/>
  <c r="Y65" i="11"/>
  <c r="Y109" i="11"/>
  <c r="Y84" i="9"/>
  <c r="Y12" i="9"/>
  <c r="Y60" i="9"/>
  <c r="Y15" i="9"/>
  <c r="Y59" i="9"/>
  <c r="Y108" i="9"/>
  <c r="Y40" i="9"/>
  <c r="Y48" i="9"/>
  <c r="Y26" i="9"/>
  <c r="Y103" i="9"/>
  <c r="Y106" i="9"/>
  <c r="Y54" i="9"/>
  <c r="Y49" i="9"/>
  <c r="Y8" i="9"/>
  <c r="AC8" i="9" s="1"/>
  <c r="Y96" i="9"/>
  <c r="Y44" i="9"/>
  <c r="Y52" i="9"/>
  <c r="Y38" i="9"/>
  <c r="Y115" i="9"/>
  <c r="Y118" i="9"/>
  <c r="Y66" i="9"/>
  <c r="Y53" i="9"/>
  <c r="Y72" i="9"/>
  <c r="Y27" i="9"/>
  <c r="Y9" i="9"/>
  <c r="Y19" i="9"/>
  <c r="Y97" i="9"/>
  <c r="Y56" i="9"/>
  <c r="Y50" i="9"/>
  <c r="Y78" i="9"/>
  <c r="Y21" i="9"/>
  <c r="Y57" i="9"/>
  <c r="Y76" i="9"/>
  <c r="Y61" i="9"/>
  <c r="Y39" i="9"/>
  <c r="Y101" i="9"/>
  <c r="Y25" i="9"/>
  <c r="Y62" i="9"/>
  <c r="Y90" i="9"/>
  <c r="Y11" i="9"/>
  <c r="Y64" i="9"/>
  <c r="Y87" i="9"/>
  <c r="Y80" i="9"/>
  <c r="Y65" i="9"/>
  <c r="Y73" i="9"/>
  <c r="Y13" i="9"/>
  <c r="Y105" i="9"/>
  <c r="Y29" i="9"/>
  <c r="Y37" i="9"/>
  <c r="Y74" i="9"/>
  <c r="Y10" i="9"/>
  <c r="Y102" i="9"/>
  <c r="Y23" i="9"/>
  <c r="Y68" i="9"/>
  <c r="Y99" i="9"/>
  <c r="Y69" i="9"/>
  <c r="Y77" i="9"/>
  <c r="Y17" i="9"/>
  <c r="Y109" i="9"/>
  <c r="Y33" i="9"/>
  <c r="Y41" i="9"/>
  <c r="Y86" i="9"/>
  <c r="Y22" i="9"/>
  <c r="Y114" i="9"/>
  <c r="Y35" i="9"/>
  <c r="Y24" i="9"/>
  <c r="Y111" i="9"/>
  <c r="Y81" i="9"/>
  <c r="Y51" i="9"/>
  <c r="Y113" i="9"/>
  <c r="Y63" i="9"/>
  <c r="Y45" i="9"/>
  <c r="Y98" i="9"/>
  <c r="Y31" i="9"/>
  <c r="Y34" i="9"/>
  <c r="Y47" i="9"/>
  <c r="Y16" i="9"/>
  <c r="Y100" i="9"/>
  <c r="Y85" i="9"/>
  <c r="Y117" i="9"/>
  <c r="Y75" i="9"/>
  <c r="Y110" i="9"/>
  <c r="Y43" i="9"/>
  <c r="Y46" i="9"/>
  <c r="Y71" i="9"/>
  <c r="Y20" i="9"/>
  <c r="Y104" i="9"/>
  <c r="Y89" i="9"/>
  <c r="Y55" i="9"/>
  <c r="Y58" i="9"/>
  <c r="Y83" i="9"/>
  <c r="Y88" i="9"/>
  <c r="Y112" i="9"/>
  <c r="Y28" i="9"/>
  <c r="Y93" i="9"/>
  <c r="Y67" i="9"/>
  <c r="Y70" i="9"/>
  <c r="Y18" i="9"/>
  <c r="Y95" i="9"/>
  <c r="Y92" i="9"/>
  <c r="Y116" i="9"/>
  <c r="Y32" i="9"/>
  <c r="Y79" i="9"/>
  <c r="Y82" i="9"/>
  <c r="Y30" i="9"/>
  <c r="Y107" i="9"/>
  <c r="Y91" i="9"/>
  <c r="Y94" i="9"/>
  <c r="Y36" i="9"/>
  <c r="Y42" i="9"/>
  <c r="Y14" i="9"/>
  <c r="Y119" i="9"/>
  <c r="AC2" i="9"/>
  <c r="AC2" i="13"/>
  <c r="Y5" i="2"/>
  <c r="AC5" i="2" s="1"/>
  <c r="Y6" i="2"/>
  <c r="Y7" i="2"/>
  <c r="Y7" i="9"/>
  <c r="Y6" i="9"/>
  <c r="Y5" i="9"/>
  <c r="AC5" i="9" s="1"/>
  <c r="Y6" i="7"/>
  <c r="Y5" i="7"/>
  <c r="AC5" i="7" s="1"/>
  <c r="Y7" i="7"/>
  <c r="Y5" i="13"/>
  <c r="AC5" i="13" s="1"/>
  <c r="Y7" i="13"/>
  <c r="Y6" i="13"/>
  <c r="Y5" i="1"/>
  <c r="AC5" i="1" s="1"/>
  <c r="Y7" i="1"/>
  <c r="Y6" i="1"/>
  <c r="AC2" i="1"/>
  <c r="AC2" i="5"/>
  <c r="AC1" i="5" s="1"/>
  <c r="Y33" i="4"/>
  <c r="Y21" i="4"/>
  <c r="Y9" i="4"/>
  <c r="Y69" i="4"/>
  <c r="Y16" i="4"/>
  <c r="Y35" i="4"/>
  <c r="Y83" i="4"/>
  <c r="Y111" i="4"/>
  <c r="Y91" i="4"/>
  <c r="Y81" i="4"/>
  <c r="Y97" i="4"/>
  <c r="Y76" i="4"/>
  <c r="Y46" i="4"/>
  <c r="Y77" i="4"/>
  <c r="Y36" i="4"/>
  <c r="Y95" i="4"/>
  <c r="Y22" i="4"/>
  <c r="Y99" i="4"/>
  <c r="Y79" i="4"/>
  <c r="Y114" i="4"/>
  <c r="Y85" i="4"/>
  <c r="Y80" i="4"/>
  <c r="Y50" i="4"/>
  <c r="Y89" i="4"/>
  <c r="Y40" i="4"/>
  <c r="Y10" i="4"/>
  <c r="Y107" i="4"/>
  <c r="Y26" i="4"/>
  <c r="Y87" i="4"/>
  <c r="Y67" i="4"/>
  <c r="Y102" i="4"/>
  <c r="Y73" i="4"/>
  <c r="Y84" i="4"/>
  <c r="Y101" i="4"/>
  <c r="Y70" i="4"/>
  <c r="Y14" i="4"/>
  <c r="Y119" i="4"/>
  <c r="Y60" i="4"/>
  <c r="Y75" i="4"/>
  <c r="Y55" i="4"/>
  <c r="Y90" i="4"/>
  <c r="Y61" i="4"/>
  <c r="Y88" i="4"/>
  <c r="Y113" i="4"/>
  <c r="Y17" i="4"/>
  <c r="Y74" i="4"/>
  <c r="Y48" i="4"/>
  <c r="Y64" i="4"/>
  <c r="Y63" i="4"/>
  <c r="Y43" i="4"/>
  <c r="Y78" i="4"/>
  <c r="Y49" i="4"/>
  <c r="Y92" i="4"/>
  <c r="Y32" i="4"/>
  <c r="Y82" i="4"/>
  <c r="Y52" i="4"/>
  <c r="Y51" i="4"/>
  <c r="Y31" i="4"/>
  <c r="Y66" i="4"/>
  <c r="Y37" i="4"/>
  <c r="Y96" i="4"/>
  <c r="Y24" i="4"/>
  <c r="Y47" i="4"/>
  <c r="Y86" i="4"/>
  <c r="Y39" i="4"/>
  <c r="Y19" i="4"/>
  <c r="Y54" i="4"/>
  <c r="Y25" i="4"/>
  <c r="Y100" i="4"/>
  <c r="Y28" i="4"/>
  <c r="Y94" i="4"/>
  <c r="Y27" i="4"/>
  <c r="Y42" i="4"/>
  <c r="Y13" i="4"/>
  <c r="Y104" i="4"/>
  <c r="Y58" i="4"/>
  <c r="Y98" i="4"/>
  <c r="Y15" i="4"/>
  <c r="Y30" i="4"/>
  <c r="Y11" i="4"/>
  <c r="Y108" i="4"/>
  <c r="Y23" i="4"/>
  <c r="Y62" i="4"/>
  <c r="Y106" i="4"/>
  <c r="Y29" i="4"/>
  <c r="Y41" i="4"/>
  <c r="Y117" i="4"/>
  <c r="Y18" i="4"/>
  <c r="Y45" i="4"/>
  <c r="Y34" i="4"/>
  <c r="Y112" i="4"/>
  <c r="Y57" i="4"/>
  <c r="Y8" i="4"/>
  <c r="AC8" i="4" s="1"/>
  <c r="Y110" i="4"/>
  <c r="Y44" i="4"/>
  <c r="Y56" i="4"/>
  <c r="Y115" i="4"/>
  <c r="Y105" i="4"/>
  <c r="Y53" i="4"/>
  <c r="Y38" i="4"/>
  <c r="Y116" i="4"/>
  <c r="Y65" i="4"/>
  <c r="Y59" i="4"/>
  <c r="Y103" i="4"/>
  <c r="Y12" i="4"/>
  <c r="Y93" i="4"/>
  <c r="Y109" i="4"/>
  <c r="Y68" i="4"/>
  <c r="Y71" i="4"/>
  <c r="Y72" i="4"/>
  <c r="Y20" i="4"/>
  <c r="Y118" i="4"/>
  <c r="Y7" i="10"/>
  <c r="Y5" i="10"/>
  <c r="AC5" i="10" s="1"/>
  <c r="Y6" i="10"/>
  <c r="Y53" i="10"/>
  <c r="Y14" i="10"/>
  <c r="Y66" i="10"/>
  <c r="Y60" i="10"/>
  <c r="Y59" i="10"/>
  <c r="Y115" i="10"/>
  <c r="Y109" i="10"/>
  <c r="Y96" i="10"/>
  <c r="Y91" i="10"/>
  <c r="Y113" i="10"/>
  <c r="Y63" i="10"/>
  <c r="Y89" i="10"/>
  <c r="Y61" i="10"/>
  <c r="Y22" i="10"/>
  <c r="Y70" i="10"/>
  <c r="Y72" i="10"/>
  <c r="Y71" i="10"/>
  <c r="Y110" i="10"/>
  <c r="Y102" i="10"/>
  <c r="Y103" i="10"/>
  <c r="Y75" i="10"/>
  <c r="Y68" i="10"/>
  <c r="Y98" i="10"/>
  <c r="Y65" i="10"/>
  <c r="Y26" i="10"/>
  <c r="Y74" i="10"/>
  <c r="Y88" i="10"/>
  <c r="Y108" i="10"/>
  <c r="Y119" i="10"/>
  <c r="Y116" i="10"/>
  <c r="Y83" i="10"/>
  <c r="Y78" i="10"/>
  <c r="Y101" i="10"/>
  <c r="Y73" i="10"/>
  <c r="Y30" i="10"/>
  <c r="Y82" i="10"/>
  <c r="Y100" i="10"/>
  <c r="Y16" i="10"/>
  <c r="Y9" i="10"/>
  <c r="Y99" i="10"/>
  <c r="Y92" i="10"/>
  <c r="Y111" i="10"/>
  <c r="Y77" i="10"/>
  <c r="Y34" i="10"/>
  <c r="Y94" i="10"/>
  <c r="Y12" i="10"/>
  <c r="Y112" i="10"/>
  <c r="Y28" i="10"/>
  <c r="Y21" i="10"/>
  <c r="Y19" i="10"/>
  <c r="Y104" i="10"/>
  <c r="Y81" i="10"/>
  <c r="Y13" i="10"/>
  <c r="Y38" i="10"/>
  <c r="Y106" i="10"/>
  <c r="Y20" i="10"/>
  <c r="Y40" i="10"/>
  <c r="Y33" i="10"/>
  <c r="Y31" i="10"/>
  <c r="Y107" i="10"/>
  <c r="Y86" i="10"/>
  <c r="Y17" i="10"/>
  <c r="Y42" i="10"/>
  <c r="Y24" i="10"/>
  <c r="Y52" i="10"/>
  <c r="Y45" i="10"/>
  <c r="Y43" i="10"/>
  <c r="Y117" i="10"/>
  <c r="Y95" i="10"/>
  <c r="Y25" i="10"/>
  <c r="Y46" i="10"/>
  <c r="Y118" i="10"/>
  <c r="Y32" i="10"/>
  <c r="Y64" i="10"/>
  <c r="Y57" i="10"/>
  <c r="Y55" i="10"/>
  <c r="Y114" i="10"/>
  <c r="Y29" i="10"/>
  <c r="Y50" i="10"/>
  <c r="Y36" i="10"/>
  <c r="Y11" i="10"/>
  <c r="Y76" i="10"/>
  <c r="Y69" i="10"/>
  <c r="Y67" i="10"/>
  <c r="Y15" i="10"/>
  <c r="Y37" i="10"/>
  <c r="Y54" i="10"/>
  <c r="Y44" i="10"/>
  <c r="Y8" i="10"/>
  <c r="AC8" i="10" s="1"/>
  <c r="Y23" i="10"/>
  <c r="Y84" i="10"/>
  <c r="Y79" i="10"/>
  <c r="Y80" i="10"/>
  <c r="Y27" i="10"/>
  <c r="Y41" i="10"/>
  <c r="Y58" i="10"/>
  <c r="Y48" i="10"/>
  <c r="Y35" i="10"/>
  <c r="Y93" i="10"/>
  <c r="Y87" i="10"/>
  <c r="Y97" i="10"/>
  <c r="Y39" i="10"/>
  <c r="Y56" i="10"/>
  <c r="Y10" i="10"/>
  <c r="Y105" i="10"/>
  <c r="Y62" i="10"/>
  <c r="Y85" i="10"/>
  <c r="Y18" i="10"/>
  <c r="Y90" i="10"/>
  <c r="Y49" i="10"/>
  <c r="Y51" i="10"/>
  <c r="Y47" i="10"/>
  <c r="AC2" i="7"/>
  <c r="Y1" i="6"/>
  <c r="AC2" i="6"/>
  <c r="AC1" i="6" s="1"/>
  <c r="Y9" i="3"/>
  <c r="Y32" i="3"/>
  <c r="Y29" i="3"/>
  <c r="Y54" i="3"/>
  <c r="Y25" i="3"/>
  <c r="Y93" i="3"/>
  <c r="Y101" i="3"/>
  <c r="Y79" i="3"/>
  <c r="Y91" i="3"/>
  <c r="Y11" i="3"/>
  <c r="Y35" i="3"/>
  <c r="Y53" i="3"/>
  <c r="Y42" i="3"/>
  <c r="Y13" i="3"/>
  <c r="Y81" i="3"/>
  <c r="Y113" i="3"/>
  <c r="Y21" i="3"/>
  <c r="Y8" i="3"/>
  <c r="AC8" i="3" s="1"/>
  <c r="Y67" i="3"/>
  <c r="Y116" i="3"/>
  <c r="Y30" i="3"/>
  <c r="Y118" i="3"/>
  <c r="Y112" i="3"/>
  <c r="Y24" i="3"/>
  <c r="Y34" i="3"/>
  <c r="Y38" i="3"/>
  <c r="Y74" i="3"/>
  <c r="Y18" i="3"/>
  <c r="Y106" i="3"/>
  <c r="Y100" i="3"/>
  <c r="Y31" i="3"/>
  <c r="Y41" i="3"/>
  <c r="Y15" i="3"/>
  <c r="Y45" i="3"/>
  <c r="Y89" i="3"/>
  <c r="Y94" i="3"/>
  <c r="Y88" i="3"/>
  <c r="Y26" i="3"/>
  <c r="Y10" i="3"/>
  <c r="Y55" i="3"/>
  <c r="Y77" i="3"/>
  <c r="Y28" i="3"/>
  <c r="Y56" i="3"/>
  <c r="Y109" i="3"/>
  <c r="Y82" i="3"/>
  <c r="Y76" i="3"/>
  <c r="Y57" i="3"/>
  <c r="Y17" i="3"/>
  <c r="Y14" i="3"/>
  <c r="Y62" i="3"/>
  <c r="Y84" i="3"/>
  <c r="Y108" i="3"/>
  <c r="Y48" i="3"/>
  <c r="Y63" i="3"/>
  <c r="Y97" i="3"/>
  <c r="Y70" i="3"/>
  <c r="Y64" i="3"/>
  <c r="Y68" i="3"/>
  <c r="Y20" i="3"/>
  <c r="Y65" i="3"/>
  <c r="Y44" i="3"/>
  <c r="Y99" i="3"/>
  <c r="Y92" i="3"/>
  <c r="Y59" i="3"/>
  <c r="Y96" i="3"/>
  <c r="Y114" i="3"/>
  <c r="Y85" i="3"/>
  <c r="Y58" i="3"/>
  <c r="Y52" i="3"/>
  <c r="Y75" i="3"/>
  <c r="Y23" i="3"/>
  <c r="Y83" i="3"/>
  <c r="Y27" i="3"/>
  <c r="Y51" i="3"/>
  <c r="Y103" i="3"/>
  <c r="Y107" i="3"/>
  <c r="Y111" i="3"/>
  <c r="Y104" i="3"/>
  <c r="Y102" i="3"/>
  <c r="Y73" i="3"/>
  <c r="Y46" i="3"/>
  <c r="Y16" i="3"/>
  <c r="Y86" i="3"/>
  <c r="Y33" i="3"/>
  <c r="Y98" i="3"/>
  <c r="Y40" i="3"/>
  <c r="Y69" i="3"/>
  <c r="Y115" i="3"/>
  <c r="Y119" i="3"/>
  <c r="Y90" i="3"/>
  <c r="Y61" i="3"/>
  <c r="Y39" i="3"/>
  <c r="Y36" i="3"/>
  <c r="Y47" i="3"/>
  <c r="Y80" i="3"/>
  <c r="Y12" i="3"/>
  <c r="Y78" i="3"/>
  <c r="Y49" i="3"/>
  <c r="Y117" i="3"/>
  <c r="Y60" i="3"/>
  <c r="Y43" i="3"/>
  <c r="Y72" i="3"/>
  <c r="Y95" i="3"/>
  <c r="Y19" i="3"/>
  <c r="Y87" i="3"/>
  <c r="Y22" i="3"/>
  <c r="Y110" i="3"/>
  <c r="Y50" i="3"/>
  <c r="Y66" i="3"/>
  <c r="Y37" i="3"/>
  <c r="Y105" i="3"/>
  <c r="Y71" i="3"/>
  <c r="Y1" i="10"/>
  <c r="AC2" i="10"/>
  <c r="AC1" i="10" s="1"/>
  <c r="Y16" i="1"/>
  <c r="Y28" i="1"/>
  <c r="Y101" i="1"/>
  <c r="Y93" i="1"/>
  <c r="Y83" i="1"/>
  <c r="Y60" i="1"/>
  <c r="Y64" i="1"/>
  <c r="Y46" i="1"/>
  <c r="Y63" i="1"/>
  <c r="Y102" i="1"/>
  <c r="Y29" i="1"/>
  <c r="Y37" i="1"/>
  <c r="Y14" i="1"/>
  <c r="Y95" i="1"/>
  <c r="Y30" i="1"/>
  <c r="Y9" i="1"/>
  <c r="Y68" i="1"/>
  <c r="Y76" i="1"/>
  <c r="Y58" i="1"/>
  <c r="Y75" i="1"/>
  <c r="Y114" i="1"/>
  <c r="Y69" i="1"/>
  <c r="Y65" i="1"/>
  <c r="Y38" i="1"/>
  <c r="Y107" i="1"/>
  <c r="Y49" i="1"/>
  <c r="Y72" i="1"/>
  <c r="Y88" i="1"/>
  <c r="Y70" i="1"/>
  <c r="Y87" i="1"/>
  <c r="Y31" i="1"/>
  <c r="Y105" i="1"/>
  <c r="Y97" i="1"/>
  <c r="Y62" i="1"/>
  <c r="Y119" i="1"/>
  <c r="Y80" i="1"/>
  <c r="Y100" i="1"/>
  <c r="Y82" i="1"/>
  <c r="Y99" i="1"/>
  <c r="Y26" i="1"/>
  <c r="Y98" i="1"/>
  <c r="Y12" i="1"/>
  <c r="Y84" i="1"/>
  <c r="Y112" i="1"/>
  <c r="Y43" i="1"/>
  <c r="Y94" i="1"/>
  <c r="Y111" i="1"/>
  <c r="Y8" i="1"/>
  <c r="AC8" i="1" s="1"/>
  <c r="Y25" i="1"/>
  <c r="Y50" i="1"/>
  <c r="Y21" i="1"/>
  <c r="Y20" i="1"/>
  <c r="Y92" i="1"/>
  <c r="Y55" i="1"/>
  <c r="Y106" i="1"/>
  <c r="Y89" i="1"/>
  <c r="Y74" i="1"/>
  <c r="Y11" i="1"/>
  <c r="Y61" i="1"/>
  <c r="Y24" i="1"/>
  <c r="Y96" i="1"/>
  <c r="Y67" i="1"/>
  <c r="Y118" i="1"/>
  <c r="Y86" i="1"/>
  <c r="Y13" i="1"/>
  <c r="Y23" i="1"/>
  <c r="Y109" i="1"/>
  <c r="Y32" i="1"/>
  <c r="Y104" i="1"/>
  <c r="Y79" i="1"/>
  <c r="Y42" i="1"/>
  <c r="Y17" i="1"/>
  <c r="Y110" i="1"/>
  <c r="Y57" i="1"/>
  <c r="Y35" i="1"/>
  <c r="Y36" i="1"/>
  <c r="Y108" i="1"/>
  <c r="Y91" i="1"/>
  <c r="Y19" i="1"/>
  <c r="Y15" i="1"/>
  <c r="Y54" i="1"/>
  <c r="Y53" i="1"/>
  <c r="Y113" i="1"/>
  <c r="Y47" i="1"/>
  <c r="Y44" i="1"/>
  <c r="Y116" i="1"/>
  <c r="Y103" i="1"/>
  <c r="Y10" i="1"/>
  <c r="Y27" i="1"/>
  <c r="Y66" i="1"/>
  <c r="Y85" i="1"/>
  <c r="Y33" i="1"/>
  <c r="Y45" i="1"/>
  <c r="Y59" i="1"/>
  <c r="Y41" i="1"/>
  <c r="Y48" i="1"/>
  <c r="Y40" i="1"/>
  <c r="Y115" i="1"/>
  <c r="Y22" i="1"/>
  <c r="Y39" i="1"/>
  <c r="Y78" i="1"/>
  <c r="Y81" i="1"/>
  <c r="Y56" i="1"/>
  <c r="Y34" i="1"/>
  <c r="Y52" i="1"/>
  <c r="Y117" i="1"/>
  <c r="Y51" i="1"/>
  <c r="Y90" i="1"/>
  <c r="Y77" i="1"/>
  <c r="Y73" i="1"/>
  <c r="Y18" i="1"/>
  <c r="Y71" i="1"/>
  <c r="Y5" i="12"/>
  <c r="AC5" i="12" s="1"/>
  <c r="Y7" i="12"/>
  <c r="Y6" i="12"/>
  <c r="Y114" i="5"/>
  <c r="Y61" i="5"/>
  <c r="Y42" i="5"/>
  <c r="Y30" i="5"/>
  <c r="Y18" i="5"/>
  <c r="Y44" i="5"/>
  <c r="Y13" i="5"/>
  <c r="Y98" i="5"/>
  <c r="Y19" i="5"/>
  <c r="Y34" i="5"/>
  <c r="Y103" i="5"/>
  <c r="Y117" i="5"/>
  <c r="Y111" i="5"/>
  <c r="Y40" i="5"/>
  <c r="Y59" i="5"/>
  <c r="Y80" i="5"/>
  <c r="Y51" i="5"/>
  <c r="Y52" i="5"/>
  <c r="Y17" i="5"/>
  <c r="Y110" i="5"/>
  <c r="Y23" i="5"/>
  <c r="Y46" i="5"/>
  <c r="Y53" i="5"/>
  <c r="Y108" i="5"/>
  <c r="Y68" i="5"/>
  <c r="Y92" i="5"/>
  <c r="Y54" i="5"/>
  <c r="Y64" i="5"/>
  <c r="Y25" i="5"/>
  <c r="Y31" i="5"/>
  <c r="Y60" i="5"/>
  <c r="Y79" i="5"/>
  <c r="Y96" i="5"/>
  <c r="Y76" i="5"/>
  <c r="Y105" i="5"/>
  <c r="Y57" i="5"/>
  <c r="Y29" i="5"/>
  <c r="Y35" i="5"/>
  <c r="Y63" i="5"/>
  <c r="Y67" i="5"/>
  <c r="Y82" i="5"/>
  <c r="Y84" i="5"/>
  <c r="Y88" i="5"/>
  <c r="Y37" i="5"/>
  <c r="Y43" i="5"/>
  <c r="Y66" i="5"/>
  <c r="Y15" i="5"/>
  <c r="Y70" i="5"/>
  <c r="Y91" i="5"/>
  <c r="Y109" i="5"/>
  <c r="Y65" i="5"/>
  <c r="Y119" i="5"/>
  <c r="Y89" i="5"/>
  <c r="Y116" i="5"/>
  <c r="Y73" i="5"/>
  <c r="Y41" i="5"/>
  <c r="Y14" i="5"/>
  <c r="Y47" i="5"/>
  <c r="Y69" i="5"/>
  <c r="Y27" i="5"/>
  <c r="Y49" i="5"/>
  <c r="Y101" i="5"/>
  <c r="Y97" i="5"/>
  <c r="Y81" i="5"/>
  <c r="Y26" i="5"/>
  <c r="Y71" i="5"/>
  <c r="Y106" i="5"/>
  <c r="Y39" i="5"/>
  <c r="Y55" i="5"/>
  <c r="Y8" i="5"/>
  <c r="AC8" i="5" s="1"/>
  <c r="Y93" i="5"/>
  <c r="Y38" i="5"/>
  <c r="Y83" i="5"/>
  <c r="Y113" i="5"/>
  <c r="Y58" i="5"/>
  <c r="Y9" i="5"/>
  <c r="Y62" i="5"/>
  <c r="Y95" i="5"/>
  <c r="Y72" i="5"/>
  <c r="Y21" i="5"/>
  <c r="Y74" i="5"/>
  <c r="Y75" i="5"/>
  <c r="Y56" i="5"/>
  <c r="Y33" i="5"/>
  <c r="Y20" i="5"/>
  <c r="Y78" i="5"/>
  <c r="Y10" i="5"/>
  <c r="Y87" i="5"/>
  <c r="Y100" i="5"/>
  <c r="Y94" i="5"/>
  <c r="Y16" i="5"/>
  <c r="Y45" i="5"/>
  <c r="Y28" i="5"/>
  <c r="Y77" i="5"/>
  <c r="Y32" i="5"/>
  <c r="Y86" i="5"/>
  <c r="Y22" i="5"/>
  <c r="Y118" i="5"/>
  <c r="Y102" i="5"/>
  <c r="Y107" i="5"/>
  <c r="Y115" i="5"/>
  <c r="Y112" i="5"/>
  <c r="Y104" i="5"/>
  <c r="Y85" i="5"/>
  <c r="Y50" i="5"/>
  <c r="Y99" i="5"/>
  <c r="Y12" i="5"/>
  <c r="Y24" i="5"/>
  <c r="Y36" i="5"/>
  <c r="Y11" i="5"/>
  <c r="Y48" i="5"/>
  <c r="Y90" i="5"/>
  <c r="Y5" i="4"/>
  <c r="AC5" i="4" s="1"/>
  <c r="Y7" i="4"/>
  <c r="Y6" i="4"/>
  <c r="Y68" i="2"/>
  <c r="Y113" i="2"/>
  <c r="Y34" i="2"/>
  <c r="Y97" i="2"/>
  <c r="Y90" i="2"/>
  <c r="Y45" i="2"/>
  <c r="Y55" i="2"/>
  <c r="Y96" i="2"/>
  <c r="Y80" i="2"/>
  <c r="Y58" i="2"/>
  <c r="Y14" i="2"/>
  <c r="Y109" i="2"/>
  <c r="Y102" i="2"/>
  <c r="Y16" i="2"/>
  <c r="Y57" i="2"/>
  <c r="Y67" i="2"/>
  <c r="Y108" i="2"/>
  <c r="Y92" i="2"/>
  <c r="Y70" i="2"/>
  <c r="Y22" i="2"/>
  <c r="Y114" i="2"/>
  <c r="Y28" i="2"/>
  <c r="Y69" i="2"/>
  <c r="Y79" i="2"/>
  <c r="Y116" i="2"/>
  <c r="Y104" i="2"/>
  <c r="Y74" i="2"/>
  <c r="Y38" i="2"/>
  <c r="Y11" i="2"/>
  <c r="Y40" i="2"/>
  <c r="Y81" i="2"/>
  <c r="Y91" i="2"/>
  <c r="Y15" i="2"/>
  <c r="Y17" i="2"/>
  <c r="Y82" i="2"/>
  <c r="Y50" i="2"/>
  <c r="Y23" i="2"/>
  <c r="Y52" i="2"/>
  <c r="Y93" i="2"/>
  <c r="Y103" i="2"/>
  <c r="Y27" i="2"/>
  <c r="Y29" i="2"/>
  <c r="Y86" i="2"/>
  <c r="Y62" i="2"/>
  <c r="Y35" i="2"/>
  <c r="Y13" i="2"/>
  <c r="Y64" i="2"/>
  <c r="Y105" i="2"/>
  <c r="Y119" i="2"/>
  <c r="Y12" i="2"/>
  <c r="Y39" i="2"/>
  <c r="Y111" i="2"/>
  <c r="Y41" i="2"/>
  <c r="Y94" i="2"/>
  <c r="Y47" i="2"/>
  <c r="Y25" i="2"/>
  <c r="Y76" i="2"/>
  <c r="Y115" i="2"/>
  <c r="Y24" i="2"/>
  <c r="Y51" i="2"/>
  <c r="Y8" i="2"/>
  <c r="AC8" i="2" s="1"/>
  <c r="Y53" i="2"/>
  <c r="Y98" i="2"/>
  <c r="Y59" i="2"/>
  <c r="Y37" i="2"/>
  <c r="Y30" i="2"/>
  <c r="Y118" i="2"/>
  <c r="Y88" i="2"/>
  <c r="Y36" i="2"/>
  <c r="Y63" i="2"/>
  <c r="Y20" i="2"/>
  <c r="Y65" i="2"/>
  <c r="Y106" i="2"/>
  <c r="Y10" i="2"/>
  <c r="Y71" i="2"/>
  <c r="Y49" i="2"/>
  <c r="Y42" i="2"/>
  <c r="Y100" i="2"/>
  <c r="Y48" i="2"/>
  <c r="Y75" i="2"/>
  <c r="Y32" i="2"/>
  <c r="Y77" i="2"/>
  <c r="Y110" i="2"/>
  <c r="Y46" i="2"/>
  <c r="Y83" i="2"/>
  <c r="Y61" i="2"/>
  <c r="Y54" i="2"/>
  <c r="Y112" i="2"/>
  <c r="Y9" i="2"/>
  <c r="Y19" i="2"/>
  <c r="Y60" i="2"/>
  <c r="Y87" i="2"/>
  <c r="Y44" i="2"/>
  <c r="Y89" i="2"/>
  <c r="Y18" i="2"/>
  <c r="Y95" i="2"/>
  <c r="Y73" i="2"/>
  <c r="Y66" i="2"/>
  <c r="Y21" i="2"/>
  <c r="Y31" i="2"/>
  <c r="Y72" i="2"/>
  <c r="Y99" i="2"/>
  <c r="Y107" i="2"/>
  <c r="Y56" i="2"/>
  <c r="Y85" i="2"/>
  <c r="Y43" i="2"/>
  <c r="Y33" i="2"/>
  <c r="Y101" i="2"/>
  <c r="Y84" i="2"/>
  <c r="Y117" i="2"/>
  <c r="Y26" i="2"/>
  <c r="Y78" i="2"/>
  <c r="Y104" i="7"/>
  <c r="Y49" i="7"/>
  <c r="Y97" i="7"/>
  <c r="Y116" i="7"/>
  <c r="Y53" i="7"/>
  <c r="Y101" i="7"/>
  <c r="Y9" i="7"/>
  <c r="Y57" i="7"/>
  <c r="Y105" i="7"/>
  <c r="Y10" i="7"/>
  <c r="Y13" i="7"/>
  <c r="Y61" i="7"/>
  <c r="Y109" i="7"/>
  <c r="Y22" i="7"/>
  <c r="Y16" i="7"/>
  <c r="Y17" i="7"/>
  <c r="Y65" i="7"/>
  <c r="Y113" i="7"/>
  <c r="Y34" i="7"/>
  <c r="Y35" i="7"/>
  <c r="Y20" i="7"/>
  <c r="Y8" i="7"/>
  <c r="AC8" i="7" s="1"/>
  <c r="Y21" i="7"/>
  <c r="Y69" i="7"/>
  <c r="Y117" i="7"/>
  <c r="Y32" i="7"/>
  <c r="Y44" i="7"/>
  <c r="Y29" i="7"/>
  <c r="Y77" i="7"/>
  <c r="Y86" i="7"/>
  <c r="Y56" i="7"/>
  <c r="Y33" i="7"/>
  <c r="Y81" i="7"/>
  <c r="Y68" i="7"/>
  <c r="Y37" i="7"/>
  <c r="Y85" i="7"/>
  <c r="Y63" i="7"/>
  <c r="Y110" i="7"/>
  <c r="Y80" i="7"/>
  <c r="Y41" i="7"/>
  <c r="Y89" i="7"/>
  <c r="Y73" i="7"/>
  <c r="Y71" i="7"/>
  <c r="Y19" i="7"/>
  <c r="Y108" i="7"/>
  <c r="Y106" i="7"/>
  <c r="Y64" i="7"/>
  <c r="Y14" i="7"/>
  <c r="Y93" i="7"/>
  <c r="Y83" i="7"/>
  <c r="Y31" i="7"/>
  <c r="Y118" i="7"/>
  <c r="Y18" i="7"/>
  <c r="Y26" i="7"/>
  <c r="Y62" i="7"/>
  <c r="Y95" i="7"/>
  <c r="Y43" i="7"/>
  <c r="Y15" i="7"/>
  <c r="Y30" i="7"/>
  <c r="Y76" i="7"/>
  <c r="Y38" i="7"/>
  <c r="Y107" i="7"/>
  <c r="Y55" i="7"/>
  <c r="Y27" i="7"/>
  <c r="Y42" i="7"/>
  <c r="Y119" i="7"/>
  <c r="Y67" i="7"/>
  <c r="Y12" i="7"/>
  <c r="Y39" i="7"/>
  <c r="Y54" i="7"/>
  <c r="Y88" i="7"/>
  <c r="Y50" i="7"/>
  <c r="Y79" i="7"/>
  <c r="Y24" i="7"/>
  <c r="Y51" i="7"/>
  <c r="Y66" i="7"/>
  <c r="Y91" i="7"/>
  <c r="Y36" i="7"/>
  <c r="Y75" i="7"/>
  <c r="Y78" i="7"/>
  <c r="Y100" i="7"/>
  <c r="Y92" i="7"/>
  <c r="Y103" i="7"/>
  <c r="Y48" i="7"/>
  <c r="Y87" i="7"/>
  <c r="Y90" i="7"/>
  <c r="Y11" i="7"/>
  <c r="Y60" i="7"/>
  <c r="Y58" i="7"/>
  <c r="Y99" i="7"/>
  <c r="Y102" i="7"/>
  <c r="Y28" i="7"/>
  <c r="Y112" i="7"/>
  <c r="Y46" i="7"/>
  <c r="Y23" i="7"/>
  <c r="Y115" i="7"/>
  <c r="Y72" i="7"/>
  <c r="Y70" i="7"/>
  <c r="Y111" i="7"/>
  <c r="Y40" i="7"/>
  <c r="Y25" i="7"/>
  <c r="Y74" i="7"/>
  <c r="Y47" i="7"/>
  <c r="Y84" i="7"/>
  <c r="Y82" i="7"/>
  <c r="Y114" i="7"/>
  <c r="Y52" i="7"/>
  <c r="Y96" i="7"/>
  <c r="Y98" i="7"/>
  <c r="Y45" i="7"/>
  <c r="Y59" i="7"/>
  <c r="Y94" i="7"/>
  <c r="Y70" i="8"/>
  <c r="Y50" i="8"/>
  <c r="Y51" i="8"/>
  <c r="Y8" i="8"/>
  <c r="AC8" i="8" s="1"/>
  <c r="Y26" i="8"/>
  <c r="Y12" i="8"/>
  <c r="Y40" i="8"/>
  <c r="Y101" i="8"/>
  <c r="Y107" i="8"/>
  <c r="Y38" i="8"/>
  <c r="Y108" i="8"/>
  <c r="Y27" i="8"/>
  <c r="Y62" i="8"/>
  <c r="Y46" i="8"/>
  <c r="Y34" i="8"/>
  <c r="Y37" i="8"/>
  <c r="Y110" i="8"/>
  <c r="Y28" i="8"/>
  <c r="Y89" i="8"/>
  <c r="Y41" i="8"/>
  <c r="Y30" i="8"/>
  <c r="Y76" i="8"/>
  <c r="Y56" i="8"/>
  <c r="Y13" i="8"/>
  <c r="Y95" i="8"/>
  <c r="Y98" i="8"/>
  <c r="Y16" i="8"/>
  <c r="Y77" i="8"/>
  <c r="Y64" i="8"/>
  <c r="Y33" i="8"/>
  <c r="Y94" i="8"/>
  <c r="Y84" i="8"/>
  <c r="Y86" i="8"/>
  <c r="Y109" i="8"/>
  <c r="Y65" i="8"/>
  <c r="Y15" i="8"/>
  <c r="Y111" i="8"/>
  <c r="Y36" i="8"/>
  <c r="Y102" i="8"/>
  <c r="Y74" i="8"/>
  <c r="Y97" i="8"/>
  <c r="Y53" i="8"/>
  <c r="Y29" i="8"/>
  <c r="Y115" i="8"/>
  <c r="Y42" i="8"/>
  <c r="Y75" i="8"/>
  <c r="Y117" i="8"/>
  <c r="Y85" i="8"/>
  <c r="Y20" i="8"/>
  <c r="Y32" i="8"/>
  <c r="Y119" i="8"/>
  <c r="Y45" i="8"/>
  <c r="Y105" i="8"/>
  <c r="Y73" i="8"/>
  <c r="Y23" i="8"/>
  <c r="Y35" i="8"/>
  <c r="Y21" i="8"/>
  <c r="Y48" i="8"/>
  <c r="Y55" i="8"/>
  <c r="Y14" i="8"/>
  <c r="Y93" i="8"/>
  <c r="Y61" i="8"/>
  <c r="Y60" i="8"/>
  <c r="Y44" i="8"/>
  <c r="Y24" i="8"/>
  <c r="Y58" i="8"/>
  <c r="Y72" i="8"/>
  <c r="Y11" i="8"/>
  <c r="Y25" i="8"/>
  <c r="Y81" i="8"/>
  <c r="Y49" i="8"/>
  <c r="Y63" i="8"/>
  <c r="Y47" i="8"/>
  <c r="Y54" i="8"/>
  <c r="Y68" i="8"/>
  <c r="Y79" i="8"/>
  <c r="Y90" i="8"/>
  <c r="Y19" i="8"/>
  <c r="Y66" i="8"/>
  <c r="Y69" i="8"/>
  <c r="Y118" i="8"/>
  <c r="Y67" i="8"/>
  <c r="Y92" i="8"/>
  <c r="Y71" i="8"/>
  <c r="Y82" i="8"/>
  <c r="Y112" i="8"/>
  <c r="Y83" i="8"/>
  <c r="Y22" i="8"/>
  <c r="Y80" i="8"/>
  <c r="Y17" i="8"/>
  <c r="Y57" i="8"/>
  <c r="Y106" i="8"/>
  <c r="Y88" i="8"/>
  <c r="Y99" i="8"/>
  <c r="Y78" i="8"/>
  <c r="Y10" i="8"/>
  <c r="Y100" i="8"/>
  <c r="Y116" i="8"/>
  <c r="Y39" i="8"/>
  <c r="Y87" i="8"/>
  <c r="Y31" i="8"/>
  <c r="Y9" i="8"/>
  <c r="Y18" i="8"/>
  <c r="Y52" i="8"/>
  <c r="Y104" i="8"/>
  <c r="Y113" i="8"/>
  <c r="Y43" i="8"/>
  <c r="Y114" i="8"/>
  <c r="Y59" i="8"/>
  <c r="Y91" i="8"/>
  <c r="Y103" i="8"/>
  <c r="Y96" i="8"/>
  <c r="AC2" i="11"/>
  <c r="AC1" i="11" s="1"/>
  <c r="W135" i="5"/>
  <c r="Y1" i="11" l="1"/>
  <c r="Y1" i="7"/>
  <c r="Y1" i="5"/>
  <c r="Y1" i="12"/>
  <c r="AC1" i="1"/>
  <c r="AC1" i="7"/>
  <c r="Y1" i="1"/>
  <c r="AC1" i="3"/>
  <c r="Y1" i="3"/>
  <c r="Y1" i="2"/>
  <c r="AC1" i="8"/>
  <c r="AC1" i="2"/>
  <c r="AC1" i="13"/>
  <c r="Y1" i="8"/>
  <c r="Y1" i="13"/>
  <c r="AC1" i="9"/>
  <c r="Y1" i="9"/>
  <c r="AC1" i="4"/>
</calcChain>
</file>

<file path=xl/comments1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2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4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5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6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7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8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9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10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11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12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comments13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sharedStrings.xml><?xml version="1.0" encoding="utf-8"?>
<sst xmlns="http://schemas.openxmlformats.org/spreadsheetml/2006/main" count="873" uniqueCount="175">
  <si>
    <t>Días de Trabajo por especialidad</t>
  </si>
  <si>
    <t>DB</t>
  </si>
  <si>
    <t>UX</t>
  </si>
  <si>
    <t>FM</t>
  </si>
  <si>
    <t>BS</t>
  </si>
  <si>
    <t>BM</t>
  </si>
  <si>
    <t>QA</t>
  </si>
  <si>
    <t>IM</t>
  </si>
  <si>
    <t>MS</t>
  </si>
  <si>
    <t>MM</t>
  </si>
  <si>
    <t xml:space="preserve">IA </t>
  </si>
  <si>
    <t>Resumen</t>
  </si>
  <si>
    <t>Escribe acá una breve descripción del proyecto</t>
  </si>
  <si>
    <t>Plus</t>
  </si>
  <si>
    <t>Quitar</t>
  </si>
  <si>
    <t>2da Ver</t>
  </si>
  <si>
    <t>Estructura del proyecto</t>
  </si>
  <si>
    <t>UX y esquema del proyecto</t>
  </si>
  <si>
    <t>Implementación y entrega del sistema</t>
  </si>
  <si>
    <t xml:space="preserve">Estructura del agente IA </t>
  </si>
  <si>
    <t>PRY-001. CRM CORPORATIVO - Consolidar una visión única del cliente en toda la organización, centralizando la información comercial actualmente dispersa entre vendedores, Pedbox, ILIMITADA, Excel y correo electrónico.</t>
  </si>
  <si>
    <t>Perfil maestro del cliente centralizado</t>
  </si>
  <si>
    <t>El sistema debe centralizar el perfil maestro del cliente, unificando los datos de contacto, historial comercial extraído de ILIMITADA y los registros de soporte técnico de postventa (RF-001.1).</t>
  </si>
  <si>
    <t>Registro y tipificación de interacciones comerciales</t>
  </si>
  <si>
    <t>El sistema debe permitir al Ejecutivo Comercial registrar y tipificar cada interacción ejecutada (reunión, llamada, WhatsApp, correo electrónico) asociándola a la oportunidad correspondiente (RF-001.2).</t>
  </si>
  <si>
    <t>Alertas de inactividad comercial</t>
  </si>
  <si>
    <t>El sistema debe emitir alertas automatizadas basadas en periodos de inactividad comercial con clientes recurrentes para impulsar la recompra (RF-001.3).</t>
  </si>
  <si>
    <t>Integración con ERP ILIMITADA y Pedbox</t>
  </si>
  <si>
    <t>Conexión nativa o vía API con el ERP ILIMITADA (para historial financiero y de pedidos) y con Pedbox (para pedidos capturados en campo), consolidando el historial de pedidos vigentes dentro del CRM.</t>
  </si>
  <si>
    <t>Validación de cupos de crédito con Cartera</t>
  </si>
  <si>
    <t>La gestión comercial y ventas debe coordinar de forma directa con el área de cartera para validar los cupos de crédito del cliente antes del procesamiento formal de pedidos transaccionales.</t>
  </si>
  <si>
    <t>Interfaz móvil para consulta en campo</t>
  </si>
  <si>
    <t>Interfaz responsiva y móvil que permita al personal comercial en campo consultar el historial de compras en ILIMITADA y el estado de cartera de un cliente antes de una visita de venta.</t>
  </si>
  <si>
    <t>Control de acceso segmentado y auditoría</t>
  </si>
  <si>
    <t>Restricción de visualización de carteras de clientes según asignación geográfica o de segmento comercial, con registro de auditoría (logs) de modificaciones en fichas de clientes de alta criticidad.</t>
  </si>
  <si>
    <t>No borrar</t>
  </si>
  <si>
    <t>Costos Fijos -&gt;</t>
  </si>
  <si>
    <t>Min</t>
  </si>
  <si>
    <t>Aux</t>
  </si>
  <si>
    <t>SS</t>
  </si>
  <si>
    <t>Prov</t>
  </si>
  <si>
    <t>Horas</t>
  </si>
  <si>
    <t>AIU</t>
  </si>
  <si>
    <t>Horas Rango</t>
  </si>
  <si>
    <t>Básico</t>
  </si>
  <si>
    <t>Bono</t>
  </si>
  <si>
    <t>Otros</t>
  </si>
  <si>
    <t>TOTAL</t>
  </si>
  <si>
    <t>Valor Hora</t>
  </si>
  <si>
    <t>Valor Proyecto</t>
  </si>
  <si>
    <t>DB, Líder, Arquitecto, Scrum</t>
  </si>
  <si>
    <t>Diseño UI/UX</t>
  </si>
  <si>
    <t>FrontEnd Medium</t>
  </si>
  <si>
    <t>BackEnd Senior</t>
  </si>
  <si>
    <t>BackEnd Semi-Senior</t>
  </si>
  <si>
    <t>QA, Test</t>
  </si>
  <si>
    <t>Implementación, Capacitación</t>
  </si>
  <si>
    <t>Mobile Semi-Senior</t>
  </si>
  <si>
    <t>Mobile Medium</t>
  </si>
  <si>
    <t xml:space="preserve">BackEnd IA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</si>
  <si>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</si>
  <si>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</si>
  <si>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</si>
  <si>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</si>
  <si>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</si>
  <si>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</si>
  <si>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</si>
  <si>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</si>
  <si>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</si>
  <si>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</si>
  <si>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 xml:space="preserve"> </t>
  </si>
  <si>
    <t>PRY-002. PORTAL DE CLIENTES - Habilitar el autoservicio digital 24/7 para que los clientes consulten pedidos, cartera, facturas, despachos y radiquen PQRS sin depender de un asesor comercial.</t>
  </si>
  <si>
    <t>Dashboard de cliente (facturas, cartera, cupo de crédito)</t>
  </si>
  <si>
    <t>El portal debe validar las credenciales únicas del cliente y desplegar un dashboard con el consolidado de facturas vigentes, vencidas y el cupo de crédito disponible consumido en tiempo real (RF-002.1).</t>
  </si>
  <si>
    <t>Integración logística de tracking de despachos</t>
  </si>
  <si>
    <t>El sistema debe conectarse con el Sistema de Trazabilidad interna y con la APP de Fedex u otras transportadoras para reflejar el estado logístico exacto del despacho asociado al pedido del usuario (RF-002.2).</t>
  </si>
  <si>
    <t>Radicación digital de PQRS y garantías</t>
  </si>
  <si>
    <t>El sistema debe permitir la radicación digital de PQRS y solicitudes de garantías, asignando un código único de seguimiento correlativo y enviando notificaciones automatizadas sobre cambios de estado (RF-002.3).</t>
  </si>
  <si>
    <t>Disponibilidad 24/7 y cifrado extremo a extremo</t>
  </si>
  <si>
    <t>El portal web debe garantizar disponibilidad continua (24/7) con cifrado de datos extremo a extremo (HTTPS) y almacenamiento seguro de credenciales, dado que los clientes consultan fuera del horario laboral administrativo de Multinal.</t>
  </si>
  <si>
    <t>Sincronización de saldos con fuentes oficiales</t>
  </si>
  <si>
    <t>La visualización de documentos tributarios y estados de cuenta debe estar sincronizada directamente desde las fuentes oficiales de la compañía (Siigo e ILIMITADA) para evitar discrepancias de saldos frente al cliente.</t>
  </si>
  <si>
    <t>PRY-003. PORTAL DE PROVEEDORES - Digitalizar la interacción B2B con proveedores, desde la carga de catálogos hasta la confirmación de órdenes de compra, eliminando la gestión manual por correo.</t>
  </si>
  <si>
    <t>Carga de listas de precios de proveedores</t>
  </si>
  <si>
    <t>El portal debe permitir a los proveedores autorizados cargar archivos con sus portafolios y listas de precios actualizadas bajo formatos CSV o Excel predefinidos (RF-003.1).</t>
  </si>
  <si>
    <t>Notificación y confirmación digital de órdenes de compra</t>
  </si>
  <si>
    <t>El sistema debe notificar en tiempo real al proveedor externo la generación de una nueva orden de compra en ILIMITADA y exigir una confirmación digital de aceptación y promesa de entrega (RF-003.2).</t>
  </si>
  <si>
    <t>Carga documental técnica de recepción</t>
  </si>
  <si>
    <t>El portal debe contar con una sección de carga documental técnica para certificados de calidad, fichas técnicas y facturas proforma requeridas para el proceso de recepción e inspección física (RF-003.3).</t>
  </si>
  <si>
    <t>Validación jerárquica de listas de precios</t>
  </si>
  <si>
    <t>Las listas de precios y referencias cargadas por los proveedores no deben impactar el sistema transaccional comercial de forma automática; requieren una validación jerárquica previa antes de su aplicación en las listas de venta.</t>
  </si>
  <si>
    <t>Escalabilidad de la base de proveedores e integración con Workflow</t>
  </si>
  <si>
    <t>Arquitectura capaz de soportar la concurrencia de la totalidad de la base de proveedores activos de Multinal (nacionales y extranjeros) sin degradación de la respuesta del servidor, conectada a los módulos de compras e inventario de ILIMITADA y al Motor de Workflow para las aprobaciones.</t>
  </si>
  <si>
    <t>PRY-004. REPOSITORIO DOCUMENTAL INTELIGENTE - Eliminar progresivamente el almacenamiento de archivos en soportes físicos de papel y digitalizar la totalidad del ciclo de soporte transaccional de Multinal.</t>
  </si>
  <si>
    <t>Motor OCR de extracción de campos clave</t>
  </si>
  <si>
    <t>El sistema debe capturar documentos e incorporar un motor OCR capaz de extraer automáticamente campos indexables clave como: Número de Factura, NIT/Cédula del Cliente/Proveedor, Fecha de Emisión y Monto Total (RF-004.1).</t>
  </si>
  <si>
    <t>Clasificación y almacenamiento documental estructurado</t>
  </si>
  <si>
    <t>El repositorio debe permitir la clasificación y el almacenamiento organizado de Facturas, Remisiones, Soportes de Pago, Órdenes de Compra, Certificados de Garantías y Contratos Legales corporativos (RF-004.2).</t>
  </si>
  <si>
    <t>Motor de búsqueda avanzada web</t>
  </si>
  <si>
    <t>El sistema debe proveer una interfaz de búsqueda web avanzada que admita consultas por coincidencia exacta de metadatos o por términos lógicos booleanos contenidos dentro de los documentos indexados (RF-004.3).</t>
  </si>
  <si>
    <t>Control de acceso por roles y cifrado</t>
  </si>
  <si>
    <t>Control estricto de accesos basado en roles (RBAC) y cifrado de archivos almacenados (at-rest) y en tránsito (in-transit).</t>
  </si>
  <si>
    <t>Auditoría inmutable de manipulación documental</t>
  </si>
  <si>
    <t>Registro inmutable de auditoría que documente con marca de tiempo qué usuario cargó, visualizó, descargó o modificó los metadatos de cualquier documento del repositorio.</t>
  </si>
  <si>
    <t>Contingencia de indexación manual</t>
  </si>
  <si>
    <t>Los documentos dañados o con firmas poco legibles requerirán indexación manual de contingencia, dado que la calidad del hardware de escaneo en las sedes operativas condiciona la nitidez de los formatos físicos digitalizados.</t>
  </si>
  <si>
    <t>PRY-005. PLATAFORMA DE BUSINESS INTELLIGENCE - Automatizar la generación de indicadores de gestión, eliminando la construcción manual de reportes en Excel para Comercial, Logística, Cartera y Gerencia.</t>
  </si>
  <si>
    <t>Dashboard Comercial</t>
  </si>
  <si>
    <t>La plataforma debe automatizar la extracción de datos de las fuentes core y estructurar un cuadro de mando para el área Comercial que incluya métricas de Ventas Totales, Tasas de Conversión y comportamiento de Clientes (RF-005.1).</t>
  </si>
  <si>
    <t>Dashboard Logística y Cartera</t>
  </si>
  <si>
    <t>El sistema debe estructurar un dashboard de Logística que refleje de manera dinámica los Niveles de Inventario, la Rotación de Existencias y la eficiencia en tiempos de Despachos, y calcular métricas de Cartera (Mora, Tasas de Recuperación de cobros) (RF-005.2).</t>
  </si>
  <si>
    <t>Dashboard Gerencial (Rentabilidad, EBITDA, Flujo de caja)</t>
  </si>
  <si>
    <t>La solución debe calcular y proyectar analíticamente los indicadores claves para la Gerencia, abarcando la Rentabilidad por línea, el margen EBITDA y las proyecciones de Flujo de Caja (RF-005.3).</t>
  </si>
  <si>
    <t>Rendimiento de renderizado bajo 5 segundos</t>
  </si>
  <si>
    <t>Las consultas complejas y la carga de los tableros de control gerenciales no deben demorar más de 5 segundos en renderizar, utilizando técnicas de pre-agregación de datos si es necesario.</t>
  </si>
  <si>
    <t>Seguridad a nivel de fila para datos financieros</t>
  </si>
  <si>
    <t>Restricción estricta de visualización de datos de rentabilidad y márgenes financieros solo a usuarios directivos específicos autorizados, mediante seguridad a nivel de filas (Row-Level Security).</t>
  </si>
  <si>
    <t>Extracción ETL programada desde los sistemas core</t>
  </si>
  <si>
    <t>Extracción de datos desde las bases de datos de ILIMITADA, Siigo, Pedbox y el Sistema de Trazabilidad logística, mediante procesos ETL nocturnos o micro-batches con actualización diaria.</t>
  </si>
  <si>
    <t>PRY-006. MOTOR DE WORKFLOW CORPORATIVO - Sistematizar los flujos de aprobación de Compras, Descuentos, Garantías y PQRS, erradicando los canales informales de control (correo, llamadas, firmas manuales).</t>
  </si>
  <si>
    <t>Motor orquestador de flujos (Compras, Descuentos, Garantías, PQRS)</t>
  </si>
  <si>
    <t>El sistema debe proveer un motor orquestador que automatice el flujo secuencial de los procesos iniciales de: Compras, Autorizaciones de Descuentos comerciales, Garantías y Trámites de PQRS (RF-006.1).</t>
  </si>
  <si>
    <t>Validación de matriz de delegación de autoridad</t>
  </si>
  <si>
    <t>El motor debe validar las matrices operativas de delegación de autoridad financiera para enrutar las aprobaciones de compras y descuentos de acuerdo al rol y límite presupuestal del aprobador (RF-006.2).</t>
  </si>
  <si>
    <t>Congelamiento de transacciones hasta aprobación en Workflow</t>
  </si>
  <si>
    <t>El sistema debe congelar las transacciones comerciales en el ERP (como facturas o pedidos especiales) hasta que el flujo de aprobación correspondiente en el Workflow se haya completado de forma satisfactoria (RF-006.3).</t>
  </si>
  <si>
    <t>Auditoría inalterable de cada paso del flujo</t>
  </si>
  <si>
    <t>El sistema debe registrar de forma inalterable la fecha, hora, dirección IP, usuario y acción específica tomada para cada paso dentro de los flujos de procesos ejecutados.</t>
  </si>
  <si>
    <t>Alta disponibilidad para no paralizar operaciones críticas</t>
  </si>
  <si>
    <t>El motor debe asegurar alta disponibilidad, ya que paralizaciones en el software congelarían los flujos transaccionales críticos de compras y despachos de la compañía.</t>
  </si>
  <si>
    <t>Escalamiento automático por tiempos de respuesta</t>
  </si>
  <si>
    <t>Se requieren políticas estrictas de escalamiento automatizado por tiempo ante demoras o parálisis en las operaciones del negocio, si los usuarios aprobadores clave no atienden oportunamente su bandeja de tareas pendientes.</t>
  </si>
  <si>
    <t>PRY-007A. AGENTE IA COMERCIAL - Componente cognitivo del Ecosistema de Agentes de IA (PRY-007 del documento fuente), enfocado en el seguimiento y priorización de oportunidades comerciales.</t>
  </si>
  <si>
    <t>Seguimiento automático de oportunidades</t>
  </si>
  <si>
    <t>Seguimiento automático de las oportunidades comerciales dentro del pipeline de ventas.</t>
  </si>
  <si>
    <t>Priorización inteligente de oportunidades</t>
  </si>
  <si>
    <t>Priorización inteligente de las oportunidades comerciales según su propensión analítica de cierre, utilizando modelos predictivos basados en datos de comportamiento histórico (RF-007.1).</t>
  </si>
  <si>
    <t>Alertas comerciales ante desviaciones del equipo</t>
  </si>
  <si>
    <t>Disparo de alertas comerciales ante desviaciones del equipo de ventas respecto al comportamiento esperado.</t>
  </si>
  <si>
    <t>PRY-007B. AGENTE IA DE COMPRAS - Componente cognitivo del Ecosistema de Agentes de IA (PRY-007 del documento fuente), enfocado en la lectura y comparación automatizada de listas de proveedores.</t>
  </si>
  <si>
    <t>Lectura automática de listas de proveedores</t>
  </si>
  <si>
    <t>Lectura inteligente de listas de precios de proveedores en diversos formatos (RF-018).</t>
  </si>
  <si>
    <t>Generación de cuadros comparativos de costos</t>
  </si>
  <si>
    <t>Generación autónoma de cuadros comparativos de costos comerciales entre proveedores.</t>
  </si>
  <si>
    <t>Recomendaciones inteligentes de compra</t>
  </si>
  <si>
    <t>Emisión de recomendaciones inteligentes de compra como sugerencia de decisión para el área de abastecimiento.</t>
  </si>
  <si>
    <t>PRY-007C. AGENTE IA DE INVENTARIOS - Componente cognitivo del Ecosistema de Agentes de IA (PRY-007 del documento fuente), enfocado en la predicción de rotación y reposición de existencias.</t>
  </si>
  <si>
    <t>Predicción de rotación de existencias</t>
  </si>
  <si>
    <t>Análisis cognitivo para estimar las curvas de rotación de referencias de inventario mediante modelos predictivos de demanda (RF-019).</t>
  </si>
  <si>
    <t>Reposición sugerida de stock</t>
  </si>
  <si>
    <t>Generación automatizada de sugerencias de reposición de stock (reposición sugerida) para el área de bodega.</t>
  </si>
  <si>
    <t>PRY-007D. AGENTE IA DE CARTERA - Componente cognitivo del Ecosistema de Agentes de IA (PRY-007 del documento fuente), enfocado en la priorización de cobros y alertas de vencimiento.</t>
  </si>
  <si>
    <t>Priorización de cobros vigentes</t>
  </si>
  <si>
    <t>Priorización automatizada y predictiva de los listados de acciones de cobros urgentes de deudores (RF-007.1, RF-020).</t>
  </si>
  <si>
    <t>Alertas de vencimiento de facturas</t>
  </si>
  <si>
    <t>Activación automática de alertas de vencimiento de facturas ante riesgos de vencimientos inminentes.</t>
  </si>
  <si>
    <t>PRY-007E. AGENTE IA DE SERVICIO AL CLIENTE - Componente cognitivo del Ecosistema de Agentes de IA (PRY-007 del documento fuente), enfocado en la atención omnicanal y clasificación automática de PQRS.</t>
  </si>
  <si>
    <t>Atención omnicanal conversacional</t>
  </si>
  <si>
    <t>Atención automatizada omnicanal conversacional para clientes (RF-021).</t>
  </si>
  <si>
    <t>Clasificación automática de PQRS</t>
  </si>
  <si>
    <t>Clasificación automática de la tipología de PQRS radicadas para agilizar su enrutamiento y ciclo dentro del Workflow corporativo.</t>
  </si>
  <si>
    <t>PRY-007F. AGENTE IA DOCUMENTAL - Componente cognitivo del Ecosistema de Agentes de IA (PRY-007 del documento fuente), enfocado en OCR cognitivo y consulta conversacional de documentos.</t>
  </si>
  <si>
    <t>Procesamiento OCR cognitivo de documentos</t>
  </si>
  <si>
    <t>Procesamiento de documentos mediante OCR cognitivo para la extracción automatizada de información.</t>
  </si>
  <si>
    <t>Clasificación automática de archivos</t>
  </si>
  <si>
    <t>Clasificación automática de archivos digitalizados dentro del Repositorio Documental Inteligente.</t>
  </si>
  <si>
    <t>Consulta conversacional sobre contratos e históricos</t>
  </si>
  <si>
    <t>Habilitación de interfaces de consulta web conversacional sobre contratos e históricos indexados.</t>
  </si>
  <si>
    <t>PRY-007G. AGENTE IA GERENCIAL - Componente cognitivo del Ecosistema de Agentes de IA (PRY-007 del documento fuente), enfocado en resúmenes ejecutivos y alertas estratégicas de KPI.</t>
  </si>
  <si>
    <t>Resúmenes ejecutivos automatizados</t>
  </si>
  <si>
    <t>Generación automatizada de resúmenes ejecutivos operacionales del estado de la compañía.</t>
  </si>
  <si>
    <t>Alertas estratégicas de desviaciones de KPI</t>
  </si>
  <si>
    <t>Disparo de alertas tempranas estratégicas sobre desviaciones de KPIs corporativos.</t>
  </si>
  <si>
    <t>Consulta conversacional de indicadores</t>
  </si>
  <si>
    <t>Interfaces de consulta de indicadores de gestión corporativa mediante lenguaje natural.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</si>
</sst>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\ mmmm\ yyyy"/>
    <numFmt numFmtId="165" formatCode="\$#,##0"/>
    <numFmt numFmtId="166" formatCode="0\ %"/>
    <numFmt numFmtId="167" formatCode="#,##0_);[Red]#,##0"/>
    <numFmt numFmtId="168" formatCode="\ mmmm\ "/>
  </numFmts>
  <fonts count="18">
    <font>
      <sz val="10"/>
      <color rgb="FF000000"/>
      <name val="Arial"/>
      <charset val="1"/>
    </font>
    <font>
      <b/>
      <sz val="10"/>
      <color theme="1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2"/>
      <color rgb="FFFFFFFF"/>
      <name val="Arial"/>
      <charset val="1"/>
    </font>
    <font>
      <b/>
      <sz val="11"/>
      <color theme="1"/>
      <name val="Arial"/>
      <charset val="1"/>
    </font>
    <font>
      <sz val="14"/>
      <color rgb="FF00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0000"/>
      <name val="&quot;Calibri&quot;"/>
      <charset val="1"/>
    </font>
    <font>
      <sz val="11"/>
      <color rgb="FF000000"/>
      <name val="&quot;Calibri&quot;"/>
      <charset val="1"/>
    </font>
    <font>
      <b/>
      <sz val="10"/>
      <color rgb="FFFF0000"/>
      <name val="Arial"/>
      <charset val="1"/>
    </font>
    <font>
      <sz val="8"/>
      <color theme="1"/>
      <name val="Arial"/>
      <charset val="1"/>
    </font>
    <font>
      <sz val="10"/>
      <color rgb="FF686868"/>
      <name val="&quot;Open Sans&quot;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3F3F3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B7B7B7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1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1" fillId="18" borderId="0" xfId="0" applyNumberFormat="1" applyFont="1" applyFill="1" applyBorder="1" applyAlignment="1">
      <alignment horizontal="right" vertical="center"/>
    </xf>
    <xf numFmtId="167" fontId="3" fillId="17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center" vertical="center"/>
    </xf>
    <xf numFmtId="167" fontId="3" fillId="10" borderId="0" xfId="0" applyNumberFormat="1" applyFont="1" applyFill="1" applyBorder="1" applyAlignment="1">
      <alignment horizontal="right" vertical="center"/>
    </xf>
    <xf numFmtId="167" fontId="1" fillId="10" borderId="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165" fontId="4" fillId="6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3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3" fillId="0" borderId="1" xfId="0" applyFont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/>
    <xf numFmtId="0" fontId="3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5" fillId="11" borderId="0" xfId="0" applyFont="1" applyFill="1" applyAlignment="1">
      <alignment vertical="center"/>
    </xf>
    <xf numFmtId="3" fontId="15" fillId="11" borderId="0" xfId="0" applyNumberFormat="1" applyFont="1" applyFill="1" applyAlignment="1">
      <alignment vertical="center"/>
    </xf>
    <xf numFmtId="0" fontId="15" fillId="12" borderId="0" xfId="0" applyFont="1" applyFill="1" applyAlignment="1">
      <alignment vertical="center"/>
    </xf>
    <xf numFmtId="3" fontId="15" fillId="12" borderId="0" xfId="0" applyNumberFormat="1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0" xfId="0" applyNumberFormat="1" applyFont="1" applyFill="1" applyAlignment="1">
      <alignment vertical="center"/>
    </xf>
    <xf numFmtId="0" fontId="15" fillId="14" borderId="0" xfId="0" applyFont="1" applyFill="1" applyAlignment="1">
      <alignment vertical="center"/>
    </xf>
    <xf numFmtId="166" fontId="15" fillId="14" borderId="0" xfId="0" applyNumberFormat="1" applyFont="1" applyFill="1" applyAlignment="1">
      <alignment vertical="center"/>
    </xf>
    <xf numFmtId="0" fontId="15" fillId="15" borderId="0" xfId="0" applyFont="1" applyFill="1" applyAlignment="1">
      <alignment vertical="center"/>
    </xf>
    <xf numFmtId="1" fontId="15" fillId="15" borderId="0" xfId="0" applyNumberFormat="1" applyFont="1" applyFill="1" applyAlignment="1">
      <alignment vertical="center"/>
    </xf>
    <xf numFmtId="166" fontId="5" fillId="13" borderId="0" xfId="0" applyNumberFormat="1" applyFont="1" applyFill="1" applyAlignment="1">
      <alignment vertical="center"/>
    </xf>
    <xf numFmtId="0" fontId="15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167" fontId="3" fillId="17" borderId="0" xfId="0" applyNumberFormat="1" applyFont="1" applyFill="1" applyAlignment="1">
      <alignment horizontal="right" vertical="center"/>
    </xf>
    <xf numFmtId="167" fontId="1" fillId="18" borderId="0" xfId="0" applyNumberFormat="1" applyFont="1" applyFill="1" applyAlignment="1">
      <alignment horizontal="right" vertical="center"/>
    </xf>
    <xf numFmtId="0" fontId="16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165" fontId="1" fillId="20" borderId="2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165" fontId="3" fillId="2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3F3F3"/>
      <rgbColor rgb="FF9FC5E8"/>
      <rgbColor rgb="FFD9D9D9"/>
      <rgbColor rgb="FFD9D2E9"/>
      <rgbColor rgb="FFEAD1DC"/>
      <rgbColor rgb="FF3366FF"/>
      <rgbColor rgb="FF33CCCC"/>
      <rgbColor rgb="FFB6D7A8"/>
      <rgbColor rgb="FFFFCC00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20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21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22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23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24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25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26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27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28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29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30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36" t="s">
        <v>31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37" t="s">
        <v>32</v>
      </c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36" t="s">
        <v>33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37" t="s">
        <v>34</v>
      </c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>
      <selection activeCell="I42" sqref="I42"/>
    </sheetView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71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72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73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74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75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76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77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78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79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80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81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82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83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84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85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86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87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88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89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90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91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92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93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94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95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96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97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98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99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100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101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102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103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36" t="s">
        <v>104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37" t="s">
        <v>105</v>
      </c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tabSelected="1" topLeftCell="A4" zoomScaleNormal="100" workbookViewId="0">
      <selection activeCell="N20" sqref="N20"/>
    </sheetView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106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107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108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109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110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111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112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113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114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115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116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36" t="s">
        <v>117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37" t="s">
        <v>118</v>
      </c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119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120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121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122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123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124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125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126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37" t="s">
        <v>127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36" t="s">
        <v>128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37" t="s">
        <v>129</v>
      </c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36" t="s">
        <v>130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37" t="s">
        <v>131</v>
      </c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132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133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134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135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136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137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138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139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140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141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142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143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144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145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146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147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148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149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150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26"/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8"/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151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152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153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154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155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26"/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8"/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156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157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158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159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160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26"/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8"/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161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162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163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164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165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166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167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zoomScaleNormal="100" workbookViewId="0"/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3.28515625" customWidth="1"/>
    <col min="26" max="27" width="6" customWidth="1"/>
    <col min="28" max="28" width="5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0</v>
      </c>
      <c r="Z1" s="14" t="s">
        <v>13</v>
      </c>
      <c r="AA1" s="17" t="s">
        <v>14</v>
      </c>
      <c r="AB1" s="18" t="s">
        <v>15</v>
      </c>
      <c r="AC1" s="19">
        <f>SUM(AC2:AC120)</f>
        <v>0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0</v>
      </c>
      <c r="B2" s="21"/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0</v>
      </c>
      <c r="Z2" s="28"/>
      <c r="AA2" s="29"/>
      <c r="AB2" s="30" t="b">
        <f>TRUE()</f>
        <v>1</v>
      </c>
      <c r="AC2" s="31">
        <f t="shared" ref="AC2:AC33" si="2">IF(L2="",0,IF(AB2=FALSE(),0,Y2))</f>
        <v>0</v>
      </c>
      <c r="AD2" s="23"/>
      <c r="AE2" s="23"/>
    </row>
    <row r="3" spans="1:31" ht="15.75" customHeight="1">
      <c r="A3" s="20">
        <f t="shared" si="0"/>
        <v>0</v>
      </c>
      <c r="B3" s="22"/>
      <c r="C3" s="21"/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0</v>
      </c>
      <c r="Z3" s="28"/>
      <c r="AA3" s="29"/>
      <c r="AB3" s="30" t="b">
        <f>TRUE()</f>
        <v>1</v>
      </c>
      <c r="AC3" s="31">
        <f t="shared" si="2"/>
        <v>0</v>
      </c>
      <c r="AD3" s="23"/>
      <c r="AE3" s="23"/>
    </row>
    <row r="4" spans="1:31" ht="15.75" customHeight="1">
      <c r="A4" s="20">
        <f t="shared" si="0"/>
        <v>0</v>
      </c>
      <c r="B4" s="22"/>
      <c r="C4" s="22"/>
      <c r="D4" s="22"/>
      <c r="E4" s="22"/>
      <c r="F4" s="22"/>
      <c r="G4" s="22"/>
      <c r="H4" s="21"/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0</v>
      </c>
      <c r="Z4" s="28"/>
      <c r="AA4" s="32"/>
      <c r="AB4" s="30" t="b">
        <f>TRUE()</f>
        <v>1</v>
      </c>
      <c r="AC4" s="31">
        <f t="shared" si="2"/>
        <v>0</v>
      </c>
      <c r="AD4" s="23"/>
      <c r="AE4" s="23"/>
    </row>
    <row r="5" spans="1:31" ht="15.75" customHeight="1">
      <c r="A5" s="20">
        <f t="shared" si="0"/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0</v>
      </c>
      <c r="Z5" s="28"/>
      <c r="AA5" s="32"/>
      <c r="AB5" s="30" t="b">
        <f>TRUE()</f>
        <v>1</v>
      </c>
      <c r="AC5" s="31">
        <f t="shared" si="2"/>
        <v>0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0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0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168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0</v>
      </c>
      <c r="Z8" s="28"/>
      <c r="AA8" s="29"/>
      <c r="AB8" s="30" t="b">
        <f>TRUE()</f>
        <v>1</v>
      </c>
      <c r="AC8" s="31">
        <f t="shared" si="2"/>
        <v>0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169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0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6"/>
      <c r="M10" s="26"/>
      <c r="N10" s="37" t="s">
        <v>170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0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171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0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9"/>
      <c r="N12" s="37" t="s">
        <v>172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0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36" t="s">
        <v>173</v>
      </c>
      <c r="N13" s="38"/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0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33"/>
      <c r="M14" s="26"/>
      <c r="N14" s="37" t="s">
        <v>174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0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0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0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5</v>
      </c>
      <c r="Y17" s="27">
        <f t="shared" si="1"/>
        <v>0</v>
      </c>
      <c r="Z17" s="28"/>
      <c r="AA17" s="29"/>
      <c r="AB17" s="30" t="b">
        <f>TRUE()</f>
        <v>1</v>
      </c>
      <c r="AC17" s="31">
        <f t="shared" si="2"/>
        <v>0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5</v>
      </c>
      <c r="Y18" s="27">
        <f t="shared" si="1"/>
        <v>0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5</v>
      </c>
      <c r="Y19" s="27">
        <f t="shared" si="1"/>
        <v>0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5</v>
      </c>
      <c r="Y20" s="27">
        <f t="shared" si="1"/>
        <v>0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5</v>
      </c>
      <c r="Y21" s="27">
        <f t="shared" si="1"/>
        <v>0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5</v>
      </c>
      <c r="Y22" s="27">
        <f t="shared" si="1"/>
        <v>0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5</v>
      </c>
      <c r="Y23" s="27">
        <f t="shared" si="1"/>
        <v>0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6"/>
      <c r="M24" s="4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5</v>
      </c>
      <c r="Y24" s="27">
        <f t="shared" si="1"/>
        <v>0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5</v>
      </c>
      <c r="Y25" s="27">
        <f t="shared" si="1"/>
        <v>0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3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5</v>
      </c>
      <c r="Y26" s="27">
        <f t="shared" si="1"/>
        <v>0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5</v>
      </c>
      <c r="Y27" s="27">
        <f t="shared" si="1"/>
        <v>0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5</v>
      </c>
      <c r="Y28" s="27">
        <f t="shared" si="1"/>
        <v>0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5</v>
      </c>
      <c r="Y29" s="27">
        <f t="shared" si="1"/>
        <v>0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5</v>
      </c>
      <c r="Y30" s="27">
        <f t="shared" si="1"/>
        <v>0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5</v>
      </c>
      <c r="Y31" s="27">
        <f t="shared" si="1"/>
        <v>0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5</v>
      </c>
      <c r="Y32" s="27">
        <f t="shared" si="1"/>
        <v>0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5</v>
      </c>
      <c r="Y33" s="27">
        <f t="shared" si="1"/>
        <v>0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3"/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5</v>
      </c>
      <c r="Y34" s="27">
        <f t="shared" ref="Y34:Y65" si="4">SUMIF($X$2:$X$120,X34,$A$2:$A$120)</f>
        <v>0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5</v>
      </c>
      <c r="Y35" s="27">
        <f t="shared" si="4"/>
        <v>0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5</v>
      </c>
      <c r="Y36" s="27">
        <f t="shared" si="4"/>
        <v>0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5</v>
      </c>
      <c r="Y37" s="27">
        <f t="shared" si="4"/>
        <v>0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5</v>
      </c>
      <c r="Y38" s="27">
        <f t="shared" si="4"/>
        <v>0</v>
      </c>
      <c r="Z38" s="28"/>
      <c r="AA38" s="29"/>
      <c r="AB38" s="30" t="b">
        <f>TRUE()</f>
        <v>1</v>
      </c>
      <c r="AC38" s="31">
        <f t="shared" si="5"/>
        <v>0</v>
      </c>
      <c r="AD38" s="42"/>
      <c r="AE38" s="42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5</v>
      </c>
      <c r="Y39" s="27">
        <f t="shared" si="4"/>
        <v>0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5</v>
      </c>
      <c r="Y40" s="27">
        <f t="shared" si="4"/>
        <v>0</v>
      </c>
      <c r="Z40" s="28"/>
      <c r="AA40" s="29"/>
      <c r="AB40" s="30" t="b">
        <f>TRUE()</f>
        <v>1</v>
      </c>
      <c r="AC40" s="31">
        <f t="shared" si="5"/>
        <v>0</v>
      </c>
      <c r="AD40" s="42"/>
      <c r="AE40" s="42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5</v>
      </c>
      <c r="Y41" s="27">
        <f t="shared" si="4"/>
        <v>0</v>
      </c>
      <c r="Z41" s="28"/>
      <c r="AA41" s="29"/>
      <c r="AB41" s="30" t="b">
        <f>TRUE()</f>
        <v>1</v>
      </c>
      <c r="AC41" s="31">
        <f t="shared" si="5"/>
        <v>0</v>
      </c>
      <c r="AD41" s="42"/>
      <c r="AE41" s="42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0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5</v>
      </c>
      <c r="Y42" s="27">
        <f t="shared" si="4"/>
        <v>0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5</v>
      </c>
      <c r="Y43" s="27">
        <f t="shared" si="4"/>
        <v>0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5</v>
      </c>
      <c r="Y44" s="27">
        <f t="shared" si="4"/>
        <v>0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5</v>
      </c>
      <c r="Y45" s="27">
        <f t="shared" si="4"/>
        <v>0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5</v>
      </c>
      <c r="Y46" s="27">
        <f t="shared" si="4"/>
        <v>0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5</v>
      </c>
      <c r="Y47" s="27">
        <f t="shared" si="4"/>
        <v>0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5</v>
      </c>
      <c r="Y48" s="27">
        <f t="shared" si="4"/>
        <v>0</v>
      </c>
      <c r="Z48" s="28"/>
      <c r="AA48" s="29"/>
      <c r="AB48" s="30" t="b">
        <f>TRUE()</f>
        <v>1</v>
      </c>
      <c r="AC48" s="31">
        <f t="shared" si="5"/>
        <v>0</v>
      </c>
      <c r="AD48" s="42"/>
      <c r="AE48" s="42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5</v>
      </c>
      <c r="Y49" s="27">
        <f t="shared" si="4"/>
        <v>0</v>
      </c>
      <c r="Z49" s="28"/>
      <c r="AA49" s="29"/>
      <c r="AB49" s="30" t="b">
        <f>TRUE()</f>
        <v>1</v>
      </c>
      <c r="AC49" s="31">
        <f t="shared" si="5"/>
        <v>0</v>
      </c>
      <c r="AD49" s="42"/>
      <c r="AE49" s="42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5</v>
      </c>
      <c r="Y50" s="27">
        <f t="shared" si="4"/>
        <v>0</v>
      </c>
      <c r="Z50" s="28"/>
      <c r="AA50" s="29"/>
      <c r="AB50" s="30" t="b">
        <f>TRUE()</f>
        <v>1</v>
      </c>
      <c r="AC50" s="31">
        <f t="shared" si="5"/>
        <v>0</v>
      </c>
      <c r="AD50" s="42"/>
      <c r="AE50" s="42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5</v>
      </c>
      <c r="Y51" s="27">
        <f t="shared" si="4"/>
        <v>0</v>
      </c>
      <c r="Z51" s="28"/>
      <c r="AA51" s="29"/>
      <c r="AB51" s="30" t="b">
        <f>TRUE()</f>
        <v>1</v>
      </c>
      <c r="AC51" s="31">
        <f t="shared" si="5"/>
        <v>0</v>
      </c>
      <c r="AD51" s="42"/>
      <c r="AE51" s="42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5</v>
      </c>
      <c r="Y52" s="27">
        <f t="shared" si="4"/>
        <v>0</v>
      </c>
      <c r="Z52" s="28"/>
      <c r="AA52" s="29"/>
      <c r="AB52" s="30" t="b">
        <f>TRUE()</f>
        <v>1</v>
      </c>
      <c r="AC52" s="31">
        <f t="shared" si="5"/>
        <v>0</v>
      </c>
      <c r="AD52" s="42"/>
      <c r="AE52" s="42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5</v>
      </c>
      <c r="Y53" s="27">
        <f t="shared" si="4"/>
        <v>0</v>
      </c>
      <c r="Z53" s="28"/>
      <c r="AA53" s="29"/>
      <c r="AB53" s="30" t="b">
        <f>TRUE()</f>
        <v>1</v>
      </c>
      <c r="AC53" s="31">
        <f t="shared" si="5"/>
        <v>0</v>
      </c>
      <c r="AD53" s="42"/>
      <c r="AE53" s="42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5</v>
      </c>
      <c r="Y54" s="27">
        <f t="shared" si="4"/>
        <v>0</v>
      </c>
      <c r="Z54" s="28"/>
      <c r="AA54" s="29"/>
      <c r="AB54" s="30" t="b">
        <f>TRUE()</f>
        <v>1</v>
      </c>
      <c r="AC54" s="31">
        <f t="shared" si="5"/>
        <v>0</v>
      </c>
      <c r="AD54" s="42"/>
      <c r="AE54" s="42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5</v>
      </c>
      <c r="Y55" s="27">
        <f t="shared" si="4"/>
        <v>0</v>
      </c>
      <c r="Z55" s="28"/>
      <c r="AA55" s="29"/>
      <c r="AB55" s="30" t="b">
        <f>TRUE()</f>
        <v>1</v>
      </c>
      <c r="AC55" s="31">
        <f t="shared" si="5"/>
        <v>0</v>
      </c>
      <c r="AD55" s="42"/>
      <c r="AE55" s="42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5</v>
      </c>
      <c r="Y56" s="27">
        <f t="shared" si="4"/>
        <v>0</v>
      </c>
      <c r="Z56" s="28"/>
      <c r="AA56" s="29"/>
      <c r="AB56" s="30" t="b">
        <f>TRUE()</f>
        <v>1</v>
      </c>
      <c r="AC56" s="31">
        <f t="shared" si="5"/>
        <v>0</v>
      </c>
      <c r="AD56" s="42"/>
      <c r="AE56" s="42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5</v>
      </c>
      <c r="Y57" s="27">
        <f t="shared" si="4"/>
        <v>0</v>
      </c>
      <c r="Z57" s="28"/>
      <c r="AA57" s="29"/>
      <c r="AB57" s="30" t="b">
        <f>TRUE()</f>
        <v>1</v>
      </c>
      <c r="AC57" s="31">
        <f t="shared" si="5"/>
        <v>0</v>
      </c>
      <c r="AD57" s="42"/>
      <c r="AE57" s="42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5</v>
      </c>
      <c r="Y58" s="27">
        <f t="shared" si="4"/>
        <v>0</v>
      </c>
      <c r="Z58" s="28"/>
      <c r="AA58" s="29"/>
      <c r="AB58" s="30" t="b">
        <f>TRUE()</f>
        <v>1</v>
      </c>
      <c r="AC58" s="31">
        <f t="shared" si="5"/>
        <v>0</v>
      </c>
      <c r="AD58" s="42"/>
      <c r="AE58" s="42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5</v>
      </c>
      <c r="Y59" s="27">
        <f t="shared" si="4"/>
        <v>0</v>
      </c>
      <c r="Z59" s="28"/>
      <c r="AA59" s="29"/>
      <c r="AB59" s="30" t="b">
        <f>TRUE()</f>
        <v>1</v>
      </c>
      <c r="AC59" s="31">
        <f t="shared" si="5"/>
        <v>0</v>
      </c>
      <c r="AD59" s="42"/>
      <c r="AE59" s="42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5</v>
      </c>
      <c r="Y60" s="27">
        <f t="shared" si="4"/>
        <v>0</v>
      </c>
      <c r="Z60" s="28"/>
      <c r="AA60" s="29"/>
      <c r="AB60" s="30" t="b">
        <f>TRUE()</f>
        <v>1</v>
      </c>
      <c r="AC60" s="31">
        <f t="shared" si="5"/>
        <v>0</v>
      </c>
      <c r="AD60" s="42"/>
      <c r="AE60" s="42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5</v>
      </c>
      <c r="Y61" s="27">
        <f t="shared" si="4"/>
        <v>0</v>
      </c>
      <c r="Z61" s="28"/>
      <c r="AA61" s="29"/>
      <c r="AB61" s="30" t="b">
        <f>TRUE()</f>
        <v>1</v>
      </c>
      <c r="AC61" s="31">
        <f t="shared" si="5"/>
        <v>0</v>
      </c>
      <c r="AD61" s="42"/>
      <c r="AE61" s="42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5</v>
      </c>
      <c r="Y62" s="27">
        <f t="shared" si="4"/>
        <v>0</v>
      </c>
      <c r="Z62" s="28"/>
      <c r="AA62" s="29"/>
      <c r="AB62" s="30" t="b">
        <f>TRUE()</f>
        <v>1</v>
      </c>
      <c r="AC62" s="31">
        <f t="shared" si="5"/>
        <v>0</v>
      </c>
      <c r="AD62" s="42"/>
      <c r="AE62" s="42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5</v>
      </c>
      <c r="Y63" s="27">
        <f t="shared" si="4"/>
        <v>0</v>
      </c>
      <c r="Z63" s="28"/>
      <c r="AA63" s="29"/>
      <c r="AB63" s="30" t="b">
        <f>TRUE()</f>
        <v>1</v>
      </c>
      <c r="AC63" s="31">
        <f t="shared" si="5"/>
        <v>0</v>
      </c>
      <c r="AD63" s="42"/>
      <c r="AE63" s="42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5</v>
      </c>
      <c r="Y64" s="27">
        <f t="shared" si="4"/>
        <v>0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5</v>
      </c>
      <c r="Y65" s="27">
        <f t="shared" si="4"/>
        <v>0</v>
      </c>
      <c r="Z65" s="28"/>
      <c r="AA65" s="29"/>
      <c r="AB65" s="30" t="b">
        <f>TRUE()</f>
        <v>1</v>
      </c>
      <c r="AC65" s="31">
        <f t="shared" si="5"/>
        <v>0</v>
      </c>
      <c r="AD65" s="42"/>
      <c r="AE65" s="42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5</v>
      </c>
      <c r="Y66" s="27">
        <f t="shared" ref="Y66:Y97" si="7">SUMIF($X$2:$X$120,X66,$A$2:$A$120)</f>
        <v>0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2"/>
      <c r="AE66" s="42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5</v>
      </c>
      <c r="Y67" s="27">
        <f t="shared" si="7"/>
        <v>0</v>
      </c>
      <c r="Z67" s="28"/>
      <c r="AA67" s="29"/>
      <c r="AB67" s="30" t="b">
        <f>TRUE()</f>
        <v>1</v>
      </c>
      <c r="AC67" s="31">
        <f t="shared" si="8"/>
        <v>0</v>
      </c>
      <c r="AD67" s="42"/>
      <c r="AE67" s="42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5</v>
      </c>
      <c r="Y68" s="27">
        <f t="shared" si="7"/>
        <v>0</v>
      </c>
      <c r="Z68" s="28"/>
      <c r="AA68" s="29"/>
      <c r="AB68" s="30" t="b">
        <f>TRUE()</f>
        <v>1</v>
      </c>
      <c r="AC68" s="31">
        <f t="shared" si="8"/>
        <v>0</v>
      </c>
      <c r="AD68" s="42"/>
      <c r="AE68" s="42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5</v>
      </c>
      <c r="Y69" s="27">
        <f t="shared" si="7"/>
        <v>0</v>
      </c>
      <c r="Z69" s="28"/>
      <c r="AA69" s="29"/>
      <c r="AB69" s="30" t="b">
        <f>TRUE()</f>
        <v>1</v>
      </c>
      <c r="AC69" s="31">
        <f t="shared" si="8"/>
        <v>0</v>
      </c>
      <c r="AD69" s="42"/>
      <c r="AE69" s="42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5</v>
      </c>
      <c r="Y70" s="27">
        <f t="shared" si="7"/>
        <v>0</v>
      </c>
      <c r="Z70" s="28"/>
      <c r="AA70" s="29"/>
      <c r="AB70" s="30" t="b">
        <f>TRUE()</f>
        <v>1</v>
      </c>
      <c r="AC70" s="31">
        <f t="shared" si="8"/>
        <v>0</v>
      </c>
      <c r="AD70" s="42"/>
      <c r="AE70" s="42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5</v>
      </c>
      <c r="Y71" s="27">
        <f t="shared" si="7"/>
        <v>0</v>
      </c>
      <c r="Z71" s="28"/>
      <c r="AA71" s="29"/>
      <c r="AB71" s="30" t="b">
        <f>TRUE()</f>
        <v>1</v>
      </c>
      <c r="AC71" s="31">
        <f t="shared" si="8"/>
        <v>0</v>
      </c>
      <c r="AD71" s="42"/>
      <c r="AE71" s="42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5</v>
      </c>
      <c r="Y72" s="27">
        <f t="shared" si="7"/>
        <v>0</v>
      </c>
      <c r="Z72" s="28"/>
      <c r="AA72" s="29"/>
      <c r="AB72" s="30" t="b">
        <f>TRUE()</f>
        <v>1</v>
      </c>
      <c r="AC72" s="31">
        <f t="shared" si="8"/>
        <v>0</v>
      </c>
      <c r="AD72" s="42"/>
      <c r="AE72" s="42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5</v>
      </c>
      <c r="Y73" s="27">
        <f t="shared" si="7"/>
        <v>0</v>
      </c>
      <c r="Z73" s="28"/>
      <c r="AA73" s="29"/>
      <c r="AB73" s="30" t="b">
        <f>TRUE()</f>
        <v>1</v>
      </c>
      <c r="AC73" s="31">
        <f t="shared" si="8"/>
        <v>0</v>
      </c>
      <c r="AD73" s="42"/>
      <c r="AE73" s="42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5</v>
      </c>
      <c r="Y74" s="27">
        <f t="shared" si="7"/>
        <v>0</v>
      </c>
      <c r="Z74" s="28"/>
      <c r="AA74" s="29"/>
      <c r="AB74" s="30" t="b">
        <f>TRUE()</f>
        <v>1</v>
      </c>
      <c r="AC74" s="31">
        <f t="shared" si="8"/>
        <v>0</v>
      </c>
      <c r="AD74" s="42"/>
      <c r="AE74" s="42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5</v>
      </c>
      <c r="Y75" s="27">
        <f t="shared" si="7"/>
        <v>0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5</v>
      </c>
      <c r="Y76" s="27">
        <f t="shared" si="7"/>
        <v>0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5</v>
      </c>
      <c r="Y77" s="27">
        <f t="shared" si="7"/>
        <v>0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5</v>
      </c>
      <c r="Y78" s="27">
        <f t="shared" si="7"/>
        <v>0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5</v>
      </c>
      <c r="Y79" s="27">
        <f t="shared" si="7"/>
        <v>0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5</v>
      </c>
      <c r="Y80" s="27">
        <f t="shared" si="7"/>
        <v>0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5</v>
      </c>
      <c r="Y81" s="27">
        <f t="shared" si="7"/>
        <v>0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5</v>
      </c>
      <c r="Y82" s="27">
        <f t="shared" si="7"/>
        <v>0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5</v>
      </c>
      <c r="Y83" s="27">
        <f t="shared" si="7"/>
        <v>0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5</v>
      </c>
      <c r="Y84" s="27">
        <f t="shared" si="7"/>
        <v>0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5</v>
      </c>
      <c r="Y85" s="27">
        <f t="shared" si="7"/>
        <v>0</v>
      </c>
      <c r="Z85" s="28"/>
      <c r="AA85" s="29"/>
      <c r="AB85" s="30" t="b">
        <f>TRUE()</f>
        <v>1</v>
      </c>
      <c r="AC85" s="31">
        <f t="shared" si="8"/>
        <v>0</v>
      </c>
      <c r="AD85" s="42"/>
      <c r="AE85" s="42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5</v>
      </c>
      <c r="Y86" s="27">
        <f t="shared" si="7"/>
        <v>0</v>
      </c>
      <c r="Z86" s="28"/>
      <c r="AA86" s="29"/>
      <c r="AB86" s="30" t="b">
        <f>TRUE()</f>
        <v>1</v>
      </c>
      <c r="AC86" s="31">
        <f t="shared" si="8"/>
        <v>0</v>
      </c>
      <c r="AD86" s="42"/>
      <c r="AE86" s="42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5</v>
      </c>
      <c r="Y87" s="27">
        <f t="shared" si="7"/>
        <v>0</v>
      </c>
      <c r="Z87" s="28"/>
      <c r="AA87" s="29"/>
      <c r="AB87" s="30" t="b">
        <f>TRUE()</f>
        <v>1</v>
      </c>
      <c r="AC87" s="31">
        <f t="shared" si="8"/>
        <v>0</v>
      </c>
      <c r="AD87" s="42"/>
      <c r="AE87" s="42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5</v>
      </c>
      <c r="Y88" s="27">
        <f t="shared" si="7"/>
        <v>0</v>
      </c>
      <c r="Z88" s="28"/>
      <c r="AA88" s="29"/>
      <c r="AB88" s="30" t="b">
        <f>TRUE()</f>
        <v>1</v>
      </c>
      <c r="AC88" s="31">
        <f t="shared" si="8"/>
        <v>0</v>
      </c>
      <c r="AD88" s="42"/>
      <c r="AE88" s="42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5</v>
      </c>
      <c r="Y89" s="27">
        <f t="shared" si="7"/>
        <v>0</v>
      </c>
      <c r="Z89" s="28"/>
      <c r="AA89" s="29"/>
      <c r="AB89" s="30" t="b">
        <f>TRUE()</f>
        <v>1</v>
      </c>
      <c r="AC89" s="31">
        <f t="shared" si="8"/>
        <v>0</v>
      </c>
      <c r="AD89" s="42"/>
      <c r="AE89" s="42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5</v>
      </c>
      <c r="Y90" s="27">
        <f t="shared" si="7"/>
        <v>0</v>
      </c>
      <c r="Z90" s="28"/>
      <c r="AA90" s="29"/>
      <c r="AB90" s="30" t="b">
        <f>TRUE()</f>
        <v>1</v>
      </c>
      <c r="AC90" s="31">
        <f t="shared" si="8"/>
        <v>0</v>
      </c>
      <c r="AD90" s="42"/>
      <c r="AE90" s="42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5</v>
      </c>
      <c r="Y91" s="27">
        <f t="shared" si="7"/>
        <v>0</v>
      </c>
      <c r="Z91" s="28"/>
      <c r="AA91" s="29"/>
      <c r="AB91" s="30" t="b">
        <f>TRUE()</f>
        <v>1</v>
      </c>
      <c r="AC91" s="31">
        <f t="shared" si="8"/>
        <v>0</v>
      </c>
      <c r="AD91" s="42"/>
      <c r="AE91" s="42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5</v>
      </c>
      <c r="Y92" s="27">
        <f t="shared" si="7"/>
        <v>0</v>
      </c>
      <c r="Z92" s="28"/>
      <c r="AA92" s="29"/>
      <c r="AB92" s="30" t="b">
        <f>TRUE()</f>
        <v>1</v>
      </c>
      <c r="AC92" s="31">
        <f t="shared" si="8"/>
        <v>0</v>
      </c>
      <c r="AD92" s="42"/>
      <c r="AE92" s="42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5</v>
      </c>
      <c r="Y93" s="27">
        <f t="shared" si="7"/>
        <v>0</v>
      </c>
      <c r="Z93" s="28"/>
      <c r="AA93" s="29"/>
      <c r="AB93" s="30" t="b">
        <f>TRUE()</f>
        <v>1</v>
      </c>
      <c r="AC93" s="31">
        <f t="shared" si="8"/>
        <v>0</v>
      </c>
      <c r="AD93" s="42"/>
      <c r="AE93" s="42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5</v>
      </c>
      <c r="Y94" s="27">
        <f t="shared" si="7"/>
        <v>0</v>
      </c>
      <c r="Z94" s="28"/>
      <c r="AA94" s="29"/>
      <c r="AB94" s="30" t="b">
        <f>TRUE()</f>
        <v>1</v>
      </c>
      <c r="AC94" s="31">
        <f t="shared" si="8"/>
        <v>0</v>
      </c>
      <c r="AD94" s="42"/>
      <c r="AE94" s="42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5</v>
      </c>
      <c r="Y95" s="27">
        <f t="shared" si="7"/>
        <v>0</v>
      </c>
      <c r="Z95" s="28"/>
      <c r="AA95" s="29"/>
      <c r="AB95" s="30" t="b">
        <f>TRUE()</f>
        <v>1</v>
      </c>
      <c r="AC95" s="31">
        <f t="shared" si="8"/>
        <v>0</v>
      </c>
      <c r="AD95" s="42"/>
      <c r="AE95" s="42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5</v>
      </c>
      <c r="Y96" s="27">
        <f t="shared" si="7"/>
        <v>0</v>
      </c>
      <c r="Z96" s="28"/>
      <c r="AA96" s="29"/>
      <c r="AB96" s="30" t="b">
        <f>TRUE()</f>
        <v>1</v>
      </c>
      <c r="AC96" s="31">
        <f t="shared" si="8"/>
        <v>0</v>
      </c>
      <c r="AD96" s="42"/>
      <c r="AE96" s="42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5</v>
      </c>
      <c r="Y97" s="27">
        <f t="shared" si="7"/>
        <v>0</v>
      </c>
      <c r="Z97" s="28"/>
      <c r="AA97" s="29"/>
      <c r="AB97" s="30" t="b">
        <f>TRUE()</f>
        <v>1</v>
      </c>
      <c r="AC97" s="31">
        <f t="shared" si="8"/>
        <v>0</v>
      </c>
      <c r="AD97" s="42"/>
      <c r="AE97" s="42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5</v>
      </c>
      <c r="Y98" s="27">
        <f t="shared" ref="Y98:Y129" si="10">SUMIF($X$2:$X$120,X98,$A$2:$A$120)</f>
        <v>0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2"/>
      <c r="AE98" s="42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5</v>
      </c>
      <c r="Y99" s="27">
        <f t="shared" si="10"/>
        <v>0</v>
      </c>
      <c r="Z99" s="28"/>
      <c r="AA99" s="29"/>
      <c r="AB99" s="30" t="b">
        <f>TRUE()</f>
        <v>1</v>
      </c>
      <c r="AC99" s="31">
        <f t="shared" si="11"/>
        <v>0</v>
      </c>
      <c r="AD99" s="42"/>
      <c r="AE99" s="42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5</v>
      </c>
      <c r="Y100" s="27">
        <f t="shared" si="10"/>
        <v>0</v>
      </c>
      <c r="Z100" s="28"/>
      <c r="AA100" s="29"/>
      <c r="AB100" s="30" t="b">
        <f>TRUE()</f>
        <v>1</v>
      </c>
      <c r="AC100" s="31">
        <f t="shared" si="11"/>
        <v>0</v>
      </c>
      <c r="AD100" s="42"/>
      <c r="AE100" s="42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5</v>
      </c>
      <c r="Y101" s="27">
        <f t="shared" si="10"/>
        <v>0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5</v>
      </c>
      <c r="Y102" s="27">
        <f t="shared" si="10"/>
        <v>0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5</v>
      </c>
      <c r="Y103" s="27">
        <f t="shared" si="10"/>
        <v>0</v>
      </c>
      <c r="Z103" s="28"/>
      <c r="AA103" s="29"/>
      <c r="AB103" s="30" t="b">
        <f>TRUE()</f>
        <v>1</v>
      </c>
      <c r="AC103" s="31">
        <f t="shared" si="11"/>
        <v>0</v>
      </c>
      <c r="AD103" s="42"/>
      <c r="AE103" s="42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5</v>
      </c>
      <c r="Y104" s="27">
        <f t="shared" si="10"/>
        <v>0</v>
      </c>
      <c r="Z104" s="28"/>
      <c r="AA104" s="29"/>
      <c r="AB104" s="30" t="b">
        <f>TRUE()</f>
        <v>1</v>
      </c>
      <c r="AC104" s="31">
        <f t="shared" si="11"/>
        <v>0</v>
      </c>
      <c r="AD104" s="42"/>
      <c r="AE104" s="42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5</v>
      </c>
      <c r="Y105" s="27">
        <f t="shared" si="10"/>
        <v>0</v>
      </c>
      <c r="Z105" s="28"/>
      <c r="AA105" s="29"/>
      <c r="AB105" s="30" t="b">
        <f>TRUE()</f>
        <v>1</v>
      </c>
      <c r="AC105" s="31">
        <f t="shared" si="11"/>
        <v>0</v>
      </c>
      <c r="AD105" s="42"/>
      <c r="AE105" s="42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5</v>
      </c>
      <c r="Y106" s="27">
        <f t="shared" si="10"/>
        <v>0</v>
      </c>
      <c r="Z106" s="28"/>
      <c r="AA106" s="29"/>
      <c r="AB106" s="30" t="b">
        <f>TRUE()</f>
        <v>1</v>
      </c>
      <c r="AC106" s="31">
        <f t="shared" si="11"/>
        <v>0</v>
      </c>
      <c r="AD106" s="42"/>
      <c r="AE106" s="42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5</v>
      </c>
      <c r="Y107" s="27">
        <f t="shared" si="10"/>
        <v>0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5</v>
      </c>
      <c r="Y108" s="27">
        <f t="shared" si="10"/>
        <v>0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5</v>
      </c>
      <c r="Y109" s="27">
        <f t="shared" si="10"/>
        <v>0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5</v>
      </c>
      <c r="Y110" s="27">
        <f t="shared" si="10"/>
        <v>0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5</v>
      </c>
      <c r="Y111" s="27">
        <f t="shared" si="10"/>
        <v>0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5</v>
      </c>
      <c r="Y112" s="27">
        <f t="shared" si="10"/>
        <v>0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5</v>
      </c>
      <c r="Y113" s="27">
        <f t="shared" si="10"/>
        <v>0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5</v>
      </c>
      <c r="Y114" s="27">
        <f t="shared" si="10"/>
        <v>0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5</v>
      </c>
      <c r="Y115" s="27">
        <f t="shared" si="10"/>
        <v>0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5</v>
      </c>
      <c r="Y116" s="27">
        <f t="shared" si="10"/>
        <v>0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5</v>
      </c>
      <c r="Y117" s="27">
        <f t="shared" si="10"/>
        <v>0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5</v>
      </c>
      <c r="Y118" s="27">
        <f t="shared" si="10"/>
        <v>0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5</v>
      </c>
      <c r="Y119" s="27">
        <f t="shared" si="10"/>
        <v>0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5"/>
      <c r="O120" s="45" t="s">
        <v>35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23"/>
      <c r="AE120" s="23"/>
    </row>
    <row r="121" spans="1:31" ht="15" customHeight="1">
      <c r="A121" s="46">
        <f>ROW()</f>
        <v>121</v>
      </c>
      <c r="B121" s="23">
        <f t="shared" ref="B121:K121" si="12">SUM(B2:B120)</f>
        <v>0</v>
      </c>
      <c r="C121" s="23">
        <f t="shared" si="12"/>
        <v>0</v>
      </c>
      <c r="D121" s="23">
        <f t="shared" si="12"/>
        <v>0</v>
      </c>
      <c r="E121" s="23">
        <f t="shared" si="12"/>
        <v>0</v>
      </c>
      <c r="F121" s="23">
        <f t="shared" si="12"/>
        <v>0</v>
      </c>
      <c r="G121" s="23">
        <f t="shared" si="12"/>
        <v>0</v>
      </c>
      <c r="H121" s="23">
        <f t="shared" si="12"/>
        <v>0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7"/>
      <c r="AD121" s="23"/>
      <c r="AE121" s="23"/>
    </row>
    <row r="122" spans="1:31" ht="12.75" customHeight="1">
      <c r="A122" s="23"/>
      <c r="B122" s="23"/>
      <c r="C122" s="48"/>
      <c r="D122" s="48"/>
      <c r="E122" s="48"/>
      <c r="F122" s="48"/>
      <c r="G122" s="48"/>
      <c r="H122" s="48"/>
      <c r="I122" s="9" t="s">
        <v>36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8"/>
      <c r="T122" s="48"/>
      <c r="U122" s="48"/>
      <c r="V122" s="23"/>
      <c r="W122" s="23"/>
      <c r="X122" s="23"/>
      <c r="Y122" s="23"/>
      <c r="Z122" s="23"/>
      <c r="AA122" s="23"/>
      <c r="AB122" s="23"/>
      <c r="AC122" s="47"/>
      <c r="AD122" s="23"/>
      <c r="AE122" s="23"/>
    </row>
    <row r="123" spans="1:31" ht="15" customHeight="1">
      <c r="A123" s="23"/>
      <c r="B123" s="23"/>
      <c r="C123" s="48"/>
      <c r="D123" s="49" t="s">
        <v>37</v>
      </c>
      <c r="E123" s="50">
        <v>1750905</v>
      </c>
      <c r="F123" s="51" t="s">
        <v>38</v>
      </c>
      <c r="G123" s="52">
        <v>249095</v>
      </c>
      <c r="H123" s="48"/>
      <c r="I123" s="53" t="s">
        <v>39</v>
      </c>
      <c r="J123" s="54">
        <v>0.18</v>
      </c>
      <c r="K123" s="54"/>
      <c r="L123" s="55" t="s">
        <v>40</v>
      </c>
      <c r="M123" s="56">
        <f>2.7/12</f>
        <v>0.22500000000000001</v>
      </c>
      <c r="N123" s="57" t="s">
        <v>41</v>
      </c>
      <c r="O123" s="58">
        <f>40*4.2*((244-2)/260)</f>
        <v>156.36923076923077</v>
      </c>
      <c r="P123" s="48"/>
      <c r="Q123" s="53" t="s">
        <v>42</v>
      </c>
      <c r="R123" s="59">
        <v>0.4</v>
      </c>
      <c r="S123" s="48"/>
      <c r="T123" s="60">
        <v>8</v>
      </c>
      <c r="U123" s="61" t="s">
        <v>43</v>
      </c>
      <c r="V123" s="62"/>
      <c r="W123" s="23"/>
      <c r="X123" s="23"/>
      <c r="Y123" s="23"/>
      <c r="Z123" s="23"/>
      <c r="AA123" s="23"/>
      <c r="AB123" s="23"/>
      <c r="AC123" s="47"/>
      <c r="AD123" s="23"/>
      <c r="AE123" s="23"/>
    </row>
    <row r="124" spans="1:31" ht="12.75" customHeight="1">
      <c r="A124" s="23"/>
      <c r="B124" s="23"/>
      <c r="C124" s="7" t="s">
        <v>44</v>
      </c>
      <c r="D124" s="7"/>
      <c r="E124" s="7"/>
      <c r="F124" s="7" t="s">
        <v>45</v>
      </c>
      <c r="G124" s="7"/>
      <c r="H124" s="7"/>
      <c r="I124" s="7" t="s">
        <v>46</v>
      </c>
      <c r="J124" s="7"/>
      <c r="K124" s="7"/>
      <c r="L124" s="7"/>
      <c r="M124" s="7" t="s">
        <v>47</v>
      </c>
      <c r="N124" s="7"/>
      <c r="O124" s="7"/>
      <c r="P124" s="7" t="s">
        <v>48</v>
      </c>
      <c r="Q124" s="7"/>
      <c r="R124" s="7"/>
      <c r="S124" s="48"/>
      <c r="T124" s="48"/>
      <c r="U124" s="63" t="s">
        <v>41</v>
      </c>
      <c r="V124" s="7" t="s">
        <v>49</v>
      </c>
      <c r="W124" s="7"/>
      <c r="X124" s="7"/>
      <c r="Y124" s="23"/>
      <c r="Z124" s="23"/>
      <c r="AA124" s="23"/>
      <c r="AB124" s="23"/>
      <c r="AC124" s="47"/>
      <c r="AD124" s="23"/>
      <c r="AE124" s="23"/>
    </row>
    <row r="125" spans="1:31" ht="12.75" customHeight="1">
      <c r="A125" s="35" t="s">
        <v>50</v>
      </c>
      <c r="B125" s="63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95838.292011019294</v>
      </c>
      <c r="Q125" s="5"/>
      <c r="R125" s="5"/>
      <c r="S125" s="48"/>
      <c r="T125" s="48"/>
      <c r="U125" s="23">
        <f t="shared" ref="U125:U134" si="15">HLOOKUP(B125,$B$1:$K$121,$A$121,0)*$T$123</f>
        <v>0</v>
      </c>
      <c r="W125" s="64">
        <f t="shared" ref="W125:W134" si="16">P125*U125</f>
        <v>0</v>
      </c>
      <c r="Y125" s="23"/>
      <c r="Z125" s="23"/>
      <c r="AA125" s="23"/>
      <c r="AB125" s="23"/>
      <c r="AC125" s="47"/>
      <c r="AD125" s="23"/>
      <c r="AE125" s="23"/>
    </row>
    <row r="126" spans="1:31" ht="12.75" customHeight="1">
      <c r="A126" s="35" t="s">
        <v>51</v>
      </c>
      <c r="B126" s="63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52477.159090909088</v>
      </c>
      <c r="Q126" s="5"/>
      <c r="R126" s="5"/>
      <c r="S126" s="48"/>
      <c r="T126" s="48"/>
      <c r="U126" s="23">
        <f t="shared" si="15"/>
        <v>0</v>
      </c>
      <c r="W126" s="64">
        <f t="shared" si="16"/>
        <v>0</v>
      </c>
      <c r="Y126" s="23"/>
      <c r="Z126" s="23"/>
      <c r="AA126" s="23"/>
      <c r="AB126" s="23"/>
      <c r="AC126" s="47"/>
      <c r="AD126" s="23"/>
      <c r="AE126" s="23"/>
    </row>
    <row r="127" spans="1:31" ht="12.75" customHeight="1">
      <c r="A127" s="35" t="s">
        <v>52</v>
      </c>
      <c r="B127" s="63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52477.159090909088</v>
      </c>
      <c r="Q127" s="5"/>
      <c r="R127" s="5"/>
      <c r="S127" s="48"/>
      <c r="T127" s="48"/>
      <c r="U127" s="23">
        <f t="shared" si="15"/>
        <v>0</v>
      </c>
      <c r="W127" s="64">
        <f t="shared" si="16"/>
        <v>0</v>
      </c>
      <c r="Y127" s="23"/>
      <c r="Z127" s="23"/>
      <c r="AA127" s="23"/>
      <c r="AB127" s="23"/>
      <c r="AC127" s="47"/>
      <c r="AD127" s="23"/>
      <c r="AE127" s="23"/>
    </row>
    <row r="128" spans="1:31" ht="12.75" customHeight="1">
      <c r="A128" s="35" t="s">
        <v>53</v>
      </c>
      <c r="B128" s="63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73501.928374655647</v>
      </c>
      <c r="Q128" s="5"/>
      <c r="R128" s="5"/>
      <c r="S128" s="48"/>
      <c r="T128" s="48"/>
      <c r="U128" s="23">
        <f t="shared" si="15"/>
        <v>0</v>
      </c>
      <c r="W128" s="64">
        <f t="shared" si="16"/>
        <v>0</v>
      </c>
      <c r="Y128" s="23"/>
      <c r="Z128" s="23"/>
      <c r="AA128" s="23"/>
      <c r="AB128" s="23"/>
      <c r="AC128" s="47"/>
      <c r="AD128" s="23"/>
      <c r="AE128" s="23"/>
    </row>
    <row r="129" spans="1:31" ht="12.75" customHeight="1">
      <c r="A129" s="35" t="s">
        <v>54</v>
      </c>
      <c r="B129" s="63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61874.449035812671</v>
      </c>
      <c r="Q129" s="5"/>
      <c r="R129" s="5"/>
      <c r="S129" s="48"/>
      <c r="T129" s="48"/>
      <c r="U129" s="23">
        <f t="shared" si="15"/>
        <v>0</v>
      </c>
      <c r="W129" s="64">
        <f t="shared" si="16"/>
        <v>0</v>
      </c>
      <c r="Y129" s="23"/>
      <c r="Z129" s="23"/>
      <c r="AA129" s="23"/>
      <c r="AB129" s="23"/>
      <c r="AC129" s="47"/>
      <c r="AD129" s="23"/>
      <c r="AE129" s="23"/>
    </row>
    <row r="130" spans="1:31" ht="12.75" customHeight="1">
      <c r="A130" s="35" t="s">
        <v>55</v>
      </c>
      <c r="B130" s="63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51002.572314049583</v>
      </c>
      <c r="Q130" s="5"/>
      <c r="R130" s="5"/>
      <c r="S130" s="48"/>
      <c r="T130" s="48"/>
      <c r="U130" s="23">
        <f t="shared" si="15"/>
        <v>0</v>
      </c>
      <c r="W130" s="64">
        <f t="shared" si="16"/>
        <v>0</v>
      </c>
      <c r="Y130" s="23"/>
      <c r="Z130" s="23"/>
      <c r="AA130" s="23"/>
      <c r="AB130" s="23"/>
      <c r="AC130" s="47"/>
      <c r="AD130" s="23"/>
      <c r="AE130" s="23"/>
    </row>
    <row r="131" spans="1:31" ht="12.75" customHeight="1">
      <c r="A131" s="35" t="s">
        <v>56</v>
      </c>
      <c r="B131" s="63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50519.10123966942</v>
      </c>
      <c r="Q131" s="5"/>
      <c r="R131" s="5"/>
      <c r="S131" s="48"/>
      <c r="T131" s="48"/>
      <c r="U131" s="23">
        <f t="shared" si="15"/>
        <v>0</v>
      </c>
      <c r="W131" s="64">
        <f t="shared" si="16"/>
        <v>0</v>
      </c>
      <c r="Y131" s="23"/>
      <c r="Z131" s="23"/>
      <c r="AA131" s="23"/>
      <c r="AB131" s="23"/>
      <c r="AC131" s="47"/>
      <c r="AD131" s="23"/>
      <c r="AE131" s="23"/>
    </row>
    <row r="132" spans="1:31" ht="12.75" customHeight="1">
      <c r="A132" s="35" t="s">
        <v>57</v>
      </c>
      <c r="B132" s="63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127067.83746556473</v>
      </c>
      <c r="Q132" s="5"/>
      <c r="R132" s="5"/>
      <c r="S132" s="48"/>
      <c r="T132" s="48"/>
      <c r="U132" s="23">
        <f t="shared" si="15"/>
        <v>0</v>
      </c>
      <c r="W132" s="64">
        <f t="shared" si="16"/>
        <v>0</v>
      </c>
      <c r="Y132" s="23"/>
      <c r="Z132" s="23"/>
      <c r="AA132" s="23"/>
      <c r="AB132" s="23"/>
      <c r="AC132" s="47"/>
      <c r="AD132" s="23"/>
      <c r="AE132" s="23"/>
    </row>
    <row r="133" spans="1:31" ht="12.75" customHeight="1">
      <c r="A133" s="35" t="s">
        <v>58</v>
      </c>
      <c r="B133" s="63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58493.688016528926</v>
      </c>
      <c r="Q133" s="5"/>
      <c r="R133" s="5"/>
      <c r="S133" s="48"/>
      <c r="T133" s="48"/>
      <c r="U133" s="23">
        <f t="shared" si="15"/>
        <v>0</v>
      </c>
      <c r="W133" s="64">
        <f t="shared" si="16"/>
        <v>0</v>
      </c>
      <c r="Y133" s="23"/>
      <c r="Z133" s="23"/>
      <c r="AA133" s="23"/>
      <c r="AB133" s="23"/>
      <c r="AC133" s="47"/>
      <c r="AD133" s="23"/>
      <c r="AE133" s="23"/>
    </row>
    <row r="134" spans="1:31" ht="12.75" customHeight="1">
      <c r="A134" s="35" t="s">
        <v>59</v>
      </c>
      <c r="B134" s="63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57311.869834710742</v>
      </c>
      <c r="Q134" s="5"/>
      <c r="R134" s="5"/>
      <c r="S134" s="48"/>
      <c r="T134" s="48"/>
      <c r="U134" s="23">
        <f t="shared" si="15"/>
        <v>0</v>
      </c>
      <c r="W134" s="64">
        <f t="shared" si="16"/>
        <v>0</v>
      </c>
      <c r="Y134" s="23"/>
      <c r="Z134" s="23"/>
      <c r="AA134" s="23"/>
      <c r="AB134" s="23"/>
      <c r="AC134" s="47"/>
      <c r="AD134" s="23"/>
      <c r="AE134" s="23"/>
    </row>
    <row r="135" spans="1:31" ht="12.75" customHeight="1">
      <c r="A135" s="35"/>
      <c r="B135" s="63"/>
      <c r="C135" s="48"/>
      <c r="D135" s="48"/>
      <c r="E135" s="48"/>
      <c r="F135" s="48"/>
      <c r="G135" s="48"/>
      <c r="H135" s="48"/>
      <c r="I135" s="23"/>
      <c r="J135" s="23"/>
      <c r="K135" s="23"/>
      <c r="L135" s="23"/>
      <c r="M135" s="23"/>
      <c r="N135" s="23"/>
      <c r="O135" s="23"/>
      <c r="P135" s="4">
        <f>SUM(P125:P134)</f>
        <v>680564.0564738292</v>
      </c>
      <c r="Q135" s="4"/>
      <c r="R135" s="4"/>
      <c r="S135" s="48"/>
      <c r="T135" s="48"/>
      <c r="U135" s="48"/>
      <c r="W135" s="65">
        <f>SUM(W125:W134)</f>
        <v>0</v>
      </c>
      <c r="Y135" s="23"/>
      <c r="Z135" s="23"/>
      <c r="AA135" s="23"/>
      <c r="AB135" s="23"/>
      <c r="AC135" s="47"/>
      <c r="AD135" s="23"/>
      <c r="AE135" s="23"/>
    </row>
    <row r="136" spans="1:31" ht="12.75" customHeight="1">
      <c r="A136" s="23"/>
      <c r="B136" s="23"/>
      <c r="C136" s="66"/>
      <c r="D136" s="66"/>
      <c r="E136" s="23"/>
      <c r="F136" s="23"/>
      <c r="G136" s="23"/>
      <c r="H136" s="48"/>
      <c r="I136" s="23"/>
      <c r="J136" s="23"/>
      <c r="K136" s="23"/>
      <c r="L136" s="4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7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7"/>
      <c r="AD137" s="23"/>
      <c r="AE137" s="23"/>
    </row>
    <row r="138" spans="1:31" ht="12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spans="1:31" ht="15" customHeight="1">
      <c r="A139" s="67"/>
      <c r="B139" s="67"/>
      <c r="C139" s="3"/>
      <c r="D139" s="3"/>
      <c r="E139" s="3"/>
      <c r="F139" s="3"/>
      <c r="G139" s="2"/>
      <c r="H139" s="2"/>
      <c r="I139" s="2"/>
      <c r="J139" s="2"/>
      <c r="K139" s="69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0"/>
      <c r="AE139" s="67"/>
    </row>
    <row r="140" spans="1:31" ht="12.75" customHeight="1">
      <c r="A140" s="71" t="e">
        <f t="array" aca="1" ref="A140:A144" ca="1">unique(L1:L120)</f>
        <v>#NAME?</v>
      </c>
      <c r="B140" s="72"/>
      <c r="C140" s="73"/>
      <c r="D140" s="73"/>
      <c r="E140" s="73"/>
      <c r="F140" s="74"/>
      <c r="G140" s="75" t="s">
        <v>60</v>
      </c>
      <c r="H140" s="75" t="s">
        <v>61</v>
      </c>
      <c r="I140" s="75" t="s">
        <v>62</v>
      </c>
      <c r="J140" s="75" t="s">
        <v>63</v>
      </c>
      <c r="K140" s="75" t="s">
        <v>64</v>
      </c>
      <c r="L140" s="76" t="s">
        <v>65</v>
      </c>
      <c r="M140" s="76" t="s">
        <v>66</v>
      </c>
      <c r="N140" s="76" t="s">
        <v>67</v>
      </c>
      <c r="O140" s="76" t="s">
        <v>68</v>
      </c>
      <c r="P140" s="75" t="s">
        <v>69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7"/>
    </row>
    <row r="141" spans="1:31" ht="12.75" customHeight="1">
      <c r="A141" s="78" t="e">
        <f ca="1"/>
        <v>#NAME?</v>
      </c>
      <c r="B141" s="79"/>
      <c r="C141" s="79"/>
      <c r="D141" s="79" t="s">
        <v>70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7"/>
    </row>
    <row r="142" spans="1:31" ht="12.75" customHeight="1">
      <c r="A142" s="78" t="e">
        <f ca="1"/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7"/>
    </row>
    <row r="143" spans="1:31" ht="12.75" customHeight="1">
      <c r="A143" s="78" t="e">
        <f ca="1"/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7"/>
    </row>
    <row r="144" spans="1:31" ht="12.75" customHeight="1">
      <c r="A144" s="78" t="e">
        <f ca="1"/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7"/>
    </row>
    <row r="145" spans="1:31" ht="12.75" customHeight="1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7"/>
    </row>
    <row r="146" spans="1:31" ht="12.75" customHeight="1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7"/>
    </row>
    <row r="147" spans="1:31" ht="12.75" customHeight="1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7"/>
    </row>
    <row r="148" spans="1:31" ht="12.75" customHeight="1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7"/>
    </row>
    <row r="149" spans="1:31" ht="12.75" customHeight="1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7"/>
    </row>
    <row r="150" spans="1:31" ht="12.75" customHeight="1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7"/>
    </row>
    <row r="151" spans="1:31" ht="12.75" customHeight="1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7"/>
    </row>
    <row r="152" spans="1:31" ht="12.75" customHeight="1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7"/>
    </row>
    <row r="153" spans="1:31" ht="12.75" customHeight="1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7"/>
    </row>
    <row r="154" spans="1:31" ht="12.75" customHeight="1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7"/>
    </row>
    <row r="155" spans="1:31" ht="12.75" customHeight="1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7"/>
    </row>
    <row r="156" spans="1:31" ht="12.75" customHeight="1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7"/>
    </row>
    <row r="157" spans="1:31" ht="12.75" customHeight="1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7"/>
    </row>
    <row r="158" spans="1:31" ht="12.75" customHeight="1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7"/>
    </row>
    <row r="159" spans="1:31" ht="12.75" customHeight="1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7"/>
    </row>
    <row r="160" spans="1:31" ht="12.75" customHeight="1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7"/>
    </row>
    <row r="161" spans="1:31" ht="12.75" customHeight="1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7"/>
    </row>
    <row r="162" spans="1:31" ht="12.75" customHeight="1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7"/>
    </row>
    <row r="163" spans="1:31" ht="12.75" customHeight="1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7"/>
    </row>
    <row r="164" spans="1:31" ht="12.75" customHeight="1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7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7"/>
      <c r="AD165" s="23"/>
      <c r="AE165" s="67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7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7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PRY-001 CRM</vt:lpstr>
      <vt:lpstr>PRY-002 Portal Clientes</vt:lpstr>
      <vt:lpstr>PRY-003 Portal Proveedor</vt:lpstr>
      <vt:lpstr>PRY-004 Repositorio Doc</vt:lpstr>
      <vt:lpstr>PRY-005 BI</vt:lpstr>
      <vt:lpstr>PRY-006 Workflow</vt:lpstr>
      <vt:lpstr>PRY-007A Ag Comercial</vt:lpstr>
      <vt:lpstr>PRY-007B Ag Compras</vt:lpstr>
      <vt:lpstr>PRY-007C Ag Inventarios</vt:lpstr>
      <vt:lpstr>PRY-007D Ag Cartera</vt:lpstr>
      <vt:lpstr>PRY-007E Ag Serv Cliente</vt:lpstr>
      <vt:lpstr>PRY-007F Ag Documental</vt:lpstr>
      <vt:lpstr>PRY-007G Ag Gerencial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Full Service</cp:lastModifiedBy>
  <cp:revision>0</cp:revision>
  <dcterms:created xsi:type="dcterms:W3CDTF">2026-07-09T20:06:29Z</dcterms:created>
  <dcterms:modified xsi:type="dcterms:W3CDTF">2026-07-09T20:16:17Z</dcterms:modified>
  <dc:language>es-419</dc:language>
</cp:coreProperties>
</file>