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Full Service\Downloads\FullService Agents - Gustavo Navarro\QuoteDeveloper\cotizaciones\multinal\"/>
    </mc:Choice>
  </mc:AlternateContent>
  <bookViews>
    <workbookView xWindow="0" yWindow="0" windowWidth="16380" windowHeight="8190" tabRatio="500" firstSheet="4" activeTab="8"/>
  </bookViews>
  <sheets>
    <sheet name="PRY-ERP" sheetId="1" r:id="rId1"/>
    <sheet name="PRY-WMS" sheetId="2" r:id="rId2"/>
    <sheet name="PRY-CRM-EXT" sheetId="3" r:id="rId3"/>
    <sheet name="PRY-DMS-EXT" sheetId="4" r:id="rId4"/>
    <sheet name="PRY-DAT" sheetId="5" r:id="rId5"/>
    <sheet name="PRY-AIE-01 Ag Logistico" sheetId="6" r:id="rId6"/>
    <sheet name="PRY-AIE-02 Ag Comercial" sheetId="7" r:id="rId7"/>
    <sheet name="PRY-AIE-03 Ag Compras" sheetId="8" r:id="rId8"/>
    <sheet name="PRY-AIE-04 Ag Inventarios" sheetId="9" r:id="rId9"/>
    <sheet name="PRY-AIE-05 Ag Cartera" sheetId="10" r:id="rId10"/>
    <sheet name="PRY-AIE-06 Ag Fidelizacion" sheetId="11" r:id="rId11"/>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133" i="11" l="1"/>
  <c r="B132" i="11"/>
  <c r="B131" i="11"/>
  <c r="B130" i="11"/>
  <c r="U130" i="11" s="1"/>
  <c r="M129" i="11"/>
  <c r="P129" i="11" s="1"/>
  <c r="B129" i="11"/>
  <c r="B128" i="11"/>
  <c r="B127" i="11"/>
  <c r="B126" i="11"/>
  <c r="B125" i="11"/>
  <c r="O123" i="11"/>
  <c r="M123" i="11"/>
  <c r="M122" i="11"/>
  <c r="K121" i="11"/>
  <c r="J121" i="11"/>
  <c r="I121" i="11"/>
  <c r="H121" i="11"/>
  <c r="G121" i="11"/>
  <c r="F121" i="11"/>
  <c r="E121" i="11"/>
  <c r="D121" i="11"/>
  <c r="C121" i="11"/>
  <c r="B121" i="11"/>
  <c r="A121" i="11"/>
  <c r="AC119" i="11"/>
  <c r="AB119" i="11"/>
  <c r="X119" i="11"/>
  <c r="AC118" i="11"/>
  <c r="AB118" i="11"/>
  <c r="X118" i="11"/>
  <c r="AC117" i="11"/>
  <c r="AB117" i="11"/>
  <c r="X117" i="11"/>
  <c r="AC116" i="11"/>
  <c r="AB116" i="11"/>
  <c r="X116" i="11"/>
  <c r="AC115" i="11"/>
  <c r="AB115" i="11"/>
  <c r="X115" i="11"/>
  <c r="AC114" i="11"/>
  <c r="AB114" i="11"/>
  <c r="X114" i="11"/>
  <c r="AC113" i="11"/>
  <c r="AB113" i="11"/>
  <c r="X113" i="11"/>
  <c r="AC112" i="11"/>
  <c r="AB112" i="11"/>
  <c r="X112" i="11"/>
  <c r="AC111" i="11"/>
  <c r="AB111" i="11"/>
  <c r="X111" i="11"/>
  <c r="AC110" i="11"/>
  <c r="AB110" i="11"/>
  <c r="X110" i="11"/>
  <c r="AC109" i="11"/>
  <c r="AB109" i="11"/>
  <c r="X109" i="11"/>
  <c r="AC108" i="11"/>
  <c r="AB108" i="11"/>
  <c r="X108" i="11"/>
  <c r="AC107" i="11"/>
  <c r="AB107" i="11"/>
  <c r="X107" i="11"/>
  <c r="AC106" i="11"/>
  <c r="AB106" i="11"/>
  <c r="X106" i="11"/>
  <c r="AC105" i="11"/>
  <c r="AB105" i="11"/>
  <c r="X105" i="11"/>
  <c r="AC104" i="11"/>
  <c r="AB104" i="11"/>
  <c r="X104" i="11"/>
  <c r="AC103" i="11"/>
  <c r="AB103" i="11"/>
  <c r="X103" i="11"/>
  <c r="AC102" i="11"/>
  <c r="AB102" i="11"/>
  <c r="X102" i="11"/>
  <c r="AC101" i="11"/>
  <c r="AB101" i="11"/>
  <c r="X101" i="11"/>
  <c r="AC100" i="11"/>
  <c r="AB100" i="11"/>
  <c r="X100" i="11"/>
  <c r="AC99" i="11"/>
  <c r="AB99" i="11"/>
  <c r="X99" i="11"/>
  <c r="AC98" i="11"/>
  <c r="AB98" i="11"/>
  <c r="X98" i="11"/>
  <c r="AC97" i="11"/>
  <c r="AB97" i="11"/>
  <c r="X97" i="11"/>
  <c r="AC96" i="11"/>
  <c r="AB96" i="11"/>
  <c r="X96" i="11"/>
  <c r="AC95" i="11"/>
  <c r="AB95" i="11"/>
  <c r="X95" i="11"/>
  <c r="AC94" i="11"/>
  <c r="AB94" i="11"/>
  <c r="X94" i="11"/>
  <c r="AC93" i="11"/>
  <c r="AB93" i="11"/>
  <c r="X93" i="11"/>
  <c r="AC92" i="11"/>
  <c r="AB92" i="11"/>
  <c r="X92" i="11"/>
  <c r="AC91" i="11"/>
  <c r="AB91" i="11"/>
  <c r="X91" i="11"/>
  <c r="AC90" i="11"/>
  <c r="AB90" i="11"/>
  <c r="X90" i="11"/>
  <c r="AC89" i="11"/>
  <c r="AB89" i="11"/>
  <c r="X89" i="11"/>
  <c r="AC88" i="11"/>
  <c r="AB88" i="11"/>
  <c r="X88" i="11"/>
  <c r="AC87" i="11"/>
  <c r="AB87" i="11"/>
  <c r="X87" i="11"/>
  <c r="AC86" i="11"/>
  <c r="AB86" i="11"/>
  <c r="X86" i="11"/>
  <c r="AC85" i="11"/>
  <c r="AB85" i="11"/>
  <c r="X85" i="11"/>
  <c r="AC84" i="11"/>
  <c r="AB84" i="11"/>
  <c r="X84" i="11"/>
  <c r="AC83" i="11"/>
  <c r="AB83" i="11"/>
  <c r="X83" i="11"/>
  <c r="AC82" i="11"/>
  <c r="AB82" i="11"/>
  <c r="X82" i="11"/>
  <c r="AC81" i="11"/>
  <c r="AB81" i="11"/>
  <c r="X81" i="11"/>
  <c r="AC80" i="11"/>
  <c r="AB80" i="11"/>
  <c r="X80" i="11"/>
  <c r="AC79" i="11"/>
  <c r="AB79" i="11"/>
  <c r="X79" i="11"/>
  <c r="AC78" i="11"/>
  <c r="AB78" i="11"/>
  <c r="X78" i="11"/>
  <c r="AC77" i="11"/>
  <c r="AB77" i="11"/>
  <c r="X77" i="11"/>
  <c r="AC76" i="11"/>
  <c r="AB76" i="11"/>
  <c r="X76" i="11"/>
  <c r="AC75" i="11"/>
  <c r="AB75" i="11"/>
  <c r="X75" i="11"/>
  <c r="AC74" i="11"/>
  <c r="AB74" i="11"/>
  <c r="X74" i="11"/>
  <c r="AC73" i="11"/>
  <c r="AB73" i="11"/>
  <c r="X73" i="11"/>
  <c r="AC72" i="11"/>
  <c r="AB72" i="11"/>
  <c r="X72" i="11"/>
  <c r="AC71" i="11"/>
  <c r="AB71" i="11"/>
  <c r="X71" i="11"/>
  <c r="AC70" i="11"/>
  <c r="AB70" i="11"/>
  <c r="X70" i="11"/>
  <c r="AC69" i="11"/>
  <c r="AB69" i="11"/>
  <c r="X69" i="11"/>
  <c r="AC68" i="11"/>
  <c r="AB68" i="11"/>
  <c r="X68" i="11"/>
  <c r="AC67" i="11"/>
  <c r="AB67" i="11"/>
  <c r="X67" i="11"/>
  <c r="AC66" i="11"/>
  <c r="AB66" i="11"/>
  <c r="X66" i="11"/>
  <c r="AC65" i="11"/>
  <c r="AB65" i="11"/>
  <c r="X65" i="11"/>
  <c r="AC64" i="11"/>
  <c r="AB64" i="11"/>
  <c r="X64" i="11"/>
  <c r="AC63" i="11"/>
  <c r="AB63" i="11"/>
  <c r="X63" i="11"/>
  <c r="AC62" i="11"/>
  <c r="AB62" i="11"/>
  <c r="X62" i="11"/>
  <c r="AC61" i="11"/>
  <c r="AB61" i="11"/>
  <c r="X61" i="11"/>
  <c r="AC60" i="11"/>
  <c r="AB60" i="11"/>
  <c r="X60" i="11"/>
  <c r="AC59" i="11"/>
  <c r="AB59" i="11"/>
  <c r="X59" i="11"/>
  <c r="AC58" i="11"/>
  <c r="AB58" i="11"/>
  <c r="X58" i="11"/>
  <c r="AC57" i="11"/>
  <c r="AB57" i="11"/>
  <c r="X57" i="11"/>
  <c r="AC56" i="11"/>
  <c r="AB56" i="11"/>
  <c r="X56" i="11"/>
  <c r="AC55" i="11"/>
  <c r="AB55" i="11"/>
  <c r="X55" i="11"/>
  <c r="AC54" i="11"/>
  <c r="AB54" i="11"/>
  <c r="X54" i="11"/>
  <c r="AC53" i="11"/>
  <c r="AB53" i="11"/>
  <c r="X53" i="11"/>
  <c r="AC52" i="11"/>
  <c r="AB52" i="11"/>
  <c r="X52" i="11"/>
  <c r="AC51" i="11"/>
  <c r="AB51" i="11"/>
  <c r="X51" i="11"/>
  <c r="AC50" i="11"/>
  <c r="AB50" i="11"/>
  <c r="X50" i="11"/>
  <c r="AC49" i="11"/>
  <c r="AB49" i="11"/>
  <c r="X49" i="11"/>
  <c r="AC48" i="11"/>
  <c r="AB48" i="11"/>
  <c r="X48" i="11"/>
  <c r="AC47" i="11"/>
  <c r="AB47" i="11"/>
  <c r="X47" i="11"/>
  <c r="AC46" i="11"/>
  <c r="AB46" i="11"/>
  <c r="X46" i="11"/>
  <c r="AC45" i="11"/>
  <c r="AB45" i="11"/>
  <c r="X45" i="11"/>
  <c r="AC44" i="11"/>
  <c r="AB44" i="11"/>
  <c r="X44" i="11"/>
  <c r="AC43" i="11"/>
  <c r="AB43" i="11"/>
  <c r="X43" i="11"/>
  <c r="AC42" i="11"/>
  <c r="AB42" i="11"/>
  <c r="X42" i="11"/>
  <c r="AC41" i="11"/>
  <c r="AB41" i="11"/>
  <c r="X41" i="11"/>
  <c r="AC40" i="11"/>
  <c r="AB40" i="11"/>
  <c r="X40" i="11"/>
  <c r="AC39" i="11"/>
  <c r="AB39" i="11"/>
  <c r="X39" i="11"/>
  <c r="AC38" i="11"/>
  <c r="AB38" i="11"/>
  <c r="X38" i="11"/>
  <c r="AC37" i="11"/>
  <c r="AB37" i="11"/>
  <c r="X37" i="11"/>
  <c r="AC36" i="11"/>
  <c r="AB36" i="11"/>
  <c r="X36" i="11"/>
  <c r="AC35" i="11"/>
  <c r="AB35" i="11"/>
  <c r="X35" i="11"/>
  <c r="AC34" i="11"/>
  <c r="AB34" i="11"/>
  <c r="X34" i="11"/>
  <c r="AC33" i="11"/>
  <c r="AB33" i="11"/>
  <c r="X33" i="11"/>
  <c r="AC32" i="11"/>
  <c r="AB32" i="11"/>
  <c r="X32" i="11"/>
  <c r="AC31" i="11"/>
  <c r="AB31" i="11"/>
  <c r="X31" i="11"/>
  <c r="AC30" i="11"/>
  <c r="AB30" i="11"/>
  <c r="X30" i="11"/>
  <c r="AC29" i="11"/>
  <c r="AB29" i="11"/>
  <c r="X29" i="11"/>
  <c r="AC28" i="11"/>
  <c r="AB28" i="11"/>
  <c r="X28" i="11"/>
  <c r="AC27" i="11"/>
  <c r="AB27" i="11"/>
  <c r="X27" i="11"/>
  <c r="AC26" i="11"/>
  <c r="AB26" i="11"/>
  <c r="X26" i="11"/>
  <c r="AC25" i="11"/>
  <c r="AB25" i="11"/>
  <c r="X25" i="11"/>
  <c r="AC24" i="11"/>
  <c r="AB24" i="11"/>
  <c r="X24" i="11"/>
  <c r="AC23" i="11"/>
  <c r="AB23" i="11"/>
  <c r="X23" i="11"/>
  <c r="AC22" i="11"/>
  <c r="AB22" i="11"/>
  <c r="X22" i="11"/>
  <c r="AC21" i="11"/>
  <c r="AB21" i="11"/>
  <c r="X21" i="11"/>
  <c r="AC20" i="11"/>
  <c r="AB20" i="11"/>
  <c r="X20" i="11"/>
  <c r="AC19" i="11"/>
  <c r="AB19" i="11"/>
  <c r="X19" i="11"/>
  <c r="AC18" i="11"/>
  <c r="AB18" i="11"/>
  <c r="X18" i="11"/>
  <c r="AC17" i="11"/>
  <c r="AB17" i="11"/>
  <c r="X17" i="11"/>
  <c r="AC16" i="11"/>
  <c r="AB16" i="11"/>
  <c r="X16" i="11"/>
  <c r="AC15" i="11"/>
  <c r="AB15" i="11"/>
  <c r="X15" i="11"/>
  <c r="AC14" i="11"/>
  <c r="AB14" i="11"/>
  <c r="X14" i="11"/>
  <c r="AC13" i="11"/>
  <c r="AB13" i="11"/>
  <c r="X13" i="11"/>
  <c r="AC12" i="11"/>
  <c r="AB12" i="11"/>
  <c r="X12" i="11"/>
  <c r="AC11" i="11"/>
  <c r="AB11" i="11"/>
  <c r="X11" i="11"/>
  <c r="AC10" i="11"/>
  <c r="AB10" i="11"/>
  <c r="X10" i="11"/>
  <c r="AC9" i="11"/>
  <c r="AB9" i="11"/>
  <c r="X9" i="11"/>
  <c r="AB8" i="11"/>
  <c r="X8" i="11"/>
  <c r="AC7" i="11"/>
  <c r="AB7" i="11"/>
  <c r="X7" i="11"/>
  <c r="AC6" i="11"/>
  <c r="AB6" i="11"/>
  <c r="X6" i="11"/>
  <c r="AB5" i="11"/>
  <c r="X5" i="11"/>
  <c r="AB4" i="11"/>
  <c r="X4" i="11"/>
  <c r="AB3" i="11"/>
  <c r="X3" i="11"/>
  <c r="AB2" i="11"/>
  <c r="X2" i="11"/>
  <c r="B133" i="10"/>
  <c r="U133" i="10" s="1"/>
  <c r="P132" i="10"/>
  <c r="M132" i="10"/>
  <c r="B132" i="10"/>
  <c r="U131" i="10"/>
  <c r="B131" i="10"/>
  <c r="B130" i="10"/>
  <c r="U130" i="10" s="1"/>
  <c r="U129" i="10"/>
  <c r="B129" i="10"/>
  <c r="B128" i="10"/>
  <c r="B127" i="10"/>
  <c r="B126" i="10"/>
  <c r="M125" i="10"/>
  <c r="P125" i="10" s="1"/>
  <c r="B125" i="10"/>
  <c r="U125" i="10" s="1"/>
  <c r="O123" i="10"/>
  <c r="M123" i="10"/>
  <c r="M131" i="10" s="1"/>
  <c r="P131" i="10" s="1"/>
  <c r="W131" i="10" s="1"/>
  <c r="M122" i="10"/>
  <c r="M127" i="10" s="1"/>
  <c r="P127" i="10" s="1"/>
  <c r="W127" i="10" s="1"/>
  <c r="K121" i="10"/>
  <c r="U134" i="10" s="1"/>
  <c r="J121" i="10"/>
  <c r="I121" i="10"/>
  <c r="U132" i="10" s="1"/>
  <c r="H121" i="10"/>
  <c r="G121" i="10"/>
  <c r="F121" i="10"/>
  <c r="E121" i="10"/>
  <c r="U128" i="10" s="1"/>
  <c r="D121" i="10"/>
  <c r="U127" i="10" s="1"/>
  <c r="C121" i="10"/>
  <c r="U126" i="10" s="1"/>
  <c r="B121" i="10"/>
  <c r="A121" i="10"/>
  <c r="AC119" i="10"/>
  <c r="AB119" i="10"/>
  <c r="X119" i="10"/>
  <c r="AC118" i="10"/>
  <c r="AB118" i="10"/>
  <c r="X118" i="10"/>
  <c r="AC117" i="10"/>
  <c r="AB117" i="10"/>
  <c r="X117" i="10"/>
  <c r="AC116" i="10"/>
  <c r="AB116" i="10"/>
  <c r="X116" i="10"/>
  <c r="AC115" i="10"/>
  <c r="AB115" i="10"/>
  <c r="X115" i="10"/>
  <c r="AC114" i="10"/>
  <c r="AB114" i="10"/>
  <c r="X114" i="10"/>
  <c r="AC113" i="10"/>
  <c r="AB113" i="10"/>
  <c r="X113" i="10"/>
  <c r="AC112" i="10"/>
  <c r="AB112" i="10"/>
  <c r="X112" i="10"/>
  <c r="AC111" i="10"/>
  <c r="AB111" i="10"/>
  <c r="X111" i="10"/>
  <c r="AC110" i="10"/>
  <c r="AB110" i="10"/>
  <c r="X110" i="10"/>
  <c r="AC109" i="10"/>
  <c r="AB109" i="10"/>
  <c r="X109" i="10"/>
  <c r="AC108" i="10"/>
  <c r="AB108" i="10"/>
  <c r="X108" i="10"/>
  <c r="AC107" i="10"/>
  <c r="AB107" i="10"/>
  <c r="X107" i="10"/>
  <c r="AC106" i="10"/>
  <c r="AB106" i="10"/>
  <c r="X106" i="10"/>
  <c r="AC105" i="10"/>
  <c r="AB105" i="10"/>
  <c r="X105" i="10"/>
  <c r="AC104" i="10"/>
  <c r="AB104" i="10"/>
  <c r="X104" i="10"/>
  <c r="AC103" i="10"/>
  <c r="AB103" i="10"/>
  <c r="X103" i="10"/>
  <c r="AC102" i="10"/>
  <c r="AB102" i="10"/>
  <c r="X102" i="10"/>
  <c r="AC101" i="10"/>
  <c r="AB101" i="10"/>
  <c r="X101" i="10"/>
  <c r="AC100" i="10"/>
  <c r="AB100" i="10"/>
  <c r="X100" i="10"/>
  <c r="AC99" i="10"/>
  <c r="AB99" i="10"/>
  <c r="X99" i="10"/>
  <c r="AC98" i="10"/>
  <c r="AB98" i="10"/>
  <c r="X98" i="10"/>
  <c r="AC97" i="10"/>
  <c r="AB97" i="10"/>
  <c r="X97" i="10"/>
  <c r="AC96" i="10"/>
  <c r="AB96" i="10"/>
  <c r="X96" i="10"/>
  <c r="AC95" i="10"/>
  <c r="AB95" i="10"/>
  <c r="X95" i="10"/>
  <c r="AC94" i="10"/>
  <c r="AB94" i="10"/>
  <c r="X94" i="10"/>
  <c r="AC93" i="10"/>
  <c r="AB93" i="10"/>
  <c r="X93" i="10"/>
  <c r="AC92" i="10"/>
  <c r="AB92" i="10"/>
  <c r="X92" i="10"/>
  <c r="AC91" i="10"/>
  <c r="AB91" i="10"/>
  <c r="X91" i="10"/>
  <c r="AC90" i="10"/>
  <c r="AB90" i="10"/>
  <c r="X90" i="10"/>
  <c r="AC89" i="10"/>
  <c r="AB89" i="10"/>
  <c r="X89" i="10"/>
  <c r="AC88" i="10"/>
  <c r="AB88" i="10"/>
  <c r="X88" i="10"/>
  <c r="AC87" i="10"/>
  <c r="AB87" i="10"/>
  <c r="X87" i="10"/>
  <c r="AC86" i="10"/>
  <c r="AB86" i="10"/>
  <c r="X86" i="10"/>
  <c r="AC85" i="10"/>
  <c r="AB85" i="10"/>
  <c r="X85" i="10"/>
  <c r="AC84" i="10"/>
  <c r="AB84" i="10"/>
  <c r="X84" i="10"/>
  <c r="AC83" i="10"/>
  <c r="AB83" i="10"/>
  <c r="X83" i="10"/>
  <c r="AC82" i="10"/>
  <c r="AB82" i="10"/>
  <c r="X82" i="10"/>
  <c r="AC81" i="10"/>
  <c r="AB81" i="10"/>
  <c r="X81" i="10"/>
  <c r="AC80" i="10"/>
  <c r="AB80" i="10"/>
  <c r="X80" i="10"/>
  <c r="AC79" i="10"/>
  <c r="AB79" i="10"/>
  <c r="X79" i="10"/>
  <c r="AC78" i="10"/>
  <c r="AB78" i="10"/>
  <c r="X78" i="10"/>
  <c r="AC77" i="10"/>
  <c r="AB77" i="10"/>
  <c r="X77" i="10"/>
  <c r="AC76" i="10"/>
  <c r="AB76" i="10"/>
  <c r="X76" i="10"/>
  <c r="AC75" i="10"/>
  <c r="AB75" i="10"/>
  <c r="X75" i="10"/>
  <c r="AC74" i="10"/>
  <c r="AB74" i="10"/>
  <c r="X74" i="10"/>
  <c r="AC73" i="10"/>
  <c r="AB73" i="10"/>
  <c r="X73" i="10"/>
  <c r="AC72" i="10"/>
  <c r="AB72" i="10"/>
  <c r="X72" i="10"/>
  <c r="AC71" i="10"/>
  <c r="AB71" i="10"/>
  <c r="X71" i="10"/>
  <c r="AC70" i="10"/>
  <c r="AB70" i="10"/>
  <c r="X70" i="10"/>
  <c r="AC69" i="10"/>
  <c r="AB69" i="10"/>
  <c r="X69" i="10"/>
  <c r="AC68" i="10"/>
  <c r="AB68" i="10"/>
  <c r="X68" i="10"/>
  <c r="AC67" i="10"/>
  <c r="AB67" i="10"/>
  <c r="X67" i="10"/>
  <c r="AC66" i="10"/>
  <c r="AB66" i="10"/>
  <c r="X66" i="10"/>
  <c r="AC65" i="10"/>
  <c r="AB65" i="10"/>
  <c r="X65" i="10"/>
  <c r="AC64" i="10"/>
  <c r="AB64" i="10"/>
  <c r="X64" i="10"/>
  <c r="AC63" i="10"/>
  <c r="AB63" i="10"/>
  <c r="X63" i="10"/>
  <c r="AC62" i="10"/>
  <c r="AB62" i="10"/>
  <c r="X62" i="10"/>
  <c r="AC61" i="10"/>
  <c r="AB61" i="10"/>
  <c r="X61" i="10"/>
  <c r="AC60" i="10"/>
  <c r="AB60" i="10"/>
  <c r="X60" i="10"/>
  <c r="AC59" i="10"/>
  <c r="AB59" i="10"/>
  <c r="X59" i="10"/>
  <c r="AC58" i="10"/>
  <c r="AB58" i="10"/>
  <c r="X58" i="10"/>
  <c r="AC57" i="10"/>
  <c r="AB57" i="10"/>
  <c r="X57" i="10"/>
  <c r="AC56" i="10"/>
  <c r="AB56" i="10"/>
  <c r="X56" i="10"/>
  <c r="AC55" i="10"/>
  <c r="AB55" i="10"/>
  <c r="X55" i="10"/>
  <c r="AC54" i="10"/>
  <c r="AB54" i="10"/>
  <c r="X54" i="10"/>
  <c r="AC53" i="10"/>
  <c r="AB53" i="10"/>
  <c r="X53" i="10"/>
  <c r="AC52" i="10"/>
  <c r="AB52" i="10"/>
  <c r="X52" i="10"/>
  <c r="AC51" i="10"/>
  <c r="AB51" i="10"/>
  <c r="X51" i="10"/>
  <c r="AC50" i="10"/>
  <c r="AB50" i="10"/>
  <c r="X50" i="10"/>
  <c r="AC49" i="10"/>
  <c r="AB49" i="10"/>
  <c r="X49" i="10"/>
  <c r="AC48" i="10"/>
  <c r="AB48" i="10"/>
  <c r="X48" i="10"/>
  <c r="AC47" i="10"/>
  <c r="AB47" i="10"/>
  <c r="X47" i="10"/>
  <c r="AC46" i="10"/>
  <c r="AB46" i="10"/>
  <c r="X46" i="10"/>
  <c r="AC45" i="10"/>
  <c r="AB45" i="10"/>
  <c r="X45" i="10"/>
  <c r="AC44" i="10"/>
  <c r="AB44" i="10"/>
  <c r="X44" i="10"/>
  <c r="AC43" i="10"/>
  <c r="AB43" i="10"/>
  <c r="X43" i="10"/>
  <c r="AC42" i="10"/>
  <c r="AB42" i="10"/>
  <c r="X42" i="10"/>
  <c r="AC41" i="10"/>
  <c r="AB41" i="10"/>
  <c r="X41" i="10"/>
  <c r="AC40" i="10"/>
  <c r="AB40" i="10"/>
  <c r="X40" i="10"/>
  <c r="AC39" i="10"/>
  <c r="AB39" i="10"/>
  <c r="X39" i="10"/>
  <c r="AC38" i="10"/>
  <c r="AB38" i="10"/>
  <c r="X38" i="10"/>
  <c r="AC37" i="10"/>
  <c r="AB37" i="10"/>
  <c r="X37" i="10"/>
  <c r="AC36" i="10"/>
  <c r="AB36" i="10"/>
  <c r="X36" i="10"/>
  <c r="AC35" i="10"/>
  <c r="AB35" i="10"/>
  <c r="X35" i="10"/>
  <c r="AC34" i="10"/>
  <c r="AB34" i="10"/>
  <c r="X34" i="10"/>
  <c r="AC33" i="10"/>
  <c r="AB33" i="10"/>
  <c r="X33" i="10"/>
  <c r="AC32" i="10"/>
  <c r="AB32" i="10"/>
  <c r="X32" i="10"/>
  <c r="AC31" i="10"/>
  <c r="AB31" i="10"/>
  <c r="X31" i="10"/>
  <c r="AC30" i="10"/>
  <c r="AB30" i="10"/>
  <c r="X30" i="10"/>
  <c r="AC29" i="10"/>
  <c r="AB29" i="10"/>
  <c r="X29" i="10"/>
  <c r="AC28" i="10"/>
  <c r="AB28" i="10"/>
  <c r="X28" i="10"/>
  <c r="AC27" i="10"/>
  <c r="AB27" i="10"/>
  <c r="X27" i="10"/>
  <c r="AC26" i="10"/>
  <c r="AB26" i="10"/>
  <c r="X26" i="10"/>
  <c r="AC25" i="10"/>
  <c r="AB25" i="10"/>
  <c r="X25" i="10"/>
  <c r="AC24" i="10"/>
  <c r="AB24" i="10"/>
  <c r="X24" i="10"/>
  <c r="AC23" i="10"/>
  <c r="AB23" i="10"/>
  <c r="X23" i="10"/>
  <c r="AC22" i="10"/>
  <c r="AB22" i="10"/>
  <c r="X22" i="10"/>
  <c r="AC21" i="10"/>
  <c r="AB21" i="10"/>
  <c r="X21" i="10"/>
  <c r="AC20" i="10"/>
  <c r="AB20" i="10"/>
  <c r="X20" i="10"/>
  <c r="AC19" i="10"/>
  <c r="AB19" i="10"/>
  <c r="X19" i="10"/>
  <c r="AC18" i="10"/>
  <c r="AB18" i="10"/>
  <c r="X18" i="10"/>
  <c r="AC17" i="10"/>
  <c r="AB17" i="10"/>
  <c r="X17" i="10"/>
  <c r="AC16" i="10"/>
  <c r="AB16" i="10"/>
  <c r="X16" i="10"/>
  <c r="AC15" i="10"/>
  <c r="AB15" i="10"/>
  <c r="X15" i="10"/>
  <c r="AC14" i="10"/>
  <c r="AB14" i="10"/>
  <c r="X14" i="10"/>
  <c r="AC13" i="10"/>
  <c r="AB13" i="10"/>
  <c r="X13" i="10"/>
  <c r="AC12" i="10"/>
  <c r="AB12" i="10"/>
  <c r="X12" i="10"/>
  <c r="AC11" i="10"/>
  <c r="AB11" i="10"/>
  <c r="X11" i="10"/>
  <c r="AC10" i="10"/>
  <c r="AB10" i="10"/>
  <c r="X10" i="10"/>
  <c r="AC9" i="10"/>
  <c r="AB9" i="10"/>
  <c r="X9" i="10"/>
  <c r="AB8" i="10"/>
  <c r="X8" i="10"/>
  <c r="AC7" i="10"/>
  <c r="AB7" i="10"/>
  <c r="X7" i="10"/>
  <c r="AC6" i="10"/>
  <c r="AB6" i="10"/>
  <c r="X6" i="10"/>
  <c r="AB5" i="10"/>
  <c r="X5" i="10"/>
  <c r="AB4" i="10"/>
  <c r="X4" i="10"/>
  <c r="AB3" i="10"/>
  <c r="X3" i="10"/>
  <c r="AB2" i="10"/>
  <c r="X2" i="10"/>
  <c r="U134" i="9"/>
  <c r="B133" i="9"/>
  <c r="U133" i="9" s="1"/>
  <c r="B132" i="9"/>
  <c r="U132" i="9" s="1"/>
  <c r="U131" i="9"/>
  <c r="B131" i="9"/>
  <c r="U130" i="9"/>
  <c r="B130" i="9"/>
  <c r="B129" i="9"/>
  <c r="M128" i="9"/>
  <c r="P128" i="9" s="1"/>
  <c r="W128" i="9" s="1"/>
  <c r="B128" i="9"/>
  <c r="U128" i="9" s="1"/>
  <c r="B127" i="9"/>
  <c r="U127" i="9" s="1"/>
  <c r="B126" i="9"/>
  <c r="U126" i="9" s="1"/>
  <c r="U125" i="9"/>
  <c r="B125" i="9"/>
  <c r="O123" i="9"/>
  <c r="M123" i="9"/>
  <c r="M125" i="9" s="1"/>
  <c r="P125" i="9" s="1"/>
  <c r="M122" i="9"/>
  <c r="M130" i="9" s="1"/>
  <c r="P130" i="9" s="1"/>
  <c r="W130" i="9" s="1"/>
  <c r="K121" i="9"/>
  <c r="J121" i="9"/>
  <c r="I121" i="9"/>
  <c r="H121" i="9"/>
  <c r="G121" i="9"/>
  <c r="F121" i="9"/>
  <c r="U129" i="9" s="1"/>
  <c r="E121" i="9"/>
  <c r="D121" i="9"/>
  <c r="C121" i="9"/>
  <c r="B121" i="9"/>
  <c r="A121" i="9"/>
  <c r="AC119" i="9"/>
  <c r="AB119" i="9"/>
  <c r="X119" i="9"/>
  <c r="AC118" i="9"/>
  <c r="AB118" i="9"/>
  <c r="X118" i="9"/>
  <c r="AC117" i="9"/>
  <c r="AB117" i="9"/>
  <c r="X117" i="9"/>
  <c r="AC116" i="9"/>
  <c r="AB116" i="9"/>
  <c r="X116" i="9"/>
  <c r="AC115" i="9"/>
  <c r="AB115" i="9"/>
  <c r="X115" i="9"/>
  <c r="AC114" i="9"/>
  <c r="AB114" i="9"/>
  <c r="X114" i="9"/>
  <c r="AC113" i="9"/>
  <c r="AB113" i="9"/>
  <c r="X113" i="9"/>
  <c r="AC112" i="9"/>
  <c r="AB112" i="9"/>
  <c r="X112" i="9"/>
  <c r="AC111" i="9"/>
  <c r="AB111" i="9"/>
  <c r="X111" i="9"/>
  <c r="AC110" i="9"/>
  <c r="AB110" i="9"/>
  <c r="X110" i="9"/>
  <c r="AC109" i="9"/>
  <c r="AB109" i="9"/>
  <c r="X109" i="9"/>
  <c r="AC108" i="9"/>
  <c r="AB108" i="9"/>
  <c r="X108" i="9"/>
  <c r="AC107" i="9"/>
  <c r="AB107" i="9"/>
  <c r="X107" i="9"/>
  <c r="AC106" i="9"/>
  <c r="AB106" i="9"/>
  <c r="X106" i="9"/>
  <c r="AC105" i="9"/>
  <c r="AB105" i="9"/>
  <c r="X105" i="9"/>
  <c r="AC104" i="9"/>
  <c r="AB104" i="9"/>
  <c r="X104" i="9"/>
  <c r="AC103" i="9"/>
  <c r="AB103" i="9"/>
  <c r="X103" i="9"/>
  <c r="AC102" i="9"/>
  <c r="AB102" i="9"/>
  <c r="X102" i="9"/>
  <c r="AC101" i="9"/>
  <c r="AB101" i="9"/>
  <c r="X101" i="9"/>
  <c r="AC100" i="9"/>
  <c r="AB100" i="9"/>
  <c r="X100" i="9"/>
  <c r="AC99" i="9"/>
  <c r="AB99" i="9"/>
  <c r="X99" i="9"/>
  <c r="AC98" i="9"/>
  <c r="AB98" i="9"/>
  <c r="X98" i="9"/>
  <c r="AC97" i="9"/>
  <c r="AB97" i="9"/>
  <c r="X97" i="9"/>
  <c r="AC96" i="9"/>
  <c r="AB96" i="9"/>
  <c r="X96" i="9"/>
  <c r="AC95" i="9"/>
  <c r="AB95" i="9"/>
  <c r="X95" i="9"/>
  <c r="AC94" i="9"/>
  <c r="AB94" i="9"/>
  <c r="X94" i="9"/>
  <c r="AC93" i="9"/>
  <c r="AB93" i="9"/>
  <c r="X93" i="9"/>
  <c r="AC92" i="9"/>
  <c r="AB92" i="9"/>
  <c r="X92" i="9"/>
  <c r="AC91" i="9"/>
  <c r="AB91" i="9"/>
  <c r="X91" i="9"/>
  <c r="AC90" i="9"/>
  <c r="AB90" i="9"/>
  <c r="X90" i="9"/>
  <c r="AC89" i="9"/>
  <c r="AB89" i="9"/>
  <c r="X89" i="9"/>
  <c r="AC88" i="9"/>
  <c r="AB88" i="9"/>
  <c r="X88" i="9"/>
  <c r="AC87" i="9"/>
  <c r="AB87" i="9"/>
  <c r="X87" i="9"/>
  <c r="AC86" i="9"/>
  <c r="AB86" i="9"/>
  <c r="X86" i="9"/>
  <c r="AC85" i="9"/>
  <c r="AB85" i="9"/>
  <c r="X85" i="9"/>
  <c r="AC84" i="9"/>
  <c r="AB84" i="9"/>
  <c r="X84" i="9"/>
  <c r="AC83" i="9"/>
  <c r="AB83" i="9"/>
  <c r="X83" i="9"/>
  <c r="AC82" i="9"/>
  <c r="AB82" i="9"/>
  <c r="X82" i="9"/>
  <c r="AC81" i="9"/>
  <c r="AB81" i="9"/>
  <c r="X81" i="9"/>
  <c r="AC80" i="9"/>
  <c r="AB80" i="9"/>
  <c r="X80" i="9"/>
  <c r="AC79" i="9"/>
  <c r="AB79" i="9"/>
  <c r="X79" i="9"/>
  <c r="AC78" i="9"/>
  <c r="AB78" i="9"/>
  <c r="X78" i="9"/>
  <c r="AC77" i="9"/>
  <c r="AB77" i="9"/>
  <c r="X77" i="9"/>
  <c r="AC76" i="9"/>
  <c r="AB76" i="9"/>
  <c r="X76" i="9"/>
  <c r="AC75" i="9"/>
  <c r="AB75" i="9"/>
  <c r="X75" i="9"/>
  <c r="AC74" i="9"/>
  <c r="AB74" i="9"/>
  <c r="X74" i="9"/>
  <c r="AC73" i="9"/>
  <c r="AB73" i="9"/>
  <c r="X73" i="9"/>
  <c r="AC72" i="9"/>
  <c r="AB72" i="9"/>
  <c r="X72" i="9"/>
  <c r="AC71" i="9"/>
  <c r="AB71" i="9"/>
  <c r="X71" i="9"/>
  <c r="AC70" i="9"/>
  <c r="AB70" i="9"/>
  <c r="X70" i="9"/>
  <c r="AC69" i="9"/>
  <c r="AB69" i="9"/>
  <c r="X69" i="9"/>
  <c r="AC68" i="9"/>
  <c r="AB68" i="9"/>
  <c r="X68" i="9"/>
  <c r="AC67" i="9"/>
  <c r="AB67" i="9"/>
  <c r="X67" i="9"/>
  <c r="AC66" i="9"/>
  <c r="AB66" i="9"/>
  <c r="X66" i="9"/>
  <c r="AC65" i="9"/>
  <c r="AB65" i="9"/>
  <c r="X65" i="9"/>
  <c r="AC64" i="9"/>
  <c r="AB64" i="9"/>
  <c r="X64" i="9"/>
  <c r="AC63" i="9"/>
  <c r="AB63" i="9"/>
  <c r="X63" i="9"/>
  <c r="AC62" i="9"/>
  <c r="AB62" i="9"/>
  <c r="X62" i="9"/>
  <c r="AC61" i="9"/>
  <c r="AB61" i="9"/>
  <c r="X61" i="9"/>
  <c r="AC60" i="9"/>
  <c r="AB60" i="9"/>
  <c r="X60" i="9"/>
  <c r="AC59" i="9"/>
  <c r="AB59" i="9"/>
  <c r="X59" i="9"/>
  <c r="AC58" i="9"/>
  <c r="AB58" i="9"/>
  <c r="X58" i="9"/>
  <c r="AC57" i="9"/>
  <c r="AB57" i="9"/>
  <c r="X57" i="9"/>
  <c r="AC56" i="9"/>
  <c r="AB56" i="9"/>
  <c r="X56" i="9"/>
  <c r="AC55" i="9"/>
  <c r="AB55" i="9"/>
  <c r="X55" i="9"/>
  <c r="AC54" i="9"/>
  <c r="AB54" i="9"/>
  <c r="X54" i="9"/>
  <c r="AC53" i="9"/>
  <c r="AB53" i="9"/>
  <c r="X53" i="9"/>
  <c r="AC52" i="9"/>
  <c r="AB52" i="9"/>
  <c r="X52" i="9"/>
  <c r="AC51" i="9"/>
  <c r="AB51" i="9"/>
  <c r="X51" i="9"/>
  <c r="AC50" i="9"/>
  <c r="AB50" i="9"/>
  <c r="X50" i="9"/>
  <c r="AC49" i="9"/>
  <c r="AB49" i="9"/>
  <c r="X49" i="9"/>
  <c r="AC48" i="9"/>
  <c r="AB48" i="9"/>
  <c r="X48" i="9"/>
  <c r="AC47" i="9"/>
  <c r="AB47" i="9"/>
  <c r="X47" i="9"/>
  <c r="AC46" i="9"/>
  <c r="AB46" i="9"/>
  <c r="X46" i="9"/>
  <c r="AC45" i="9"/>
  <c r="AB45" i="9"/>
  <c r="X45" i="9"/>
  <c r="AC44" i="9"/>
  <c r="AB44" i="9"/>
  <c r="X44" i="9"/>
  <c r="AC43" i="9"/>
  <c r="AB43" i="9"/>
  <c r="X43" i="9"/>
  <c r="AC42" i="9"/>
  <c r="AB42" i="9"/>
  <c r="X42" i="9"/>
  <c r="AC41" i="9"/>
  <c r="AB41" i="9"/>
  <c r="X41" i="9"/>
  <c r="AC40" i="9"/>
  <c r="AB40" i="9"/>
  <c r="X40" i="9"/>
  <c r="AC39" i="9"/>
  <c r="AB39" i="9"/>
  <c r="X39" i="9"/>
  <c r="AC38" i="9"/>
  <c r="AB38" i="9"/>
  <c r="X38" i="9"/>
  <c r="AC37" i="9"/>
  <c r="AB37" i="9"/>
  <c r="X37" i="9"/>
  <c r="AC36" i="9"/>
  <c r="AB36" i="9"/>
  <c r="X36" i="9"/>
  <c r="AC35" i="9"/>
  <c r="AB35" i="9"/>
  <c r="X35" i="9"/>
  <c r="AC34" i="9"/>
  <c r="AB34" i="9"/>
  <c r="X34" i="9"/>
  <c r="AC33" i="9"/>
  <c r="AB33" i="9"/>
  <c r="X33" i="9"/>
  <c r="AC32" i="9"/>
  <c r="AB32" i="9"/>
  <c r="X32" i="9"/>
  <c r="AC31" i="9"/>
  <c r="AB31" i="9"/>
  <c r="X31" i="9"/>
  <c r="AC30" i="9"/>
  <c r="AB30" i="9"/>
  <c r="X30" i="9"/>
  <c r="AC29" i="9"/>
  <c r="AB29" i="9"/>
  <c r="X29" i="9"/>
  <c r="AC28" i="9"/>
  <c r="AB28" i="9"/>
  <c r="X28" i="9"/>
  <c r="AC27" i="9"/>
  <c r="AB27" i="9"/>
  <c r="X27" i="9"/>
  <c r="AC26" i="9"/>
  <c r="AB26" i="9"/>
  <c r="X26" i="9"/>
  <c r="AC25" i="9"/>
  <c r="AB25" i="9"/>
  <c r="X25" i="9"/>
  <c r="AC24" i="9"/>
  <c r="AB24" i="9"/>
  <c r="X24" i="9"/>
  <c r="AC23" i="9"/>
  <c r="AB23" i="9"/>
  <c r="X23" i="9"/>
  <c r="AC22" i="9"/>
  <c r="AB22" i="9"/>
  <c r="X22" i="9"/>
  <c r="AC21" i="9"/>
  <c r="AB21" i="9"/>
  <c r="X21" i="9"/>
  <c r="AC20" i="9"/>
  <c r="AB20" i="9"/>
  <c r="X20" i="9"/>
  <c r="AC19" i="9"/>
  <c r="AB19" i="9"/>
  <c r="X19" i="9"/>
  <c r="AC18" i="9"/>
  <c r="AB18" i="9"/>
  <c r="X18" i="9"/>
  <c r="AC17" i="9"/>
  <c r="AB17" i="9"/>
  <c r="X17" i="9"/>
  <c r="AC16" i="9"/>
  <c r="AB16" i="9"/>
  <c r="X16" i="9"/>
  <c r="AC15" i="9"/>
  <c r="AB15" i="9"/>
  <c r="X15" i="9"/>
  <c r="AC14" i="9"/>
  <c r="AB14" i="9"/>
  <c r="X14" i="9"/>
  <c r="AC13" i="9"/>
  <c r="AB13" i="9"/>
  <c r="X13" i="9"/>
  <c r="AC12" i="9"/>
  <c r="AB12" i="9"/>
  <c r="X12" i="9"/>
  <c r="AC11" i="9"/>
  <c r="AB11" i="9"/>
  <c r="X11" i="9"/>
  <c r="AC10" i="9"/>
  <c r="AB10" i="9"/>
  <c r="X10" i="9"/>
  <c r="AC9" i="9"/>
  <c r="AB9" i="9"/>
  <c r="X9" i="9"/>
  <c r="AB8" i="9"/>
  <c r="X8" i="9"/>
  <c r="AC7" i="9"/>
  <c r="AB7" i="9"/>
  <c r="X7" i="9"/>
  <c r="AC6" i="9"/>
  <c r="AB6" i="9"/>
  <c r="X6" i="9"/>
  <c r="AB5" i="9"/>
  <c r="X5" i="9"/>
  <c r="AB4" i="9"/>
  <c r="X4" i="9"/>
  <c r="AB3" i="9"/>
  <c r="X3" i="9"/>
  <c r="AB2" i="9"/>
  <c r="X2" i="9"/>
  <c r="B133" i="8"/>
  <c r="M132" i="8"/>
  <c r="P132" i="8" s="1"/>
  <c r="B132" i="8"/>
  <c r="B131" i="8"/>
  <c r="U131" i="8" s="1"/>
  <c r="P130" i="8"/>
  <c r="M130" i="8"/>
  <c r="B130" i="8"/>
  <c r="B129" i="8"/>
  <c r="U129" i="8" s="1"/>
  <c r="B128" i="8"/>
  <c r="U128" i="8" s="1"/>
  <c r="B127" i="8"/>
  <c r="P126" i="8"/>
  <c r="M126" i="8"/>
  <c r="B126" i="8"/>
  <c r="B125" i="8"/>
  <c r="U125" i="8" s="1"/>
  <c r="O123" i="8"/>
  <c r="M123" i="8"/>
  <c r="M122" i="8"/>
  <c r="K121" i="8"/>
  <c r="J121" i="8"/>
  <c r="U133" i="8" s="1"/>
  <c r="I121" i="8"/>
  <c r="H121" i="8"/>
  <c r="G121" i="8"/>
  <c r="F121" i="8"/>
  <c r="E121" i="8"/>
  <c r="D121" i="8"/>
  <c r="C121" i="8"/>
  <c r="B121" i="8"/>
  <c r="A121" i="8"/>
  <c r="AC119" i="8"/>
  <c r="AB119" i="8"/>
  <c r="X119" i="8"/>
  <c r="AC118" i="8"/>
  <c r="AB118" i="8"/>
  <c r="X118" i="8"/>
  <c r="AC117" i="8"/>
  <c r="AB117" i="8"/>
  <c r="X117" i="8"/>
  <c r="AC116" i="8"/>
  <c r="AB116" i="8"/>
  <c r="X116" i="8"/>
  <c r="AC115" i="8"/>
  <c r="AB115" i="8"/>
  <c r="X115" i="8"/>
  <c r="AC114" i="8"/>
  <c r="AB114" i="8"/>
  <c r="X114" i="8"/>
  <c r="AC113" i="8"/>
  <c r="AB113" i="8"/>
  <c r="X113" i="8"/>
  <c r="AC112" i="8"/>
  <c r="AB112" i="8"/>
  <c r="X112" i="8"/>
  <c r="AC111" i="8"/>
  <c r="AB111" i="8"/>
  <c r="X111" i="8"/>
  <c r="AC110" i="8"/>
  <c r="AB110" i="8"/>
  <c r="X110" i="8"/>
  <c r="AC109" i="8"/>
  <c r="AB109" i="8"/>
  <c r="X109" i="8"/>
  <c r="AC108" i="8"/>
  <c r="AB108" i="8"/>
  <c r="X108" i="8"/>
  <c r="AC107" i="8"/>
  <c r="AB107" i="8"/>
  <c r="X107" i="8"/>
  <c r="AC106" i="8"/>
  <c r="AB106" i="8"/>
  <c r="X106" i="8"/>
  <c r="AC105" i="8"/>
  <c r="AB105" i="8"/>
  <c r="X105" i="8"/>
  <c r="AC104" i="8"/>
  <c r="AB104" i="8"/>
  <c r="X104" i="8"/>
  <c r="AC103" i="8"/>
  <c r="AB103" i="8"/>
  <c r="X103" i="8"/>
  <c r="AC102" i="8"/>
  <c r="AB102" i="8"/>
  <c r="X102" i="8"/>
  <c r="AC101" i="8"/>
  <c r="AB101" i="8"/>
  <c r="X101" i="8"/>
  <c r="AC100" i="8"/>
  <c r="AB100" i="8"/>
  <c r="X100" i="8"/>
  <c r="AC99" i="8"/>
  <c r="AB99" i="8"/>
  <c r="X99" i="8"/>
  <c r="AC98" i="8"/>
  <c r="AB98" i="8"/>
  <c r="X98" i="8"/>
  <c r="AC97" i="8"/>
  <c r="AB97" i="8"/>
  <c r="X97" i="8"/>
  <c r="AC96" i="8"/>
  <c r="AB96" i="8"/>
  <c r="X96" i="8"/>
  <c r="AC95" i="8"/>
  <c r="AB95" i="8"/>
  <c r="X95" i="8"/>
  <c r="AC94" i="8"/>
  <c r="AB94" i="8"/>
  <c r="X94" i="8"/>
  <c r="AC93" i="8"/>
  <c r="AB93" i="8"/>
  <c r="X93" i="8"/>
  <c r="AC92" i="8"/>
  <c r="AB92" i="8"/>
  <c r="X92" i="8"/>
  <c r="AC91" i="8"/>
  <c r="AB91" i="8"/>
  <c r="X91" i="8"/>
  <c r="AC90" i="8"/>
  <c r="AB90" i="8"/>
  <c r="X90" i="8"/>
  <c r="AC89" i="8"/>
  <c r="AB89" i="8"/>
  <c r="X89" i="8"/>
  <c r="AC88" i="8"/>
  <c r="AB88" i="8"/>
  <c r="X88" i="8"/>
  <c r="AC87" i="8"/>
  <c r="AB87" i="8"/>
  <c r="X87" i="8"/>
  <c r="AC86" i="8"/>
  <c r="AB86" i="8"/>
  <c r="X86" i="8"/>
  <c r="AC85" i="8"/>
  <c r="AB85" i="8"/>
  <c r="X85" i="8"/>
  <c r="AC84" i="8"/>
  <c r="AB84" i="8"/>
  <c r="X84" i="8"/>
  <c r="AC83" i="8"/>
  <c r="AB83" i="8"/>
  <c r="X83" i="8"/>
  <c r="AC82" i="8"/>
  <c r="AB82" i="8"/>
  <c r="X82" i="8"/>
  <c r="AC81" i="8"/>
  <c r="AB81" i="8"/>
  <c r="X81" i="8"/>
  <c r="AC80" i="8"/>
  <c r="AB80" i="8"/>
  <c r="X80" i="8"/>
  <c r="AC79" i="8"/>
  <c r="AB79" i="8"/>
  <c r="X79" i="8"/>
  <c r="AC78" i="8"/>
  <c r="AB78" i="8"/>
  <c r="X78" i="8"/>
  <c r="AC77" i="8"/>
  <c r="AB77" i="8"/>
  <c r="X77" i="8"/>
  <c r="AC76" i="8"/>
  <c r="AB76" i="8"/>
  <c r="X76" i="8"/>
  <c r="AC75" i="8"/>
  <c r="AB75" i="8"/>
  <c r="X75" i="8"/>
  <c r="AC74" i="8"/>
  <c r="AB74" i="8"/>
  <c r="X74" i="8"/>
  <c r="AC73" i="8"/>
  <c r="AB73" i="8"/>
  <c r="X73" i="8"/>
  <c r="AC72" i="8"/>
  <c r="AB72" i="8"/>
  <c r="X72" i="8"/>
  <c r="AC71" i="8"/>
  <c r="AB71" i="8"/>
  <c r="X71" i="8"/>
  <c r="AC70" i="8"/>
  <c r="AB70" i="8"/>
  <c r="X70" i="8"/>
  <c r="AC69" i="8"/>
  <c r="AB69" i="8"/>
  <c r="X69" i="8"/>
  <c r="AC68" i="8"/>
  <c r="AB68" i="8"/>
  <c r="X68" i="8"/>
  <c r="AC67" i="8"/>
  <c r="AB67" i="8"/>
  <c r="X67" i="8"/>
  <c r="AC66" i="8"/>
  <c r="AB66" i="8"/>
  <c r="X66" i="8"/>
  <c r="AC65" i="8"/>
  <c r="AB65" i="8"/>
  <c r="X65" i="8"/>
  <c r="AC64" i="8"/>
  <c r="AB64" i="8"/>
  <c r="X64" i="8"/>
  <c r="AC63" i="8"/>
  <c r="AB63" i="8"/>
  <c r="X63" i="8"/>
  <c r="AC62" i="8"/>
  <c r="AB62" i="8"/>
  <c r="X62" i="8"/>
  <c r="AC61" i="8"/>
  <c r="AB61" i="8"/>
  <c r="X61" i="8"/>
  <c r="AC60" i="8"/>
  <c r="AB60" i="8"/>
  <c r="X60" i="8"/>
  <c r="AC59" i="8"/>
  <c r="AB59" i="8"/>
  <c r="X59" i="8"/>
  <c r="AC58" i="8"/>
  <c r="AB58" i="8"/>
  <c r="X58" i="8"/>
  <c r="AC57" i="8"/>
  <c r="AB57" i="8"/>
  <c r="X57" i="8"/>
  <c r="AC56" i="8"/>
  <c r="AB56" i="8"/>
  <c r="X56" i="8"/>
  <c r="AC55" i="8"/>
  <c r="AB55" i="8"/>
  <c r="X55" i="8"/>
  <c r="AC54" i="8"/>
  <c r="AB54" i="8"/>
  <c r="X54" i="8"/>
  <c r="AC53" i="8"/>
  <c r="AB53" i="8"/>
  <c r="X53" i="8"/>
  <c r="AC52" i="8"/>
  <c r="AB52" i="8"/>
  <c r="X52" i="8"/>
  <c r="AC51" i="8"/>
  <c r="AB51" i="8"/>
  <c r="X51" i="8"/>
  <c r="AC50" i="8"/>
  <c r="AB50" i="8"/>
  <c r="X50" i="8"/>
  <c r="AC49" i="8"/>
  <c r="AB49" i="8"/>
  <c r="X49" i="8"/>
  <c r="AC48" i="8"/>
  <c r="AB48" i="8"/>
  <c r="X48" i="8"/>
  <c r="AC47" i="8"/>
  <c r="AB47" i="8"/>
  <c r="X47" i="8"/>
  <c r="AC46" i="8"/>
  <c r="AB46" i="8"/>
  <c r="X46" i="8"/>
  <c r="AC45" i="8"/>
  <c r="AB45" i="8"/>
  <c r="X45" i="8"/>
  <c r="AC44" i="8"/>
  <c r="AB44" i="8"/>
  <c r="X44" i="8"/>
  <c r="AC43" i="8"/>
  <c r="AB43" i="8"/>
  <c r="X43" i="8"/>
  <c r="AC42" i="8"/>
  <c r="AB42" i="8"/>
  <c r="X42" i="8"/>
  <c r="AC41" i="8"/>
  <c r="AB41" i="8"/>
  <c r="X41" i="8"/>
  <c r="AC40" i="8"/>
  <c r="AB40" i="8"/>
  <c r="X40" i="8"/>
  <c r="AC39" i="8"/>
  <c r="AB39" i="8"/>
  <c r="X39" i="8"/>
  <c r="AC38" i="8"/>
  <c r="AB38" i="8"/>
  <c r="X38" i="8"/>
  <c r="AC37" i="8"/>
  <c r="AB37" i="8"/>
  <c r="X37" i="8"/>
  <c r="AC36" i="8"/>
  <c r="AB36" i="8"/>
  <c r="X36" i="8"/>
  <c r="AC35" i="8"/>
  <c r="AB35" i="8"/>
  <c r="X35" i="8"/>
  <c r="AC34" i="8"/>
  <c r="AB34" i="8"/>
  <c r="X34" i="8"/>
  <c r="AC33" i="8"/>
  <c r="AB33" i="8"/>
  <c r="X33" i="8"/>
  <c r="AC32" i="8"/>
  <c r="AB32" i="8"/>
  <c r="X32" i="8"/>
  <c r="AC31" i="8"/>
  <c r="AB31" i="8"/>
  <c r="X31" i="8"/>
  <c r="AC30" i="8"/>
  <c r="AB30" i="8"/>
  <c r="X30" i="8"/>
  <c r="AC29" i="8"/>
  <c r="AB29" i="8"/>
  <c r="X29" i="8"/>
  <c r="AC28" i="8"/>
  <c r="AB28" i="8"/>
  <c r="X28" i="8"/>
  <c r="AC27" i="8"/>
  <c r="AB27" i="8"/>
  <c r="X27" i="8"/>
  <c r="AC26" i="8"/>
  <c r="AB26" i="8"/>
  <c r="X26" i="8"/>
  <c r="AC25" i="8"/>
  <c r="AB25" i="8"/>
  <c r="X25" i="8"/>
  <c r="AC24" i="8"/>
  <c r="AB24" i="8"/>
  <c r="X24" i="8"/>
  <c r="AC23" i="8"/>
  <c r="AB23" i="8"/>
  <c r="X23" i="8"/>
  <c r="AC22" i="8"/>
  <c r="AB22" i="8"/>
  <c r="X22" i="8"/>
  <c r="AC21" i="8"/>
  <c r="AB21" i="8"/>
  <c r="X21" i="8"/>
  <c r="AC20" i="8"/>
  <c r="AB20" i="8"/>
  <c r="X20" i="8"/>
  <c r="AC19" i="8"/>
  <c r="AB19" i="8"/>
  <c r="X19" i="8"/>
  <c r="AC18" i="8"/>
  <c r="AB18" i="8"/>
  <c r="X18" i="8"/>
  <c r="AC17" i="8"/>
  <c r="AB17" i="8"/>
  <c r="X17" i="8"/>
  <c r="AC16" i="8"/>
  <c r="AB16" i="8"/>
  <c r="X16" i="8"/>
  <c r="AC15" i="8"/>
  <c r="AB15" i="8"/>
  <c r="X15" i="8"/>
  <c r="AC14" i="8"/>
  <c r="AB14" i="8"/>
  <c r="X14" i="8"/>
  <c r="AC13" i="8"/>
  <c r="AB13" i="8"/>
  <c r="X13" i="8"/>
  <c r="AC12" i="8"/>
  <c r="AB12" i="8"/>
  <c r="X12" i="8"/>
  <c r="AC11" i="8"/>
  <c r="AB11" i="8"/>
  <c r="X11" i="8"/>
  <c r="AC10" i="8"/>
  <c r="AB10" i="8"/>
  <c r="X10" i="8"/>
  <c r="AC9" i="8"/>
  <c r="AB9" i="8"/>
  <c r="X9" i="8"/>
  <c r="AB8" i="8"/>
  <c r="X8" i="8"/>
  <c r="AC7" i="8"/>
  <c r="AB7" i="8"/>
  <c r="X7" i="8"/>
  <c r="AC6" i="8"/>
  <c r="AB6" i="8"/>
  <c r="X6" i="8"/>
  <c r="AB5" i="8"/>
  <c r="X5" i="8"/>
  <c r="AB4" i="8"/>
  <c r="X4" i="8"/>
  <c r="AB3" i="8"/>
  <c r="X3" i="8"/>
  <c r="AB2" i="8"/>
  <c r="X2" i="8"/>
  <c r="P133" i="7"/>
  <c r="W133" i="7" s="1"/>
  <c r="B133" i="7"/>
  <c r="B132" i="7"/>
  <c r="U132" i="7" s="1"/>
  <c r="M131" i="7"/>
  <c r="P131" i="7" s="1"/>
  <c r="B131" i="7"/>
  <c r="U131" i="7" s="1"/>
  <c r="B130" i="7"/>
  <c r="B129" i="7"/>
  <c r="U129" i="7" s="1"/>
  <c r="U128" i="7"/>
  <c r="M128" i="7"/>
  <c r="P128" i="7" s="1"/>
  <c r="B128" i="7"/>
  <c r="B127" i="7"/>
  <c r="U127" i="7" s="1"/>
  <c r="U126" i="7"/>
  <c r="M126" i="7"/>
  <c r="P126" i="7" s="1"/>
  <c r="W126" i="7" s="1"/>
  <c r="B126" i="7"/>
  <c r="B125" i="7"/>
  <c r="U125" i="7" s="1"/>
  <c r="O123" i="7"/>
  <c r="M123" i="7"/>
  <c r="M133" i="7" s="1"/>
  <c r="M122" i="7"/>
  <c r="K121" i="7"/>
  <c r="J121" i="7"/>
  <c r="U133" i="7" s="1"/>
  <c r="I121" i="7"/>
  <c r="H121" i="7"/>
  <c r="G121" i="7"/>
  <c r="U130" i="7" s="1"/>
  <c r="F121" i="7"/>
  <c r="E121" i="7"/>
  <c r="D121" i="7"/>
  <c r="C121" i="7"/>
  <c r="B121" i="7"/>
  <c r="A121" i="7"/>
  <c r="U134" i="7" s="1"/>
  <c r="AC119" i="7"/>
  <c r="AB119" i="7"/>
  <c r="X119" i="7"/>
  <c r="AC118" i="7"/>
  <c r="AB118" i="7"/>
  <c r="X118" i="7"/>
  <c r="AC117" i="7"/>
  <c r="AB117" i="7"/>
  <c r="X117" i="7"/>
  <c r="AC116" i="7"/>
  <c r="AB116" i="7"/>
  <c r="X116" i="7"/>
  <c r="AC115" i="7"/>
  <c r="AB115" i="7"/>
  <c r="X115" i="7"/>
  <c r="AC114" i="7"/>
  <c r="AB114" i="7"/>
  <c r="X114" i="7"/>
  <c r="AC113" i="7"/>
  <c r="AB113" i="7"/>
  <c r="X113" i="7"/>
  <c r="AC112" i="7"/>
  <c r="AB112" i="7"/>
  <c r="X112" i="7"/>
  <c r="AC111" i="7"/>
  <c r="AB111" i="7"/>
  <c r="X111" i="7"/>
  <c r="AC110" i="7"/>
  <c r="AB110" i="7"/>
  <c r="X110" i="7"/>
  <c r="AC109" i="7"/>
  <c r="AB109" i="7"/>
  <c r="X109" i="7"/>
  <c r="AC108" i="7"/>
  <c r="AB108" i="7"/>
  <c r="X108" i="7"/>
  <c r="AC107" i="7"/>
  <c r="AB107" i="7"/>
  <c r="X107" i="7"/>
  <c r="AC106" i="7"/>
  <c r="AB106" i="7"/>
  <c r="X106" i="7"/>
  <c r="AC105" i="7"/>
  <c r="AB105" i="7"/>
  <c r="X105" i="7"/>
  <c r="AC104" i="7"/>
  <c r="AB104" i="7"/>
  <c r="X104" i="7"/>
  <c r="AC103" i="7"/>
  <c r="AB103" i="7"/>
  <c r="X103" i="7"/>
  <c r="AC102" i="7"/>
  <c r="AB102" i="7"/>
  <c r="X102" i="7"/>
  <c r="AC101" i="7"/>
  <c r="AB101" i="7"/>
  <c r="X101" i="7"/>
  <c r="AC100" i="7"/>
  <c r="AB100" i="7"/>
  <c r="X100" i="7"/>
  <c r="AC99" i="7"/>
  <c r="AB99" i="7"/>
  <c r="X99" i="7"/>
  <c r="AC98" i="7"/>
  <c r="AB98" i="7"/>
  <c r="X98" i="7"/>
  <c r="AC97" i="7"/>
  <c r="AB97" i="7"/>
  <c r="X97" i="7"/>
  <c r="AC96" i="7"/>
  <c r="AB96" i="7"/>
  <c r="X96" i="7"/>
  <c r="AC95" i="7"/>
  <c r="AB95" i="7"/>
  <c r="X95" i="7"/>
  <c r="AC94" i="7"/>
  <c r="AB94" i="7"/>
  <c r="X94" i="7"/>
  <c r="AC93" i="7"/>
  <c r="AB93" i="7"/>
  <c r="X93" i="7"/>
  <c r="AC92" i="7"/>
  <c r="AB92" i="7"/>
  <c r="X92" i="7"/>
  <c r="AC91" i="7"/>
  <c r="AB91" i="7"/>
  <c r="X91" i="7"/>
  <c r="AC90" i="7"/>
  <c r="AB90" i="7"/>
  <c r="X90" i="7"/>
  <c r="AC89" i="7"/>
  <c r="AB89" i="7"/>
  <c r="X89" i="7"/>
  <c r="AC88" i="7"/>
  <c r="AB88" i="7"/>
  <c r="X88" i="7"/>
  <c r="AC87" i="7"/>
  <c r="AB87" i="7"/>
  <c r="X87" i="7"/>
  <c r="AC86" i="7"/>
  <c r="AB86" i="7"/>
  <c r="X86" i="7"/>
  <c r="AC85" i="7"/>
  <c r="AB85" i="7"/>
  <c r="X85" i="7"/>
  <c r="AC84" i="7"/>
  <c r="AB84" i="7"/>
  <c r="X84" i="7"/>
  <c r="AC83" i="7"/>
  <c r="AB83" i="7"/>
  <c r="X83" i="7"/>
  <c r="AC82" i="7"/>
  <c r="AB82" i="7"/>
  <c r="X82" i="7"/>
  <c r="AC81" i="7"/>
  <c r="AB81" i="7"/>
  <c r="X81" i="7"/>
  <c r="AC80" i="7"/>
  <c r="AB80" i="7"/>
  <c r="X80" i="7"/>
  <c r="AC79" i="7"/>
  <c r="AB79" i="7"/>
  <c r="X79" i="7"/>
  <c r="AC78" i="7"/>
  <c r="AB78" i="7"/>
  <c r="X78" i="7"/>
  <c r="AC77" i="7"/>
  <c r="AB77" i="7"/>
  <c r="X77" i="7"/>
  <c r="AC76" i="7"/>
  <c r="AB76" i="7"/>
  <c r="X76" i="7"/>
  <c r="AC75" i="7"/>
  <c r="AB75" i="7"/>
  <c r="X75" i="7"/>
  <c r="AC74" i="7"/>
  <c r="AB74" i="7"/>
  <c r="X74" i="7"/>
  <c r="AC73" i="7"/>
  <c r="AB73" i="7"/>
  <c r="X73" i="7"/>
  <c r="AC72" i="7"/>
  <c r="AB72" i="7"/>
  <c r="X72" i="7"/>
  <c r="AC71" i="7"/>
  <c r="AB71" i="7"/>
  <c r="X71" i="7"/>
  <c r="AC70" i="7"/>
  <c r="AB70" i="7"/>
  <c r="X70" i="7"/>
  <c r="AC69" i="7"/>
  <c r="AB69" i="7"/>
  <c r="X69" i="7"/>
  <c r="AC68" i="7"/>
  <c r="AB68" i="7"/>
  <c r="X68" i="7"/>
  <c r="AC67" i="7"/>
  <c r="AB67" i="7"/>
  <c r="X67" i="7"/>
  <c r="AC66" i="7"/>
  <c r="AB66" i="7"/>
  <c r="X66" i="7"/>
  <c r="AC65" i="7"/>
  <c r="AB65" i="7"/>
  <c r="X65" i="7"/>
  <c r="AC64" i="7"/>
  <c r="AB64" i="7"/>
  <c r="X64" i="7"/>
  <c r="AC63" i="7"/>
  <c r="AB63" i="7"/>
  <c r="X63" i="7"/>
  <c r="AC62" i="7"/>
  <c r="AB62" i="7"/>
  <c r="X62" i="7"/>
  <c r="AC61" i="7"/>
  <c r="AB61" i="7"/>
  <c r="X61" i="7"/>
  <c r="AC60" i="7"/>
  <c r="AB60" i="7"/>
  <c r="X60" i="7"/>
  <c r="AC59" i="7"/>
  <c r="AB59" i="7"/>
  <c r="X59" i="7"/>
  <c r="AC58" i="7"/>
  <c r="AB58" i="7"/>
  <c r="X58" i="7"/>
  <c r="AC57" i="7"/>
  <c r="AB57" i="7"/>
  <c r="X57" i="7"/>
  <c r="AC56" i="7"/>
  <c r="AB56" i="7"/>
  <c r="X56" i="7"/>
  <c r="AC55" i="7"/>
  <c r="AB55" i="7"/>
  <c r="X55" i="7"/>
  <c r="AC54" i="7"/>
  <c r="AB54" i="7"/>
  <c r="X54" i="7"/>
  <c r="AC53" i="7"/>
  <c r="AB53" i="7"/>
  <c r="X53" i="7"/>
  <c r="AC52" i="7"/>
  <c r="AB52" i="7"/>
  <c r="X52" i="7"/>
  <c r="AC51" i="7"/>
  <c r="AB51" i="7"/>
  <c r="X51" i="7"/>
  <c r="AC50" i="7"/>
  <c r="AB50" i="7"/>
  <c r="X50" i="7"/>
  <c r="AC49" i="7"/>
  <c r="AB49" i="7"/>
  <c r="X49" i="7"/>
  <c r="AC48" i="7"/>
  <c r="AB48" i="7"/>
  <c r="X48" i="7"/>
  <c r="AC47" i="7"/>
  <c r="AB47" i="7"/>
  <c r="X47" i="7"/>
  <c r="AC46" i="7"/>
  <c r="AB46" i="7"/>
  <c r="X46" i="7"/>
  <c r="AC45" i="7"/>
  <c r="AB45" i="7"/>
  <c r="X45" i="7"/>
  <c r="AC44" i="7"/>
  <c r="AB44" i="7"/>
  <c r="X44" i="7"/>
  <c r="AC43" i="7"/>
  <c r="AB43" i="7"/>
  <c r="X43" i="7"/>
  <c r="AC42" i="7"/>
  <c r="AB42" i="7"/>
  <c r="X42" i="7"/>
  <c r="AC41" i="7"/>
  <c r="AB41" i="7"/>
  <c r="X41" i="7"/>
  <c r="AC40" i="7"/>
  <c r="AB40" i="7"/>
  <c r="X40" i="7"/>
  <c r="AC39" i="7"/>
  <c r="AB39" i="7"/>
  <c r="X39" i="7"/>
  <c r="AC38" i="7"/>
  <c r="AB38" i="7"/>
  <c r="X38" i="7"/>
  <c r="AC37" i="7"/>
  <c r="AB37" i="7"/>
  <c r="X37" i="7"/>
  <c r="AC36" i="7"/>
  <c r="AB36" i="7"/>
  <c r="X36" i="7"/>
  <c r="AC35" i="7"/>
  <c r="AB35" i="7"/>
  <c r="X35" i="7"/>
  <c r="AC34" i="7"/>
  <c r="AB34" i="7"/>
  <c r="X34" i="7"/>
  <c r="AC33" i="7"/>
  <c r="AB33" i="7"/>
  <c r="X33" i="7"/>
  <c r="AC32" i="7"/>
  <c r="AB32" i="7"/>
  <c r="X32" i="7"/>
  <c r="AC31" i="7"/>
  <c r="AB31" i="7"/>
  <c r="X31" i="7"/>
  <c r="AC30" i="7"/>
  <c r="AB30" i="7"/>
  <c r="X30" i="7"/>
  <c r="AC29" i="7"/>
  <c r="AB29" i="7"/>
  <c r="X29" i="7"/>
  <c r="AC28" i="7"/>
  <c r="AB28" i="7"/>
  <c r="X28" i="7"/>
  <c r="AC27" i="7"/>
  <c r="AB27" i="7"/>
  <c r="X27" i="7"/>
  <c r="AC26" i="7"/>
  <c r="AB26" i="7"/>
  <c r="X26" i="7"/>
  <c r="AC25" i="7"/>
  <c r="AB25" i="7"/>
  <c r="X25" i="7"/>
  <c r="AC24" i="7"/>
  <c r="AB24" i="7"/>
  <c r="X24" i="7"/>
  <c r="AC23" i="7"/>
  <c r="AB23" i="7"/>
  <c r="X23" i="7"/>
  <c r="AC22" i="7"/>
  <c r="AB22" i="7"/>
  <c r="X22" i="7"/>
  <c r="AC21" i="7"/>
  <c r="AB21" i="7"/>
  <c r="X21" i="7"/>
  <c r="AC20" i="7"/>
  <c r="AB20" i="7"/>
  <c r="X20" i="7"/>
  <c r="AC19" i="7"/>
  <c r="AB19" i="7"/>
  <c r="X19" i="7"/>
  <c r="AC18" i="7"/>
  <c r="AB18" i="7"/>
  <c r="X18" i="7"/>
  <c r="AC17" i="7"/>
  <c r="AB17" i="7"/>
  <c r="X17" i="7"/>
  <c r="AC16" i="7"/>
  <c r="AB16" i="7"/>
  <c r="X16" i="7"/>
  <c r="AC15" i="7"/>
  <c r="AB15" i="7"/>
  <c r="X15" i="7"/>
  <c r="AC14" i="7"/>
  <c r="AB14" i="7"/>
  <c r="X14" i="7"/>
  <c r="AC13" i="7"/>
  <c r="AB13" i="7"/>
  <c r="X13" i="7"/>
  <c r="AC12" i="7"/>
  <c r="AB12" i="7"/>
  <c r="X12" i="7"/>
  <c r="AC11" i="7"/>
  <c r="AB11" i="7"/>
  <c r="X11" i="7"/>
  <c r="AC10" i="7"/>
  <c r="AB10" i="7"/>
  <c r="X10" i="7"/>
  <c r="AC9" i="7"/>
  <c r="AB9" i="7"/>
  <c r="X9" i="7"/>
  <c r="AB8" i="7"/>
  <c r="X8" i="7"/>
  <c r="AC7" i="7"/>
  <c r="AB7" i="7"/>
  <c r="X7" i="7"/>
  <c r="AC6" i="7"/>
  <c r="AB6" i="7"/>
  <c r="X6" i="7"/>
  <c r="AB5" i="7"/>
  <c r="X5" i="7"/>
  <c r="AB4" i="7"/>
  <c r="X4" i="7"/>
  <c r="AB3" i="7"/>
  <c r="X3" i="7"/>
  <c r="AB2" i="7"/>
  <c r="X2" i="7"/>
  <c r="U134" i="6"/>
  <c r="B133" i="6"/>
  <c r="B132" i="6"/>
  <c r="U132" i="6" s="1"/>
  <c r="U131" i="6"/>
  <c r="B131" i="6"/>
  <c r="B130" i="6"/>
  <c r="U129" i="6"/>
  <c r="B129" i="6"/>
  <c r="B128" i="6"/>
  <c r="U128" i="6" s="1"/>
  <c r="U127" i="6"/>
  <c r="M127" i="6"/>
  <c r="B127" i="6"/>
  <c r="B126" i="6"/>
  <c r="B125" i="6"/>
  <c r="O123" i="6"/>
  <c r="M123" i="6"/>
  <c r="M122" i="6"/>
  <c r="M134" i="6" s="1"/>
  <c r="P134" i="6" s="1"/>
  <c r="W134" i="6" s="1"/>
  <c r="K121" i="6"/>
  <c r="J121" i="6"/>
  <c r="U133" i="6" s="1"/>
  <c r="I121" i="6"/>
  <c r="H121" i="6"/>
  <c r="G121" i="6"/>
  <c r="F121" i="6"/>
  <c r="E121" i="6"/>
  <c r="D121" i="6"/>
  <c r="C121" i="6"/>
  <c r="B121" i="6"/>
  <c r="U125" i="6" s="1"/>
  <c r="A121" i="6"/>
  <c r="AC119" i="6"/>
  <c r="AB119" i="6"/>
  <c r="X119" i="6"/>
  <c r="AC118" i="6"/>
  <c r="AB118" i="6"/>
  <c r="X118" i="6"/>
  <c r="AC117" i="6"/>
  <c r="AB117" i="6"/>
  <c r="X117" i="6"/>
  <c r="AC116" i="6"/>
  <c r="AB116" i="6"/>
  <c r="X116" i="6"/>
  <c r="AC115" i="6"/>
  <c r="AB115" i="6"/>
  <c r="X115" i="6"/>
  <c r="AC114" i="6"/>
  <c r="AB114" i="6"/>
  <c r="X114" i="6"/>
  <c r="AC113" i="6"/>
  <c r="AB113" i="6"/>
  <c r="X113" i="6"/>
  <c r="AC112" i="6"/>
  <c r="AB112" i="6"/>
  <c r="X112" i="6"/>
  <c r="AC111" i="6"/>
  <c r="AB111" i="6"/>
  <c r="X111" i="6"/>
  <c r="AC110" i="6"/>
  <c r="AB110" i="6"/>
  <c r="X110" i="6"/>
  <c r="AC109" i="6"/>
  <c r="AB109" i="6"/>
  <c r="X109" i="6"/>
  <c r="AC108" i="6"/>
  <c r="AB108" i="6"/>
  <c r="X108" i="6"/>
  <c r="AC107" i="6"/>
  <c r="AB107" i="6"/>
  <c r="X107" i="6"/>
  <c r="AC106" i="6"/>
  <c r="AB106" i="6"/>
  <c r="X106" i="6"/>
  <c r="AC105" i="6"/>
  <c r="AB105" i="6"/>
  <c r="X105" i="6"/>
  <c r="AC104" i="6"/>
  <c r="AB104" i="6"/>
  <c r="X104" i="6"/>
  <c r="AC103" i="6"/>
  <c r="AB103" i="6"/>
  <c r="X103" i="6"/>
  <c r="AC102" i="6"/>
  <c r="AB102" i="6"/>
  <c r="X102" i="6"/>
  <c r="AC101" i="6"/>
  <c r="AB101" i="6"/>
  <c r="X101" i="6"/>
  <c r="AC100" i="6"/>
  <c r="AB100" i="6"/>
  <c r="X100" i="6"/>
  <c r="AC99" i="6"/>
  <c r="AB99" i="6"/>
  <c r="X99" i="6"/>
  <c r="AC98" i="6"/>
  <c r="AB98" i="6"/>
  <c r="X98" i="6"/>
  <c r="AC97" i="6"/>
  <c r="AB97" i="6"/>
  <c r="X97" i="6"/>
  <c r="AC96" i="6"/>
  <c r="AB96" i="6"/>
  <c r="X96" i="6"/>
  <c r="AC95" i="6"/>
  <c r="AB95" i="6"/>
  <c r="X95" i="6"/>
  <c r="AC94" i="6"/>
  <c r="AB94" i="6"/>
  <c r="X94" i="6"/>
  <c r="AC93" i="6"/>
  <c r="AB93" i="6"/>
  <c r="X93" i="6"/>
  <c r="AC92" i="6"/>
  <c r="AB92" i="6"/>
  <c r="X92" i="6"/>
  <c r="AC91" i="6"/>
  <c r="AB91" i="6"/>
  <c r="X91" i="6"/>
  <c r="AC90" i="6"/>
  <c r="AB90" i="6"/>
  <c r="X90" i="6"/>
  <c r="AC89" i="6"/>
  <c r="AB89" i="6"/>
  <c r="X89" i="6"/>
  <c r="AC88" i="6"/>
  <c r="AB88" i="6"/>
  <c r="X88" i="6"/>
  <c r="AC87" i="6"/>
  <c r="AB87" i="6"/>
  <c r="X87" i="6"/>
  <c r="AC86" i="6"/>
  <c r="AB86" i="6"/>
  <c r="X86" i="6"/>
  <c r="AC85" i="6"/>
  <c r="AB85" i="6"/>
  <c r="X85" i="6"/>
  <c r="AC84" i="6"/>
  <c r="AB84" i="6"/>
  <c r="X84" i="6"/>
  <c r="AC83" i="6"/>
  <c r="AB83" i="6"/>
  <c r="X83" i="6"/>
  <c r="AC82" i="6"/>
  <c r="AB82" i="6"/>
  <c r="X82" i="6"/>
  <c r="AC81" i="6"/>
  <c r="AB81" i="6"/>
  <c r="X81" i="6"/>
  <c r="AC80" i="6"/>
  <c r="AB80" i="6"/>
  <c r="X80" i="6"/>
  <c r="AC79" i="6"/>
  <c r="AB79" i="6"/>
  <c r="X79" i="6"/>
  <c r="AC78" i="6"/>
  <c r="AB78" i="6"/>
  <c r="X78" i="6"/>
  <c r="AC77" i="6"/>
  <c r="AB77" i="6"/>
  <c r="X77" i="6"/>
  <c r="AC76" i="6"/>
  <c r="AB76" i="6"/>
  <c r="X76" i="6"/>
  <c r="AC75" i="6"/>
  <c r="AB75" i="6"/>
  <c r="X75" i="6"/>
  <c r="AC74" i="6"/>
  <c r="AB74" i="6"/>
  <c r="X74" i="6"/>
  <c r="AC73" i="6"/>
  <c r="AB73" i="6"/>
  <c r="X73" i="6"/>
  <c r="AC72" i="6"/>
  <c r="AB72" i="6"/>
  <c r="X72" i="6"/>
  <c r="AC71" i="6"/>
  <c r="AB71" i="6"/>
  <c r="X71" i="6"/>
  <c r="AC70" i="6"/>
  <c r="AB70" i="6"/>
  <c r="X70" i="6"/>
  <c r="AC69" i="6"/>
  <c r="AB69" i="6"/>
  <c r="X69" i="6"/>
  <c r="AC68" i="6"/>
  <c r="AB68" i="6"/>
  <c r="X68" i="6"/>
  <c r="AC67" i="6"/>
  <c r="AB67" i="6"/>
  <c r="X67" i="6"/>
  <c r="AC66" i="6"/>
  <c r="AB66" i="6"/>
  <c r="X66" i="6"/>
  <c r="AC65" i="6"/>
  <c r="AB65" i="6"/>
  <c r="X65" i="6"/>
  <c r="AC64" i="6"/>
  <c r="AB64" i="6"/>
  <c r="X64" i="6"/>
  <c r="AC63" i="6"/>
  <c r="AB63" i="6"/>
  <c r="X63" i="6"/>
  <c r="AC62" i="6"/>
  <c r="AB62" i="6"/>
  <c r="X62" i="6"/>
  <c r="AC61" i="6"/>
  <c r="AB61" i="6"/>
  <c r="X61" i="6"/>
  <c r="AC60" i="6"/>
  <c r="AB60" i="6"/>
  <c r="X60" i="6"/>
  <c r="AC59" i="6"/>
  <c r="AB59" i="6"/>
  <c r="X59" i="6"/>
  <c r="AC58" i="6"/>
  <c r="AB58" i="6"/>
  <c r="X58" i="6"/>
  <c r="AC57" i="6"/>
  <c r="AB57" i="6"/>
  <c r="X57" i="6"/>
  <c r="AC56" i="6"/>
  <c r="AB56" i="6"/>
  <c r="X56" i="6"/>
  <c r="AC55" i="6"/>
  <c r="AB55" i="6"/>
  <c r="X55" i="6"/>
  <c r="AC54" i="6"/>
  <c r="AB54" i="6"/>
  <c r="X54" i="6"/>
  <c r="AC53" i="6"/>
  <c r="AB53" i="6"/>
  <c r="X53" i="6"/>
  <c r="AC52" i="6"/>
  <c r="AB52" i="6"/>
  <c r="X52" i="6"/>
  <c r="AC51" i="6"/>
  <c r="AB51" i="6"/>
  <c r="X51" i="6"/>
  <c r="AC50" i="6"/>
  <c r="AB50" i="6"/>
  <c r="X50" i="6"/>
  <c r="AC49" i="6"/>
  <c r="AB49" i="6"/>
  <c r="X49" i="6"/>
  <c r="AC48" i="6"/>
  <c r="AB48" i="6"/>
  <c r="X48" i="6"/>
  <c r="AC47" i="6"/>
  <c r="AB47" i="6"/>
  <c r="X47" i="6"/>
  <c r="AC46" i="6"/>
  <c r="AB46" i="6"/>
  <c r="X46" i="6"/>
  <c r="AC45" i="6"/>
  <c r="AB45" i="6"/>
  <c r="X45" i="6"/>
  <c r="AC44" i="6"/>
  <c r="AB44" i="6"/>
  <c r="X44" i="6"/>
  <c r="AC43" i="6"/>
  <c r="AB43" i="6"/>
  <c r="X43" i="6"/>
  <c r="AC42" i="6"/>
  <c r="AB42" i="6"/>
  <c r="X42" i="6"/>
  <c r="AC41" i="6"/>
  <c r="AB41" i="6"/>
  <c r="X41" i="6"/>
  <c r="AC40" i="6"/>
  <c r="AB40" i="6"/>
  <c r="X40" i="6"/>
  <c r="AC39" i="6"/>
  <c r="AB39" i="6"/>
  <c r="X39" i="6"/>
  <c r="AC38" i="6"/>
  <c r="AB38" i="6"/>
  <c r="X38" i="6"/>
  <c r="AC37" i="6"/>
  <c r="AB37" i="6"/>
  <c r="X37" i="6"/>
  <c r="AC36" i="6"/>
  <c r="AB36" i="6"/>
  <c r="X36" i="6"/>
  <c r="AC35" i="6"/>
  <c r="AB35" i="6"/>
  <c r="X35" i="6"/>
  <c r="AC34" i="6"/>
  <c r="AB34" i="6"/>
  <c r="X34" i="6"/>
  <c r="AC33" i="6"/>
  <c r="AB33" i="6"/>
  <c r="X33" i="6"/>
  <c r="AC32" i="6"/>
  <c r="AB32" i="6"/>
  <c r="X32" i="6"/>
  <c r="AC31" i="6"/>
  <c r="AB31" i="6"/>
  <c r="X31" i="6"/>
  <c r="AC30" i="6"/>
  <c r="AB30" i="6"/>
  <c r="X30" i="6"/>
  <c r="AC29" i="6"/>
  <c r="AB29" i="6"/>
  <c r="X29" i="6"/>
  <c r="AC28" i="6"/>
  <c r="AB28" i="6"/>
  <c r="X28" i="6"/>
  <c r="AC27" i="6"/>
  <c r="AB27" i="6"/>
  <c r="X27" i="6"/>
  <c r="AC26" i="6"/>
  <c r="AB26" i="6"/>
  <c r="X26" i="6"/>
  <c r="AC25" i="6"/>
  <c r="AB25" i="6"/>
  <c r="X25" i="6"/>
  <c r="AC24" i="6"/>
  <c r="AB24" i="6"/>
  <c r="X24" i="6"/>
  <c r="AC23" i="6"/>
  <c r="AB23" i="6"/>
  <c r="X23" i="6"/>
  <c r="AC22" i="6"/>
  <c r="AB22" i="6"/>
  <c r="X22" i="6"/>
  <c r="AC21" i="6"/>
  <c r="AB21" i="6"/>
  <c r="X21" i="6"/>
  <c r="AC20" i="6"/>
  <c r="AB20" i="6"/>
  <c r="X20" i="6"/>
  <c r="AC19" i="6"/>
  <c r="AB19" i="6"/>
  <c r="X19" i="6"/>
  <c r="AC18" i="6"/>
  <c r="AB18" i="6"/>
  <c r="X18" i="6"/>
  <c r="AC17" i="6"/>
  <c r="AB17" i="6"/>
  <c r="X17" i="6"/>
  <c r="AC16" i="6"/>
  <c r="AB16" i="6"/>
  <c r="X16" i="6"/>
  <c r="AC15" i="6"/>
  <c r="AB15" i="6"/>
  <c r="X15" i="6"/>
  <c r="AC14" i="6"/>
  <c r="AB14" i="6"/>
  <c r="X14" i="6"/>
  <c r="AC13" i="6"/>
  <c r="AB13" i="6"/>
  <c r="X13" i="6"/>
  <c r="AC12" i="6"/>
  <c r="AB12" i="6"/>
  <c r="X12" i="6"/>
  <c r="AC11" i="6"/>
  <c r="AB11" i="6"/>
  <c r="X11" i="6"/>
  <c r="AC10" i="6"/>
  <c r="AB10" i="6"/>
  <c r="X10" i="6"/>
  <c r="AC9" i="6"/>
  <c r="AB9" i="6"/>
  <c r="X9" i="6"/>
  <c r="AB8" i="6"/>
  <c r="X8" i="6"/>
  <c r="AC7" i="6"/>
  <c r="AB7" i="6"/>
  <c r="X7" i="6"/>
  <c r="AC6" i="6"/>
  <c r="AB6" i="6"/>
  <c r="X6" i="6"/>
  <c r="AB5" i="6"/>
  <c r="X5" i="6"/>
  <c r="AB4" i="6"/>
  <c r="X4" i="6"/>
  <c r="AB3" i="6"/>
  <c r="X3" i="6"/>
  <c r="AB2" i="6"/>
  <c r="X2" i="6"/>
  <c r="B133" i="5"/>
  <c r="B132" i="5"/>
  <c r="B131" i="5"/>
  <c r="B130" i="5"/>
  <c r="B129" i="5"/>
  <c r="B128" i="5"/>
  <c r="B127" i="5"/>
  <c r="B126" i="5"/>
  <c r="B125" i="5"/>
  <c r="O123" i="5"/>
  <c r="M123" i="5"/>
  <c r="M122" i="5"/>
  <c r="K121" i="5"/>
  <c r="J121" i="5"/>
  <c r="I121" i="5"/>
  <c r="H121" i="5"/>
  <c r="G121" i="5"/>
  <c r="F121" i="5"/>
  <c r="E121" i="5"/>
  <c r="D121" i="5"/>
  <c r="C121" i="5"/>
  <c r="B121" i="5"/>
  <c r="A121" i="5"/>
  <c r="AC119" i="5"/>
  <c r="AB119" i="5"/>
  <c r="X119" i="5"/>
  <c r="AC118" i="5"/>
  <c r="AB118" i="5"/>
  <c r="X118" i="5"/>
  <c r="AC117" i="5"/>
  <c r="AB117" i="5"/>
  <c r="X117" i="5"/>
  <c r="AC116" i="5"/>
  <c r="AB116" i="5"/>
  <c r="X116" i="5"/>
  <c r="AC115" i="5"/>
  <c r="AB115" i="5"/>
  <c r="X115" i="5"/>
  <c r="AC114" i="5"/>
  <c r="AB114" i="5"/>
  <c r="X114" i="5"/>
  <c r="AC113" i="5"/>
  <c r="AB113" i="5"/>
  <c r="X113" i="5"/>
  <c r="AC112" i="5"/>
  <c r="AB112" i="5"/>
  <c r="X112" i="5"/>
  <c r="AC111" i="5"/>
  <c r="AB111" i="5"/>
  <c r="X111" i="5"/>
  <c r="AC110" i="5"/>
  <c r="AB110" i="5"/>
  <c r="X110" i="5"/>
  <c r="AC109" i="5"/>
  <c r="AB109" i="5"/>
  <c r="X109" i="5"/>
  <c r="AC108" i="5"/>
  <c r="AB108" i="5"/>
  <c r="X108" i="5"/>
  <c r="AC107" i="5"/>
  <c r="AB107" i="5"/>
  <c r="X107" i="5"/>
  <c r="AC106" i="5"/>
  <c r="AB106" i="5"/>
  <c r="X106" i="5"/>
  <c r="AC105" i="5"/>
  <c r="AB105" i="5"/>
  <c r="X105" i="5"/>
  <c r="AC104" i="5"/>
  <c r="AB104" i="5"/>
  <c r="X104" i="5"/>
  <c r="AC103" i="5"/>
  <c r="AB103" i="5"/>
  <c r="X103" i="5"/>
  <c r="AC102" i="5"/>
  <c r="AB102" i="5"/>
  <c r="X102" i="5"/>
  <c r="AC101" i="5"/>
  <c r="AB101" i="5"/>
  <c r="X101" i="5"/>
  <c r="AC100" i="5"/>
  <c r="AB100" i="5"/>
  <c r="X100" i="5"/>
  <c r="AC99" i="5"/>
  <c r="AB99" i="5"/>
  <c r="X99" i="5"/>
  <c r="AC98" i="5"/>
  <c r="AB98" i="5"/>
  <c r="X98" i="5"/>
  <c r="AC97" i="5"/>
  <c r="AB97" i="5"/>
  <c r="X97" i="5"/>
  <c r="AC96" i="5"/>
  <c r="AB96" i="5"/>
  <c r="X96" i="5"/>
  <c r="AC95" i="5"/>
  <c r="AB95" i="5"/>
  <c r="X95" i="5"/>
  <c r="AC94" i="5"/>
  <c r="AB94" i="5"/>
  <c r="X94" i="5"/>
  <c r="AC93" i="5"/>
  <c r="AB93" i="5"/>
  <c r="X93" i="5"/>
  <c r="AC92" i="5"/>
  <c r="AB92" i="5"/>
  <c r="X92" i="5"/>
  <c r="AC91" i="5"/>
  <c r="AB91" i="5"/>
  <c r="X91" i="5"/>
  <c r="AC90" i="5"/>
  <c r="AB90" i="5"/>
  <c r="X90" i="5"/>
  <c r="AC89" i="5"/>
  <c r="AB89" i="5"/>
  <c r="X89" i="5"/>
  <c r="AC88" i="5"/>
  <c r="AB88" i="5"/>
  <c r="X88" i="5"/>
  <c r="AC87" i="5"/>
  <c r="AB87" i="5"/>
  <c r="X87" i="5"/>
  <c r="AC86" i="5"/>
  <c r="AB86" i="5"/>
  <c r="X86" i="5"/>
  <c r="AC85" i="5"/>
  <c r="AB85" i="5"/>
  <c r="X85" i="5"/>
  <c r="AC84" i="5"/>
  <c r="AB84" i="5"/>
  <c r="X84" i="5"/>
  <c r="AC83" i="5"/>
  <c r="AB83" i="5"/>
  <c r="X83" i="5"/>
  <c r="AC82" i="5"/>
  <c r="AB82" i="5"/>
  <c r="X82" i="5"/>
  <c r="AC81" i="5"/>
  <c r="AB81" i="5"/>
  <c r="X81" i="5"/>
  <c r="AC80" i="5"/>
  <c r="AB80" i="5"/>
  <c r="X80" i="5"/>
  <c r="AC79" i="5"/>
  <c r="AB79" i="5"/>
  <c r="X79" i="5"/>
  <c r="AC78" i="5"/>
  <c r="AB78" i="5"/>
  <c r="X78" i="5"/>
  <c r="AC77" i="5"/>
  <c r="AB77" i="5"/>
  <c r="X77" i="5"/>
  <c r="AC76" i="5"/>
  <c r="AB76" i="5"/>
  <c r="X76" i="5"/>
  <c r="AC75" i="5"/>
  <c r="AB75" i="5"/>
  <c r="X75" i="5"/>
  <c r="AC74" i="5"/>
  <c r="AB74" i="5"/>
  <c r="X74" i="5"/>
  <c r="AC73" i="5"/>
  <c r="AB73" i="5"/>
  <c r="X73" i="5"/>
  <c r="AC72" i="5"/>
  <c r="AB72" i="5"/>
  <c r="X72" i="5"/>
  <c r="AC71" i="5"/>
  <c r="AB71" i="5"/>
  <c r="X71" i="5"/>
  <c r="AC70" i="5"/>
  <c r="AB70" i="5"/>
  <c r="X70" i="5"/>
  <c r="AC69" i="5"/>
  <c r="AB69" i="5"/>
  <c r="X69" i="5"/>
  <c r="AC68" i="5"/>
  <c r="AB68" i="5"/>
  <c r="X68" i="5"/>
  <c r="AC67" i="5"/>
  <c r="AB67" i="5"/>
  <c r="X67" i="5"/>
  <c r="AC66" i="5"/>
  <c r="AB66" i="5"/>
  <c r="X66" i="5"/>
  <c r="AC65" i="5"/>
  <c r="AB65" i="5"/>
  <c r="X65" i="5"/>
  <c r="AC64" i="5"/>
  <c r="AB64" i="5"/>
  <c r="X64" i="5"/>
  <c r="AC63" i="5"/>
  <c r="AB63" i="5"/>
  <c r="X63" i="5"/>
  <c r="AC62" i="5"/>
  <c r="AB62" i="5"/>
  <c r="X62" i="5"/>
  <c r="AC61" i="5"/>
  <c r="AB61" i="5"/>
  <c r="X61" i="5"/>
  <c r="AC60" i="5"/>
  <c r="AB60" i="5"/>
  <c r="X60" i="5"/>
  <c r="AC59" i="5"/>
  <c r="AB59" i="5"/>
  <c r="X59" i="5"/>
  <c r="AC58" i="5"/>
  <c r="AB58" i="5"/>
  <c r="X58" i="5"/>
  <c r="AC57" i="5"/>
  <c r="AB57" i="5"/>
  <c r="X57" i="5"/>
  <c r="AC56" i="5"/>
  <c r="AB56" i="5"/>
  <c r="X56" i="5"/>
  <c r="AC55" i="5"/>
  <c r="AB55" i="5"/>
  <c r="X55" i="5"/>
  <c r="AC54" i="5"/>
  <c r="AB54" i="5"/>
  <c r="X54" i="5"/>
  <c r="AC53" i="5"/>
  <c r="AB53" i="5"/>
  <c r="X53" i="5"/>
  <c r="AC52" i="5"/>
  <c r="AB52" i="5"/>
  <c r="X52" i="5"/>
  <c r="AC51" i="5"/>
  <c r="AB51" i="5"/>
  <c r="X51" i="5"/>
  <c r="AC50" i="5"/>
  <c r="AB50" i="5"/>
  <c r="X50" i="5"/>
  <c r="AC49" i="5"/>
  <c r="AB49" i="5"/>
  <c r="X49" i="5"/>
  <c r="AC48" i="5"/>
  <c r="AB48" i="5"/>
  <c r="X48" i="5"/>
  <c r="AC47" i="5"/>
  <c r="AB47" i="5"/>
  <c r="X47" i="5"/>
  <c r="AC46" i="5"/>
  <c r="AB46" i="5"/>
  <c r="X46" i="5"/>
  <c r="AC45" i="5"/>
  <c r="AB45" i="5"/>
  <c r="X45" i="5"/>
  <c r="AC44" i="5"/>
  <c r="AB44" i="5"/>
  <c r="X44" i="5"/>
  <c r="AC43" i="5"/>
  <c r="AB43" i="5"/>
  <c r="X43" i="5"/>
  <c r="AC42" i="5"/>
  <c r="AB42" i="5"/>
  <c r="X42" i="5"/>
  <c r="AC41" i="5"/>
  <c r="AB41" i="5"/>
  <c r="X41" i="5"/>
  <c r="AC40" i="5"/>
  <c r="AB40" i="5"/>
  <c r="X40" i="5"/>
  <c r="AC39" i="5"/>
  <c r="AB39" i="5"/>
  <c r="X39" i="5"/>
  <c r="AC38" i="5"/>
  <c r="AB38" i="5"/>
  <c r="X38" i="5"/>
  <c r="AC37" i="5"/>
  <c r="AB37" i="5"/>
  <c r="X37" i="5"/>
  <c r="AC36" i="5"/>
  <c r="AB36" i="5"/>
  <c r="X36" i="5"/>
  <c r="AC35" i="5"/>
  <c r="AB35" i="5"/>
  <c r="X35" i="5"/>
  <c r="AC34" i="5"/>
  <c r="AB34" i="5"/>
  <c r="X34" i="5"/>
  <c r="AC33" i="5"/>
  <c r="AB33" i="5"/>
  <c r="X33" i="5"/>
  <c r="AC32" i="5"/>
  <c r="AB32" i="5"/>
  <c r="X32" i="5"/>
  <c r="AC31" i="5"/>
  <c r="AB31" i="5"/>
  <c r="X31" i="5"/>
  <c r="AC30" i="5"/>
  <c r="AB30" i="5"/>
  <c r="X30" i="5"/>
  <c r="AC29" i="5"/>
  <c r="AB29" i="5"/>
  <c r="X29" i="5"/>
  <c r="AC28" i="5"/>
  <c r="AB28" i="5"/>
  <c r="X28" i="5"/>
  <c r="AC27" i="5"/>
  <c r="AB27" i="5"/>
  <c r="X27" i="5"/>
  <c r="AC26" i="5"/>
  <c r="AB26" i="5"/>
  <c r="X26" i="5"/>
  <c r="AC25" i="5"/>
  <c r="AB25" i="5"/>
  <c r="X25" i="5"/>
  <c r="AC24" i="5"/>
  <c r="AB24" i="5"/>
  <c r="X24" i="5"/>
  <c r="AC23" i="5"/>
  <c r="AB23" i="5"/>
  <c r="X23" i="5"/>
  <c r="AC22" i="5"/>
  <c r="AB22" i="5"/>
  <c r="X22" i="5"/>
  <c r="AC21" i="5"/>
  <c r="AB21" i="5"/>
  <c r="X21" i="5"/>
  <c r="AC20" i="5"/>
  <c r="AB20" i="5"/>
  <c r="X20" i="5"/>
  <c r="AC19" i="5"/>
  <c r="AB19" i="5"/>
  <c r="X19" i="5"/>
  <c r="AC18" i="5"/>
  <c r="AB18" i="5"/>
  <c r="X18" i="5"/>
  <c r="AC17" i="5"/>
  <c r="AB17" i="5"/>
  <c r="X17" i="5"/>
  <c r="AC16" i="5"/>
  <c r="AB16" i="5"/>
  <c r="X16" i="5"/>
  <c r="AC15" i="5"/>
  <c r="AB15" i="5"/>
  <c r="X15" i="5"/>
  <c r="AC14" i="5"/>
  <c r="AB14" i="5"/>
  <c r="X14" i="5"/>
  <c r="AC13" i="5"/>
  <c r="AB13" i="5"/>
  <c r="X13" i="5"/>
  <c r="AC12" i="5"/>
  <c r="AB12" i="5"/>
  <c r="X12" i="5"/>
  <c r="AC11" i="5"/>
  <c r="AB11" i="5"/>
  <c r="X11" i="5"/>
  <c r="AC10" i="5"/>
  <c r="AB10" i="5"/>
  <c r="X10" i="5"/>
  <c r="AC9" i="5"/>
  <c r="AB9" i="5"/>
  <c r="X9" i="5"/>
  <c r="AB8" i="5"/>
  <c r="X8" i="5"/>
  <c r="AC7" i="5"/>
  <c r="AB7" i="5"/>
  <c r="X7" i="5"/>
  <c r="AC6" i="5"/>
  <c r="AB6" i="5"/>
  <c r="X6" i="5"/>
  <c r="AB5" i="5"/>
  <c r="X5" i="5"/>
  <c r="AB4" i="5"/>
  <c r="X4" i="5"/>
  <c r="AB3" i="5"/>
  <c r="X3" i="5"/>
  <c r="AB2" i="5"/>
  <c r="X2" i="5"/>
  <c r="U133" i="4"/>
  <c r="M133" i="4"/>
  <c r="P133" i="4" s="1"/>
  <c r="B133" i="4"/>
  <c r="P132" i="4"/>
  <c r="W132" i="4" s="1"/>
  <c r="M132" i="4"/>
  <c r="B132" i="4"/>
  <c r="U132" i="4" s="1"/>
  <c r="M131" i="4"/>
  <c r="P131" i="4" s="1"/>
  <c r="B131" i="4"/>
  <c r="B130" i="4"/>
  <c r="U130" i="4" s="1"/>
  <c r="B129" i="4"/>
  <c r="U129" i="4" s="1"/>
  <c r="B128" i="4"/>
  <c r="U128" i="4" s="1"/>
  <c r="B127" i="4"/>
  <c r="B126" i="4"/>
  <c r="U126" i="4" s="1"/>
  <c r="M125" i="4"/>
  <c r="P125" i="4" s="1"/>
  <c r="B125" i="4"/>
  <c r="U125" i="4" s="1"/>
  <c r="O123" i="4"/>
  <c r="M123" i="4"/>
  <c r="M127" i="4" s="1"/>
  <c r="P127" i="4" s="1"/>
  <c r="M122" i="4"/>
  <c r="K121" i="4"/>
  <c r="J121" i="4"/>
  <c r="I121" i="4"/>
  <c r="H121" i="4"/>
  <c r="G121" i="4"/>
  <c r="F121" i="4"/>
  <c r="E121" i="4"/>
  <c r="D121" i="4"/>
  <c r="U127" i="4" s="1"/>
  <c r="C121" i="4"/>
  <c r="B121" i="4"/>
  <c r="A121" i="4"/>
  <c r="U134" i="4" s="1"/>
  <c r="AC119" i="4"/>
  <c r="AB119" i="4"/>
  <c r="X119" i="4"/>
  <c r="AC118" i="4"/>
  <c r="AB118" i="4"/>
  <c r="X118" i="4"/>
  <c r="AC117" i="4"/>
  <c r="AB117" i="4"/>
  <c r="X117" i="4"/>
  <c r="AC116" i="4"/>
  <c r="AB116" i="4"/>
  <c r="X116" i="4"/>
  <c r="AC115" i="4"/>
  <c r="AB115" i="4"/>
  <c r="X115" i="4"/>
  <c r="AC114" i="4"/>
  <c r="AB114" i="4"/>
  <c r="X114" i="4"/>
  <c r="AC113" i="4"/>
  <c r="AB113" i="4"/>
  <c r="X113" i="4"/>
  <c r="AC112" i="4"/>
  <c r="AB112" i="4"/>
  <c r="X112" i="4"/>
  <c r="AC111" i="4"/>
  <c r="AB111" i="4"/>
  <c r="X111" i="4"/>
  <c r="AC110" i="4"/>
  <c r="AB110" i="4"/>
  <c r="X110" i="4"/>
  <c r="AC109" i="4"/>
  <c r="AB109" i="4"/>
  <c r="X109" i="4"/>
  <c r="AC108" i="4"/>
  <c r="AB108" i="4"/>
  <c r="X108" i="4"/>
  <c r="AC107" i="4"/>
  <c r="AB107" i="4"/>
  <c r="X107" i="4"/>
  <c r="AC106" i="4"/>
  <c r="AB106" i="4"/>
  <c r="X106" i="4"/>
  <c r="AC105" i="4"/>
  <c r="AB105" i="4"/>
  <c r="X105" i="4"/>
  <c r="AC104" i="4"/>
  <c r="AB104" i="4"/>
  <c r="X104" i="4"/>
  <c r="AC103" i="4"/>
  <c r="AB103" i="4"/>
  <c r="X103" i="4"/>
  <c r="AC102" i="4"/>
  <c r="AB102" i="4"/>
  <c r="X102" i="4"/>
  <c r="AC101" i="4"/>
  <c r="AB101" i="4"/>
  <c r="X101" i="4"/>
  <c r="AC100" i="4"/>
  <c r="AB100" i="4"/>
  <c r="X100" i="4"/>
  <c r="AC99" i="4"/>
  <c r="AB99" i="4"/>
  <c r="X99" i="4"/>
  <c r="AC98" i="4"/>
  <c r="AB98" i="4"/>
  <c r="X98" i="4"/>
  <c r="AC97" i="4"/>
  <c r="AB97" i="4"/>
  <c r="X97" i="4"/>
  <c r="AC96" i="4"/>
  <c r="AB96" i="4"/>
  <c r="X96" i="4"/>
  <c r="AC95" i="4"/>
  <c r="AB95" i="4"/>
  <c r="X95" i="4"/>
  <c r="AC94" i="4"/>
  <c r="AB94" i="4"/>
  <c r="X94" i="4"/>
  <c r="AC93" i="4"/>
  <c r="AB93" i="4"/>
  <c r="X93" i="4"/>
  <c r="AC92" i="4"/>
  <c r="AB92" i="4"/>
  <c r="X92" i="4"/>
  <c r="AC91" i="4"/>
  <c r="AB91" i="4"/>
  <c r="X91" i="4"/>
  <c r="AC90" i="4"/>
  <c r="AB90" i="4"/>
  <c r="X90" i="4"/>
  <c r="AC89" i="4"/>
  <c r="AB89" i="4"/>
  <c r="X89" i="4"/>
  <c r="AC88" i="4"/>
  <c r="AB88" i="4"/>
  <c r="X88" i="4"/>
  <c r="AC87" i="4"/>
  <c r="AB87" i="4"/>
  <c r="X87" i="4"/>
  <c r="AC86" i="4"/>
  <c r="AB86" i="4"/>
  <c r="X86" i="4"/>
  <c r="AC85" i="4"/>
  <c r="AB85" i="4"/>
  <c r="X85" i="4"/>
  <c r="AC84" i="4"/>
  <c r="AB84" i="4"/>
  <c r="X84" i="4"/>
  <c r="AC83" i="4"/>
  <c r="AB83" i="4"/>
  <c r="X83" i="4"/>
  <c r="AC82" i="4"/>
  <c r="AB82" i="4"/>
  <c r="X82" i="4"/>
  <c r="AC81" i="4"/>
  <c r="AB81" i="4"/>
  <c r="X81" i="4"/>
  <c r="AC80" i="4"/>
  <c r="AB80" i="4"/>
  <c r="X80" i="4"/>
  <c r="AC79" i="4"/>
  <c r="AB79" i="4"/>
  <c r="X79" i="4"/>
  <c r="AC78" i="4"/>
  <c r="AB78" i="4"/>
  <c r="X78" i="4"/>
  <c r="AC77" i="4"/>
  <c r="AB77" i="4"/>
  <c r="X77" i="4"/>
  <c r="AC76" i="4"/>
  <c r="AB76" i="4"/>
  <c r="X76" i="4"/>
  <c r="AC75" i="4"/>
  <c r="AB75" i="4"/>
  <c r="X75" i="4"/>
  <c r="AC74" i="4"/>
  <c r="AB74" i="4"/>
  <c r="X74" i="4"/>
  <c r="AC73" i="4"/>
  <c r="AB73" i="4"/>
  <c r="X73" i="4"/>
  <c r="AC72" i="4"/>
  <c r="AB72" i="4"/>
  <c r="X72" i="4"/>
  <c r="AC71" i="4"/>
  <c r="AB71" i="4"/>
  <c r="X71" i="4"/>
  <c r="AC70" i="4"/>
  <c r="AB70" i="4"/>
  <c r="X70" i="4"/>
  <c r="AC69" i="4"/>
  <c r="AB69" i="4"/>
  <c r="X69" i="4"/>
  <c r="AC68" i="4"/>
  <c r="AB68" i="4"/>
  <c r="X68" i="4"/>
  <c r="AC67" i="4"/>
  <c r="AB67" i="4"/>
  <c r="X67" i="4"/>
  <c r="AC66" i="4"/>
  <c r="AB66" i="4"/>
  <c r="X66" i="4"/>
  <c r="AC65" i="4"/>
  <c r="AB65" i="4"/>
  <c r="X65" i="4"/>
  <c r="AC64" i="4"/>
  <c r="AB64" i="4"/>
  <c r="X64" i="4"/>
  <c r="AC63" i="4"/>
  <c r="AB63" i="4"/>
  <c r="X63" i="4"/>
  <c r="AC62" i="4"/>
  <c r="AB62" i="4"/>
  <c r="X62" i="4"/>
  <c r="AC61" i="4"/>
  <c r="AB61" i="4"/>
  <c r="X61" i="4"/>
  <c r="AC60" i="4"/>
  <c r="AB60" i="4"/>
  <c r="X60" i="4"/>
  <c r="AC59" i="4"/>
  <c r="AB59" i="4"/>
  <c r="X59" i="4"/>
  <c r="AC58" i="4"/>
  <c r="AB58" i="4"/>
  <c r="X58" i="4"/>
  <c r="AC57" i="4"/>
  <c r="AB57" i="4"/>
  <c r="X57" i="4"/>
  <c r="AC56" i="4"/>
  <c r="AB56" i="4"/>
  <c r="X56" i="4"/>
  <c r="AC55" i="4"/>
  <c r="AB55" i="4"/>
  <c r="X55" i="4"/>
  <c r="AC54" i="4"/>
  <c r="AB54" i="4"/>
  <c r="X54" i="4"/>
  <c r="AC53" i="4"/>
  <c r="AB53" i="4"/>
  <c r="X53" i="4"/>
  <c r="AC52" i="4"/>
  <c r="AB52" i="4"/>
  <c r="X52" i="4"/>
  <c r="AC51" i="4"/>
  <c r="AB51" i="4"/>
  <c r="X51" i="4"/>
  <c r="AC50" i="4"/>
  <c r="AB50" i="4"/>
  <c r="X50" i="4"/>
  <c r="AC49" i="4"/>
  <c r="AB49" i="4"/>
  <c r="X49" i="4"/>
  <c r="AC48" i="4"/>
  <c r="AB48" i="4"/>
  <c r="X48" i="4"/>
  <c r="AC47" i="4"/>
  <c r="AB47" i="4"/>
  <c r="X47" i="4"/>
  <c r="AC46" i="4"/>
  <c r="AB46" i="4"/>
  <c r="X46" i="4"/>
  <c r="AC45" i="4"/>
  <c r="AB45" i="4"/>
  <c r="X45" i="4"/>
  <c r="AC44" i="4"/>
  <c r="AB44" i="4"/>
  <c r="X44" i="4"/>
  <c r="AC43" i="4"/>
  <c r="AB43" i="4"/>
  <c r="X43" i="4"/>
  <c r="AC42" i="4"/>
  <c r="AB42" i="4"/>
  <c r="X42" i="4"/>
  <c r="AC41" i="4"/>
  <c r="AB41" i="4"/>
  <c r="X41" i="4"/>
  <c r="AC40" i="4"/>
  <c r="AB40" i="4"/>
  <c r="X40" i="4"/>
  <c r="AC39" i="4"/>
  <c r="AB39" i="4"/>
  <c r="X39" i="4"/>
  <c r="AC38" i="4"/>
  <c r="AB38" i="4"/>
  <c r="X38" i="4"/>
  <c r="AC37" i="4"/>
  <c r="AB37" i="4"/>
  <c r="X37" i="4"/>
  <c r="AC36" i="4"/>
  <c r="AB36" i="4"/>
  <c r="X36" i="4"/>
  <c r="AC35" i="4"/>
  <c r="AB35" i="4"/>
  <c r="X35" i="4"/>
  <c r="AC34" i="4"/>
  <c r="AB34" i="4"/>
  <c r="X34" i="4"/>
  <c r="AC33" i="4"/>
  <c r="AB33" i="4"/>
  <c r="X33" i="4"/>
  <c r="AC32" i="4"/>
  <c r="AB32" i="4"/>
  <c r="X32" i="4"/>
  <c r="AC31" i="4"/>
  <c r="AB31" i="4"/>
  <c r="X31" i="4"/>
  <c r="AC30" i="4"/>
  <c r="AB30" i="4"/>
  <c r="X30" i="4"/>
  <c r="AC29" i="4"/>
  <c r="AB29" i="4"/>
  <c r="X29" i="4"/>
  <c r="AC28" i="4"/>
  <c r="AB28" i="4"/>
  <c r="X28" i="4"/>
  <c r="AC27" i="4"/>
  <c r="AB27" i="4"/>
  <c r="X27" i="4"/>
  <c r="AC26" i="4"/>
  <c r="AB26" i="4"/>
  <c r="X26" i="4"/>
  <c r="AC25" i="4"/>
  <c r="AB25" i="4"/>
  <c r="X25" i="4"/>
  <c r="AC24" i="4"/>
  <c r="AB24" i="4"/>
  <c r="X24" i="4"/>
  <c r="AC23" i="4"/>
  <c r="AB23" i="4"/>
  <c r="X23" i="4"/>
  <c r="AC22" i="4"/>
  <c r="AB22" i="4"/>
  <c r="X22" i="4"/>
  <c r="AC21" i="4"/>
  <c r="AB21" i="4"/>
  <c r="X21" i="4"/>
  <c r="AC20" i="4"/>
  <c r="AB20" i="4"/>
  <c r="X20" i="4"/>
  <c r="AC19" i="4"/>
  <c r="AB19" i="4"/>
  <c r="X19" i="4"/>
  <c r="AC18" i="4"/>
  <c r="AB18" i="4"/>
  <c r="X18" i="4"/>
  <c r="AC17" i="4"/>
  <c r="AB17" i="4"/>
  <c r="X17" i="4"/>
  <c r="AC16" i="4"/>
  <c r="AB16" i="4"/>
  <c r="X16" i="4"/>
  <c r="AC15" i="4"/>
  <c r="AB15" i="4"/>
  <c r="X15" i="4"/>
  <c r="AC14" i="4"/>
  <c r="AB14" i="4"/>
  <c r="X14" i="4"/>
  <c r="AC13" i="4"/>
  <c r="AB13" i="4"/>
  <c r="X13" i="4"/>
  <c r="AC12" i="4"/>
  <c r="AB12" i="4"/>
  <c r="X12" i="4"/>
  <c r="AC11" i="4"/>
  <c r="AB11" i="4"/>
  <c r="X11" i="4"/>
  <c r="AC10" i="4"/>
  <c r="AB10" i="4"/>
  <c r="X10" i="4"/>
  <c r="AC9" i="4"/>
  <c r="AB9" i="4"/>
  <c r="X9" i="4"/>
  <c r="AB8" i="4"/>
  <c r="X8" i="4"/>
  <c r="AC7" i="4"/>
  <c r="AB7" i="4"/>
  <c r="X7" i="4"/>
  <c r="AC6" i="4"/>
  <c r="AB6" i="4"/>
  <c r="X6" i="4"/>
  <c r="AB5" i="4"/>
  <c r="X5" i="4"/>
  <c r="AB4" i="4"/>
  <c r="X4" i="4"/>
  <c r="AB3" i="4"/>
  <c r="X3" i="4"/>
  <c r="AB2" i="4"/>
  <c r="X2" i="4"/>
  <c r="B133" i="3"/>
  <c r="B132" i="3"/>
  <c r="U132" i="3" s="1"/>
  <c r="B131" i="3"/>
  <c r="U131" i="3" s="1"/>
  <c r="B130" i="3"/>
  <c r="U130" i="3" s="1"/>
  <c r="B129" i="3"/>
  <c r="U129" i="3" s="1"/>
  <c r="U128" i="3"/>
  <c r="B128" i="3"/>
  <c r="B127" i="3"/>
  <c r="U126" i="3"/>
  <c r="M126" i="3"/>
  <c r="P126" i="3" s="1"/>
  <c r="W126" i="3" s="1"/>
  <c r="B126" i="3"/>
  <c r="M125" i="3"/>
  <c r="P125" i="3" s="1"/>
  <c r="B125" i="3"/>
  <c r="U125" i="3" s="1"/>
  <c r="O123" i="3"/>
  <c r="M123" i="3"/>
  <c r="M133" i="3" s="1"/>
  <c r="P133" i="3" s="1"/>
  <c r="M122" i="3"/>
  <c r="K121" i="3"/>
  <c r="J121" i="3"/>
  <c r="I121" i="3"/>
  <c r="H121" i="3"/>
  <c r="G121" i="3"/>
  <c r="F121" i="3"/>
  <c r="E121" i="3"/>
  <c r="D121" i="3"/>
  <c r="U127" i="3" s="1"/>
  <c r="C121" i="3"/>
  <c r="B121" i="3"/>
  <c r="A121" i="3"/>
  <c r="AC119" i="3"/>
  <c r="AB119" i="3"/>
  <c r="X119" i="3"/>
  <c r="AC118" i="3"/>
  <c r="AB118" i="3"/>
  <c r="X118" i="3"/>
  <c r="AC117" i="3"/>
  <c r="AB117" i="3"/>
  <c r="X117" i="3"/>
  <c r="AC116" i="3"/>
  <c r="AB116" i="3"/>
  <c r="X116" i="3"/>
  <c r="AC115" i="3"/>
  <c r="AB115" i="3"/>
  <c r="X115" i="3"/>
  <c r="AC114" i="3"/>
  <c r="AB114" i="3"/>
  <c r="X114" i="3"/>
  <c r="AC113" i="3"/>
  <c r="AB113" i="3"/>
  <c r="X113" i="3"/>
  <c r="AC112" i="3"/>
  <c r="AB112" i="3"/>
  <c r="X112" i="3"/>
  <c r="AC111" i="3"/>
  <c r="AB111" i="3"/>
  <c r="X111" i="3"/>
  <c r="AC110" i="3"/>
  <c r="AB110" i="3"/>
  <c r="X110" i="3"/>
  <c r="AC109" i="3"/>
  <c r="AB109" i="3"/>
  <c r="X109" i="3"/>
  <c r="AC108" i="3"/>
  <c r="AB108" i="3"/>
  <c r="X108" i="3"/>
  <c r="AC107" i="3"/>
  <c r="AB107" i="3"/>
  <c r="X107" i="3"/>
  <c r="AC106" i="3"/>
  <c r="AB106" i="3"/>
  <c r="X106" i="3"/>
  <c r="AC105" i="3"/>
  <c r="AB105" i="3"/>
  <c r="X105" i="3"/>
  <c r="AC104" i="3"/>
  <c r="AB104" i="3"/>
  <c r="X104" i="3"/>
  <c r="AC103" i="3"/>
  <c r="AB103" i="3"/>
  <c r="X103" i="3"/>
  <c r="AC102" i="3"/>
  <c r="AB102" i="3"/>
  <c r="X102" i="3"/>
  <c r="AC101" i="3"/>
  <c r="AB101" i="3"/>
  <c r="X101" i="3"/>
  <c r="AC100" i="3"/>
  <c r="AB100" i="3"/>
  <c r="X100" i="3"/>
  <c r="AC99" i="3"/>
  <c r="AB99" i="3"/>
  <c r="X99" i="3"/>
  <c r="AC98" i="3"/>
  <c r="AB98" i="3"/>
  <c r="X98" i="3"/>
  <c r="AC97" i="3"/>
  <c r="AB97" i="3"/>
  <c r="X97" i="3"/>
  <c r="AC96" i="3"/>
  <c r="AB96" i="3"/>
  <c r="X96" i="3"/>
  <c r="AC95" i="3"/>
  <c r="AB95" i="3"/>
  <c r="X95" i="3"/>
  <c r="AC94" i="3"/>
  <c r="AB94" i="3"/>
  <c r="X94" i="3"/>
  <c r="AC93" i="3"/>
  <c r="AB93" i="3"/>
  <c r="X93" i="3"/>
  <c r="AC92" i="3"/>
  <c r="AB92" i="3"/>
  <c r="X92" i="3"/>
  <c r="AC91" i="3"/>
  <c r="AB91" i="3"/>
  <c r="X91" i="3"/>
  <c r="AC90" i="3"/>
  <c r="AB90" i="3"/>
  <c r="X90" i="3"/>
  <c r="AC89" i="3"/>
  <c r="AB89" i="3"/>
  <c r="X89" i="3"/>
  <c r="AC88" i="3"/>
  <c r="AB88" i="3"/>
  <c r="X88" i="3"/>
  <c r="AC87" i="3"/>
  <c r="AB87" i="3"/>
  <c r="X87" i="3"/>
  <c r="AC86" i="3"/>
  <c r="AB86" i="3"/>
  <c r="X86" i="3"/>
  <c r="AC85" i="3"/>
  <c r="AB85" i="3"/>
  <c r="X85" i="3"/>
  <c r="AC84" i="3"/>
  <c r="AB84" i="3"/>
  <c r="X84" i="3"/>
  <c r="AC83" i="3"/>
  <c r="AB83" i="3"/>
  <c r="X83" i="3"/>
  <c r="AC82" i="3"/>
  <c r="AB82" i="3"/>
  <c r="X82" i="3"/>
  <c r="AC81" i="3"/>
  <c r="AB81" i="3"/>
  <c r="X81" i="3"/>
  <c r="AC80" i="3"/>
  <c r="AB80" i="3"/>
  <c r="X80" i="3"/>
  <c r="AC79" i="3"/>
  <c r="AB79" i="3"/>
  <c r="X79" i="3"/>
  <c r="AC78" i="3"/>
  <c r="AB78" i="3"/>
  <c r="X78" i="3"/>
  <c r="AC77" i="3"/>
  <c r="AB77" i="3"/>
  <c r="X77" i="3"/>
  <c r="AC76" i="3"/>
  <c r="AB76" i="3"/>
  <c r="X76" i="3"/>
  <c r="AC75" i="3"/>
  <c r="AB75" i="3"/>
  <c r="X75" i="3"/>
  <c r="AC74" i="3"/>
  <c r="AB74" i="3"/>
  <c r="X74" i="3"/>
  <c r="AC73" i="3"/>
  <c r="AB73" i="3"/>
  <c r="X73" i="3"/>
  <c r="AC72" i="3"/>
  <c r="AB72" i="3"/>
  <c r="X72" i="3"/>
  <c r="AC71" i="3"/>
  <c r="AB71" i="3"/>
  <c r="X71" i="3"/>
  <c r="AC70" i="3"/>
  <c r="AB70" i="3"/>
  <c r="X70" i="3"/>
  <c r="AC69" i="3"/>
  <c r="AB69" i="3"/>
  <c r="X69" i="3"/>
  <c r="AC68" i="3"/>
  <c r="AB68" i="3"/>
  <c r="X68" i="3"/>
  <c r="AC67" i="3"/>
  <c r="AB67" i="3"/>
  <c r="X67" i="3"/>
  <c r="AC66" i="3"/>
  <c r="AB66" i="3"/>
  <c r="X66" i="3"/>
  <c r="AC65" i="3"/>
  <c r="AB65" i="3"/>
  <c r="X65" i="3"/>
  <c r="AC64" i="3"/>
  <c r="AB64" i="3"/>
  <c r="X64" i="3"/>
  <c r="AC63" i="3"/>
  <c r="AB63" i="3"/>
  <c r="X63" i="3"/>
  <c r="AC62" i="3"/>
  <c r="AB62" i="3"/>
  <c r="X62" i="3"/>
  <c r="AC61" i="3"/>
  <c r="AB61" i="3"/>
  <c r="X61" i="3"/>
  <c r="AC60" i="3"/>
  <c r="AB60" i="3"/>
  <c r="X60" i="3"/>
  <c r="AC59" i="3"/>
  <c r="AB59" i="3"/>
  <c r="X59" i="3"/>
  <c r="AC58" i="3"/>
  <c r="AB58" i="3"/>
  <c r="X58" i="3"/>
  <c r="AC57" i="3"/>
  <c r="AB57" i="3"/>
  <c r="X57" i="3"/>
  <c r="AC56" i="3"/>
  <c r="AB56" i="3"/>
  <c r="X56" i="3"/>
  <c r="AC55" i="3"/>
  <c r="AB55" i="3"/>
  <c r="X55" i="3"/>
  <c r="AC54" i="3"/>
  <c r="AB54" i="3"/>
  <c r="X54" i="3"/>
  <c r="AC53" i="3"/>
  <c r="AB53" i="3"/>
  <c r="X53" i="3"/>
  <c r="AC52" i="3"/>
  <c r="AB52" i="3"/>
  <c r="X52" i="3"/>
  <c r="AC51" i="3"/>
  <c r="AB51" i="3"/>
  <c r="X51" i="3"/>
  <c r="AC50" i="3"/>
  <c r="AB50" i="3"/>
  <c r="X50" i="3"/>
  <c r="AC49" i="3"/>
  <c r="AB49" i="3"/>
  <c r="X49" i="3"/>
  <c r="AC48" i="3"/>
  <c r="AB48" i="3"/>
  <c r="X48" i="3"/>
  <c r="AC47" i="3"/>
  <c r="AB47" i="3"/>
  <c r="X47" i="3"/>
  <c r="AC46" i="3"/>
  <c r="AB46" i="3"/>
  <c r="X46" i="3"/>
  <c r="AC45" i="3"/>
  <c r="AB45" i="3"/>
  <c r="X45" i="3"/>
  <c r="AC44" i="3"/>
  <c r="AB44" i="3"/>
  <c r="X44" i="3"/>
  <c r="AC43" i="3"/>
  <c r="AB43" i="3"/>
  <c r="X43" i="3"/>
  <c r="AC42" i="3"/>
  <c r="AB42" i="3"/>
  <c r="X42" i="3"/>
  <c r="AC41" i="3"/>
  <c r="AB41" i="3"/>
  <c r="X41" i="3"/>
  <c r="AC40" i="3"/>
  <c r="AB40" i="3"/>
  <c r="X40" i="3"/>
  <c r="AC39" i="3"/>
  <c r="AB39" i="3"/>
  <c r="X39" i="3"/>
  <c r="AC38" i="3"/>
  <c r="AB38" i="3"/>
  <c r="X38" i="3"/>
  <c r="AC37" i="3"/>
  <c r="AB37" i="3"/>
  <c r="X37" i="3"/>
  <c r="AC36" i="3"/>
  <c r="AB36" i="3"/>
  <c r="X36" i="3"/>
  <c r="AC35" i="3"/>
  <c r="AB35" i="3"/>
  <c r="X35" i="3"/>
  <c r="AC34" i="3"/>
  <c r="AB34" i="3"/>
  <c r="X34" i="3"/>
  <c r="AC33" i="3"/>
  <c r="AB33" i="3"/>
  <c r="X33" i="3"/>
  <c r="AC32" i="3"/>
  <c r="AB32" i="3"/>
  <c r="X32" i="3"/>
  <c r="AC31" i="3"/>
  <c r="AB31" i="3"/>
  <c r="X31" i="3"/>
  <c r="AC30" i="3"/>
  <c r="AB30" i="3"/>
  <c r="X30" i="3"/>
  <c r="AC29" i="3"/>
  <c r="AB29" i="3"/>
  <c r="X29" i="3"/>
  <c r="AC28" i="3"/>
  <c r="AB28" i="3"/>
  <c r="X28" i="3"/>
  <c r="AC27" i="3"/>
  <c r="AB27" i="3"/>
  <c r="X27" i="3"/>
  <c r="AC26" i="3"/>
  <c r="AB26" i="3"/>
  <c r="X26" i="3"/>
  <c r="AC25" i="3"/>
  <c r="AB25" i="3"/>
  <c r="X25" i="3"/>
  <c r="AC24" i="3"/>
  <c r="AB24" i="3"/>
  <c r="X24" i="3"/>
  <c r="AC23" i="3"/>
  <c r="AB23" i="3"/>
  <c r="X23" i="3"/>
  <c r="AC22" i="3"/>
  <c r="AB22" i="3"/>
  <c r="X22" i="3"/>
  <c r="AC21" i="3"/>
  <c r="AB21" i="3"/>
  <c r="X21" i="3"/>
  <c r="AC20" i="3"/>
  <c r="AB20" i="3"/>
  <c r="X20" i="3"/>
  <c r="AC19" i="3"/>
  <c r="AB19" i="3"/>
  <c r="X19" i="3"/>
  <c r="AC18" i="3"/>
  <c r="AB18" i="3"/>
  <c r="X18" i="3"/>
  <c r="AC17" i="3"/>
  <c r="AB17" i="3"/>
  <c r="X17" i="3"/>
  <c r="AC16" i="3"/>
  <c r="AB16" i="3"/>
  <c r="X16" i="3"/>
  <c r="AC15" i="3"/>
  <c r="AB15" i="3"/>
  <c r="X15" i="3"/>
  <c r="AC14" i="3"/>
  <c r="AB14" i="3"/>
  <c r="X14" i="3"/>
  <c r="AC13" i="3"/>
  <c r="AB13" i="3"/>
  <c r="X13" i="3"/>
  <c r="AC12" i="3"/>
  <c r="AB12" i="3"/>
  <c r="X12" i="3"/>
  <c r="AC11" i="3"/>
  <c r="AB11" i="3"/>
  <c r="X11" i="3"/>
  <c r="AC10" i="3"/>
  <c r="AB10" i="3"/>
  <c r="X10" i="3"/>
  <c r="AC9" i="3"/>
  <c r="AB9" i="3"/>
  <c r="X9" i="3"/>
  <c r="AB8" i="3"/>
  <c r="X8" i="3"/>
  <c r="AC7" i="3"/>
  <c r="AB7" i="3"/>
  <c r="X7" i="3"/>
  <c r="AC6" i="3"/>
  <c r="AB6" i="3"/>
  <c r="X6" i="3"/>
  <c r="AB5" i="3"/>
  <c r="X5" i="3"/>
  <c r="AB4" i="3"/>
  <c r="X4" i="3"/>
  <c r="AB3" i="3"/>
  <c r="X3" i="3"/>
  <c r="AB2" i="3"/>
  <c r="X2" i="3"/>
  <c r="U134" i="2"/>
  <c r="B133" i="2"/>
  <c r="U133" i="2" s="1"/>
  <c r="B132" i="2"/>
  <c r="U132" i="2" s="1"/>
  <c r="U131" i="2"/>
  <c r="B131" i="2"/>
  <c r="B130" i="2"/>
  <c r="U129" i="2"/>
  <c r="B129" i="2"/>
  <c r="M128" i="2"/>
  <c r="B128" i="2"/>
  <c r="U128" i="2" s="1"/>
  <c r="M127" i="2"/>
  <c r="B127" i="2"/>
  <c r="B126" i="2"/>
  <c r="B125" i="2"/>
  <c r="O123" i="2"/>
  <c r="M123" i="2"/>
  <c r="M131" i="2" s="1"/>
  <c r="M122" i="2"/>
  <c r="M125" i="2" s="1"/>
  <c r="P125" i="2" s="1"/>
  <c r="K121" i="2"/>
  <c r="J121" i="2"/>
  <c r="I121" i="2"/>
  <c r="H121" i="2"/>
  <c r="G121" i="2"/>
  <c r="U130" i="2" s="1"/>
  <c r="F121" i="2"/>
  <c r="E121" i="2"/>
  <c r="D121" i="2"/>
  <c r="U127" i="2" s="1"/>
  <c r="C121" i="2"/>
  <c r="B121" i="2"/>
  <c r="U125" i="2" s="1"/>
  <c r="A121" i="2"/>
  <c r="U126" i="2" s="1"/>
  <c r="AC119" i="2"/>
  <c r="AB119" i="2"/>
  <c r="X119" i="2"/>
  <c r="AC118" i="2"/>
  <c r="AB118" i="2"/>
  <c r="X118" i="2"/>
  <c r="AC117" i="2"/>
  <c r="AB117" i="2"/>
  <c r="X117" i="2"/>
  <c r="AC116" i="2"/>
  <c r="AB116" i="2"/>
  <c r="X116" i="2"/>
  <c r="AC115" i="2"/>
  <c r="AB115" i="2"/>
  <c r="X115" i="2"/>
  <c r="AC114" i="2"/>
  <c r="AB114" i="2"/>
  <c r="X114" i="2"/>
  <c r="AC113" i="2"/>
  <c r="AB113" i="2"/>
  <c r="X113" i="2"/>
  <c r="AC112" i="2"/>
  <c r="AB112" i="2"/>
  <c r="X112" i="2"/>
  <c r="AC111" i="2"/>
  <c r="AB111" i="2"/>
  <c r="X111" i="2"/>
  <c r="AC110" i="2"/>
  <c r="AB110" i="2"/>
  <c r="X110" i="2"/>
  <c r="AC109" i="2"/>
  <c r="AB109" i="2"/>
  <c r="X109" i="2"/>
  <c r="AC108" i="2"/>
  <c r="AB108" i="2"/>
  <c r="X108" i="2"/>
  <c r="AC107" i="2"/>
  <c r="AB107" i="2"/>
  <c r="X107" i="2"/>
  <c r="AC106" i="2"/>
  <c r="AB106" i="2"/>
  <c r="X106" i="2"/>
  <c r="AC105" i="2"/>
  <c r="AB105" i="2"/>
  <c r="X105" i="2"/>
  <c r="AC104" i="2"/>
  <c r="AB104" i="2"/>
  <c r="X104" i="2"/>
  <c r="AC103" i="2"/>
  <c r="AB103" i="2"/>
  <c r="X103" i="2"/>
  <c r="AC102" i="2"/>
  <c r="AB102" i="2"/>
  <c r="X102" i="2"/>
  <c r="AC101" i="2"/>
  <c r="AB101" i="2"/>
  <c r="X101" i="2"/>
  <c r="AC100" i="2"/>
  <c r="AB100" i="2"/>
  <c r="X100" i="2"/>
  <c r="AC99" i="2"/>
  <c r="AB99" i="2"/>
  <c r="X99" i="2"/>
  <c r="AC98" i="2"/>
  <c r="AB98" i="2"/>
  <c r="X98" i="2"/>
  <c r="AC97" i="2"/>
  <c r="AB97" i="2"/>
  <c r="X97" i="2"/>
  <c r="AC96" i="2"/>
  <c r="AB96" i="2"/>
  <c r="X96" i="2"/>
  <c r="AC95" i="2"/>
  <c r="AB95" i="2"/>
  <c r="X95" i="2"/>
  <c r="AC94" i="2"/>
  <c r="AB94" i="2"/>
  <c r="X94" i="2"/>
  <c r="AC93" i="2"/>
  <c r="AB93" i="2"/>
  <c r="X93" i="2"/>
  <c r="AC92" i="2"/>
  <c r="AB92" i="2"/>
  <c r="X92" i="2"/>
  <c r="AC91" i="2"/>
  <c r="AB91" i="2"/>
  <c r="X91" i="2"/>
  <c r="AC90" i="2"/>
  <c r="AB90" i="2"/>
  <c r="X90" i="2"/>
  <c r="AC89" i="2"/>
  <c r="AB89" i="2"/>
  <c r="X89" i="2"/>
  <c r="AC88" i="2"/>
  <c r="AB88" i="2"/>
  <c r="X88" i="2"/>
  <c r="AC87" i="2"/>
  <c r="AB87" i="2"/>
  <c r="X87" i="2"/>
  <c r="AC86" i="2"/>
  <c r="AB86" i="2"/>
  <c r="X86" i="2"/>
  <c r="AC85" i="2"/>
  <c r="AB85" i="2"/>
  <c r="X85" i="2"/>
  <c r="AC84" i="2"/>
  <c r="AB84" i="2"/>
  <c r="X84" i="2"/>
  <c r="AC83" i="2"/>
  <c r="AB83" i="2"/>
  <c r="X83" i="2"/>
  <c r="AC82" i="2"/>
  <c r="AB82" i="2"/>
  <c r="X82" i="2"/>
  <c r="AC81" i="2"/>
  <c r="AB81" i="2"/>
  <c r="X81" i="2"/>
  <c r="AC80" i="2"/>
  <c r="AB80" i="2"/>
  <c r="X80" i="2"/>
  <c r="AC79" i="2"/>
  <c r="AB79" i="2"/>
  <c r="X79" i="2"/>
  <c r="AC78" i="2"/>
  <c r="AB78" i="2"/>
  <c r="X78" i="2"/>
  <c r="AC77" i="2"/>
  <c r="AB77" i="2"/>
  <c r="X77" i="2"/>
  <c r="AC76" i="2"/>
  <c r="AB76" i="2"/>
  <c r="X76" i="2"/>
  <c r="AC75" i="2"/>
  <c r="AB75" i="2"/>
  <c r="X75" i="2"/>
  <c r="AC74" i="2"/>
  <c r="AB74" i="2"/>
  <c r="X74" i="2"/>
  <c r="AC73" i="2"/>
  <c r="AB73" i="2"/>
  <c r="X73" i="2"/>
  <c r="AC72" i="2"/>
  <c r="AB72" i="2"/>
  <c r="X72" i="2"/>
  <c r="AC71" i="2"/>
  <c r="AB71" i="2"/>
  <c r="X71" i="2"/>
  <c r="AC70" i="2"/>
  <c r="AB70" i="2"/>
  <c r="X70" i="2"/>
  <c r="AC69" i="2"/>
  <c r="AB69" i="2"/>
  <c r="X69" i="2"/>
  <c r="AC68" i="2"/>
  <c r="AB68" i="2"/>
  <c r="X68" i="2"/>
  <c r="AC67" i="2"/>
  <c r="AB67" i="2"/>
  <c r="X67" i="2"/>
  <c r="AC66" i="2"/>
  <c r="AB66" i="2"/>
  <c r="X66" i="2"/>
  <c r="AC65" i="2"/>
  <c r="AB65" i="2"/>
  <c r="X65" i="2"/>
  <c r="AC64" i="2"/>
  <c r="AB64" i="2"/>
  <c r="X64" i="2"/>
  <c r="AC63" i="2"/>
  <c r="AB63" i="2"/>
  <c r="X63" i="2"/>
  <c r="AC62" i="2"/>
  <c r="AB62" i="2"/>
  <c r="X62" i="2"/>
  <c r="AC61" i="2"/>
  <c r="AB61" i="2"/>
  <c r="X61" i="2"/>
  <c r="AC60" i="2"/>
  <c r="AB60" i="2"/>
  <c r="X60" i="2"/>
  <c r="AC59" i="2"/>
  <c r="AB59" i="2"/>
  <c r="X59" i="2"/>
  <c r="AC58" i="2"/>
  <c r="AB58" i="2"/>
  <c r="X58" i="2"/>
  <c r="AC57" i="2"/>
  <c r="AB57" i="2"/>
  <c r="X57" i="2"/>
  <c r="AC56" i="2"/>
  <c r="AB56" i="2"/>
  <c r="X56" i="2"/>
  <c r="AC55" i="2"/>
  <c r="AB55" i="2"/>
  <c r="X55" i="2"/>
  <c r="AC54" i="2"/>
  <c r="AB54" i="2"/>
  <c r="X54" i="2"/>
  <c r="AC53" i="2"/>
  <c r="AB53" i="2"/>
  <c r="X53" i="2"/>
  <c r="AC52" i="2"/>
  <c r="AB52" i="2"/>
  <c r="X52" i="2"/>
  <c r="AC51" i="2"/>
  <c r="AB51" i="2"/>
  <c r="X51" i="2"/>
  <c r="AC50" i="2"/>
  <c r="AB50" i="2"/>
  <c r="X50" i="2"/>
  <c r="AC49" i="2"/>
  <c r="AB49" i="2"/>
  <c r="X49" i="2"/>
  <c r="AC48" i="2"/>
  <c r="AB48" i="2"/>
  <c r="X48" i="2"/>
  <c r="AC47" i="2"/>
  <c r="AB47" i="2"/>
  <c r="X47" i="2"/>
  <c r="AC46" i="2"/>
  <c r="AB46" i="2"/>
  <c r="X46" i="2"/>
  <c r="AC45" i="2"/>
  <c r="AB45" i="2"/>
  <c r="X45" i="2"/>
  <c r="AC44" i="2"/>
  <c r="AB44" i="2"/>
  <c r="X44" i="2"/>
  <c r="AC43" i="2"/>
  <c r="AB43" i="2"/>
  <c r="X43" i="2"/>
  <c r="AC42" i="2"/>
  <c r="AB42" i="2"/>
  <c r="X42" i="2"/>
  <c r="AC41" i="2"/>
  <c r="AB41" i="2"/>
  <c r="X41" i="2"/>
  <c r="AC40" i="2"/>
  <c r="AB40" i="2"/>
  <c r="X40" i="2"/>
  <c r="AC39" i="2"/>
  <c r="AB39" i="2"/>
  <c r="X39" i="2"/>
  <c r="AC38" i="2"/>
  <c r="AB38" i="2"/>
  <c r="X38" i="2"/>
  <c r="AC37" i="2"/>
  <c r="AB37" i="2"/>
  <c r="X37" i="2"/>
  <c r="AC36" i="2"/>
  <c r="AB36" i="2"/>
  <c r="X36" i="2"/>
  <c r="AC35" i="2"/>
  <c r="AB35" i="2"/>
  <c r="X35" i="2"/>
  <c r="AC34" i="2"/>
  <c r="AB34" i="2"/>
  <c r="X34" i="2"/>
  <c r="AC33" i="2"/>
  <c r="AB33" i="2"/>
  <c r="X33" i="2"/>
  <c r="AC32" i="2"/>
  <c r="AB32" i="2"/>
  <c r="X32" i="2"/>
  <c r="AC31" i="2"/>
  <c r="AB31" i="2"/>
  <c r="X31" i="2"/>
  <c r="AC30" i="2"/>
  <c r="AB30" i="2"/>
  <c r="X30" i="2"/>
  <c r="AC29" i="2"/>
  <c r="AB29" i="2"/>
  <c r="X29" i="2"/>
  <c r="AC28" i="2"/>
  <c r="AB28" i="2"/>
  <c r="X28" i="2"/>
  <c r="AC27" i="2"/>
  <c r="AB27" i="2"/>
  <c r="X27" i="2"/>
  <c r="AC26" i="2"/>
  <c r="AB26" i="2"/>
  <c r="X26" i="2"/>
  <c r="AC25" i="2"/>
  <c r="AB25" i="2"/>
  <c r="X25" i="2"/>
  <c r="AC24" i="2"/>
  <c r="AB24" i="2"/>
  <c r="X24" i="2"/>
  <c r="AC23" i="2"/>
  <c r="AB23" i="2"/>
  <c r="X23" i="2"/>
  <c r="AC22" i="2"/>
  <c r="AB22" i="2"/>
  <c r="X22" i="2"/>
  <c r="AC21" i="2"/>
  <c r="AB21" i="2"/>
  <c r="X21" i="2"/>
  <c r="AC20" i="2"/>
  <c r="AB20" i="2"/>
  <c r="X20" i="2"/>
  <c r="AC19" i="2"/>
  <c r="AB19" i="2"/>
  <c r="X19" i="2"/>
  <c r="AC18" i="2"/>
  <c r="AB18" i="2"/>
  <c r="X18" i="2"/>
  <c r="AC17" i="2"/>
  <c r="AB17" i="2"/>
  <c r="X17" i="2"/>
  <c r="AC16" i="2"/>
  <c r="AB16" i="2"/>
  <c r="X16" i="2"/>
  <c r="AC15" i="2"/>
  <c r="AB15" i="2"/>
  <c r="X15" i="2"/>
  <c r="AC14" i="2"/>
  <c r="AB14" i="2"/>
  <c r="X14" i="2"/>
  <c r="AC13" i="2"/>
  <c r="AB13" i="2"/>
  <c r="X13" i="2"/>
  <c r="AC12" i="2"/>
  <c r="AB12" i="2"/>
  <c r="X12" i="2"/>
  <c r="AC11" i="2"/>
  <c r="AB11" i="2"/>
  <c r="X11" i="2"/>
  <c r="AC10" i="2"/>
  <c r="AB10" i="2"/>
  <c r="X10" i="2"/>
  <c r="AC9" i="2"/>
  <c r="AB9" i="2"/>
  <c r="X9" i="2"/>
  <c r="AB8" i="2"/>
  <c r="X8" i="2"/>
  <c r="AC7" i="2"/>
  <c r="AB7" i="2"/>
  <c r="X7" i="2"/>
  <c r="AC6" i="2"/>
  <c r="AB6" i="2"/>
  <c r="X6" i="2"/>
  <c r="AB5" i="2"/>
  <c r="X5" i="2"/>
  <c r="AB4" i="2"/>
  <c r="X4" i="2"/>
  <c r="AB3" i="2"/>
  <c r="X3" i="2"/>
  <c r="AB2" i="2"/>
  <c r="X2" i="2"/>
  <c r="U133" i="1"/>
  <c r="B133" i="1"/>
  <c r="M132" i="1"/>
  <c r="P132" i="1" s="1"/>
  <c r="W132" i="1" s="1"/>
  <c r="B132" i="1"/>
  <c r="B131" i="1"/>
  <c r="U131" i="1" s="1"/>
  <c r="M130" i="1"/>
  <c r="P130" i="1" s="1"/>
  <c r="B130" i="1"/>
  <c r="U130" i="1" s="1"/>
  <c r="B129" i="1"/>
  <c r="U128" i="1"/>
  <c r="M128" i="1"/>
  <c r="P128" i="1" s="1"/>
  <c r="W128" i="1" s="1"/>
  <c r="B128" i="1"/>
  <c r="B127" i="1"/>
  <c r="U127" i="1" s="1"/>
  <c r="P126" i="1"/>
  <c r="M126" i="1"/>
  <c r="B126" i="1"/>
  <c r="M125" i="1"/>
  <c r="P125" i="1" s="1"/>
  <c r="B125" i="1"/>
  <c r="U125" i="1" s="1"/>
  <c r="O123" i="1"/>
  <c r="M123" i="1"/>
  <c r="M122" i="1"/>
  <c r="K121" i="1"/>
  <c r="J121" i="1"/>
  <c r="I121" i="1"/>
  <c r="U132" i="1" s="1"/>
  <c r="H121" i="1"/>
  <c r="G121" i="1"/>
  <c r="F121" i="1"/>
  <c r="E121" i="1"/>
  <c r="D121" i="1"/>
  <c r="C121" i="1"/>
  <c r="B121" i="1"/>
  <c r="A121" i="1"/>
  <c r="AC119" i="1"/>
  <c r="AB119" i="1"/>
  <c r="X119" i="1"/>
  <c r="AC118" i="1"/>
  <c r="AB118" i="1"/>
  <c r="X118" i="1"/>
  <c r="AC117" i="1"/>
  <c r="AB117" i="1"/>
  <c r="X117" i="1"/>
  <c r="AC116" i="1"/>
  <c r="AB116" i="1"/>
  <c r="X116" i="1"/>
  <c r="AC115" i="1"/>
  <c r="AB115" i="1"/>
  <c r="X115" i="1"/>
  <c r="AC114" i="1"/>
  <c r="AB114" i="1"/>
  <c r="X114" i="1"/>
  <c r="AC113" i="1"/>
  <c r="AB113" i="1"/>
  <c r="X113" i="1"/>
  <c r="AC112" i="1"/>
  <c r="AB112" i="1"/>
  <c r="X112" i="1"/>
  <c r="AC111" i="1"/>
  <c r="AB111" i="1"/>
  <c r="X111" i="1"/>
  <c r="AC110" i="1"/>
  <c r="AB110" i="1"/>
  <c r="X110" i="1"/>
  <c r="AC109" i="1"/>
  <c r="AB109" i="1"/>
  <c r="X109" i="1"/>
  <c r="AC108" i="1"/>
  <c r="AB108" i="1"/>
  <c r="X108" i="1"/>
  <c r="AC107" i="1"/>
  <c r="AB107" i="1"/>
  <c r="X107" i="1"/>
  <c r="AC106" i="1"/>
  <c r="AB106" i="1"/>
  <c r="X106" i="1"/>
  <c r="AC105" i="1"/>
  <c r="AB105" i="1"/>
  <c r="X105" i="1"/>
  <c r="AC104" i="1"/>
  <c r="AB104" i="1"/>
  <c r="X104" i="1"/>
  <c r="AC103" i="1"/>
  <c r="AB103" i="1"/>
  <c r="X103" i="1"/>
  <c r="AC102" i="1"/>
  <c r="AB102" i="1"/>
  <c r="X102" i="1"/>
  <c r="AC101" i="1"/>
  <c r="AB101" i="1"/>
  <c r="X101" i="1"/>
  <c r="AC100" i="1"/>
  <c r="AB100" i="1"/>
  <c r="X100" i="1"/>
  <c r="AC99" i="1"/>
  <c r="AB99" i="1"/>
  <c r="X99" i="1"/>
  <c r="AC98" i="1"/>
  <c r="AB98" i="1"/>
  <c r="X98" i="1"/>
  <c r="AC97" i="1"/>
  <c r="AB97" i="1"/>
  <c r="X97" i="1"/>
  <c r="AC96" i="1"/>
  <c r="AB96" i="1"/>
  <c r="X96" i="1"/>
  <c r="AC95" i="1"/>
  <c r="AB95" i="1"/>
  <c r="X95" i="1"/>
  <c r="AC94" i="1"/>
  <c r="AB94" i="1"/>
  <c r="X94" i="1"/>
  <c r="AC93" i="1"/>
  <c r="AB93" i="1"/>
  <c r="X93" i="1"/>
  <c r="AC92" i="1"/>
  <c r="AB92" i="1"/>
  <c r="X92" i="1"/>
  <c r="AC91" i="1"/>
  <c r="AB91" i="1"/>
  <c r="X91" i="1"/>
  <c r="AC90" i="1"/>
  <c r="AB90" i="1"/>
  <c r="X90" i="1"/>
  <c r="AC89" i="1"/>
  <c r="AB89" i="1"/>
  <c r="X89" i="1"/>
  <c r="AC88" i="1"/>
  <c r="AB88" i="1"/>
  <c r="X88" i="1"/>
  <c r="AC87" i="1"/>
  <c r="AB87" i="1"/>
  <c r="X87" i="1"/>
  <c r="AC86" i="1"/>
  <c r="AB86" i="1"/>
  <c r="X86" i="1"/>
  <c r="AC85" i="1"/>
  <c r="AB85" i="1"/>
  <c r="X85" i="1"/>
  <c r="AC84" i="1"/>
  <c r="AB84" i="1"/>
  <c r="X84" i="1"/>
  <c r="AC83" i="1"/>
  <c r="AB83" i="1"/>
  <c r="X83" i="1"/>
  <c r="AC82" i="1"/>
  <c r="AB82" i="1"/>
  <c r="X82" i="1"/>
  <c r="AC81" i="1"/>
  <c r="AB81" i="1"/>
  <c r="X81" i="1"/>
  <c r="AC80" i="1"/>
  <c r="AB80" i="1"/>
  <c r="X80" i="1"/>
  <c r="AC79" i="1"/>
  <c r="AB79" i="1"/>
  <c r="X79" i="1"/>
  <c r="AC78" i="1"/>
  <c r="AB78" i="1"/>
  <c r="X78" i="1"/>
  <c r="AC77" i="1"/>
  <c r="AB77" i="1"/>
  <c r="X77" i="1"/>
  <c r="AC76" i="1"/>
  <c r="AB76" i="1"/>
  <c r="X76" i="1"/>
  <c r="AC75" i="1"/>
  <c r="AB75" i="1"/>
  <c r="X75" i="1"/>
  <c r="AC74" i="1"/>
  <c r="AB74" i="1"/>
  <c r="X74" i="1"/>
  <c r="AC73" i="1"/>
  <c r="AB73" i="1"/>
  <c r="X73" i="1"/>
  <c r="AC72" i="1"/>
  <c r="AB72" i="1"/>
  <c r="X72" i="1"/>
  <c r="AC71" i="1"/>
  <c r="AB71" i="1"/>
  <c r="X71" i="1"/>
  <c r="AC70" i="1"/>
  <c r="AB70" i="1"/>
  <c r="X70" i="1"/>
  <c r="AC69" i="1"/>
  <c r="AB69" i="1"/>
  <c r="X69" i="1"/>
  <c r="AC68" i="1"/>
  <c r="AB68" i="1"/>
  <c r="X68" i="1"/>
  <c r="AC67" i="1"/>
  <c r="AB67" i="1"/>
  <c r="X67" i="1"/>
  <c r="AC66" i="1"/>
  <c r="AB66" i="1"/>
  <c r="X66" i="1"/>
  <c r="AC65" i="1"/>
  <c r="AB65" i="1"/>
  <c r="X65" i="1"/>
  <c r="AC64" i="1"/>
  <c r="AB64" i="1"/>
  <c r="X64" i="1"/>
  <c r="AC63" i="1"/>
  <c r="AB63" i="1"/>
  <c r="X63" i="1"/>
  <c r="AC62" i="1"/>
  <c r="AB62" i="1"/>
  <c r="X62" i="1"/>
  <c r="AC61" i="1"/>
  <c r="AB61" i="1"/>
  <c r="X61" i="1"/>
  <c r="AC60" i="1"/>
  <c r="AB60" i="1"/>
  <c r="X60" i="1"/>
  <c r="AC59" i="1"/>
  <c r="AB59" i="1"/>
  <c r="X59" i="1"/>
  <c r="AC58" i="1"/>
  <c r="AB58" i="1"/>
  <c r="X58" i="1"/>
  <c r="AC57" i="1"/>
  <c r="AB57" i="1"/>
  <c r="X57" i="1"/>
  <c r="AC56" i="1"/>
  <c r="AB56" i="1"/>
  <c r="X56" i="1"/>
  <c r="AC55" i="1"/>
  <c r="AB55" i="1"/>
  <c r="X55" i="1"/>
  <c r="AC54" i="1"/>
  <c r="AB54" i="1"/>
  <c r="X54" i="1"/>
  <c r="AC53" i="1"/>
  <c r="AB53" i="1"/>
  <c r="X53" i="1"/>
  <c r="AC52" i="1"/>
  <c r="AB52" i="1"/>
  <c r="X52" i="1"/>
  <c r="AC51" i="1"/>
  <c r="AB51" i="1"/>
  <c r="X51" i="1"/>
  <c r="AC50" i="1"/>
  <c r="AB50" i="1"/>
  <c r="X50" i="1"/>
  <c r="AC49" i="1"/>
  <c r="AB49" i="1"/>
  <c r="X49" i="1"/>
  <c r="AC48" i="1"/>
  <c r="AB48" i="1"/>
  <c r="X48" i="1"/>
  <c r="AC47" i="1"/>
  <c r="AB47" i="1"/>
  <c r="X47" i="1"/>
  <c r="AC46" i="1"/>
  <c r="AB46" i="1"/>
  <c r="X46" i="1"/>
  <c r="AC45" i="1"/>
  <c r="AB45" i="1"/>
  <c r="X45" i="1"/>
  <c r="AC44" i="1"/>
  <c r="AB44" i="1"/>
  <c r="X44" i="1"/>
  <c r="AC43" i="1"/>
  <c r="AB43" i="1"/>
  <c r="X43" i="1"/>
  <c r="AC42" i="1"/>
  <c r="AB42" i="1"/>
  <c r="X42" i="1"/>
  <c r="AC41" i="1"/>
  <c r="AB41" i="1"/>
  <c r="X41" i="1"/>
  <c r="AC40" i="1"/>
  <c r="AB40" i="1"/>
  <c r="X40" i="1"/>
  <c r="AC39" i="1"/>
  <c r="AB39" i="1"/>
  <c r="X39" i="1"/>
  <c r="AC38" i="1"/>
  <c r="AB38" i="1"/>
  <c r="X38" i="1"/>
  <c r="AC37" i="1"/>
  <c r="AB37" i="1"/>
  <c r="X37" i="1"/>
  <c r="AC36" i="1"/>
  <c r="AB36" i="1"/>
  <c r="X36" i="1"/>
  <c r="AC35" i="1"/>
  <c r="AB35" i="1"/>
  <c r="X35" i="1"/>
  <c r="AC34" i="1"/>
  <c r="AB34" i="1"/>
  <c r="X34" i="1"/>
  <c r="AC33" i="1"/>
  <c r="AB33" i="1"/>
  <c r="X33" i="1"/>
  <c r="AC32" i="1"/>
  <c r="AB32" i="1"/>
  <c r="X32" i="1"/>
  <c r="AC31" i="1"/>
  <c r="AB31" i="1"/>
  <c r="X31" i="1"/>
  <c r="AC30" i="1"/>
  <c r="AB30" i="1"/>
  <c r="X30" i="1"/>
  <c r="AC29" i="1"/>
  <c r="AB29" i="1"/>
  <c r="X29" i="1"/>
  <c r="AC28" i="1"/>
  <c r="AB28" i="1"/>
  <c r="X28" i="1"/>
  <c r="AC27" i="1"/>
  <c r="AB27" i="1"/>
  <c r="X27" i="1"/>
  <c r="AC26" i="1"/>
  <c r="AB26" i="1"/>
  <c r="X26" i="1"/>
  <c r="AC25" i="1"/>
  <c r="AB25" i="1"/>
  <c r="X25" i="1"/>
  <c r="AC24" i="1"/>
  <c r="AB24" i="1"/>
  <c r="X24" i="1"/>
  <c r="AC23" i="1"/>
  <c r="AB23" i="1"/>
  <c r="X23" i="1"/>
  <c r="AC22" i="1"/>
  <c r="AB22" i="1"/>
  <c r="X22" i="1"/>
  <c r="AC21" i="1"/>
  <c r="AB21" i="1"/>
  <c r="X21" i="1"/>
  <c r="AC20" i="1"/>
  <c r="AB20" i="1"/>
  <c r="X20" i="1"/>
  <c r="AC19" i="1"/>
  <c r="AB19" i="1"/>
  <c r="X19" i="1"/>
  <c r="AC18" i="1"/>
  <c r="AB18" i="1"/>
  <c r="X18" i="1"/>
  <c r="AC17" i="1"/>
  <c r="AB17" i="1"/>
  <c r="X17" i="1"/>
  <c r="AC16" i="1"/>
  <c r="AB16" i="1"/>
  <c r="X16" i="1"/>
  <c r="AC15" i="1"/>
  <c r="AB15" i="1"/>
  <c r="X15" i="1"/>
  <c r="AC14" i="1"/>
  <c r="AB14" i="1"/>
  <c r="X14" i="1"/>
  <c r="AC13" i="1"/>
  <c r="AB13" i="1"/>
  <c r="X13" i="1"/>
  <c r="AC12" i="1"/>
  <c r="AB12" i="1"/>
  <c r="X12" i="1"/>
  <c r="AC11" i="1"/>
  <c r="AB11" i="1"/>
  <c r="X11" i="1"/>
  <c r="AC10" i="1"/>
  <c r="AB10" i="1"/>
  <c r="X10" i="1"/>
  <c r="AC9" i="1"/>
  <c r="AB9" i="1"/>
  <c r="X9" i="1"/>
  <c r="AB8" i="1"/>
  <c r="X8" i="1"/>
  <c r="AC7" i="1"/>
  <c r="AB7" i="1"/>
  <c r="X7" i="1"/>
  <c r="AC6" i="1"/>
  <c r="AB6" i="1"/>
  <c r="X6" i="1"/>
  <c r="AB5" i="1"/>
  <c r="X5" i="1"/>
  <c r="AB4" i="1"/>
  <c r="X4" i="1"/>
  <c r="AB3" i="1"/>
  <c r="X3" i="1"/>
  <c r="AB2" i="1"/>
  <c r="X2" i="1"/>
  <c r="A140" i="8" a="1"/>
  <c r="A140" i="11" a="1"/>
  <c r="A140" i="10" a="1"/>
  <c r="A140" i="9" a="1"/>
  <c r="A140" i="7" a="1"/>
  <c r="A140" i="6" a="1"/>
  <c r="A140" i="5" a="1"/>
  <c r="A140" i="4" a="1"/>
  <c r="A140" i="3" a="1"/>
  <c r="A140" i="2" a="1"/>
  <c r="A140" i="1" a="1"/>
  <c r="A144" i="1" l="1"/>
  <c r="A141" i="1"/>
  <c r="A140" i="1"/>
  <c r="A143" i="1"/>
  <c r="A142" i="1"/>
  <c r="A144" i="2"/>
  <c r="A143" i="2"/>
  <c r="A142" i="2"/>
  <c r="A141" i="2"/>
  <c r="A140" i="2"/>
  <c r="A141" i="3"/>
  <c r="A140" i="3"/>
  <c r="A143" i="3"/>
  <c r="A142" i="3"/>
  <c r="A144" i="3"/>
  <c r="A144" i="4"/>
  <c r="A142" i="4"/>
  <c r="A141" i="4"/>
  <c r="A140" i="4"/>
  <c r="A143" i="4"/>
  <c r="A144" i="5"/>
  <c r="A143" i="5"/>
  <c r="A142" i="5"/>
  <c r="A141" i="5"/>
  <c r="A140" i="5"/>
  <c r="A144" i="6"/>
  <c r="A142" i="6"/>
  <c r="A141" i="6"/>
  <c r="A143" i="6"/>
  <c r="A140" i="6"/>
  <c r="A141" i="7"/>
  <c r="A140" i="7"/>
  <c r="A144" i="7"/>
  <c r="A143" i="7"/>
  <c r="A142" i="7"/>
  <c r="A144" i="9"/>
  <c r="A143" i="9"/>
  <c r="A142" i="9"/>
  <c r="A141" i="9"/>
  <c r="A140" i="9"/>
  <c r="A144" i="10"/>
  <c r="A143" i="10"/>
  <c r="A142" i="10"/>
  <c r="A141" i="10"/>
  <c r="A140" i="10"/>
  <c r="A144" i="11"/>
  <c r="A143" i="11"/>
  <c r="A142" i="11"/>
  <c r="A141" i="11"/>
  <c r="A140" i="11"/>
  <c r="A141" i="8"/>
  <c r="A144" i="8"/>
  <c r="A143" i="8"/>
  <c r="A142" i="8"/>
  <c r="A140" i="8"/>
  <c r="A119" i="1"/>
  <c r="A5" i="1"/>
  <c r="W125" i="1"/>
  <c r="A92" i="1"/>
  <c r="A111" i="1"/>
  <c r="A59" i="1"/>
  <c r="A23" i="1"/>
  <c r="A36" i="1"/>
  <c r="A19" i="1"/>
  <c r="A14" i="1"/>
  <c r="A9" i="1"/>
  <c r="W126" i="1"/>
  <c r="W130" i="1"/>
  <c r="A98" i="2"/>
  <c r="A81" i="2"/>
  <c r="A107" i="2"/>
  <c r="A80" i="2"/>
  <c r="A82" i="2"/>
  <c r="P131" i="2"/>
  <c r="W131" i="2" s="1"/>
  <c r="U134" i="1"/>
  <c r="U129" i="1"/>
  <c r="U126" i="1"/>
  <c r="M127" i="1"/>
  <c r="P127" i="1" s="1"/>
  <c r="W127" i="1" s="1"/>
  <c r="M134" i="1"/>
  <c r="P134" i="1" s="1"/>
  <c r="M129" i="1"/>
  <c r="P129" i="1" s="1"/>
  <c r="W129" i="1" s="1"/>
  <c r="M133" i="1"/>
  <c r="P133" i="1" s="1"/>
  <c r="W133" i="1" s="1"/>
  <c r="M131" i="1"/>
  <c r="P131" i="1" s="1"/>
  <c r="W131" i="1" s="1"/>
  <c r="A13" i="2"/>
  <c r="W125" i="2"/>
  <c r="P127" i="2"/>
  <c r="W127" i="2" s="1"/>
  <c r="U134" i="3"/>
  <c r="A109" i="2"/>
  <c r="P128" i="2"/>
  <c r="W128" i="2" s="1"/>
  <c r="W125" i="3"/>
  <c r="M129" i="2"/>
  <c r="P129" i="2" s="1"/>
  <c r="W129" i="2" s="1"/>
  <c r="M134" i="2"/>
  <c r="P134" i="2" s="1"/>
  <c r="W134" i="2" s="1"/>
  <c r="M131" i="3"/>
  <c r="P131" i="3" s="1"/>
  <c r="W131" i="3" s="1"/>
  <c r="U133" i="3"/>
  <c r="W133" i="3" s="1"/>
  <c r="M132" i="2"/>
  <c r="P132" i="2" s="1"/>
  <c r="W132" i="2" s="1"/>
  <c r="M129" i="3"/>
  <c r="P129" i="3" s="1"/>
  <c r="W129" i="3" s="1"/>
  <c r="M134" i="3"/>
  <c r="P134" i="3" s="1"/>
  <c r="W134" i="3" s="1"/>
  <c r="W127" i="4"/>
  <c r="M130" i="2"/>
  <c r="P130" i="2" s="1"/>
  <c r="W130" i="2" s="1"/>
  <c r="M127" i="3"/>
  <c r="P127" i="3" s="1"/>
  <c r="M132" i="3"/>
  <c r="P132" i="3" s="1"/>
  <c r="W132" i="3" s="1"/>
  <c r="W125" i="4"/>
  <c r="U131" i="5"/>
  <c r="U128" i="5"/>
  <c r="U130" i="5"/>
  <c r="U132" i="5"/>
  <c r="U134" i="5"/>
  <c r="U129" i="5"/>
  <c r="M134" i="5"/>
  <c r="P134" i="5" s="1"/>
  <c r="W134" i="5" s="1"/>
  <c r="M129" i="5"/>
  <c r="P129" i="5" s="1"/>
  <c r="M131" i="5"/>
  <c r="P131" i="5" s="1"/>
  <c r="W131" i="5" s="1"/>
  <c r="M126" i="5"/>
  <c r="P126" i="5" s="1"/>
  <c r="M133" i="5"/>
  <c r="P133" i="5" s="1"/>
  <c r="M128" i="5"/>
  <c r="P128" i="5" s="1"/>
  <c r="M130" i="5"/>
  <c r="P130" i="5" s="1"/>
  <c r="W130" i="5" s="1"/>
  <c r="M125" i="5"/>
  <c r="P125" i="5" s="1"/>
  <c r="M132" i="5"/>
  <c r="P132" i="5" s="1"/>
  <c r="W132" i="5" s="1"/>
  <c r="M127" i="5"/>
  <c r="P127" i="5" s="1"/>
  <c r="U133" i="5"/>
  <c r="M133" i="2"/>
  <c r="P133" i="2" s="1"/>
  <c r="W133" i="2" s="1"/>
  <c r="M130" i="3"/>
  <c r="P130" i="3" s="1"/>
  <c r="A104" i="3" s="1"/>
  <c r="U125" i="5"/>
  <c r="M126" i="2"/>
  <c r="P126" i="2" s="1"/>
  <c r="A74" i="2" s="1"/>
  <c r="W133" i="4"/>
  <c r="U126" i="5"/>
  <c r="M128" i="3"/>
  <c r="P128" i="3" s="1"/>
  <c r="W128" i="3" s="1"/>
  <c r="U127" i="5"/>
  <c r="P135" i="4"/>
  <c r="M130" i="4"/>
  <c r="P130" i="4" s="1"/>
  <c r="W130" i="4" s="1"/>
  <c r="M131" i="6"/>
  <c r="P131" i="6" s="1"/>
  <c r="W131" i="6" s="1"/>
  <c r="P127" i="6"/>
  <c r="W127" i="6" s="1"/>
  <c r="M128" i="4"/>
  <c r="P128" i="4" s="1"/>
  <c r="W128" i="4" s="1"/>
  <c r="W131" i="7"/>
  <c r="M126" i="4"/>
  <c r="P126" i="4" s="1"/>
  <c r="A71" i="4" s="1"/>
  <c r="M126" i="6"/>
  <c r="P126" i="6" s="1"/>
  <c r="M133" i="6"/>
  <c r="P133" i="6" s="1"/>
  <c r="W133" i="6" s="1"/>
  <c r="M128" i="6"/>
  <c r="P128" i="6" s="1"/>
  <c r="W128" i="6" s="1"/>
  <c r="M130" i="6"/>
  <c r="P130" i="6" s="1"/>
  <c r="M132" i="6"/>
  <c r="P132" i="6" s="1"/>
  <c r="W132" i="6" s="1"/>
  <c r="M129" i="6"/>
  <c r="P129" i="6" s="1"/>
  <c r="W129" i="6" s="1"/>
  <c r="M129" i="4"/>
  <c r="P129" i="4" s="1"/>
  <c r="W129" i="4" s="1"/>
  <c r="U131" i="4"/>
  <c r="W131" i="4" s="1"/>
  <c r="M134" i="4"/>
  <c r="P134" i="4" s="1"/>
  <c r="W134" i="4" s="1"/>
  <c r="M125" i="6"/>
  <c r="P125" i="6" s="1"/>
  <c r="U126" i="6"/>
  <c r="U130" i="6"/>
  <c r="W128" i="7"/>
  <c r="M129" i="7"/>
  <c r="P129" i="7" s="1"/>
  <c r="W129" i="7" s="1"/>
  <c r="M134" i="7"/>
  <c r="P134" i="7" s="1"/>
  <c r="W134" i="7" s="1"/>
  <c r="U130" i="8"/>
  <c r="U132" i="8"/>
  <c r="W132" i="8" s="1"/>
  <c r="U134" i="8"/>
  <c r="U126" i="8"/>
  <c r="M133" i="8"/>
  <c r="P133" i="8" s="1"/>
  <c r="W133" i="8" s="1"/>
  <c r="M128" i="8"/>
  <c r="P128" i="8" s="1"/>
  <c r="W128" i="8" s="1"/>
  <c r="M125" i="8"/>
  <c r="P125" i="8" s="1"/>
  <c r="M127" i="8"/>
  <c r="P127" i="8" s="1"/>
  <c r="M134" i="8"/>
  <c r="P134" i="8" s="1"/>
  <c r="W134" i="8" s="1"/>
  <c r="M129" i="8"/>
  <c r="P129" i="8" s="1"/>
  <c r="W129" i="8" s="1"/>
  <c r="M127" i="7"/>
  <c r="P127" i="7" s="1"/>
  <c r="W127" i="7" s="1"/>
  <c r="M132" i="7"/>
  <c r="P132" i="7" s="1"/>
  <c r="W132" i="7" s="1"/>
  <c r="W125" i="9"/>
  <c r="U126" i="11"/>
  <c r="U128" i="11"/>
  <c r="U125" i="11"/>
  <c r="U134" i="11"/>
  <c r="U129" i="11"/>
  <c r="W129" i="11" s="1"/>
  <c r="M131" i="11"/>
  <c r="P131" i="11" s="1"/>
  <c r="M126" i="11"/>
  <c r="P126" i="11" s="1"/>
  <c r="W126" i="11" s="1"/>
  <c r="M133" i="11"/>
  <c r="P133" i="11" s="1"/>
  <c r="M128" i="11"/>
  <c r="P128" i="11" s="1"/>
  <c r="M130" i="11"/>
  <c r="P130" i="11" s="1"/>
  <c r="W130" i="11" s="1"/>
  <c r="M125" i="11"/>
  <c r="P125" i="11" s="1"/>
  <c r="M132" i="11"/>
  <c r="P132" i="11" s="1"/>
  <c r="M127" i="11"/>
  <c r="P127" i="11" s="1"/>
  <c r="U131" i="11"/>
  <c r="M125" i="7"/>
  <c r="P125" i="7" s="1"/>
  <c r="A113" i="10"/>
  <c r="A9" i="10"/>
  <c r="W125" i="10"/>
  <c r="A32" i="10"/>
  <c r="M130" i="7"/>
  <c r="P130" i="7" s="1"/>
  <c r="W130" i="7" s="1"/>
  <c r="U132" i="11"/>
  <c r="W130" i="8"/>
  <c r="W132" i="10"/>
  <c r="U133" i="11"/>
  <c r="W126" i="8"/>
  <c r="M134" i="11"/>
  <c r="P134" i="11" s="1"/>
  <c r="W134" i="11" s="1"/>
  <c r="U127" i="8"/>
  <c r="M131" i="8"/>
  <c r="P131" i="8" s="1"/>
  <c r="W131" i="8" s="1"/>
  <c r="U127" i="11"/>
  <c r="M133" i="9"/>
  <c r="P133" i="9" s="1"/>
  <c r="W133" i="9" s="1"/>
  <c r="M130" i="10"/>
  <c r="P130" i="10" s="1"/>
  <c r="W130" i="10" s="1"/>
  <c r="M126" i="9"/>
  <c r="P126" i="9" s="1"/>
  <c r="M131" i="9"/>
  <c r="P131" i="9" s="1"/>
  <c r="W131" i="9" s="1"/>
  <c r="M128" i="10"/>
  <c r="P128" i="10" s="1"/>
  <c r="W128" i="10" s="1"/>
  <c r="M133" i="10"/>
  <c r="P133" i="10" s="1"/>
  <c r="W133" i="10" s="1"/>
  <c r="M129" i="9"/>
  <c r="P129" i="9" s="1"/>
  <c r="W129" i="9" s="1"/>
  <c r="M134" i="9"/>
  <c r="P134" i="9" s="1"/>
  <c r="W134" i="9" s="1"/>
  <c r="M126" i="10"/>
  <c r="P126" i="10" s="1"/>
  <c r="A14" i="10" s="1"/>
  <c r="M127" i="9"/>
  <c r="P127" i="9" s="1"/>
  <c r="W127" i="9" s="1"/>
  <c r="M132" i="9"/>
  <c r="P132" i="9" s="1"/>
  <c r="W132" i="9" s="1"/>
  <c r="M129" i="10"/>
  <c r="P129" i="10" s="1"/>
  <c r="W129" i="10" s="1"/>
  <c r="M134" i="10"/>
  <c r="P134" i="10" s="1"/>
  <c r="W134" i="10" s="1"/>
  <c r="W126" i="9" l="1"/>
  <c r="A18" i="9"/>
  <c r="A102" i="9"/>
  <c r="A66" i="9"/>
  <c r="A109" i="9"/>
  <c r="A73" i="9"/>
  <c r="A37" i="9"/>
  <c r="A7" i="9"/>
  <c r="A30" i="9"/>
  <c r="A10" i="9"/>
  <c r="A20" i="9"/>
  <c r="A3" i="9"/>
  <c r="Y3" i="9" s="1"/>
  <c r="AC3" i="9" s="1"/>
  <c r="A77" i="9"/>
  <c r="A48" i="9"/>
  <c r="A98" i="9"/>
  <c r="A81" i="9"/>
  <c r="A52" i="9"/>
  <c r="A35" i="9"/>
  <c r="A54" i="9"/>
  <c r="A8" i="9"/>
  <c r="A118" i="9"/>
  <c r="A65" i="9"/>
  <c r="A36" i="9"/>
  <c r="A86" i="9"/>
  <c r="A69" i="9"/>
  <c r="A40" i="9"/>
  <c r="A23" i="9"/>
  <c r="P135" i="9"/>
  <c r="A106" i="9"/>
  <c r="A53" i="9"/>
  <c r="A24" i="9"/>
  <c r="A74" i="9"/>
  <c r="A57" i="9"/>
  <c r="A28" i="9"/>
  <c r="A11" i="9"/>
  <c r="A85" i="9"/>
  <c r="A78" i="9"/>
  <c r="A90" i="9"/>
  <c r="A111" i="9"/>
  <c r="A94" i="9"/>
  <c r="A41" i="9"/>
  <c r="A12" i="9"/>
  <c r="A62" i="9"/>
  <c r="A45" i="9"/>
  <c r="A16" i="9"/>
  <c r="A13" i="9"/>
  <c r="A116" i="9"/>
  <c r="A99" i="9"/>
  <c r="A82" i="9"/>
  <c r="A29" i="9"/>
  <c r="A115" i="9"/>
  <c r="A50" i="9"/>
  <c r="A33" i="9"/>
  <c r="A4" i="9"/>
  <c r="Y4" i="9" s="1"/>
  <c r="AC4" i="9" s="1"/>
  <c r="A104" i="9"/>
  <c r="A87" i="9"/>
  <c r="A70" i="9"/>
  <c r="A17" i="9"/>
  <c r="A103" i="9"/>
  <c r="A38" i="9"/>
  <c r="A21" i="9"/>
  <c r="A119" i="9"/>
  <c r="A114" i="9"/>
  <c r="A92" i="9"/>
  <c r="A75" i="9"/>
  <c r="A58" i="9"/>
  <c r="A5" i="9"/>
  <c r="A91" i="9"/>
  <c r="A26" i="9"/>
  <c r="A9" i="9"/>
  <c r="A107" i="9"/>
  <c r="A61" i="9"/>
  <c r="A80" i="9"/>
  <c r="A63" i="9"/>
  <c r="A46" i="9"/>
  <c r="A108" i="9"/>
  <c r="A79" i="9"/>
  <c r="A14" i="9"/>
  <c r="A112" i="9"/>
  <c r="A95" i="9"/>
  <c r="A68" i="9"/>
  <c r="A51" i="9"/>
  <c r="A34" i="9"/>
  <c r="A96" i="9"/>
  <c r="A67" i="9"/>
  <c r="A2" i="9"/>
  <c r="Y2" i="9" s="1"/>
  <c r="A100" i="9"/>
  <c r="A83" i="9"/>
  <c r="A56" i="9"/>
  <c r="A39" i="9"/>
  <c r="A113" i="9"/>
  <c r="A84" i="9"/>
  <c r="A55" i="9"/>
  <c r="A117" i="9"/>
  <c r="A88" i="9"/>
  <c r="A71" i="9"/>
  <c r="A97" i="9"/>
  <c r="A6" i="9"/>
  <c r="A68" i="10"/>
  <c r="A45" i="10"/>
  <c r="A59" i="9"/>
  <c r="A27" i="9"/>
  <c r="A87" i="3"/>
  <c r="A49" i="10"/>
  <c r="A25" i="9"/>
  <c r="A49" i="9"/>
  <c r="W127" i="8"/>
  <c r="A64" i="9"/>
  <c r="A32" i="9"/>
  <c r="W126" i="10"/>
  <c r="A111" i="10"/>
  <c r="A75" i="10"/>
  <c r="A39" i="10"/>
  <c r="A118" i="10"/>
  <c r="A82" i="10"/>
  <c r="A46" i="10"/>
  <c r="A10" i="10"/>
  <c r="A99" i="10"/>
  <c r="A63" i="10"/>
  <c r="A27" i="10"/>
  <c r="A106" i="10"/>
  <c r="A70" i="10"/>
  <c r="A34" i="10"/>
  <c r="A87" i="10"/>
  <c r="A51" i="10"/>
  <c r="A15" i="10"/>
  <c r="A3" i="10"/>
  <c r="Y3" i="10" s="1"/>
  <c r="AC3" i="10" s="1"/>
  <c r="A94" i="10"/>
  <c r="A58" i="10"/>
  <c r="A22" i="10"/>
  <c r="P135" i="10"/>
  <c r="A89" i="10"/>
  <c r="A60" i="10"/>
  <c r="A31" i="10"/>
  <c r="A2" i="10"/>
  <c r="Y2" i="10" s="1"/>
  <c r="A100" i="10"/>
  <c r="A83" i="10"/>
  <c r="A66" i="10"/>
  <c r="A37" i="10"/>
  <c r="A8" i="10"/>
  <c r="A77" i="10"/>
  <c r="A48" i="10"/>
  <c r="A19" i="10"/>
  <c r="A117" i="10"/>
  <c r="A88" i="10"/>
  <c r="A71" i="10"/>
  <c r="A54" i="10"/>
  <c r="A25" i="10"/>
  <c r="A65" i="10"/>
  <c r="A36" i="10"/>
  <c r="A7" i="10"/>
  <c r="A105" i="10"/>
  <c r="A76" i="10"/>
  <c r="A59" i="10"/>
  <c r="A42" i="10"/>
  <c r="A13" i="10"/>
  <c r="A53" i="10"/>
  <c r="A24" i="10"/>
  <c r="A110" i="10"/>
  <c r="A93" i="10"/>
  <c r="A64" i="10"/>
  <c r="A47" i="10"/>
  <c r="A30" i="10"/>
  <c r="A116" i="10"/>
  <c r="A41" i="10"/>
  <c r="A12" i="10"/>
  <c r="A98" i="10"/>
  <c r="A81" i="10"/>
  <c r="A52" i="10"/>
  <c r="A35" i="10"/>
  <c r="A18" i="10"/>
  <c r="A104" i="10"/>
  <c r="A29" i="10"/>
  <c r="A115" i="10"/>
  <c r="A86" i="10"/>
  <c r="A69" i="10"/>
  <c r="A40" i="10"/>
  <c r="A23" i="10"/>
  <c r="A6" i="10"/>
  <c r="A92" i="10"/>
  <c r="A17" i="10"/>
  <c r="A103" i="10"/>
  <c r="A74" i="10"/>
  <c r="A57" i="10"/>
  <c r="A28" i="10"/>
  <c r="A11" i="10"/>
  <c r="A109" i="10"/>
  <c r="A80" i="10"/>
  <c r="A108" i="10"/>
  <c r="A79" i="10"/>
  <c r="A50" i="10"/>
  <c r="A33" i="10"/>
  <c r="A4" i="10"/>
  <c r="Y4" i="10" s="1"/>
  <c r="AC4" i="10" s="1"/>
  <c r="A114" i="10"/>
  <c r="A85" i="10"/>
  <c r="A56" i="10"/>
  <c r="A96" i="10"/>
  <c r="A67" i="10"/>
  <c r="A38" i="10"/>
  <c r="A21" i="10"/>
  <c r="A119" i="10"/>
  <c r="A102" i="10"/>
  <c r="A73" i="10"/>
  <c r="A44" i="10"/>
  <c r="A61" i="10"/>
  <c r="A26" i="10"/>
  <c r="A76" i="9"/>
  <c r="A44" i="9"/>
  <c r="A97" i="10"/>
  <c r="A62" i="10"/>
  <c r="A93" i="9"/>
  <c r="W130" i="3"/>
  <c r="A35" i="3"/>
  <c r="A18" i="3"/>
  <c r="A110" i="6"/>
  <c r="A98" i="6"/>
  <c r="A86" i="6"/>
  <c r="A74" i="6"/>
  <c r="A62" i="6"/>
  <c r="A50" i="6"/>
  <c r="A119" i="6"/>
  <c r="A107" i="6"/>
  <c r="A95" i="6"/>
  <c r="A83" i="6"/>
  <c r="A71" i="6"/>
  <c r="A59" i="6"/>
  <c r="A47" i="6"/>
  <c r="W125" i="6"/>
  <c r="W135" i="6" s="1"/>
  <c r="A114" i="6"/>
  <c r="A102" i="6"/>
  <c r="A116" i="6"/>
  <c r="A118" i="6"/>
  <c r="A106" i="6"/>
  <c r="A94" i="6"/>
  <c r="A82" i="6"/>
  <c r="A70" i="6"/>
  <c r="A58" i="6"/>
  <c r="A46" i="6"/>
  <c r="A99" i="6"/>
  <c r="A96" i="6"/>
  <c r="A80" i="6"/>
  <c r="A75" i="6"/>
  <c r="A72" i="6"/>
  <c r="A56" i="6"/>
  <c r="A51" i="6"/>
  <c r="A48" i="6"/>
  <c r="A28" i="6"/>
  <c r="A16" i="6"/>
  <c r="A4" i="6"/>
  <c r="Y4" i="6" s="1"/>
  <c r="AC4" i="6" s="1"/>
  <c r="A104" i="6"/>
  <c r="A93" i="6"/>
  <c r="A88" i="6"/>
  <c r="A69" i="6"/>
  <c r="A64" i="6"/>
  <c r="A45" i="6"/>
  <c r="A40" i="6"/>
  <c r="A35" i="6"/>
  <c r="A23" i="6"/>
  <c r="A11" i="6"/>
  <c r="A115" i="6"/>
  <c r="A85" i="6"/>
  <c r="A61" i="6"/>
  <c r="A30" i="6"/>
  <c r="A18" i="6"/>
  <c r="A6" i="6"/>
  <c r="A112" i="6"/>
  <c r="A101" i="6"/>
  <c r="A77" i="6"/>
  <c r="A53" i="6"/>
  <c r="A37" i="6"/>
  <c r="A25" i="6"/>
  <c r="A13" i="6"/>
  <c r="A109" i="6"/>
  <c r="A90" i="6"/>
  <c r="A66" i="6"/>
  <c r="A42" i="6"/>
  <c r="A32" i="6"/>
  <c r="A20" i="6"/>
  <c r="A8" i="6"/>
  <c r="A79" i="6"/>
  <c r="A55" i="6"/>
  <c r="A27" i="6"/>
  <c r="A15" i="6"/>
  <c r="A3" i="6"/>
  <c r="Y3" i="6" s="1"/>
  <c r="AC3" i="6" s="1"/>
  <c r="A117" i="6"/>
  <c r="A103" i="6"/>
  <c r="A92" i="6"/>
  <c r="A87" i="6"/>
  <c r="A84" i="6"/>
  <c r="A68" i="6"/>
  <c r="A63" i="6"/>
  <c r="A60" i="6"/>
  <c r="A44" i="6"/>
  <c r="A39" i="6"/>
  <c r="A34" i="6"/>
  <c r="A22" i="6"/>
  <c r="A10" i="6"/>
  <c r="A100" i="6"/>
  <c r="A81" i="6"/>
  <c r="A76" i="6"/>
  <c r="A57" i="6"/>
  <c r="A52" i="6"/>
  <c r="A29" i="6"/>
  <c r="A17" i="6"/>
  <c r="A5" i="6"/>
  <c r="A111" i="6"/>
  <c r="A108" i="6"/>
  <c r="A97" i="6"/>
  <c r="A73" i="6"/>
  <c r="A49" i="6"/>
  <c r="A36" i="6"/>
  <c r="A24" i="6"/>
  <c r="A12" i="6"/>
  <c r="A105" i="6"/>
  <c r="A89" i="6"/>
  <c r="A65" i="6"/>
  <c r="A41" i="6"/>
  <c r="A31" i="6"/>
  <c r="A19" i="6"/>
  <c r="A7" i="6"/>
  <c r="A78" i="6"/>
  <c r="A54" i="6"/>
  <c r="A26" i="6"/>
  <c r="A14" i="6"/>
  <c r="A2" i="6"/>
  <c r="Y2" i="6" s="1"/>
  <c r="A38" i="6"/>
  <c r="P135" i="6"/>
  <c r="A91" i="6"/>
  <c r="A33" i="6"/>
  <c r="A113" i="6"/>
  <c r="A67" i="6"/>
  <c r="A21" i="6"/>
  <c r="A9" i="6"/>
  <c r="A43" i="6"/>
  <c r="A78" i="10"/>
  <c r="A43" i="10"/>
  <c r="A105" i="9"/>
  <c r="A83" i="4"/>
  <c r="A90" i="10"/>
  <c r="A55" i="10"/>
  <c r="A110" i="9"/>
  <c r="W135" i="10"/>
  <c r="A91" i="10"/>
  <c r="A31" i="9"/>
  <c r="A43" i="9"/>
  <c r="A47" i="9"/>
  <c r="A22" i="9"/>
  <c r="A95" i="10"/>
  <c r="A72" i="10"/>
  <c r="A60" i="9"/>
  <c r="W126" i="4"/>
  <c r="A27" i="4"/>
  <c r="A15" i="4"/>
  <c r="A3" i="4"/>
  <c r="Y3" i="4" s="1"/>
  <c r="AC3" i="4" s="1"/>
  <c r="A53" i="4"/>
  <c r="A48" i="4"/>
  <c r="A24" i="4"/>
  <c r="A12" i="4"/>
  <c r="A82" i="4"/>
  <c r="A70" i="4"/>
  <c r="A59" i="4"/>
  <c r="A45" i="4"/>
  <c r="A39" i="4"/>
  <c r="A34" i="4"/>
  <c r="A19" i="4"/>
  <c r="A7" i="4"/>
  <c r="A61" i="4"/>
  <c r="A21" i="4"/>
  <c r="A9" i="4"/>
  <c r="A4" i="4"/>
  <c r="Y4" i="4" s="1"/>
  <c r="AC4" i="4" s="1"/>
  <c r="A38" i="4"/>
  <c r="A30" i="4"/>
  <c r="A18" i="4"/>
  <c r="A6" i="4"/>
  <c r="A49" i="4"/>
  <c r="A25" i="4"/>
  <c r="A13" i="4"/>
  <c r="A33" i="4"/>
  <c r="A63" i="4"/>
  <c r="A81" i="4"/>
  <c r="A47" i="4"/>
  <c r="A58" i="4"/>
  <c r="A69" i="4"/>
  <c r="A23" i="4"/>
  <c r="A11" i="4"/>
  <c r="A84" i="4"/>
  <c r="A113" i="4"/>
  <c r="A43" i="4"/>
  <c r="A116" i="4"/>
  <c r="A62" i="4"/>
  <c r="A8" i="4"/>
  <c r="A16" i="4"/>
  <c r="A117" i="4"/>
  <c r="A101" i="4"/>
  <c r="A110" i="4"/>
  <c r="A114" i="4"/>
  <c r="A104" i="4"/>
  <c r="A46" i="4"/>
  <c r="A20" i="4"/>
  <c r="A28" i="4"/>
  <c r="A89" i="4"/>
  <c r="A98" i="4"/>
  <c r="A102" i="4"/>
  <c r="A92" i="4"/>
  <c r="A77" i="4"/>
  <c r="A86" i="4"/>
  <c r="A90" i="4"/>
  <c r="A80" i="4"/>
  <c r="A36" i="4"/>
  <c r="A108" i="4"/>
  <c r="A112" i="4"/>
  <c r="A78" i="4"/>
  <c r="A68" i="4"/>
  <c r="A75" i="4"/>
  <c r="A74" i="4"/>
  <c r="A96" i="4"/>
  <c r="A100" i="4"/>
  <c r="A66" i="4"/>
  <c r="A56" i="4"/>
  <c r="A95" i="4"/>
  <c r="A41" i="4"/>
  <c r="A2" i="4"/>
  <c r="Y2" i="4" s="1"/>
  <c r="A115" i="4"/>
  <c r="A88" i="4"/>
  <c r="A54" i="4"/>
  <c r="A44" i="4"/>
  <c r="A105" i="4"/>
  <c r="A14" i="4"/>
  <c r="A103" i="4"/>
  <c r="A76" i="4"/>
  <c r="A42" i="4"/>
  <c r="A32" i="4"/>
  <c r="A93" i="4"/>
  <c r="A87" i="4"/>
  <c r="A26" i="4"/>
  <c r="A91" i="4"/>
  <c r="A64" i="4"/>
  <c r="A109" i="4"/>
  <c r="A5" i="4"/>
  <c r="A99" i="4"/>
  <c r="A94" i="4"/>
  <c r="A31" i="4"/>
  <c r="A79" i="4"/>
  <c r="A52" i="4"/>
  <c r="A97" i="4"/>
  <c r="A17" i="4"/>
  <c r="A106" i="4"/>
  <c r="A72" i="4"/>
  <c r="A50" i="4"/>
  <c r="A67" i="4"/>
  <c r="A40" i="4"/>
  <c r="A85" i="4"/>
  <c r="A29" i="4"/>
  <c r="A37" i="4"/>
  <c r="A111" i="4"/>
  <c r="A10" i="4"/>
  <c r="A22" i="4"/>
  <c r="A60" i="4"/>
  <c r="A118" i="4"/>
  <c r="A55" i="4"/>
  <c r="A65" i="4"/>
  <c r="A119" i="4"/>
  <c r="A35" i="4"/>
  <c r="A51" i="4"/>
  <c r="A107" i="4"/>
  <c r="A73" i="4"/>
  <c r="A57" i="4"/>
  <c r="A15" i="9"/>
  <c r="A19" i="9"/>
  <c r="A107" i="10"/>
  <c r="A84" i="10"/>
  <c r="A42" i="9"/>
  <c r="A72" i="9"/>
  <c r="A16" i="10"/>
  <c r="A5" i="10"/>
  <c r="W133" i="11"/>
  <c r="A89" i="9"/>
  <c r="A20" i="10"/>
  <c r="A112" i="10"/>
  <c r="A101" i="10"/>
  <c r="A101" i="9"/>
  <c r="W131" i="11"/>
  <c r="A119" i="8"/>
  <c r="A107" i="8"/>
  <c r="A95" i="8"/>
  <c r="W125" i="8"/>
  <c r="P135" i="8"/>
  <c r="A111" i="8"/>
  <c r="A113" i="8"/>
  <c r="A115" i="8"/>
  <c r="A103" i="8"/>
  <c r="A91" i="8"/>
  <c r="A108" i="8"/>
  <c r="A85" i="8"/>
  <c r="A80" i="8"/>
  <c r="A68" i="8"/>
  <c r="A56" i="8"/>
  <c r="A44" i="8"/>
  <c r="A32" i="8"/>
  <c r="A20" i="8"/>
  <c r="A8" i="8"/>
  <c r="A105" i="8"/>
  <c r="A100" i="8"/>
  <c r="A75" i="8"/>
  <c r="A63" i="8"/>
  <c r="A51" i="8"/>
  <c r="A39" i="8"/>
  <c r="A27" i="8"/>
  <c r="A15" i="8"/>
  <c r="A3" i="8"/>
  <c r="Y3" i="8" s="1"/>
  <c r="AC3" i="8" s="1"/>
  <c r="A116" i="8"/>
  <c r="A92" i="8"/>
  <c r="A87" i="8"/>
  <c r="A70" i="8"/>
  <c r="A58" i="8"/>
  <c r="A46" i="8"/>
  <c r="A34" i="8"/>
  <c r="A22" i="8"/>
  <c r="A10" i="8"/>
  <c r="A110" i="8"/>
  <c r="A102" i="8"/>
  <c r="A97" i="8"/>
  <c r="A82" i="8"/>
  <c r="A77" i="8"/>
  <c r="A65" i="8"/>
  <c r="A53" i="8"/>
  <c r="A41" i="8"/>
  <c r="A29" i="8"/>
  <c r="A17" i="8"/>
  <c r="A5" i="8"/>
  <c r="A89" i="8"/>
  <c r="A72" i="8"/>
  <c r="A60" i="8"/>
  <c r="A48" i="8"/>
  <c r="A36" i="8"/>
  <c r="A24" i="8"/>
  <c r="A12" i="8"/>
  <c r="A118" i="8"/>
  <c r="A94" i="8"/>
  <c r="A84" i="8"/>
  <c r="A79" i="8"/>
  <c r="A67" i="8"/>
  <c r="A55" i="8"/>
  <c r="A43" i="8"/>
  <c r="A31" i="8"/>
  <c r="A19" i="8"/>
  <c r="A7" i="8"/>
  <c r="A112" i="8"/>
  <c r="A104" i="8"/>
  <c r="A99" i="8"/>
  <c r="A74" i="8"/>
  <c r="A62" i="8"/>
  <c r="A50" i="8"/>
  <c r="A38" i="8"/>
  <c r="A26" i="8"/>
  <c r="A14" i="8"/>
  <c r="A2" i="8"/>
  <c r="Y2" i="8" s="1"/>
  <c r="A109" i="8"/>
  <c r="A86" i="8"/>
  <c r="A81" i="8"/>
  <c r="A69" i="8"/>
  <c r="A57" i="8"/>
  <c r="A45" i="8"/>
  <c r="A33" i="8"/>
  <c r="A21" i="8"/>
  <c r="A9" i="8"/>
  <c r="A101" i="8"/>
  <c r="A96" i="8"/>
  <c r="A76" i="8"/>
  <c r="A64" i="8"/>
  <c r="A52" i="8"/>
  <c r="A40" i="8"/>
  <c r="A28" i="8"/>
  <c r="A16" i="8"/>
  <c r="A4" i="8"/>
  <c r="Y4" i="8" s="1"/>
  <c r="AC4" i="8" s="1"/>
  <c r="A117" i="8"/>
  <c r="A106" i="8"/>
  <c r="A93" i="8"/>
  <c r="A88" i="8"/>
  <c r="A71" i="8"/>
  <c r="A59" i="8"/>
  <c r="A47" i="8"/>
  <c r="A35" i="8"/>
  <c r="A23" i="8"/>
  <c r="A11" i="8"/>
  <c r="A114" i="8"/>
  <c r="A83" i="8"/>
  <c r="A78" i="8"/>
  <c r="A66" i="8"/>
  <c r="A54" i="8"/>
  <c r="A42" i="8"/>
  <c r="A30" i="8"/>
  <c r="A18" i="8"/>
  <c r="A6" i="8"/>
  <c r="A61" i="8"/>
  <c r="A49" i="8"/>
  <c r="A98" i="8"/>
  <c r="A37" i="8"/>
  <c r="A90" i="8"/>
  <c r="A25" i="8"/>
  <c r="A13" i="8"/>
  <c r="A73" i="8"/>
  <c r="W126" i="5"/>
  <c r="A119" i="7"/>
  <c r="A107" i="7"/>
  <c r="A95" i="7"/>
  <c r="A83" i="7"/>
  <c r="A71" i="7"/>
  <c r="A59" i="7"/>
  <c r="A47" i="7"/>
  <c r="A35" i="7"/>
  <c r="A23" i="7"/>
  <c r="A11" i="7"/>
  <c r="W125" i="7"/>
  <c r="W135" i="7" s="1"/>
  <c r="A114" i="7"/>
  <c r="A102" i="7"/>
  <c r="A90" i="7"/>
  <c r="A78" i="7"/>
  <c r="A66" i="7"/>
  <c r="A54" i="7"/>
  <c r="A109" i="7"/>
  <c r="A97" i="7"/>
  <c r="A85" i="7"/>
  <c r="A73" i="7"/>
  <c r="A61" i="7"/>
  <c r="A49" i="7"/>
  <c r="A37" i="7"/>
  <c r="A25" i="7"/>
  <c r="A13" i="7"/>
  <c r="A116" i="7"/>
  <c r="A104" i="7"/>
  <c r="A92" i="7"/>
  <c r="A80" i="7"/>
  <c r="A68" i="7"/>
  <c r="A56" i="7"/>
  <c r="A44" i="7"/>
  <c r="A32" i="7"/>
  <c r="A20" i="7"/>
  <c r="A8" i="7"/>
  <c r="P135" i="7"/>
  <c r="A111" i="7"/>
  <c r="A99" i="7"/>
  <c r="A87" i="7"/>
  <c r="A75" i="7"/>
  <c r="A63" i="7"/>
  <c r="A51" i="7"/>
  <c r="A39" i="7"/>
  <c r="A27" i="7"/>
  <c r="A15" i="7"/>
  <c r="A3" i="7"/>
  <c r="Y3" i="7" s="1"/>
  <c r="AC3" i="7" s="1"/>
  <c r="A118" i="7"/>
  <c r="A106" i="7"/>
  <c r="A94" i="7"/>
  <c r="A82" i="7"/>
  <c r="A70" i="7"/>
  <c r="A58" i="7"/>
  <c r="A46" i="7"/>
  <c r="A34" i="7"/>
  <c r="A113" i="7"/>
  <c r="A101" i="7"/>
  <c r="A89" i="7"/>
  <c r="A77" i="7"/>
  <c r="A65" i="7"/>
  <c r="A53" i="7"/>
  <c r="A41" i="7"/>
  <c r="A29" i="7"/>
  <c r="A17" i="7"/>
  <c r="A5" i="7"/>
  <c r="A108" i="7"/>
  <c r="A96" i="7"/>
  <c r="A84" i="7"/>
  <c r="A72" i="7"/>
  <c r="A60" i="7"/>
  <c r="A48" i="7"/>
  <c r="A36" i="7"/>
  <c r="A115" i="7"/>
  <c r="A103" i="7"/>
  <c r="A91" i="7"/>
  <c r="A79" i="7"/>
  <c r="A67" i="7"/>
  <c r="A55" i="7"/>
  <c r="A43" i="7"/>
  <c r="A31" i="7"/>
  <c r="A19" i="7"/>
  <c r="A7" i="7"/>
  <c r="A110" i="7"/>
  <c r="A98" i="7"/>
  <c r="A86" i="7"/>
  <c r="A74" i="7"/>
  <c r="A62" i="7"/>
  <c r="A50" i="7"/>
  <c r="A38" i="7"/>
  <c r="A117" i="7"/>
  <c r="A105" i="7"/>
  <c r="A93" i="7"/>
  <c r="A81" i="7"/>
  <c r="A45" i="7"/>
  <c r="A22" i="7"/>
  <c r="A16" i="7"/>
  <c r="A10" i="7"/>
  <c r="A100" i="7"/>
  <c r="A52" i="7"/>
  <c r="A28" i="7"/>
  <c r="A88" i="7"/>
  <c r="A69" i="7"/>
  <c r="A24" i="7"/>
  <c r="A21" i="7"/>
  <c r="A18" i="7"/>
  <c r="A12" i="7"/>
  <c r="A9" i="7"/>
  <c r="A6" i="7"/>
  <c r="A76" i="7"/>
  <c r="A33" i="7"/>
  <c r="A30" i="7"/>
  <c r="A40" i="7"/>
  <c r="A2" i="7"/>
  <c r="Y2" i="7" s="1"/>
  <c r="A57" i="7"/>
  <c r="A26" i="7"/>
  <c r="A14" i="7"/>
  <c r="A64" i="7"/>
  <c r="A42" i="7"/>
  <c r="A112" i="7"/>
  <c r="A4" i="7"/>
  <c r="Y4" i="7" s="1"/>
  <c r="AC4" i="7" s="1"/>
  <c r="W135" i="9"/>
  <c r="W130" i="6"/>
  <c r="W127" i="11"/>
  <c r="A64" i="3"/>
  <c r="W132" i="11"/>
  <c r="W126" i="6"/>
  <c r="A93" i="3"/>
  <c r="A110" i="11"/>
  <c r="A98" i="11"/>
  <c r="A86" i="11"/>
  <c r="A74" i="11"/>
  <c r="A62" i="11"/>
  <c r="A50" i="11"/>
  <c r="A38" i="11"/>
  <c r="A26" i="11"/>
  <c r="A14" i="11"/>
  <c r="A2" i="11"/>
  <c r="Y2" i="11" s="1"/>
  <c r="A117" i="11"/>
  <c r="A105" i="11"/>
  <c r="A93" i="11"/>
  <c r="A81" i="11"/>
  <c r="A69" i="11"/>
  <c r="A57" i="11"/>
  <c r="A45" i="11"/>
  <c r="A33" i="11"/>
  <c r="A21" i="11"/>
  <c r="A9" i="11"/>
  <c r="A112" i="11"/>
  <c r="A100" i="11"/>
  <c r="A88" i="11"/>
  <c r="A76" i="11"/>
  <c r="A64" i="11"/>
  <c r="A52" i="11"/>
  <c r="A40" i="11"/>
  <c r="A28" i="11"/>
  <c r="A16" i="11"/>
  <c r="A4" i="11"/>
  <c r="Y4" i="11" s="1"/>
  <c r="AC4" i="11" s="1"/>
  <c r="A119" i="11"/>
  <c r="A107" i="11"/>
  <c r="A95" i="11"/>
  <c r="A83" i="11"/>
  <c r="A71" i="11"/>
  <c r="A59" i="11"/>
  <c r="A47" i="11"/>
  <c r="A35" i="11"/>
  <c r="A23" i="11"/>
  <c r="A11" i="11"/>
  <c r="W125" i="11"/>
  <c r="W135" i="11" s="1"/>
  <c r="A114" i="11"/>
  <c r="A102" i="11"/>
  <c r="A90" i="11"/>
  <c r="A78" i="11"/>
  <c r="A66" i="11"/>
  <c r="A54" i="11"/>
  <c r="A42" i="11"/>
  <c r="A30" i="11"/>
  <c r="A18" i="11"/>
  <c r="A6" i="11"/>
  <c r="A109" i="11"/>
  <c r="A97" i="11"/>
  <c r="A85" i="11"/>
  <c r="A73" i="11"/>
  <c r="A61" i="11"/>
  <c r="A49" i="11"/>
  <c r="A37" i="11"/>
  <c r="A25" i="11"/>
  <c r="A13" i="11"/>
  <c r="A116" i="11"/>
  <c r="A104" i="11"/>
  <c r="A92" i="11"/>
  <c r="A80" i="11"/>
  <c r="A68" i="11"/>
  <c r="A56" i="11"/>
  <c r="A44" i="11"/>
  <c r="A32" i="11"/>
  <c r="A20" i="11"/>
  <c r="A8" i="11"/>
  <c r="P135" i="11"/>
  <c r="A111" i="11"/>
  <c r="A99" i="11"/>
  <c r="A87" i="11"/>
  <c r="A75" i="11"/>
  <c r="A63" i="11"/>
  <c r="A51" i="11"/>
  <c r="A39" i="11"/>
  <c r="A27" i="11"/>
  <c r="A15" i="11"/>
  <c r="A3" i="11"/>
  <c r="Y3" i="11" s="1"/>
  <c r="AC3" i="11" s="1"/>
  <c r="A118" i="11"/>
  <c r="A106" i="11"/>
  <c r="A94" i="11"/>
  <c r="A82" i="11"/>
  <c r="A70" i="11"/>
  <c r="A58" i="11"/>
  <c r="A46" i="11"/>
  <c r="A34" i="11"/>
  <c r="A22" i="11"/>
  <c r="A10" i="11"/>
  <c r="A113" i="11"/>
  <c r="A101" i="11"/>
  <c r="A89" i="11"/>
  <c r="A77" i="11"/>
  <c r="A65" i="11"/>
  <c r="A53" i="11"/>
  <c r="A41" i="11"/>
  <c r="A29" i="11"/>
  <c r="A17" i="11"/>
  <c r="A5" i="11"/>
  <c r="A96" i="11"/>
  <c r="A60" i="11"/>
  <c r="A24" i="11"/>
  <c r="A103" i="11"/>
  <c r="A67" i="11"/>
  <c r="A31" i="11"/>
  <c r="A84" i="11"/>
  <c r="A48" i="11"/>
  <c r="A12" i="11"/>
  <c r="A91" i="11"/>
  <c r="A55" i="11"/>
  <c r="A19" i="11"/>
  <c r="A108" i="11"/>
  <c r="A72" i="11"/>
  <c r="A36" i="11"/>
  <c r="A7" i="11"/>
  <c r="A115" i="11"/>
  <c r="A79" i="11"/>
  <c r="A43" i="11"/>
  <c r="A115" i="3"/>
  <c r="A29" i="3"/>
  <c r="W128" i="11"/>
  <c r="A95" i="3"/>
  <c r="A58" i="3"/>
  <c r="A62" i="3"/>
  <c r="A76" i="3"/>
  <c r="A105" i="3"/>
  <c r="A12" i="3"/>
  <c r="A41" i="3"/>
  <c r="A70" i="3"/>
  <c r="A99" i="3"/>
  <c r="A116" i="3"/>
  <c r="A30" i="3"/>
  <c r="A47" i="3"/>
  <c r="A7" i="2"/>
  <c r="A114" i="2"/>
  <c r="A94" i="2"/>
  <c r="A92" i="2"/>
  <c r="A119" i="2"/>
  <c r="A93" i="2"/>
  <c r="A110" i="2"/>
  <c r="A11" i="1"/>
  <c r="A21" i="1"/>
  <c r="A26" i="1"/>
  <c r="A31" i="1"/>
  <c r="A48" i="1"/>
  <c r="A95" i="1"/>
  <c r="A53" i="1"/>
  <c r="A35" i="1"/>
  <c r="A104" i="1"/>
  <c r="A49" i="1"/>
  <c r="W129" i="5"/>
  <c r="A88" i="3"/>
  <c r="A117" i="3"/>
  <c r="A24" i="3"/>
  <c r="A53" i="3"/>
  <c r="A82" i="3"/>
  <c r="A111" i="3"/>
  <c r="A13" i="3"/>
  <c r="A42" i="3"/>
  <c r="A59" i="3"/>
  <c r="A113" i="2"/>
  <c r="A90" i="2"/>
  <c r="A106" i="2"/>
  <c r="A104" i="2"/>
  <c r="A4" i="2"/>
  <c r="Y4" i="2" s="1"/>
  <c r="AC4" i="2" s="1"/>
  <c r="A105" i="2"/>
  <c r="A16" i="1"/>
  <c r="A33" i="1"/>
  <c r="A74" i="1"/>
  <c r="A43" i="1"/>
  <c r="A60" i="1"/>
  <c r="A29" i="1"/>
  <c r="A34" i="1"/>
  <c r="A41" i="1"/>
  <c r="A116" i="1"/>
  <c r="A6" i="1"/>
  <c r="Y6" i="1" s="1"/>
  <c r="A100" i="3"/>
  <c r="A7" i="3"/>
  <c r="A36" i="3"/>
  <c r="A65" i="3"/>
  <c r="A94" i="3"/>
  <c r="P135" i="3"/>
  <c r="A25" i="3"/>
  <c r="A54" i="3"/>
  <c r="A71" i="3"/>
  <c r="A103" i="2"/>
  <c r="A66" i="2"/>
  <c r="A89" i="2"/>
  <c r="A84" i="2"/>
  <c r="A118" i="2"/>
  <c r="A116" i="2"/>
  <c r="A16" i="2"/>
  <c r="A117" i="2"/>
  <c r="A40" i="1"/>
  <c r="A45" i="1"/>
  <c r="A86" i="1"/>
  <c r="A55" i="1"/>
  <c r="A72" i="1"/>
  <c r="A77" i="1"/>
  <c r="A3" i="1"/>
  <c r="Y3" i="1" s="1"/>
  <c r="AC3" i="1" s="1"/>
  <c r="A65" i="1"/>
  <c r="A18" i="1"/>
  <c r="A112" i="3"/>
  <c r="A19" i="3"/>
  <c r="A48" i="3"/>
  <c r="A77" i="3"/>
  <c r="A106" i="3"/>
  <c r="A8" i="3"/>
  <c r="A37" i="3"/>
  <c r="A66" i="3"/>
  <c r="A83" i="3"/>
  <c r="A115" i="2"/>
  <c r="A96" i="2"/>
  <c r="A111" i="2"/>
  <c r="A11" i="2"/>
  <c r="A28" i="2"/>
  <c r="A2" i="2"/>
  <c r="Y2" i="2" s="1"/>
  <c r="A52" i="1"/>
  <c r="A57" i="1"/>
  <c r="A98" i="1"/>
  <c r="A67" i="1"/>
  <c r="A84" i="1"/>
  <c r="A10" i="1"/>
  <c r="A15" i="1"/>
  <c r="A46" i="1"/>
  <c r="A13" i="1"/>
  <c r="A30" i="1"/>
  <c r="A9" i="3"/>
  <c r="A31" i="3"/>
  <c r="A60" i="3"/>
  <c r="A89" i="3"/>
  <c r="A118" i="3"/>
  <c r="A20" i="3"/>
  <c r="A49" i="3"/>
  <c r="A78" i="3"/>
  <c r="A97" i="2"/>
  <c r="A43" i="2"/>
  <c r="A102" i="2"/>
  <c r="A65" i="2"/>
  <c r="A108" i="2"/>
  <c r="P135" i="2"/>
  <c r="A23" i="2"/>
  <c r="A40" i="2"/>
  <c r="A14" i="2"/>
  <c r="A76" i="1"/>
  <c r="A69" i="1"/>
  <c r="A110" i="1"/>
  <c r="A79" i="1"/>
  <c r="A96" i="1"/>
  <c r="A22" i="1"/>
  <c r="A27" i="1"/>
  <c r="A8" i="1"/>
  <c r="A25" i="1"/>
  <c r="A42" i="1"/>
  <c r="W127" i="5"/>
  <c r="W127" i="3"/>
  <c r="A3" i="3"/>
  <c r="Y3" i="3" s="1"/>
  <c r="AC3" i="3" s="1"/>
  <c r="A26" i="3"/>
  <c r="A14" i="3"/>
  <c r="A38" i="3"/>
  <c r="A74" i="3"/>
  <c r="A110" i="3"/>
  <c r="A50" i="3"/>
  <c r="A21" i="3"/>
  <c r="A43" i="3"/>
  <c r="A72" i="3"/>
  <c r="A101" i="3"/>
  <c r="A15" i="3"/>
  <c r="A32" i="3"/>
  <c r="A61" i="3"/>
  <c r="A90" i="3"/>
  <c r="A107" i="3"/>
  <c r="A87" i="2"/>
  <c r="W134" i="1"/>
  <c r="W135" i="1" s="1"/>
  <c r="A10" i="2"/>
  <c r="A8" i="2"/>
  <c r="A35" i="2"/>
  <c r="A52" i="2"/>
  <c r="A26" i="2"/>
  <c r="A88" i="1"/>
  <c r="A81" i="1"/>
  <c r="P135" i="1"/>
  <c r="A91" i="1"/>
  <c r="A108" i="1"/>
  <c r="A58" i="1"/>
  <c r="A39" i="1"/>
  <c r="A20" i="1"/>
  <c r="A37" i="1"/>
  <c r="A54" i="1"/>
  <c r="A4" i="3"/>
  <c r="Y4" i="3" s="1"/>
  <c r="AC4" i="3" s="1"/>
  <c r="A33" i="3"/>
  <c r="A55" i="3"/>
  <c r="A84" i="3"/>
  <c r="A113" i="3"/>
  <c r="A27" i="3"/>
  <c r="A44" i="3"/>
  <c r="A73" i="3"/>
  <c r="A102" i="3"/>
  <c r="A119" i="3"/>
  <c r="A78" i="2"/>
  <c r="A39" i="2"/>
  <c r="A22" i="2"/>
  <c r="A20" i="2"/>
  <c r="A47" i="2"/>
  <c r="A64" i="2"/>
  <c r="A38" i="2"/>
  <c r="A100" i="1"/>
  <c r="A93" i="1"/>
  <c r="A107" i="1"/>
  <c r="A103" i="1"/>
  <c r="A17" i="1"/>
  <c r="A70" i="1"/>
  <c r="A51" i="1"/>
  <c r="A32" i="1"/>
  <c r="A61" i="1"/>
  <c r="A66" i="1"/>
  <c r="A115" i="5"/>
  <c r="A103" i="5"/>
  <c r="A91" i="5"/>
  <c r="A79" i="5"/>
  <c r="A67" i="5"/>
  <c r="A55" i="5"/>
  <c r="A43" i="5"/>
  <c r="A31" i="5"/>
  <c r="A19" i="5"/>
  <c r="A7" i="5"/>
  <c r="A110" i="5"/>
  <c r="A98" i="5"/>
  <c r="A86" i="5"/>
  <c r="A74" i="5"/>
  <c r="A62" i="5"/>
  <c r="A50" i="5"/>
  <c r="A38" i="5"/>
  <c r="A26" i="5"/>
  <c r="A14" i="5"/>
  <c r="A2" i="5"/>
  <c r="Y2" i="5" s="1"/>
  <c r="A117" i="5"/>
  <c r="A105" i="5"/>
  <c r="A93" i="5"/>
  <c r="A81" i="5"/>
  <c r="A69" i="5"/>
  <c r="A57" i="5"/>
  <c r="A45" i="5"/>
  <c r="A33" i="5"/>
  <c r="A21" i="5"/>
  <c r="A9" i="5"/>
  <c r="A112" i="5"/>
  <c r="A100" i="5"/>
  <c r="A88" i="5"/>
  <c r="A76" i="5"/>
  <c r="A64" i="5"/>
  <c r="A52" i="5"/>
  <c r="A40" i="5"/>
  <c r="A28" i="5"/>
  <c r="A16" i="5"/>
  <c r="A4" i="5"/>
  <c r="Y4" i="5" s="1"/>
  <c r="AC4" i="5" s="1"/>
  <c r="A119" i="5"/>
  <c r="A107" i="5"/>
  <c r="A95" i="5"/>
  <c r="A83" i="5"/>
  <c r="A71" i="5"/>
  <c r="A59" i="5"/>
  <c r="A47" i="5"/>
  <c r="A35" i="5"/>
  <c r="A23" i="5"/>
  <c r="A11" i="5"/>
  <c r="W125" i="5"/>
  <c r="W135" i="5" s="1"/>
  <c r="A114" i="5"/>
  <c r="A102" i="5"/>
  <c r="A90" i="5"/>
  <c r="A78" i="5"/>
  <c r="A66" i="5"/>
  <c r="A54" i="5"/>
  <c r="A109" i="5"/>
  <c r="A97" i="5"/>
  <c r="A85" i="5"/>
  <c r="A73" i="5"/>
  <c r="A61" i="5"/>
  <c r="A49" i="5"/>
  <c r="A37" i="5"/>
  <c r="A25" i="5"/>
  <c r="A13" i="5"/>
  <c r="A116" i="5"/>
  <c r="A104" i="5"/>
  <c r="A92" i="5"/>
  <c r="A80" i="5"/>
  <c r="A68" i="5"/>
  <c r="A56" i="5"/>
  <c r="A44" i="5"/>
  <c r="A32" i="5"/>
  <c r="A20" i="5"/>
  <c r="A8" i="5"/>
  <c r="P135" i="5"/>
  <c r="A111" i="5"/>
  <c r="A99" i="5"/>
  <c r="A87" i="5"/>
  <c r="A75" i="5"/>
  <c r="A63" i="5"/>
  <c r="A51" i="5"/>
  <c r="A39" i="5"/>
  <c r="A27" i="5"/>
  <c r="A15" i="5"/>
  <c r="A3" i="5"/>
  <c r="Y3" i="5" s="1"/>
  <c r="AC3" i="5" s="1"/>
  <c r="A118" i="5"/>
  <c r="A106" i="5"/>
  <c r="A94" i="5"/>
  <c r="A82" i="5"/>
  <c r="A70" i="5"/>
  <c r="A58" i="5"/>
  <c r="A46" i="5"/>
  <c r="A34" i="5"/>
  <c r="A22" i="5"/>
  <c r="A10" i="5"/>
  <c r="A113" i="5"/>
  <c r="A101" i="5"/>
  <c r="A89" i="5"/>
  <c r="A77" i="5"/>
  <c r="A65" i="5"/>
  <c r="A53" i="5"/>
  <c r="A41" i="5"/>
  <c r="A29" i="5"/>
  <c r="A17" i="5"/>
  <c r="A5" i="5"/>
  <c r="A6" i="5"/>
  <c r="A72" i="5"/>
  <c r="A42" i="5"/>
  <c r="A24" i="5"/>
  <c r="A60" i="5"/>
  <c r="A48" i="5"/>
  <c r="A30" i="5"/>
  <c r="A12" i="5"/>
  <c r="A108" i="5"/>
  <c r="A84" i="5"/>
  <c r="A18" i="5"/>
  <c r="A96" i="5"/>
  <c r="A36" i="5"/>
  <c r="A16" i="3"/>
  <c r="A45" i="3"/>
  <c r="A67" i="3"/>
  <c r="A96" i="3"/>
  <c r="A10" i="3"/>
  <c r="A39" i="3"/>
  <c r="A56" i="3"/>
  <c r="A85" i="3"/>
  <c r="A114" i="3"/>
  <c r="A36" i="2"/>
  <c r="A101" i="2"/>
  <c r="A34" i="2"/>
  <c r="A32" i="2"/>
  <c r="A59" i="2"/>
  <c r="A76" i="2"/>
  <c r="A50" i="2"/>
  <c r="A112" i="1"/>
  <c r="A105" i="1"/>
  <c r="A38" i="1"/>
  <c r="A115" i="1"/>
  <c r="A89" i="1"/>
  <c r="A82" i="1"/>
  <c r="A63" i="1"/>
  <c r="A44" i="1"/>
  <c r="A73" i="1"/>
  <c r="A78" i="1"/>
  <c r="A28" i="3"/>
  <c r="A57" i="3"/>
  <c r="A79" i="3"/>
  <c r="A108" i="3"/>
  <c r="A22" i="3"/>
  <c r="A51" i="3"/>
  <c r="A68" i="3"/>
  <c r="A97" i="3"/>
  <c r="W135" i="3"/>
  <c r="A55" i="2"/>
  <c r="A33" i="2"/>
  <c r="A46" i="2"/>
  <c r="A44" i="2"/>
  <c r="A71" i="2"/>
  <c r="A88" i="2"/>
  <c r="A62" i="2"/>
  <c r="A71" i="1"/>
  <c r="A117" i="1"/>
  <c r="A50" i="1"/>
  <c r="A83" i="1"/>
  <c r="A101" i="1"/>
  <c r="A94" i="1"/>
  <c r="A75" i="1"/>
  <c r="A56" i="1"/>
  <c r="A85" i="1"/>
  <c r="A90" i="1"/>
  <c r="W128" i="5"/>
  <c r="A40" i="3"/>
  <c r="A69" i="3"/>
  <c r="A91" i="3"/>
  <c r="A5" i="3"/>
  <c r="A34" i="3"/>
  <c r="A63" i="3"/>
  <c r="A80" i="3"/>
  <c r="A109" i="3"/>
  <c r="A11" i="3"/>
  <c r="A98" i="3"/>
  <c r="A2" i="3"/>
  <c r="Y2" i="3" s="1"/>
  <c r="W135" i="2"/>
  <c r="A58" i="2"/>
  <c r="A56" i="2"/>
  <c r="A83" i="2"/>
  <c r="A100" i="2"/>
  <c r="A28" i="1"/>
  <c r="A4" i="1"/>
  <c r="Y4" i="1" s="1"/>
  <c r="AC4" i="1" s="1"/>
  <c r="A62" i="1"/>
  <c r="A12" i="1"/>
  <c r="A113" i="1"/>
  <c r="A106" i="1"/>
  <c r="A87" i="1"/>
  <c r="A68" i="1"/>
  <c r="A97" i="1"/>
  <c r="A102" i="1"/>
  <c r="W126" i="2"/>
  <c r="A75" i="2"/>
  <c r="A72" i="2"/>
  <c r="A69" i="2"/>
  <c r="A49" i="2"/>
  <c r="A29" i="2"/>
  <c r="A3" i="2"/>
  <c r="Y3" i="2" s="1"/>
  <c r="AC3" i="2" s="1"/>
  <c r="A63" i="2"/>
  <c r="A60" i="2"/>
  <c r="A57" i="2"/>
  <c r="A37" i="2"/>
  <c r="A17" i="2"/>
  <c r="A15" i="2"/>
  <c r="A54" i="2"/>
  <c r="A31" i="2"/>
  <c r="A5" i="2"/>
  <c r="A12" i="2"/>
  <c r="A99" i="2"/>
  <c r="A77" i="2"/>
  <c r="A51" i="2"/>
  <c r="A48" i="2"/>
  <c r="A45" i="2"/>
  <c r="A25" i="2"/>
  <c r="A42" i="2"/>
  <c r="A19" i="2"/>
  <c r="A61" i="2"/>
  <c r="A41" i="2"/>
  <c r="A6" i="2"/>
  <c r="A79" i="2"/>
  <c r="A30" i="2"/>
  <c r="A9" i="2"/>
  <c r="A73" i="2"/>
  <c r="A53" i="2"/>
  <c r="A27" i="2"/>
  <c r="A24" i="2"/>
  <c r="A21" i="2"/>
  <c r="A91" i="2"/>
  <c r="A85" i="2"/>
  <c r="A67" i="2"/>
  <c r="A18" i="2"/>
  <c r="W133" i="5"/>
  <c r="W135" i="4"/>
  <c r="A52" i="3"/>
  <c r="A81" i="3"/>
  <c r="A103" i="3"/>
  <c r="A17" i="3"/>
  <c r="A46" i="3"/>
  <c r="A75" i="3"/>
  <c r="A92" i="3"/>
  <c r="A6" i="3"/>
  <c r="A23" i="3"/>
  <c r="A86" i="3"/>
  <c r="A70" i="2"/>
  <c r="A68" i="2"/>
  <c r="A95" i="2"/>
  <c r="A112" i="2"/>
  <c r="A86" i="2"/>
  <c r="A64" i="1"/>
  <c r="A2" i="1"/>
  <c r="Y2" i="1" s="1"/>
  <c r="A7" i="1"/>
  <c r="A24" i="1"/>
  <c r="A118" i="1"/>
  <c r="A47" i="1"/>
  <c r="A99" i="1"/>
  <c r="A80" i="1"/>
  <c r="A109" i="1"/>
  <c r="A114" i="1"/>
  <c r="Y110" i="11" l="1"/>
  <c r="Y16" i="11"/>
  <c r="Y109" i="11"/>
  <c r="Y75" i="11"/>
  <c r="Y53" i="11"/>
  <c r="Y119" i="11"/>
  <c r="Y80" i="11"/>
  <c r="Y8" i="11"/>
  <c r="AC8" i="11" s="1"/>
  <c r="Y106" i="11"/>
  <c r="Y10" i="11"/>
  <c r="Y118" i="11"/>
  <c r="Y97" i="11"/>
  <c r="Y63" i="11"/>
  <c r="Y41" i="11"/>
  <c r="Y105" i="11"/>
  <c r="Y19" i="11"/>
  <c r="Y12" i="11"/>
  <c r="Y14" i="11"/>
  <c r="Y114" i="11"/>
  <c r="Y85" i="11"/>
  <c r="Y51" i="11"/>
  <c r="Y29" i="11"/>
  <c r="Y116" i="11"/>
  <c r="Y55" i="11"/>
  <c r="Y23" i="11"/>
  <c r="Y26" i="11"/>
  <c r="Y102" i="11"/>
  <c r="Y73" i="11"/>
  <c r="Y39" i="11"/>
  <c r="Y17" i="11"/>
  <c r="Y91" i="11"/>
  <c r="Y48" i="11"/>
  <c r="Y38" i="11"/>
  <c r="Y112" i="11"/>
  <c r="Y90" i="11"/>
  <c r="Y61" i="11"/>
  <c r="Y27" i="11"/>
  <c r="Y59" i="11"/>
  <c r="Y9" i="11"/>
  <c r="Y24" i="11"/>
  <c r="Y46" i="11"/>
  <c r="Y100" i="11"/>
  <c r="Y78" i="11"/>
  <c r="Y49" i="11"/>
  <c r="Y15" i="11"/>
  <c r="Y21" i="11"/>
  <c r="Y84" i="11"/>
  <c r="Y20" i="11"/>
  <c r="Y50" i="11"/>
  <c r="Y88" i="11"/>
  <c r="Y66" i="11"/>
  <c r="Y37" i="11"/>
  <c r="Y32" i="11"/>
  <c r="Y11" i="11"/>
  <c r="Y95" i="11"/>
  <c r="Y45" i="11"/>
  <c r="Y62" i="11"/>
  <c r="Y76" i="11"/>
  <c r="Y54" i="11"/>
  <c r="Y25" i="11"/>
  <c r="Y113" i="11"/>
  <c r="Y57" i="11"/>
  <c r="Y43" i="11"/>
  <c r="Y36" i="11"/>
  <c r="Y74" i="11"/>
  <c r="Y64" i="11"/>
  <c r="Y42" i="11"/>
  <c r="Y13" i="11"/>
  <c r="Y101" i="11"/>
  <c r="Y68" i="11"/>
  <c r="Y79" i="11"/>
  <c r="Y47" i="11"/>
  <c r="Y22" i="11"/>
  <c r="Y82" i="11"/>
  <c r="Y52" i="11"/>
  <c r="Y30" i="11"/>
  <c r="Y111" i="11"/>
  <c r="Y89" i="11"/>
  <c r="Y93" i="11"/>
  <c r="Y115" i="11"/>
  <c r="Y72" i="11"/>
  <c r="Y58" i="11"/>
  <c r="Y33" i="11"/>
  <c r="Y92" i="11"/>
  <c r="Y67" i="11"/>
  <c r="Y107" i="11"/>
  <c r="Y18" i="11"/>
  <c r="Y69" i="11"/>
  <c r="Y99" i="11"/>
  <c r="Y83" i="11"/>
  <c r="Y86" i="11"/>
  <c r="Y87" i="11"/>
  <c r="Y108" i="11"/>
  <c r="Y56" i="11"/>
  <c r="Y31" i="11"/>
  <c r="Y35" i="11"/>
  <c r="Y98" i="11"/>
  <c r="Y77" i="11"/>
  <c r="Y81" i="11"/>
  <c r="Y103" i="11"/>
  <c r="Y60" i="11"/>
  <c r="Y28" i="11"/>
  <c r="Y65" i="11"/>
  <c r="Y34" i="11"/>
  <c r="Y117" i="11"/>
  <c r="Y71" i="11"/>
  <c r="Y104" i="11"/>
  <c r="Y94" i="11"/>
  <c r="Y70" i="11"/>
  <c r="Y96" i="11"/>
  <c r="Y40" i="11"/>
  <c r="Y44" i="11"/>
  <c r="AC2" i="11"/>
  <c r="AC2" i="7"/>
  <c r="Y6" i="7"/>
  <c r="Y7" i="7"/>
  <c r="Y5" i="7"/>
  <c r="AC5" i="7" s="1"/>
  <c r="Y27" i="8"/>
  <c r="Y31" i="8"/>
  <c r="Y103" i="8"/>
  <c r="Y107" i="8"/>
  <c r="Y111" i="8"/>
  <c r="Y8" i="8"/>
  <c r="AC8" i="8" s="1"/>
  <c r="Y95" i="8"/>
  <c r="Y15" i="8"/>
  <c r="Y75" i="8"/>
  <c r="Y51" i="8"/>
  <c r="Y100" i="8"/>
  <c r="Y50" i="8"/>
  <c r="Y58" i="8"/>
  <c r="Y116" i="8"/>
  <c r="Y94" i="8"/>
  <c r="Y56" i="8"/>
  <c r="Y46" i="8"/>
  <c r="Y98" i="8"/>
  <c r="Y93" i="8"/>
  <c r="Y52" i="8"/>
  <c r="Y105" i="8"/>
  <c r="Y73" i="8"/>
  <c r="Y61" i="8"/>
  <c r="Y114" i="8"/>
  <c r="Y11" i="8"/>
  <c r="Y64" i="8"/>
  <c r="Y17" i="8"/>
  <c r="Y80" i="8"/>
  <c r="Y117" i="8"/>
  <c r="Y23" i="8"/>
  <c r="Y76" i="8"/>
  <c r="Y12" i="8"/>
  <c r="Y29" i="8"/>
  <c r="Y10" i="8"/>
  <c r="Y84" i="8"/>
  <c r="Y35" i="8"/>
  <c r="Y81" i="8"/>
  <c r="Y24" i="8"/>
  <c r="Y41" i="8"/>
  <c r="Y43" i="8"/>
  <c r="Y25" i="8"/>
  <c r="Y30" i="8"/>
  <c r="Y99" i="8"/>
  <c r="Y47" i="8"/>
  <c r="Y96" i="8"/>
  <c r="Y9" i="8"/>
  <c r="Y36" i="8"/>
  <c r="Y53" i="8"/>
  <c r="Y62" i="8"/>
  <c r="Y13" i="8"/>
  <c r="Y40" i="8"/>
  <c r="Y34" i="8"/>
  <c r="Y59" i="8"/>
  <c r="Y101" i="8"/>
  <c r="Y21" i="8"/>
  <c r="Y48" i="8"/>
  <c r="Y65" i="8"/>
  <c r="Y85" i="8"/>
  <c r="Y28" i="8"/>
  <c r="Y44" i="8"/>
  <c r="Y110" i="8"/>
  <c r="Y49" i="8"/>
  <c r="Y108" i="8"/>
  <c r="Y71" i="8"/>
  <c r="Y109" i="8"/>
  <c r="Y86" i="8"/>
  <c r="Y60" i="8"/>
  <c r="Y77" i="8"/>
  <c r="Y69" i="8"/>
  <c r="Y32" i="8"/>
  <c r="Y78" i="8"/>
  <c r="Y26" i="8"/>
  <c r="Y68" i="8"/>
  <c r="Y19" i="8"/>
  <c r="Y88" i="8"/>
  <c r="Y115" i="8"/>
  <c r="Y66" i="8"/>
  <c r="Y55" i="8"/>
  <c r="Y45" i="8"/>
  <c r="Y91" i="8"/>
  <c r="Y38" i="8"/>
  <c r="Y106" i="8"/>
  <c r="Y118" i="8"/>
  <c r="Y89" i="8"/>
  <c r="Y63" i="8"/>
  <c r="Y16" i="8"/>
  <c r="Y70" i="8"/>
  <c r="Y74" i="8"/>
  <c r="Y14" i="8"/>
  <c r="Y18" i="8"/>
  <c r="Y79" i="8"/>
  <c r="Y57" i="8"/>
  <c r="Y97" i="8"/>
  <c r="Y113" i="8"/>
  <c r="Y33" i="8"/>
  <c r="Y83" i="8"/>
  <c r="Y67" i="8"/>
  <c r="Y87" i="8"/>
  <c r="Y92" i="8"/>
  <c r="Y22" i="8"/>
  <c r="Y37" i="8"/>
  <c r="Y42" i="8"/>
  <c r="Y90" i="8"/>
  <c r="Y82" i="8"/>
  <c r="Y20" i="8"/>
  <c r="Y104" i="8"/>
  <c r="Y72" i="8"/>
  <c r="Y102" i="8"/>
  <c r="Y39" i="8"/>
  <c r="Y54" i="8"/>
  <c r="Y112" i="8"/>
  <c r="Y119" i="8"/>
  <c r="Y41" i="3"/>
  <c r="Y29" i="3"/>
  <c r="Y17" i="3"/>
  <c r="Y52" i="3"/>
  <c r="Y112" i="3"/>
  <c r="Y40" i="3"/>
  <c r="Y100" i="3"/>
  <c r="Y28" i="3"/>
  <c r="Y88" i="3"/>
  <c r="Y16" i="3"/>
  <c r="Y64" i="3"/>
  <c r="Y76" i="3"/>
  <c r="Y61" i="3"/>
  <c r="Y31" i="3"/>
  <c r="Y93" i="3"/>
  <c r="Y94" i="3"/>
  <c r="Y49" i="3"/>
  <c r="Y30" i="3"/>
  <c r="Y110" i="3"/>
  <c r="Y20" i="3"/>
  <c r="Y91" i="3"/>
  <c r="Y35" i="3"/>
  <c r="Y34" i="3"/>
  <c r="Y97" i="3"/>
  <c r="Y79" i="3"/>
  <c r="Y42" i="3"/>
  <c r="Y12" i="3"/>
  <c r="Y15" i="3"/>
  <c r="Y32" i="3"/>
  <c r="Y95" i="3"/>
  <c r="Y69" i="3"/>
  <c r="Y9" i="3"/>
  <c r="Y33" i="3"/>
  <c r="Y83" i="3"/>
  <c r="Y54" i="3"/>
  <c r="Y24" i="3"/>
  <c r="Y27" i="3"/>
  <c r="Y73" i="3"/>
  <c r="Y13" i="3"/>
  <c r="Y37" i="3"/>
  <c r="Y117" i="3"/>
  <c r="Y66" i="3"/>
  <c r="Y36" i="3"/>
  <c r="Y39" i="3"/>
  <c r="Y103" i="3"/>
  <c r="Y43" i="3"/>
  <c r="Y67" i="3"/>
  <c r="Y78" i="3"/>
  <c r="Y14" i="3"/>
  <c r="Y48" i="3"/>
  <c r="Y53" i="3"/>
  <c r="Y51" i="3"/>
  <c r="Y107" i="3"/>
  <c r="Y47" i="3"/>
  <c r="Y71" i="3"/>
  <c r="Y90" i="3"/>
  <c r="Y26" i="3"/>
  <c r="Y60" i="3"/>
  <c r="Y77" i="3"/>
  <c r="Y63" i="3"/>
  <c r="Y92" i="3"/>
  <c r="Y46" i="3"/>
  <c r="Y81" i="3"/>
  <c r="Y105" i="3"/>
  <c r="Y102" i="3"/>
  <c r="Y38" i="3"/>
  <c r="Y72" i="3"/>
  <c r="Y89" i="3"/>
  <c r="Y75" i="3"/>
  <c r="Y104" i="3"/>
  <c r="Y118" i="3"/>
  <c r="Y85" i="3"/>
  <c r="Y65" i="3"/>
  <c r="Y109" i="3"/>
  <c r="Y114" i="3"/>
  <c r="Y50" i="3"/>
  <c r="Y84" i="3"/>
  <c r="Y101" i="3"/>
  <c r="Y106" i="3"/>
  <c r="Y115" i="3"/>
  <c r="Y70" i="3"/>
  <c r="Y21" i="3"/>
  <c r="Y62" i="3"/>
  <c r="Y96" i="3"/>
  <c r="Y113" i="3"/>
  <c r="Y99" i="3"/>
  <c r="Y19" i="3"/>
  <c r="Y119" i="3"/>
  <c r="Y25" i="3"/>
  <c r="Y74" i="3"/>
  <c r="Y108" i="3"/>
  <c r="Y111" i="3"/>
  <c r="Y23" i="3"/>
  <c r="Y58" i="3"/>
  <c r="Y55" i="3"/>
  <c r="Y10" i="3"/>
  <c r="Y116" i="3"/>
  <c r="Y11" i="3"/>
  <c r="Y86" i="3"/>
  <c r="Y8" i="3"/>
  <c r="AC8" i="3" s="1"/>
  <c r="Y68" i="3"/>
  <c r="Y87" i="3"/>
  <c r="Y44" i="3"/>
  <c r="Y56" i="3"/>
  <c r="Y80" i="3"/>
  <c r="Y22" i="3"/>
  <c r="Y59" i="3"/>
  <c r="Y45" i="3"/>
  <c r="Y18" i="3"/>
  <c r="Y57" i="3"/>
  <c r="Y98" i="3"/>
  <c r="Y82" i="3"/>
  <c r="Y24" i="10"/>
  <c r="Y77" i="10"/>
  <c r="Y41" i="10"/>
  <c r="Y48" i="10"/>
  <c r="Y12" i="10"/>
  <c r="Y108" i="10"/>
  <c r="Y72" i="10"/>
  <c r="Y36" i="10"/>
  <c r="Y29" i="10"/>
  <c r="Y11" i="10"/>
  <c r="Y51" i="10"/>
  <c r="Y60" i="10"/>
  <c r="Y50" i="10"/>
  <c r="Y116" i="10"/>
  <c r="Y90" i="10"/>
  <c r="Y88" i="10"/>
  <c r="Y53" i="10"/>
  <c r="Y47" i="10"/>
  <c r="Y62" i="10"/>
  <c r="Y71" i="10"/>
  <c r="Y61" i="10"/>
  <c r="Y83" i="10"/>
  <c r="Y87" i="10"/>
  <c r="Y107" i="10"/>
  <c r="Y86" i="10"/>
  <c r="Y65" i="10"/>
  <c r="Y119" i="10"/>
  <c r="Y22" i="10"/>
  <c r="Y98" i="10"/>
  <c r="Y111" i="10"/>
  <c r="Y8" i="10"/>
  <c r="AC8" i="10" s="1"/>
  <c r="Y89" i="10"/>
  <c r="Y58" i="10"/>
  <c r="Y27" i="10"/>
  <c r="Y10" i="10"/>
  <c r="Y97" i="10"/>
  <c r="Y96" i="10"/>
  <c r="Y94" i="10"/>
  <c r="Y37" i="10"/>
  <c r="Y23" i="10"/>
  <c r="Y38" i="10"/>
  <c r="Y101" i="10"/>
  <c r="Y73" i="10"/>
  <c r="Y59" i="10"/>
  <c r="Y63" i="10"/>
  <c r="Y109" i="10"/>
  <c r="Y84" i="10"/>
  <c r="Y74" i="10"/>
  <c r="Y95" i="10"/>
  <c r="Y34" i="10"/>
  <c r="Y99" i="10"/>
  <c r="Y49" i="10"/>
  <c r="Y70" i="10"/>
  <c r="Y110" i="10"/>
  <c r="Y85" i="10"/>
  <c r="Y115" i="10"/>
  <c r="Y80" i="10"/>
  <c r="Y15" i="10"/>
  <c r="Y46" i="10"/>
  <c r="Y14" i="10"/>
  <c r="Y20" i="10"/>
  <c r="Y18" i="10"/>
  <c r="Y28" i="10"/>
  <c r="Y57" i="10"/>
  <c r="Y43" i="10"/>
  <c r="Y64" i="10"/>
  <c r="Y79" i="10"/>
  <c r="Y104" i="10"/>
  <c r="Y19" i="10"/>
  <c r="Y16" i="10"/>
  <c r="Y26" i="10"/>
  <c r="Y35" i="10"/>
  <c r="Y82" i="10"/>
  <c r="Y39" i="10"/>
  <c r="Y32" i="10"/>
  <c r="Y30" i="10"/>
  <c r="Y40" i="10"/>
  <c r="Y69" i="10"/>
  <c r="Y55" i="10"/>
  <c r="Y76" i="10"/>
  <c r="Y102" i="10"/>
  <c r="Y118" i="10"/>
  <c r="Y75" i="10"/>
  <c r="Y44" i="10"/>
  <c r="Y42" i="10"/>
  <c r="Y52" i="10"/>
  <c r="Y81" i="10"/>
  <c r="Y67" i="10"/>
  <c r="Y56" i="10"/>
  <c r="Y93" i="10"/>
  <c r="Y105" i="10"/>
  <c r="Y112" i="10"/>
  <c r="Y33" i="10"/>
  <c r="Y54" i="10"/>
  <c r="Y91" i="10"/>
  <c r="Y106" i="10"/>
  <c r="Y13" i="10"/>
  <c r="Y68" i="10"/>
  <c r="Y66" i="10"/>
  <c r="Y113" i="10"/>
  <c r="Y92" i="10"/>
  <c r="Y78" i="10"/>
  <c r="Y100" i="10"/>
  <c r="Y117" i="10"/>
  <c r="Y103" i="10"/>
  <c r="Y45" i="10"/>
  <c r="Y17" i="10"/>
  <c r="Y114" i="10"/>
  <c r="Y25" i="10"/>
  <c r="Y9" i="10"/>
  <c r="Y21" i="10"/>
  <c r="Y31" i="10"/>
  <c r="Y87" i="9"/>
  <c r="Y51" i="9"/>
  <c r="Y33" i="9"/>
  <c r="Y20" i="9"/>
  <c r="Y52" i="9"/>
  <c r="Y63" i="9"/>
  <c r="Y49" i="9"/>
  <c r="Y53" i="9"/>
  <c r="Y25" i="9"/>
  <c r="Y9" i="9"/>
  <c r="Y96" i="9"/>
  <c r="Y43" i="9"/>
  <c r="Y119" i="9"/>
  <c r="Y13" i="9"/>
  <c r="Y37" i="9"/>
  <c r="Y70" i="9"/>
  <c r="Y74" i="9"/>
  <c r="Y56" i="9"/>
  <c r="Y78" i="9"/>
  <c r="Y46" i="9"/>
  <c r="Y22" i="9"/>
  <c r="Y84" i="9"/>
  <c r="Y31" i="9"/>
  <c r="Y107" i="9"/>
  <c r="Y40" i="9"/>
  <c r="Y58" i="9"/>
  <c r="Y73" i="9"/>
  <c r="Y14" i="9"/>
  <c r="Y88" i="9"/>
  <c r="Y89" i="9"/>
  <c r="Y64" i="9"/>
  <c r="Y29" i="9"/>
  <c r="Y72" i="9"/>
  <c r="Y19" i="9"/>
  <c r="Y95" i="9"/>
  <c r="Y44" i="9"/>
  <c r="Y94" i="9"/>
  <c r="Y109" i="9"/>
  <c r="Y27" i="9"/>
  <c r="Y106" i="9"/>
  <c r="Y99" i="9"/>
  <c r="Y85" i="9"/>
  <c r="Y114" i="9"/>
  <c r="Y82" i="9"/>
  <c r="Y32" i="9"/>
  <c r="Y60" i="9"/>
  <c r="Y83" i="9"/>
  <c r="Y97" i="9"/>
  <c r="Y68" i="9"/>
  <c r="Y41" i="9"/>
  <c r="Y110" i="9"/>
  <c r="Y92" i="9"/>
  <c r="Y100" i="9"/>
  <c r="Y39" i="9"/>
  <c r="Y48" i="9"/>
  <c r="Y71" i="9"/>
  <c r="Y26" i="9"/>
  <c r="Y76" i="9"/>
  <c r="Y66" i="9"/>
  <c r="Y118" i="9"/>
  <c r="Y50" i="9"/>
  <c r="Y36" i="9"/>
  <c r="Y117" i="9"/>
  <c r="Y59" i="9"/>
  <c r="Y80" i="9"/>
  <c r="Y77" i="9"/>
  <c r="Y115" i="9"/>
  <c r="Y105" i="9"/>
  <c r="Y47" i="9"/>
  <c r="Y104" i="9"/>
  <c r="Y10" i="9"/>
  <c r="Y102" i="9"/>
  <c r="Y112" i="9"/>
  <c r="Y17" i="9"/>
  <c r="Y113" i="9"/>
  <c r="Y18" i="9"/>
  <c r="Y86" i="9"/>
  <c r="Y116" i="9"/>
  <c r="Y111" i="9"/>
  <c r="Y30" i="9"/>
  <c r="Y21" i="9"/>
  <c r="Y8" i="9"/>
  <c r="AC8" i="9" s="1"/>
  <c r="Y15" i="9"/>
  <c r="Y12" i="9"/>
  <c r="Y79" i="9"/>
  <c r="Y69" i="9"/>
  <c r="Y11" i="9"/>
  <c r="Y91" i="9"/>
  <c r="Y28" i="9"/>
  <c r="Y67" i="9"/>
  <c r="Y24" i="9"/>
  <c r="Y55" i="9"/>
  <c r="Y103" i="9"/>
  <c r="Y93" i="9"/>
  <c r="Y81" i="9"/>
  <c r="Y61" i="9"/>
  <c r="Y34" i="9"/>
  <c r="Y57" i="9"/>
  <c r="Y45" i="9"/>
  <c r="Y35" i="9"/>
  <c r="Y62" i="9"/>
  <c r="Y38" i="9"/>
  <c r="Y23" i="9"/>
  <c r="Y54" i="9"/>
  <c r="Y101" i="9"/>
  <c r="Y98" i="9"/>
  <c r="Y65" i="9"/>
  <c r="Y42" i="9"/>
  <c r="Y108" i="9"/>
  <c r="Y16" i="9"/>
  <c r="Y90" i="9"/>
  <c r="Y75" i="9"/>
  <c r="AC2" i="3"/>
  <c r="Y7" i="2"/>
  <c r="Y5" i="2"/>
  <c r="AC5" i="2" s="1"/>
  <c r="Y6" i="2"/>
  <c r="Y6" i="5"/>
  <c r="Y7" i="5"/>
  <c r="Y5" i="5"/>
  <c r="AC5" i="5" s="1"/>
  <c r="Y5" i="10"/>
  <c r="AC5" i="10" s="1"/>
  <c r="Y6" i="10"/>
  <c r="Y7" i="10"/>
  <c r="Y6" i="4"/>
  <c r="Y5" i="4"/>
  <c r="AC5" i="4" s="1"/>
  <c r="Y7" i="4"/>
  <c r="Y109" i="4"/>
  <c r="Y13" i="4"/>
  <c r="Y77" i="4"/>
  <c r="Y96" i="4"/>
  <c r="Y49" i="4"/>
  <c r="Y40" i="4"/>
  <c r="Y119" i="4"/>
  <c r="Y65" i="4"/>
  <c r="Y113" i="4"/>
  <c r="Y78" i="4"/>
  <c r="Y98" i="4"/>
  <c r="Y45" i="4"/>
  <c r="Y39" i="4"/>
  <c r="Y37" i="4"/>
  <c r="Y43" i="4"/>
  <c r="Y86" i="4"/>
  <c r="Y90" i="4"/>
  <c r="Y11" i="4"/>
  <c r="Y94" i="4"/>
  <c r="Y111" i="4"/>
  <c r="Y50" i="4"/>
  <c r="Y42" i="4"/>
  <c r="Y73" i="4"/>
  <c r="Y22" i="4"/>
  <c r="Y28" i="4"/>
  <c r="Y10" i="4"/>
  <c r="Y51" i="4"/>
  <c r="Y93" i="4"/>
  <c r="Y23" i="4"/>
  <c r="Y104" i="4"/>
  <c r="Y99" i="4"/>
  <c r="Y56" i="4"/>
  <c r="Y59" i="4"/>
  <c r="Y85" i="4"/>
  <c r="Y64" i="4"/>
  <c r="Y24" i="4"/>
  <c r="Y32" i="4"/>
  <c r="Y48" i="4"/>
  <c r="Y54" i="4"/>
  <c r="Y106" i="4"/>
  <c r="Y33" i="4"/>
  <c r="Y47" i="4"/>
  <c r="Y117" i="4"/>
  <c r="Y87" i="4"/>
  <c r="Y70" i="4"/>
  <c r="Y79" i="4"/>
  <c r="Y92" i="4"/>
  <c r="Y67" i="4"/>
  <c r="Y71" i="4"/>
  <c r="Y116" i="4"/>
  <c r="Y52" i="4"/>
  <c r="Y75" i="4"/>
  <c r="Y82" i="4"/>
  <c r="Y88" i="4"/>
  <c r="Y105" i="4"/>
  <c r="Y14" i="4"/>
  <c r="Y38" i="4"/>
  <c r="Y55" i="4"/>
  <c r="Y9" i="4"/>
  <c r="Y114" i="4"/>
  <c r="Y76" i="4"/>
  <c r="Y83" i="4"/>
  <c r="Y63" i="4"/>
  <c r="Y21" i="4"/>
  <c r="Y19" i="4"/>
  <c r="Y18" i="4"/>
  <c r="Y25" i="4"/>
  <c r="Y89" i="4"/>
  <c r="Y44" i="4"/>
  <c r="Y66" i="4"/>
  <c r="Y61" i="4"/>
  <c r="Y84" i="4"/>
  <c r="Y103" i="4"/>
  <c r="Y36" i="4"/>
  <c r="Y58" i="4"/>
  <c r="Y91" i="4"/>
  <c r="Y118" i="4"/>
  <c r="Y41" i="4"/>
  <c r="Y101" i="4"/>
  <c r="Y15" i="4"/>
  <c r="Y69" i="4"/>
  <c r="Y97" i="4"/>
  <c r="Y26" i="4"/>
  <c r="Y74" i="4"/>
  <c r="Y30" i="4"/>
  <c r="Y8" i="4"/>
  <c r="AC8" i="4" s="1"/>
  <c r="Y16" i="4"/>
  <c r="Y27" i="4"/>
  <c r="Y100" i="4"/>
  <c r="Y107" i="4"/>
  <c r="Y60" i="4"/>
  <c r="Y95" i="4"/>
  <c r="Y72" i="4"/>
  <c r="Y108" i="4"/>
  <c r="Y115" i="4"/>
  <c r="Y46" i="4"/>
  <c r="Y57" i="4"/>
  <c r="Y12" i="4"/>
  <c r="Y110" i="4"/>
  <c r="Y20" i="4"/>
  <c r="Y81" i="4"/>
  <c r="Y31" i="4"/>
  <c r="Y17" i="4"/>
  <c r="Y62" i="4"/>
  <c r="Y34" i="4"/>
  <c r="Y29" i="4"/>
  <c r="Y68" i="4"/>
  <c r="Y35" i="4"/>
  <c r="Y80" i="4"/>
  <c r="Y112" i="4"/>
  <c r="Y102" i="4"/>
  <c r="Y53" i="4"/>
  <c r="Y7" i="9"/>
  <c r="Y5" i="9"/>
  <c r="AC5" i="9" s="1"/>
  <c r="Y6" i="9"/>
  <c r="Y20" i="5"/>
  <c r="Y8" i="5"/>
  <c r="AC8" i="5" s="1"/>
  <c r="Y74" i="5"/>
  <c r="Y44" i="5"/>
  <c r="Y26" i="5"/>
  <c r="Y62" i="5"/>
  <c r="Y14" i="5"/>
  <c r="Y32" i="5"/>
  <c r="Y50" i="5"/>
  <c r="Y97" i="5"/>
  <c r="Y86" i="5"/>
  <c r="Y31" i="5"/>
  <c r="Y42" i="5"/>
  <c r="Y112" i="5"/>
  <c r="Y90" i="5"/>
  <c r="Y38" i="5"/>
  <c r="Y28" i="5"/>
  <c r="Y109" i="5"/>
  <c r="Y61" i="5"/>
  <c r="Y68" i="5"/>
  <c r="Y54" i="5"/>
  <c r="Y25" i="5"/>
  <c r="Y76" i="5"/>
  <c r="Y56" i="5"/>
  <c r="Y40" i="5"/>
  <c r="Y88" i="5"/>
  <c r="Y114" i="5"/>
  <c r="Y117" i="5"/>
  <c r="Y66" i="5"/>
  <c r="Y15" i="5"/>
  <c r="Y102" i="5"/>
  <c r="Y73" i="5"/>
  <c r="Y39" i="5"/>
  <c r="Y18" i="5"/>
  <c r="Y85" i="5"/>
  <c r="Y51" i="5"/>
  <c r="Y30" i="5"/>
  <c r="Y65" i="5"/>
  <c r="Y29" i="5"/>
  <c r="Y100" i="5"/>
  <c r="Y55" i="5"/>
  <c r="Y99" i="5"/>
  <c r="Y77" i="5"/>
  <c r="Y89" i="5"/>
  <c r="Y63" i="5"/>
  <c r="Y75" i="5"/>
  <c r="Y110" i="5"/>
  <c r="Y43" i="5"/>
  <c r="Y103" i="5"/>
  <c r="Y111" i="5"/>
  <c r="Y19" i="5"/>
  <c r="Y67" i="5"/>
  <c r="Y79" i="5"/>
  <c r="Y115" i="5"/>
  <c r="Y37" i="5"/>
  <c r="Y53" i="5"/>
  <c r="Y36" i="5"/>
  <c r="Y11" i="5"/>
  <c r="Y33" i="5"/>
  <c r="Y87" i="5"/>
  <c r="Y48" i="5"/>
  <c r="Y23" i="5"/>
  <c r="Y45" i="5"/>
  <c r="Y91" i="5"/>
  <c r="Y60" i="5"/>
  <c r="Y10" i="5"/>
  <c r="Y35" i="5"/>
  <c r="Y57" i="5"/>
  <c r="Y16" i="5"/>
  <c r="Y72" i="5"/>
  <c r="Y22" i="5"/>
  <c r="Y47" i="5"/>
  <c r="Y69" i="5"/>
  <c r="Y52" i="5"/>
  <c r="Y13" i="5"/>
  <c r="Y84" i="5"/>
  <c r="Y34" i="5"/>
  <c r="Y59" i="5"/>
  <c r="Y81" i="5"/>
  <c r="Y27" i="5"/>
  <c r="Y49" i="5"/>
  <c r="Y96" i="5"/>
  <c r="Y46" i="5"/>
  <c r="Y71" i="5"/>
  <c r="Y93" i="5"/>
  <c r="Y113" i="5"/>
  <c r="Y64" i="5"/>
  <c r="Y108" i="5"/>
  <c r="Y58" i="5"/>
  <c r="Y83" i="5"/>
  <c r="Y105" i="5"/>
  <c r="Y41" i="5"/>
  <c r="Y98" i="5"/>
  <c r="Y70" i="5"/>
  <c r="Y95" i="5"/>
  <c r="Y101" i="5"/>
  <c r="Y82" i="5"/>
  <c r="Y80" i="5"/>
  <c r="Y107" i="5"/>
  <c r="Y94" i="5"/>
  <c r="Y92" i="5"/>
  <c r="Y119" i="5"/>
  <c r="Y78" i="5"/>
  <c r="Y116" i="5"/>
  <c r="Y9" i="5"/>
  <c r="Y21" i="5"/>
  <c r="Y17" i="5"/>
  <c r="Y104" i="5"/>
  <c r="Y118" i="5"/>
  <c r="Y12" i="5"/>
  <c r="Y106" i="5"/>
  <c r="Y24" i="5"/>
  <c r="W135" i="8"/>
  <c r="Y5" i="11"/>
  <c r="AC5" i="11" s="1"/>
  <c r="Y7" i="11"/>
  <c r="Y6" i="11"/>
  <c r="Y28" i="7"/>
  <c r="Y32" i="7"/>
  <c r="Y104" i="7"/>
  <c r="Y27" i="7"/>
  <c r="Y42" i="7"/>
  <c r="Y45" i="7"/>
  <c r="Y10" i="7"/>
  <c r="Y35" i="7"/>
  <c r="Y89" i="7"/>
  <c r="Y22" i="7"/>
  <c r="Y11" i="7"/>
  <c r="Y19" i="7"/>
  <c r="Y23" i="7"/>
  <c r="Y13" i="7"/>
  <c r="Y71" i="7"/>
  <c r="Y25" i="7"/>
  <c r="Y80" i="7"/>
  <c r="Y96" i="7"/>
  <c r="Y38" i="7"/>
  <c r="Y78" i="7"/>
  <c r="Y46" i="7"/>
  <c r="Y79" i="7"/>
  <c r="Y21" i="7"/>
  <c r="Y88" i="7"/>
  <c r="Y16" i="7"/>
  <c r="Y68" i="7"/>
  <c r="Y84" i="7"/>
  <c r="Y26" i="7"/>
  <c r="Y82" i="7"/>
  <c r="Y64" i="7"/>
  <c r="Y8" i="7"/>
  <c r="AC8" i="7" s="1"/>
  <c r="Y83" i="7"/>
  <c r="Y30" i="7"/>
  <c r="Y103" i="7"/>
  <c r="Y56" i="7"/>
  <c r="Y72" i="7"/>
  <c r="Y49" i="7"/>
  <c r="Y101" i="7"/>
  <c r="Y105" i="7"/>
  <c r="Y17" i="7"/>
  <c r="Y117" i="7"/>
  <c r="Y37" i="7"/>
  <c r="Y107" i="7"/>
  <c r="Y31" i="7"/>
  <c r="Y44" i="7"/>
  <c r="Y60" i="7"/>
  <c r="Y67" i="7"/>
  <c r="Y109" i="7"/>
  <c r="Y20" i="7"/>
  <c r="Y69" i="7"/>
  <c r="Y34" i="7"/>
  <c r="Y52" i="7"/>
  <c r="Y99" i="7"/>
  <c r="Y48" i="7"/>
  <c r="Y93" i="7"/>
  <c r="Y57" i="7"/>
  <c r="Y111" i="7"/>
  <c r="Y33" i="7"/>
  <c r="Y114" i="7"/>
  <c r="Y66" i="7"/>
  <c r="Y59" i="7"/>
  <c r="Y87" i="7"/>
  <c r="Y36" i="7"/>
  <c r="Y97" i="7"/>
  <c r="Y90" i="7"/>
  <c r="Y40" i="7"/>
  <c r="Y58" i="7"/>
  <c r="Y118" i="7"/>
  <c r="Y77" i="7"/>
  <c r="Y70" i="7"/>
  <c r="Y75" i="7"/>
  <c r="Y110" i="7"/>
  <c r="Y112" i="7"/>
  <c r="Y94" i="7"/>
  <c r="Y65" i="7"/>
  <c r="Y76" i="7"/>
  <c r="Y12" i="7"/>
  <c r="Y81" i="7"/>
  <c r="Y102" i="7"/>
  <c r="Y63" i="7"/>
  <c r="Y98" i="7"/>
  <c r="Y113" i="7"/>
  <c r="Y106" i="7"/>
  <c r="Y91" i="7"/>
  <c r="Y18" i="7"/>
  <c r="Y85" i="7"/>
  <c r="Y54" i="7"/>
  <c r="Y51" i="7"/>
  <c r="Y86" i="7"/>
  <c r="Y95" i="7"/>
  <c r="Y24" i="7"/>
  <c r="Y100" i="7"/>
  <c r="Y47" i="7"/>
  <c r="Y39" i="7"/>
  <c r="Y74" i="7"/>
  <c r="Y14" i="7"/>
  <c r="Y41" i="7"/>
  <c r="Y115" i="7"/>
  <c r="Y9" i="7"/>
  <c r="Y116" i="7"/>
  <c r="Y92" i="7"/>
  <c r="Y53" i="7"/>
  <c r="Y15" i="7"/>
  <c r="Y108" i="7"/>
  <c r="Y55" i="7"/>
  <c r="Y62" i="7"/>
  <c r="Y29" i="7"/>
  <c r="Y73" i="7"/>
  <c r="Y119" i="7"/>
  <c r="Y50" i="7"/>
  <c r="Y43" i="7"/>
  <c r="Y61" i="7"/>
  <c r="Y5" i="1"/>
  <c r="AC5" i="1" s="1"/>
  <c r="AC2" i="8"/>
  <c r="Y5" i="6"/>
  <c r="AC5" i="6" s="1"/>
  <c r="Y7" i="6"/>
  <c r="Y6" i="6"/>
  <c r="Y6" i="3"/>
  <c r="Y5" i="3"/>
  <c r="AC5" i="3" s="1"/>
  <c r="Y7" i="3"/>
  <c r="AC2" i="2"/>
  <c r="AC1" i="2" s="1"/>
  <c r="Y1" i="5"/>
  <c r="AC2" i="5"/>
  <c r="Y65" i="2"/>
  <c r="Y39" i="2"/>
  <c r="Y33" i="2"/>
  <c r="Y69" i="2"/>
  <c r="Y29" i="2"/>
  <c r="Y75" i="2"/>
  <c r="Y35" i="2"/>
  <c r="Y92" i="2"/>
  <c r="Y41" i="2"/>
  <c r="Y24" i="2"/>
  <c r="Y21" i="2"/>
  <c r="Y117" i="2"/>
  <c r="Y95" i="2"/>
  <c r="Y113" i="2"/>
  <c r="Y115" i="2"/>
  <c r="Y49" i="2"/>
  <c r="Y12" i="2"/>
  <c r="Y85" i="2"/>
  <c r="Y44" i="2"/>
  <c r="Y27" i="2"/>
  <c r="Y10" i="2"/>
  <c r="Y22" i="2"/>
  <c r="Y83" i="2"/>
  <c r="Y52" i="2"/>
  <c r="Y58" i="2"/>
  <c r="Y94" i="2"/>
  <c r="Y47" i="2"/>
  <c r="Y13" i="2"/>
  <c r="Y25" i="2"/>
  <c r="Y45" i="2"/>
  <c r="Y114" i="2"/>
  <c r="Y11" i="2"/>
  <c r="Y8" i="2"/>
  <c r="AC8" i="2" s="1"/>
  <c r="Y19" i="2"/>
  <c r="Y99" i="2"/>
  <c r="Y61" i="2"/>
  <c r="Y50" i="2"/>
  <c r="Y16" i="2"/>
  <c r="Y28" i="2"/>
  <c r="Y51" i="2"/>
  <c r="Y102" i="2"/>
  <c r="Y34" i="2"/>
  <c r="Y17" i="2"/>
  <c r="Y72" i="2"/>
  <c r="Y31" i="2"/>
  <c r="Y64" i="2"/>
  <c r="Y67" i="2"/>
  <c r="Y36" i="2"/>
  <c r="Y48" i="2"/>
  <c r="Y77" i="2"/>
  <c r="Y90" i="2"/>
  <c r="Y37" i="2"/>
  <c r="Y57" i="2"/>
  <c r="Y43" i="2"/>
  <c r="Y81" i="2"/>
  <c r="Y70" i="2"/>
  <c r="Y53" i="2"/>
  <c r="Y56" i="2"/>
  <c r="Y89" i="2"/>
  <c r="Y71" i="2"/>
  <c r="Y78" i="2"/>
  <c r="Y40" i="2"/>
  <c r="Y63" i="2"/>
  <c r="Y93" i="2"/>
  <c r="Y55" i="2"/>
  <c r="Y23" i="2"/>
  <c r="Y88" i="2"/>
  <c r="Y97" i="2"/>
  <c r="Y73" i="2"/>
  <c r="Y59" i="2"/>
  <c r="Y108" i="2"/>
  <c r="Y96" i="2"/>
  <c r="Y106" i="2"/>
  <c r="Y66" i="2"/>
  <c r="Y84" i="2"/>
  <c r="Y26" i="2"/>
  <c r="Y74" i="2"/>
  <c r="Y103" i="2"/>
  <c r="Y76" i="2"/>
  <c r="Y82" i="2"/>
  <c r="Y62" i="2"/>
  <c r="Y112" i="2"/>
  <c r="Y54" i="2"/>
  <c r="Y60" i="2"/>
  <c r="Y87" i="2"/>
  <c r="Y100" i="2"/>
  <c r="Y38" i="2"/>
  <c r="Y20" i="2"/>
  <c r="Y110" i="2"/>
  <c r="Y91" i="2"/>
  <c r="Y79" i="2"/>
  <c r="Y118" i="2"/>
  <c r="Y42" i="2"/>
  <c r="Y109" i="2"/>
  <c r="Y32" i="2"/>
  <c r="Y116" i="2"/>
  <c r="Y98" i="2"/>
  <c r="Y101" i="2"/>
  <c r="Y86" i="2"/>
  <c r="Y30" i="2"/>
  <c r="Y68" i="2"/>
  <c r="Y14" i="2"/>
  <c r="Y9" i="2"/>
  <c r="Y104" i="2"/>
  <c r="Y119" i="2"/>
  <c r="Y18" i="2"/>
  <c r="Y105" i="2"/>
  <c r="Y111" i="2"/>
  <c r="Y46" i="2"/>
  <c r="Y80" i="2"/>
  <c r="Y15" i="2"/>
  <c r="Y107" i="2"/>
  <c r="Y65" i="1"/>
  <c r="Y18" i="1"/>
  <c r="Y78" i="1"/>
  <c r="Y81" i="1"/>
  <c r="Y71" i="1"/>
  <c r="Y60" i="1"/>
  <c r="Y16" i="1"/>
  <c r="Y61" i="1"/>
  <c r="Y110" i="1"/>
  <c r="Y55" i="1"/>
  <c r="Y79" i="1"/>
  <c r="Y87" i="1"/>
  <c r="Y29" i="1"/>
  <c r="Y46" i="1"/>
  <c r="Y114" i="1"/>
  <c r="Y33" i="1"/>
  <c r="Y22" i="1"/>
  <c r="Y95" i="1"/>
  <c r="Y68" i="1"/>
  <c r="Y73" i="1"/>
  <c r="Y37" i="1"/>
  <c r="Y99" i="1"/>
  <c r="Y89" i="1"/>
  <c r="Y70" i="1"/>
  <c r="Y27" i="1"/>
  <c r="Y77" i="1"/>
  <c r="Y54" i="1"/>
  <c r="Y111" i="1"/>
  <c r="Y72" i="1"/>
  <c r="Y28" i="1"/>
  <c r="Y43" i="1"/>
  <c r="Y102" i="1"/>
  <c r="Y34" i="1"/>
  <c r="Y94" i="1"/>
  <c r="Y80" i="1"/>
  <c r="Y40" i="1"/>
  <c r="Y103" i="1"/>
  <c r="Y106" i="1"/>
  <c r="Y66" i="1"/>
  <c r="Y23" i="1"/>
  <c r="Y12" i="1"/>
  <c r="Y84" i="1"/>
  <c r="Y52" i="1"/>
  <c r="Y14" i="1"/>
  <c r="Y115" i="1"/>
  <c r="Y118" i="1"/>
  <c r="Y41" i="1"/>
  <c r="Y90" i="1"/>
  <c r="Y59" i="1"/>
  <c r="Y20" i="1"/>
  <c r="Y92" i="1"/>
  <c r="Y25" i="1"/>
  <c r="Y64" i="1"/>
  <c r="Y26" i="1"/>
  <c r="Y93" i="1"/>
  <c r="Y11" i="1"/>
  <c r="Y107" i="1"/>
  <c r="Y24" i="1"/>
  <c r="Y96" i="1"/>
  <c r="Y76" i="1"/>
  <c r="Y38" i="1"/>
  <c r="Y13" i="1"/>
  <c r="Y8" i="1"/>
  <c r="AC8" i="1" s="1"/>
  <c r="Y30" i="1"/>
  <c r="Y47" i="1"/>
  <c r="Y57" i="1"/>
  <c r="Y32" i="1"/>
  <c r="Y104" i="1"/>
  <c r="Y88" i="1"/>
  <c r="Y50" i="1"/>
  <c r="Y85" i="1"/>
  <c r="Y49" i="1"/>
  <c r="Y17" i="1"/>
  <c r="Y45" i="1"/>
  <c r="Y83" i="1"/>
  <c r="Y63" i="1"/>
  <c r="Y36" i="1"/>
  <c r="Y108" i="1"/>
  <c r="Y100" i="1"/>
  <c r="Y62" i="1"/>
  <c r="Y109" i="1"/>
  <c r="Y19" i="1"/>
  <c r="Y15" i="1"/>
  <c r="Y69" i="1"/>
  <c r="Y75" i="1"/>
  <c r="Y105" i="1"/>
  <c r="Y119" i="1"/>
  <c r="Y58" i="1"/>
  <c r="Y44" i="1"/>
  <c r="Y116" i="1"/>
  <c r="Y112" i="1"/>
  <c r="Y74" i="1"/>
  <c r="Y91" i="1"/>
  <c r="Y39" i="1"/>
  <c r="Y113" i="1"/>
  <c r="Y53" i="1"/>
  <c r="Y10" i="1"/>
  <c r="Y82" i="1"/>
  <c r="Y48" i="1"/>
  <c r="Y117" i="1"/>
  <c r="Y86" i="1"/>
  <c r="Y31" i="1"/>
  <c r="Y97" i="1"/>
  <c r="Y56" i="1"/>
  <c r="Y98" i="1"/>
  <c r="Y51" i="1"/>
  <c r="Y9" i="1"/>
  <c r="Y101" i="1"/>
  <c r="Y67" i="1"/>
  <c r="Y42" i="1"/>
  <c r="Y21" i="1"/>
  <c r="Y35" i="1"/>
  <c r="Y7" i="1"/>
  <c r="Y93" i="6"/>
  <c r="Y39" i="6"/>
  <c r="Y29" i="6"/>
  <c r="Y74" i="6"/>
  <c r="Y55" i="6"/>
  <c r="Y87" i="6"/>
  <c r="Y48" i="6"/>
  <c r="Y115" i="6"/>
  <c r="Y17" i="6"/>
  <c r="Y82" i="6"/>
  <c r="Y63" i="6"/>
  <c r="Y56" i="6"/>
  <c r="Y11" i="6"/>
  <c r="Y110" i="6"/>
  <c r="Y15" i="6"/>
  <c r="Y24" i="6"/>
  <c r="Y26" i="6"/>
  <c r="Y72" i="6"/>
  <c r="Y28" i="6"/>
  <c r="Y35" i="6"/>
  <c r="Y68" i="6"/>
  <c r="Y80" i="6"/>
  <c r="Y50" i="6"/>
  <c r="Y95" i="6"/>
  <c r="Y107" i="6"/>
  <c r="Y12" i="6"/>
  <c r="Y58" i="6"/>
  <c r="Y14" i="6"/>
  <c r="Y69" i="6"/>
  <c r="Y16" i="6"/>
  <c r="Y44" i="6"/>
  <c r="Y103" i="6"/>
  <c r="Y36" i="6"/>
  <c r="Y10" i="6"/>
  <c r="Y71" i="6"/>
  <c r="Y47" i="6"/>
  <c r="Y25" i="6"/>
  <c r="Y75" i="6"/>
  <c r="Y111" i="6"/>
  <c r="Y59" i="6"/>
  <c r="Y19" i="6"/>
  <c r="Y108" i="6"/>
  <c r="Y52" i="6"/>
  <c r="Y60" i="6"/>
  <c r="Y32" i="6"/>
  <c r="Y118" i="6"/>
  <c r="Y104" i="6"/>
  <c r="Y57" i="6"/>
  <c r="Y62" i="6"/>
  <c r="Y31" i="6"/>
  <c r="Y76" i="6"/>
  <c r="Y81" i="6"/>
  <c r="Y37" i="6"/>
  <c r="Y98" i="6"/>
  <c r="Y67" i="6"/>
  <c r="Y41" i="6"/>
  <c r="Y100" i="6"/>
  <c r="Y84" i="6"/>
  <c r="Y117" i="6"/>
  <c r="Y42" i="6"/>
  <c r="Y83" i="6"/>
  <c r="Y46" i="6"/>
  <c r="Y114" i="6"/>
  <c r="Y66" i="6"/>
  <c r="Y79" i="6"/>
  <c r="Y23" i="6"/>
  <c r="Y86" i="6"/>
  <c r="Y49" i="6"/>
  <c r="Y90" i="6"/>
  <c r="Y27" i="6"/>
  <c r="Y91" i="6"/>
  <c r="Y65" i="6"/>
  <c r="Y112" i="6"/>
  <c r="Y99" i="6"/>
  <c r="Y96" i="6"/>
  <c r="Y102" i="6"/>
  <c r="Y70" i="6"/>
  <c r="Y13" i="6"/>
  <c r="Y9" i="6"/>
  <c r="Y113" i="6"/>
  <c r="Y73" i="6"/>
  <c r="Y53" i="6"/>
  <c r="Y18" i="6"/>
  <c r="Y34" i="6"/>
  <c r="Y21" i="6"/>
  <c r="Y116" i="6"/>
  <c r="Y89" i="6"/>
  <c r="Y106" i="6"/>
  <c r="Y61" i="6"/>
  <c r="Y30" i="6"/>
  <c r="Y22" i="6"/>
  <c r="Y33" i="6"/>
  <c r="Y119" i="6"/>
  <c r="Y54" i="6"/>
  <c r="Y94" i="6"/>
  <c r="Y109" i="6"/>
  <c r="Y77" i="6"/>
  <c r="Y40" i="6"/>
  <c r="Y38" i="6"/>
  <c r="Y97" i="6"/>
  <c r="Y43" i="6"/>
  <c r="Y105" i="6"/>
  <c r="Y8" i="6"/>
  <c r="AC8" i="6" s="1"/>
  <c r="Y20" i="6"/>
  <c r="Y64" i="6"/>
  <c r="Y78" i="6"/>
  <c r="Y88" i="6"/>
  <c r="Y51" i="6"/>
  <c r="Y45" i="6"/>
  <c r="Y92" i="6"/>
  <c r="Y85" i="6"/>
  <c r="Y101" i="6"/>
  <c r="AC2" i="10"/>
  <c r="Y5" i="8"/>
  <c r="AC5" i="8" s="1"/>
  <c r="Y7" i="8"/>
  <c r="Y6" i="8"/>
  <c r="Y1" i="4"/>
  <c r="AC2" i="4"/>
  <c r="AC1" i="4" s="1"/>
  <c r="AC2" i="9"/>
  <c r="AC1" i="9" s="1"/>
  <c r="Y1" i="1"/>
  <c r="AC2" i="1"/>
  <c r="AC1" i="1" s="1"/>
  <c r="Y1" i="6"/>
  <c r="AC2" i="6"/>
  <c r="AC1" i="6" s="1"/>
  <c r="Y1" i="9" l="1"/>
  <c r="Y1" i="2"/>
  <c r="Y1" i="7"/>
  <c r="AC1" i="7"/>
  <c r="AC1" i="11"/>
  <c r="Y1" i="3"/>
  <c r="Y1" i="11"/>
  <c r="AC1" i="10"/>
  <c r="AC1" i="3"/>
  <c r="Y1" i="8"/>
  <c r="Y1" i="10"/>
  <c r="AC1" i="8"/>
  <c r="AC1" i="5"/>
</calcChain>
</file>

<file path=xl/comments1.xml><?xml version="1.0" encoding="utf-8"?>
<comments xmlns="http://schemas.openxmlformats.org/spreadsheetml/2006/main">
  <authors>
    <author>None</author>
  </authors>
  <commentList>
    <comment ref="B1" authorId="0" shapeId="0">
      <text>
        <r>
          <rPr>
            <sz val="10"/>
            <rFont val="Arial"/>
            <family val="2"/>
          </rPr>
          <t>Bases de datos
Estructura Proyecto
Líder equipo, creación actividad
Taskman</t>
        </r>
      </text>
    </comment>
    <comment ref="C1" authorId="0" shapeId="0">
      <text>
        <r>
          <rPr>
            <sz val="10"/>
            <rFont val="Arial"/>
            <family val="2"/>
          </rPr>
          <t>Diseño interfaz</t>
        </r>
      </text>
    </comment>
    <comment ref="D1" authorId="0" shapeId="0">
      <text>
        <r>
          <rPr>
            <sz val="10"/>
            <rFont val="Arial"/>
            <family val="2"/>
          </rPr>
          <t>Frontend Medium</t>
        </r>
      </text>
    </comment>
    <comment ref="E1" authorId="0" shapeId="0">
      <text>
        <r>
          <rPr>
            <sz val="10"/>
            <rFont val="Arial"/>
            <family val="2"/>
          </rPr>
          <t>Backend Senior</t>
        </r>
      </text>
    </comment>
    <comment ref="F1" authorId="0" shapeId="0">
      <text>
        <r>
          <rPr>
            <sz val="10"/>
            <rFont val="Arial"/>
            <family val="2"/>
          </rPr>
          <t>Backend Medium</t>
        </r>
      </text>
    </comment>
    <comment ref="G1" authorId="0" shapeId="0">
      <text>
        <r>
          <rPr>
            <sz val="10"/>
            <rFont val="Arial"/>
            <family val="2"/>
          </rPr>
          <t>QA, Test</t>
        </r>
      </text>
    </comment>
    <comment ref="H1" authorId="0" shapeId="0">
      <text>
        <r>
          <rPr>
            <sz val="10"/>
            <rFont val="Arial"/>
            <family val="2"/>
          </rPr>
          <t>Implementación, capacitación, entrega</t>
        </r>
      </text>
    </comment>
    <comment ref="I1" authorId="0" shapeId="0">
      <text>
        <r>
          <rPr>
            <sz val="10"/>
            <rFont val="Arial"/>
            <family val="2"/>
          </rPr>
          <t>Mobile Semi-senior</t>
        </r>
      </text>
    </comment>
    <comment ref="J1" authorId="0" shapeId="0">
      <text>
        <r>
          <rPr>
            <sz val="10"/>
            <rFont val="Arial"/>
            <family val="2"/>
          </rPr>
          <t>Mobile Medium</t>
        </r>
      </text>
    </comment>
    <comment ref="K1" authorId="0" shapeId="0">
      <text>
        <r>
          <rPr>
            <sz val="10"/>
            <rFont val="Arial"/>
            <family val="2"/>
          </rPr>
          <t xml:space="preserve">Desarrollador Back -Skill IA 
</t>
        </r>
      </text>
    </comment>
    <comment ref="O1" authorId="0" shapeId="0">
      <text>
        <r>
          <rPr>
            <sz val="10"/>
            <rFont val="Arial"/>
            <family val="2"/>
          </rPr>
          <t xml:space="preserve">Resumen del Proyecto 
</t>
        </r>
      </text>
    </comment>
    <comment ref="W1" authorId="0" shapeId="0">
      <text>
        <r>
          <rPr>
            <sz val="10"/>
            <rFont val="Arial"/>
            <family val="2"/>
          </rPr>
          <t>Fecha de actualización</t>
        </r>
      </text>
    </comment>
    <comment ref="Y1" authorId="0" shapeId="0">
      <text>
        <r>
          <rPr>
            <sz val="10"/>
            <rFont val="Arial"/>
            <family val="2"/>
          </rPr>
          <t>COSTO con todos los alcances</t>
        </r>
      </text>
    </comment>
    <comment ref="Z1" authorId="0" shapeId="0">
      <text>
        <r>
          <rPr>
            <sz val="10"/>
            <rFont val="Arial"/>
            <family val="2"/>
          </rPr>
          <t>Alcances que se consideran importantes para el cliente, son Plus o hacen parte esencial de la oferta de valor</t>
        </r>
      </text>
    </comment>
    <comment ref="AA1" authorId="0" shapeId="0">
      <text>
        <r>
          <rPr>
            <sz val="10"/>
            <rFont val="Arial"/>
            <family val="2"/>
          </rPr>
          <t>Ítems o funcionalidades que No son criticas o prioritarias en el sistema y sería posible eliminarlas</t>
        </r>
      </text>
    </comment>
    <comment ref="AB1" authorId="0" shapeId="0">
      <text>
        <r>
          <rPr>
            <sz val="10"/>
            <rFont val="Arial"/>
            <family val="2"/>
          </rPr>
          <t>Selección de alcances, para creación de 2da versión de la oferta</t>
        </r>
      </text>
    </comment>
    <comment ref="I122" authorId="0" shapeId="0">
      <text>
        <r>
          <rPr>
            <sz val="10"/>
            <rFont val="Arial"/>
            <family val="2"/>
          </rPr>
          <t>Valor mensual por persona</t>
        </r>
      </text>
    </comment>
    <comment ref="M122" authorId="0" shapeId="0">
      <text>
        <r>
          <rPr>
            <sz val="10"/>
            <rFont val="Arial"/>
            <family val="2"/>
          </rPr>
          <t>Espacio de trabajo + Computador</t>
        </r>
      </text>
    </comment>
    <comment ref="E123" authorId="0" shapeId="0">
      <text>
        <r>
          <rPr>
            <sz val="10"/>
            <rFont val="Arial"/>
            <family val="2"/>
          </rPr>
          <t>Salario minimo legal vigente</t>
        </r>
      </text>
    </comment>
    <comment ref="G123" authorId="0" shapeId="0">
      <text>
        <r>
          <rPr>
            <sz val="10"/>
            <rFont val="Arial"/>
            <family val="2"/>
          </rPr>
          <t>Auxilio de transporte</t>
        </r>
      </text>
    </comment>
    <comment ref="J123" authorId="0" shapeId="0">
      <text>
        <r>
          <rPr>
            <sz val="10"/>
            <rFont val="Arial"/>
            <family val="2"/>
          </rPr>
          <t>12% pensión
4% caja
0,5% ARL
13% adicional si fueran +10 salarios</t>
        </r>
      </text>
    </comment>
    <comment ref="M123" authorId="0" shapeId="0">
      <text>
        <r>
          <rPr>
            <sz val="10"/>
            <rFont val="Arial"/>
            <family val="2"/>
          </rPr>
          <t>1 primas
1 cesantías
0,5 vacaciones
1% intereses censantías + aux</t>
        </r>
      </text>
    </comment>
    <comment ref="O123" authorId="0" shapeId="0">
      <text>
        <r>
          <rPr>
            <sz val="10"/>
            <rFont val="Arial"/>
            <family val="2"/>
          </rPr>
          <t>40 semanales
x 4,2 semanas al mes
x días festivos del año / total hábiles</t>
        </r>
      </text>
    </comment>
    <comment ref="I130" authorId="0" shapeId="0">
      <text>
        <r>
          <rPr>
            <sz val="10"/>
            <rFont val="Arial"/>
            <family val="2"/>
          </rPr>
          <t>Equipos mobile para test</t>
        </r>
      </text>
    </comment>
    <comment ref="I132" authorId="0" shapeId="0">
      <text>
        <r>
          <rPr>
            <sz val="10"/>
            <rFont val="Arial"/>
            <family val="2"/>
          </rPr>
          <t>Equipo MAC para despliegue</t>
        </r>
      </text>
    </comment>
    <comment ref="I133" authorId="0" shapeId="0">
      <text>
        <r>
          <rPr>
            <sz val="10"/>
            <rFont val="Arial"/>
            <family val="2"/>
          </rPr>
          <t>Equipo MAC para despliegue</t>
        </r>
      </text>
    </comment>
  </commentList>
</comments>
</file>

<file path=xl/comments2.xml><?xml version="1.0" encoding="utf-8"?>
<comments xmlns="http://schemas.openxmlformats.org/spreadsheetml/2006/main">
  <authors>
    <author>None</author>
  </authors>
  <commentList>
    <comment ref="B1" authorId="0" shapeId="0">
      <text>
        <r>
          <rPr>
            <sz val="10"/>
            <rFont val="Arial"/>
            <family val="2"/>
          </rPr>
          <t>Bases de datos
Estructura Proyecto
Líder equipo, creación actividad
Taskman</t>
        </r>
      </text>
    </comment>
    <comment ref="C1" authorId="0" shapeId="0">
      <text>
        <r>
          <rPr>
            <sz val="10"/>
            <rFont val="Arial"/>
            <family val="2"/>
          </rPr>
          <t>Diseño interfaz</t>
        </r>
      </text>
    </comment>
    <comment ref="D1" authorId="0" shapeId="0">
      <text>
        <r>
          <rPr>
            <sz val="10"/>
            <rFont val="Arial"/>
            <family val="2"/>
          </rPr>
          <t>Frontend Medium</t>
        </r>
      </text>
    </comment>
    <comment ref="E1" authorId="0" shapeId="0">
      <text>
        <r>
          <rPr>
            <sz val="10"/>
            <rFont val="Arial"/>
            <family val="2"/>
          </rPr>
          <t>Backend Senior</t>
        </r>
      </text>
    </comment>
    <comment ref="F1" authorId="0" shapeId="0">
      <text>
        <r>
          <rPr>
            <sz val="10"/>
            <rFont val="Arial"/>
            <family val="2"/>
          </rPr>
          <t>Backend Medium</t>
        </r>
      </text>
    </comment>
    <comment ref="G1" authorId="0" shapeId="0">
      <text>
        <r>
          <rPr>
            <sz val="10"/>
            <rFont val="Arial"/>
            <family val="2"/>
          </rPr>
          <t>QA, Test</t>
        </r>
      </text>
    </comment>
    <comment ref="H1" authorId="0" shapeId="0">
      <text>
        <r>
          <rPr>
            <sz val="10"/>
            <rFont val="Arial"/>
            <family val="2"/>
          </rPr>
          <t>Implementación, capacitación, entrega</t>
        </r>
      </text>
    </comment>
    <comment ref="I1" authorId="0" shapeId="0">
      <text>
        <r>
          <rPr>
            <sz val="10"/>
            <rFont val="Arial"/>
            <family val="2"/>
          </rPr>
          <t>Mobile Semi-senior</t>
        </r>
      </text>
    </comment>
    <comment ref="J1" authorId="0" shapeId="0">
      <text>
        <r>
          <rPr>
            <sz val="10"/>
            <rFont val="Arial"/>
            <family val="2"/>
          </rPr>
          <t>Mobile Medium</t>
        </r>
      </text>
    </comment>
    <comment ref="K1" authorId="0" shapeId="0">
      <text>
        <r>
          <rPr>
            <sz val="10"/>
            <rFont val="Arial"/>
            <family val="2"/>
          </rPr>
          <t xml:space="preserve">Desarrollador Back -Skill IA 
</t>
        </r>
      </text>
    </comment>
    <comment ref="O1" authorId="0" shapeId="0">
      <text>
        <r>
          <rPr>
            <sz val="10"/>
            <rFont val="Arial"/>
            <family val="2"/>
          </rPr>
          <t xml:space="preserve">Resumen del Proyecto 
</t>
        </r>
      </text>
    </comment>
    <comment ref="W1" authorId="0" shapeId="0">
      <text>
        <r>
          <rPr>
            <sz val="10"/>
            <rFont val="Arial"/>
            <family val="2"/>
          </rPr>
          <t>Fecha de actualización</t>
        </r>
      </text>
    </comment>
    <comment ref="Y1" authorId="0" shapeId="0">
      <text>
        <r>
          <rPr>
            <sz val="10"/>
            <rFont val="Arial"/>
            <family val="2"/>
          </rPr>
          <t>COSTO con todos los alcances</t>
        </r>
      </text>
    </comment>
    <comment ref="Z1" authorId="0" shapeId="0">
      <text>
        <r>
          <rPr>
            <sz val="10"/>
            <rFont val="Arial"/>
            <family val="2"/>
          </rPr>
          <t>Alcances que se consideran importantes para el cliente, son Plus o hacen parte esencial de la oferta de valor</t>
        </r>
      </text>
    </comment>
    <comment ref="AA1" authorId="0" shapeId="0">
      <text>
        <r>
          <rPr>
            <sz val="10"/>
            <rFont val="Arial"/>
            <family val="2"/>
          </rPr>
          <t>Ítems o funcionalidades que No son criticas o prioritarias en el sistema y sería posible eliminarlas</t>
        </r>
      </text>
    </comment>
    <comment ref="AB1" authorId="0" shapeId="0">
      <text>
        <r>
          <rPr>
            <sz val="10"/>
            <rFont val="Arial"/>
            <family val="2"/>
          </rPr>
          <t>Selección de alcances, para creación de 2da versión de la oferta</t>
        </r>
      </text>
    </comment>
    <comment ref="I122" authorId="0" shapeId="0">
      <text>
        <r>
          <rPr>
            <sz val="10"/>
            <rFont val="Arial"/>
            <family val="2"/>
          </rPr>
          <t>Valor mensual por persona</t>
        </r>
      </text>
    </comment>
    <comment ref="M122" authorId="0" shapeId="0">
      <text>
        <r>
          <rPr>
            <sz val="10"/>
            <rFont val="Arial"/>
            <family val="2"/>
          </rPr>
          <t>Espacio de trabajo + Computador</t>
        </r>
      </text>
    </comment>
    <comment ref="E123" authorId="0" shapeId="0">
      <text>
        <r>
          <rPr>
            <sz val="10"/>
            <rFont val="Arial"/>
            <family val="2"/>
          </rPr>
          <t>Salario minimo legal vigente</t>
        </r>
      </text>
    </comment>
    <comment ref="G123" authorId="0" shapeId="0">
      <text>
        <r>
          <rPr>
            <sz val="10"/>
            <rFont val="Arial"/>
            <family val="2"/>
          </rPr>
          <t>Auxilio de transporte</t>
        </r>
      </text>
    </comment>
    <comment ref="J123" authorId="0" shapeId="0">
      <text>
        <r>
          <rPr>
            <sz val="10"/>
            <rFont val="Arial"/>
            <family val="2"/>
          </rPr>
          <t>12% pensión
4% caja
0,5% ARL
13% adicional si fueran +10 salarios</t>
        </r>
      </text>
    </comment>
    <comment ref="M123" authorId="0" shapeId="0">
      <text>
        <r>
          <rPr>
            <sz val="10"/>
            <rFont val="Arial"/>
            <family val="2"/>
          </rPr>
          <t>1 primas
1 cesantías
0,5 vacaciones
1% intereses censantías + aux</t>
        </r>
      </text>
    </comment>
    <comment ref="O123" authorId="0" shapeId="0">
      <text>
        <r>
          <rPr>
            <sz val="10"/>
            <rFont val="Arial"/>
            <family val="2"/>
          </rPr>
          <t>40 semanales
x 4,2 semanas al mes
x días festivos del año / total hábiles</t>
        </r>
      </text>
    </comment>
    <comment ref="I130" authorId="0" shapeId="0">
      <text>
        <r>
          <rPr>
            <sz val="10"/>
            <rFont val="Arial"/>
            <family val="2"/>
          </rPr>
          <t>Equipos mobile para test</t>
        </r>
      </text>
    </comment>
    <comment ref="I132" authorId="0" shapeId="0">
      <text>
        <r>
          <rPr>
            <sz val="10"/>
            <rFont val="Arial"/>
            <family val="2"/>
          </rPr>
          <t>Equipo MAC para despliegue</t>
        </r>
      </text>
    </comment>
    <comment ref="I133" authorId="0" shapeId="0">
      <text>
        <r>
          <rPr>
            <sz val="10"/>
            <rFont val="Arial"/>
            <family val="2"/>
          </rPr>
          <t>Equipo MAC para despliegue</t>
        </r>
      </text>
    </comment>
  </commentList>
</comments>
</file>

<file path=xl/comments3.xml><?xml version="1.0" encoding="utf-8"?>
<comments xmlns="http://schemas.openxmlformats.org/spreadsheetml/2006/main">
  <authors>
    <author>None</author>
  </authors>
  <commentList>
    <comment ref="B1" authorId="0" shapeId="0">
      <text>
        <r>
          <rPr>
            <sz val="10"/>
            <rFont val="Arial"/>
            <family val="2"/>
          </rPr>
          <t>Bases de datos
Estructura Proyecto
Líder equipo, creación actividad
Taskman</t>
        </r>
      </text>
    </comment>
    <comment ref="C1" authorId="0" shapeId="0">
      <text>
        <r>
          <rPr>
            <sz val="10"/>
            <rFont val="Arial"/>
            <family val="2"/>
          </rPr>
          <t>Diseño interfaz</t>
        </r>
      </text>
    </comment>
    <comment ref="D1" authorId="0" shapeId="0">
      <text>
        <r>
          <rPr>
            <sz val="10"/>
            <rFont val="Arial"/>
            <family val="2"/>
          </rPr>
          <t>Frontend Medium</t>
        </r>
      </text>
    </comment>
    <comment ref="E1" authorId="0" shapeId="0">
      <text>
        <r>
          <rPr>
            <sz val="10"/>
            <rFont val="Arial"/>
            <family val="2"/>
          </rPr>
          <t>Backend Senior</t>
        </r>
      </text>
    </comment>
    <comment ref="F1" authorId="0" shapeId="0">
      <text>
        <r>
          <rPr>
            <sz val="10"/>
            <rFont val="Arial"/>
            <family val="2"/>
          </rPr>
          <t>Backend Medium</t>
        </r>
      </text>
    </comment>
    <comment ref="G1" authorId="0" shapeId="0">
      <text>
        <r>
          <rPr>
            <sz val="10"/>
            <rFont val="Arial"/>
            <family val="2"/>
          </rPr>
          <t>QA, Test</t>
        </r>
      </text>
    </comment>
    <comment ref="H1" authorId="0" shapeId="0">
      <text>
        <r>
          <rPr>
            <sz val="10"/>
            <rFont val="Arial"/>
            <family val="2"/>
          </rPr>
          <t>Implementación, capacitación, entrega</t>
        </r>
      </text>
    </comment>
    <comment ref="I1" authorId="0" shapeId="0">
      <text>
        <r>
          <rPr>
            <sz val="10"/>
            <rFont val="Arial"/>
            <family val="2"/>
          </rPr>
          <t>Mobile Semi-senior</t>
        </r>
      </text>
    </comment>
    <comment ref="J1" authorId="0" shapeId="0">
      <text>
        <r>
          <rPr>
            <sz val="10"/>
            <rFont val="Arial"/>
            <family val="2"/>
          </rPr>
          <t>Mobile Medium</t>
        </r>
      </text>
    </comment>
    <comment ref="K1" authorId="0" shapeId="0">
      <text>
        <r>
          <rPr>
            <sz val="10"/>
            <rFont val="Arial"/>
            <family val="2"/>
          </rPr>
          <t xml:space="preserve">Desarrollador Back -Skill IA 
</t>
        </r>
      </text>
    </comment>
    <comment ref="O1" authorId="0" shapeId="0">
      <text>
        <r>
          <rPr>
            <sz val="10"/>
            <rFont val="Arial"/>
            <family val="2"/>
          </rPr>
          <t xml:space="preserve">Resumen del Proyecto 
</t>
        </r>
      </text>
    </comment>
    <comment ref="W1" authorId="0" shapeId="0">
      <text>
        <r>
          <rPr>
            <sz val="10"/>
            <rFont val="Arial"/>
            <family val="2"/>
          </rPr>
          <t>Fecha de actualización</t>
        </r>
      </text>
    </comment>
    <comment ref="Y1" authorId="0" shapeId="0">
      <text>
        <r>
          <rPr>
            <sz val="10"/>
            <rFont val="Arial"/>
            <family val="2"/>
          </rPr>
          <t>COSTO con todos los alcances</t>
        </r>
      </text>
    </comment>
    <comment ref="Z1" authorId="0" shapeId="0">
      <text>
        <r>
          <rPr>
            <sz val="10"/>
            <rFont val="Arial"/>
            <family val="2"/>
          </rPr>
          <t>Alcances que se consideran importantes para el cliente, son Plus o hacen parte esencial de la oferta de valor</t>
        </r>
      </text>
    </comment>
    <comment ref="AA1" authorId="0" shapeId="0">
      <text>
        <r>
          <rPr>
            <sz val="10"/>
            <rFont val="Arial"/>
            <family val="2"/>
          </rPr>
          <t>Ítems o funcionalidades que No son criticas o prioritarias en el sistema y sería posible eliminarlas</t>
        </r>
      </text>
    </comment>
    <comment ref="AB1" authorId="0" shapeId="0">
      <text>
        <r>
          <rPr>
            <sz val="10"/>
            <rFont val="Arial"/>
            <family val="2"/>
          </rPr>
          <t>Selección de alcances, para creación de 2da versión de la oferta</t>
        </r>
      </text>
    </comment>
    <comment ref="I122" authorId="0" shapeId="0">
      <text>
        <r>
          <rPr>
            <sz val="10"/>
            <rFont val="Arial"/>
            <family val="2"/>
          </rPr>
          <t>Valor mensual por persona</t>
        </r>
      </text>
    </comment>
    <comment ref="M122" authorId="0" shapeId="0">
      <text>
        <r>
          <rPr>
            <sz val="10"/>
            <rFont val="Arial"/>
            <family val="2"/>
          </rPr>
          <t>Espacio de trabajo + Computador</t>
        </r>
      </text>
    </comment>
    <comment ref="E123" authorId="0" shapeId="0">
      <text>
        <r>
          <rPr>
            <sz val="10"/>
            <rFont val="Arial"/>
            <family val="2"/>
          </rPr>
          <t>Salario minimo legal vigente</t>
        </r>
      </text>
    </comment>
    <comment ref="G123" authorId="0" shapeId="0">
      <text>
        <r>
          <rPr>
            <sz val="10"/>
            <rFont val="Arial"/>
            <family val="2"/>
          </rPr>
          <t>Auxilio de transporte</t>
        </r>
      </text>
    </comment>
    <comment ref="J123" authorId="0" shapeId="0">
      <text>
        <r>
          <rPr>
            <sz val="10"/>
            <rFont val="Arial"/>
            <family val="2"/>
          </rPr>
          <t>12% pensión
4% caja
0,5% ARL
13% adicional si fueran +10 salarios</t>
        </r>
      </text>
    </comment>
    <comment ref="M123" authorId="0" shapeId="0">
      <text>
        <r>
          <rPr>
            <sz val="10"/>
            <rFont val="Arial"/>
            <family val="2"/>
          </rPr>
          <t>1 primas
1 cesantías
0,5 vacaciones
1% intereses censantías + aux</t>
        </r>
      </text>
    </comment>
    <comment ref="O123" authorId="0" shapeId="0">
      <text>
        <r>
          <rPr>
            <sz val="10"/>
            <rFont val="Arial"/>
            <family val="2"/>
          </rPr>
          <t>40 semanales
x 4,2 semanas al mes
x días festivos del año / total hábiles</t>
        </r>
      </text>
    </comment>
    <comment ref="I130" authorId="0" shapeId="0">
      <text>
        <r>
          <rPr>
            <sz val="10"/>
            <rFont val="Arial"/>
            <family val="2"/>
          </rPr>
          <t>Equipos mobile para test</t>
        </r>
      </text>
    </comment>
    <comment ref="I132" authorId="0" shapeId="0">
      <text>
        <r>
          <rPr>
            <sz val="10"/>
            <rFont val="Arial"/>
            <family val="2"/>
          </rPr>
          <t>Equipo MAC para despliegue</t>
        </r>
      </text>
    </comment>
    <comment ref="I133" authorId="0" shapeId="0">
      <text>
        <r>
          <rPr>
            <sz val="10"/>
            <rFont val="Arial"/>
            <family val="2"/>
          </rPr>
          <t>Equipo MAC para despliegue</t>
        </r>
      </text>
    </comment>
  </commentList>
</comments>
</file>

<file path=xl/comments4.xml><?xml version="1.0" encoding="utf-8"?>
<comments xmlns="http://schemas.openxmlformats.org/spreadsheetml/2006/main">
  <authors>
    <author>None</author>
  </authors>
  <commentList>
    <comment ref="B1" authorId="0" shapeId="0">
      <text>
        <r>
          <rPr>
            <sz val="10"/>
            <rFont val="Arial"/>
            <family val="2"/>
          </rPr>
          <t>Bases de datos
Estructura Proyecto
Líder equipo, creación actividad
Taskman</t>
        </r>
      </text>
    </comment>
    <comment ref="C1" authorId="0" shapeId="0">
      <text>
        <r>
          <rPr>
            <sz val="10"/>
            <rFont val="Arial"/>
            <family val="2"/>
          </rPr>
          <t>Diseño interfaz</t>
        </r>
      </text>
    </comment>
    <comment ref="D1" authorId="0" shapeId="0">
      <text>
        <r>
          <rPr>
            <sz val="10"/>
            <rFont val="Arial"/>
            <family val="2"/>
          </rPr>
          <t>Frontend Medium</t>
        </r>
      </text>
    </comment>
    <comment ref="E1" authorId="0" shapeId="0">
      <text>
        <r>
          <rPr>
            <sz val="10"/>
            <rFont val="Arial"/>
            <family val="2"/>
          </rPr>
          <t>Backend Senior</t>
        </r>
      </text>
    </comment>
    <comment ref="F1" authorId="0" shapeId="0">
      <text>
        <r>
          <rPr>
            <sz val="10"/>
            <rFont val="Arial"/>
            <family val="2"/>
          </rPr>
          <t>Backend Medium</t>
        </r>
      </text>
    </comment>
    <comment ref="G1" authorId="0" shapeId="0">
      <text>
        <r>
          <rPr>
            <sz val="10"/>
            <rFont val="Arial"/>
            <family val="2"/>
          </rPr>
          <t>QA, Test</t>
        </r>
      </text>
    </comment>
    <comment ref="H1" authorId="0" shapeId="0">
      <text>
        <r>
          <rPr>
            <sz val="10"/>
            <rFont val="Arial"/>
            <family val="2"/>
          </rPr>
          <t>Implementación, capacitación, entrega</t>
        </r>
      </text>
    </comment>
    <comment ref="I1" authorId="0" shapeId="0">
      <text>
        <r>
          <rPr>
            <sz val="10"/>
            <rFont val="Arial"/>
            <family val="2"/>
          </rPr>
          <t>Mobile Semi-senior</t>
        </r>
      </text>
    </comment>
    <comment ref="J1" authorId="0" shapeId="0">
      <text>
        <r>
          <rPr>
            <sz val="10"/>
            <rFont val="Arial"/>
            <family val="2"/>
          </rPr>
          <t>Mobile Medium</t>
        </r>
      </text>
    </comment>
    <comment ref="K1" authorId="0" shapeId="0">
      <text>
        <r>
          <rPr>
            <sz val="10"/>
            <rFont val="Arial"/>
            <family val="2"/>
          </rPr>
          <t xml:space="preserve">Desarrollador Back -Skill IA 
</t>
        </r>
      </text>
    </comment>
    <comment ref="O1" authorId="0" shapeId="0">
      <text>
        <r>
          <rPr>
            <sz val="10"/>
            <rFont val="Arial"/>
            <family val="2"/>
          </rPr>
          <t xml:space="preserve">Resumen del Proyecto 
</t>
        </r>
      </text>
    </comment>
    <comment ref="W1" authorId="0" shapeId="0">
      <text>
        <r>
          <rPr>
            <sz val="10"/>
            <rFont val="Arial"/>
            <family val="2"/>
          </rPr>
          <t>Fecha de actualización</t>
        </r>
      </text>
    </comment>
    <comment ref="Y1" authorId="0" shapeId="0">
      <text>
        <r>
          <rPr>
            <sz val="10"/>
            <rFont val="Arial"/>
            <family val="2"/>
          </rPr>
          <t>COSTO con todos los alcances</t>
        </r>
      </text>
    </comment>
    <comment ref="Z1" authorId="0" shapeId="0">
      <text>
        <r>
          <rPr>
            <sz val="10"/>
            <rFont val="Arial"/>
            <family val="2"/>
          </rPr>
          <t>Alcances que se consideran importantes para el cliente, son Plus o hacen parte esencial de la oferta de valor</t>
        </r>
      </text>
    </comment>
    <comment ref="AA1" authorId="0" shapeId="0">
      <text>
        <r>
          <rPr>
            <sz val="10"/>
            <rFont val="Arial"/>
            <family val="2"/>
          </rPr>
          <t>Ítems o funcionalidades que No son criticas o prioritarias en el sistema y sería posible eliminarlas</t>
        </r>
      </text>
    </comment>
    <comment ref="AB1" authorId="0" shapeId="0">
      <text>
        <r>
          <rPr>
            <sz val="10"/>
            <rFont val="Arial"/>
            <family val="2"/>
          </rPr>
          <t>Selección de alcances, para creación de 2da versión de la oferta</t>
        </r>
      </text>
    </comment>
    <comment ref="I122" authorId="0" shapeId="0">
      <text>
        <r>
          <rPr>
            <sz val="10"/>
            <rFont val="Arial"/>
            <family val="2"/>
          </rPr>
          <t>Valor mensual por persona</t>
        </r>
      </text>
    </comment>
    <comment ref="M122" authorId="0" shapeId="0">
      <text>
        <r>
          <rPr>
            <sz val="10"/>
            <rFont val="Arial"/>
            <family val="2"/>
          </rPr>
          <t>Espacio de trabajo + Computador</t>
        </r>
      </text>
    </comment>
    <comment ref="E123" authorId="0" shapeId="0">
      <text>
        <r>
          <rPr>
            <sz val="10"/>
            <rFont val="Arial"/>
            <family val="2"/>
          </rPr>
          <t>Salario minimo legal vigente</t>
        </r>
      </text>
    </comment>
    <comment ref="G123" authorId="0" shapeId="0">
      <text>
        <r>
          <rPr>
            <sz val="10"/>
            <rFont val="Arial"/>
            <family val="2"/>
          </rPr>
          <t>Auxilio de transporte</t>
        </r>
      </text>
    </comment>
    <comment ref="J123" authorId="0" shapeId="0">
      <text>
        <r>
          <rPr>
            <sz val="10"/>
            <rFont val="Arial"/>
            <family val="2"/>
          </rPr>
          <t>12% pensión
4% caja
0,5% ARL
13% adicional si fueran +10 salarios</t>
        </r>
      </text>
    </comment>
    <comment ref="M123" authorId="0" shapeId="0">
      <text>
        <r>
          <rPr>
            <sz val="10"/>
            <rFont val="Arial"/>
            <family val="2"/>
          </rPr>
          <t>1 primas
1 cesantías
0,5 vacaciones
1% intereses censantías + aux</t>
        </r>
      </text>
    </comment>
    <comment ref="O123" authorId="0" shapeId="0">
      <text>
        <r>
          <rPr>
            <sz val="10"/>
            <rFont val="Arial"/>
            <family val="2"/>
          </rPr>
          <t>40 semanales
x 4,2 semanas al mes
x días festivos del año / total hábiles</t>
        </r>
      </text>
    </comment>
    <comment ref="I130" authorId="0" shapeId="0">
      <text>
        <r>
          <rPr>
            <sz val="10"/>
            <rFont val="Arial"/>
            <family val="2"/>
          </rPr>
          <t>Equipos mobile para test</t>
        </r>
      </text>
    </comment>
    <comment ref="I132" authorId="0" shapeId="0">
      <text>
        <r>
          <rPr>
            <sz val="10"/>
            <rFont val="Arial"/>
            <family val="2"/>
          </rPr>
          <t>Equipo MAC para despliegue</t>
        </r>
      </text>
    </comment>
    <comment ref="I133" authorId="0" shapeId="0">
      <text>
        <r>
          <rPr>
            <sz val="10"/>
            <rFont val="Arial"/>
            <family val="2"/>
          </rPr>
          <t>Equipo MAC para despliegue</t>
        </r>
      </text>
    </comment>
  </commentList>
</comments>
</file>

<file path=xl/comments5.xml><?xml version="1.0" encoding="utf-8"?>
<comments xmlns="http://schemas.openxmlformats.org/spreadsheetml/2006/main">
  <authors>
    <author>None</author>
  </authors>
  <commentList>
    <comment ref="B1" authorId="0" shapeId="0">
      <text>
        <r>
          <rPr>
            <sz val="10"/>
            <rFont val="Arial"/>
            <family val="2"/>
          </rPr>
          <t>Bases de datos
Estructura Proyecto
Líder equipo, creación actividad
Taskman</t>
        </r>
      </text>
    </comment>
    <comment ref="C1" authorId="0" shapeId="0">
      <text>
        <r>
          <rPr>
            <sz val="10"/>
            <rFont val="Arial"/>
            <family val="2"/>
          </rPr>
          <t>Diseño interfaz</t>
        </r>
      </text>
    </comment>
    <comment ref="D1" authorId="0" shapeId="0">
      <text>
        <r>
          <rPr>
            <sz val="10"/>
            <rFont val="Arial"/>
            <family val="2"/>
          </rPr>
          <t>Frontend Medium</t>
        </r>
      </text>
    </comment>
    <comment ref="E1" authorId="0" shapeId="0">
      <text>
        <r>
          <rPr>
            <sz val="10"/>
            <rFont val="Arial"/>
            <family val="2"/>
          </rPr>
          <t>Backend Senior</t>
        </r>
      </text>
    </comment>
    <comment ref="F1" authorId="0" shapeId="0">
      <text>
        <r>
          <rPr>
            <sz val="10"/>
            <rFont val="Arial"/>
            <family val="2"/>
          </rPr>
          <t>Backend Medium</t>
        </r>
      </text>
    </comment>
    <comment ref="G1" authorId="0" shapeId="0">
      <text>
        <r>
          <rPr>
            <sz val="10"/>
            <rFont val="Arial"/>
            <family val="2"/>
          </rPr>
          <t>QA, Test</t>
        </r>
      </text>
    </comment>
    <comment ref="H1" authorId="0" shapeId="0">
      <text>
        <r>
          <rPr>
            <sz val="10"/>
            <rFont val="Arial"/>
            <family val="2"/>
          </rPr>
          <t>Implementación, capacitación, entrega</t>
        </r>
      </text>
    </comment>
    <comment ref="I1" authorId="0" shapeId="0">
      <text>
        <r>
          <rPr>
            <sz val="10"/>
            <rFont val="Arial"/>
            <family val="2"/>
          </rPr>
          <t>Mobile Semi-senior</t>
        </r>
      </text>
    </comment>
    <comment ref="J1" authorId="0" shapeId="0">
      <text>
        <r>
          <rPr>
            <sz val="10"/>
            <rFont val="Arial"/>
            <family val="2"/>
          </rPr>
          <t>Mobile Medium</t>
        </r>
      </text>
    </comment>
    <comment ref="K1" authorId="0" shapeId="0">
      <text>
        <r>
          <rPr>
            <sz val="10"/>
            <rFont val="Arial"/>
            <family val="2"/>
          </rPr>
          <t xml:space="preserve">Desarrollador Back -Skill IA 
</t>
        </r>
      </text>
    </comment>
    <comment ref="O1" authorId="0" shapeId="0">
      <text>
        <r>
          <rPr>
            <sz val="10"/>
            <rFont val="Arial"/>
            <family val="2"/>
          </rPr>
          <t xml:space="preserve">Resumen del Proyecto 
</t>
        </r>
      </text>
    </comment>
    <comment ref="W1" authorId="0" shapeId="0">
      <text>
        <r>
          <rPr>
            <sz val="10"/>
            <rFont val="Arial"/>
            <family val="2"/>
          </rPr>
          <t>Fecha de actualización</t>
        </r>
      </text>
    </comment>
    <comment ref="Y1" authorId="0" shapeId="0">
      <text>
        <r>
          <rPr>
            <sz val="10"/>
            <rFont val="Arial"/>
            <family val="2"/>
          </rPr>
          <t>COSTO con todos los alcances</t>
        </r>
      </text>
    </comment>
    <comment ref="Z1" authorId="0" shapeId="0">
      <text>
        <r>
          <rPr>
            <sz val="10"/>
            <rFont val="Arial"/>
            <family val="2"/>
          </rPr>
          <t>Alcances que se consideran importantes para el cliente, son Plus o hacen parte esencial de la oferta de valor</t>
        </r>
      </text>
    </comment>
    <comment ref="AA1" authorId="0" shapeId="0">
      <text>
        <r>
          <rPr>
            <sz val="10"/>
            <rFont val="Arial"/>
            <family val="2"/>
          </rPr>
          <t>Ítems o funcionalidades que No son criticas o prioritarias en el sistema y sería posible eliminarlas</t>
        </r>
      </text>
    </comment>
    <comment ref="AB1" authorId="0" shapeId="0">
      <text>
        <r>
          <rPr>
            <sz val="10"/>
            <rFont val="Arial"/>
            <family val="2"/>
          </rPr>
          <t>Selección de alcances, para creación de 2da versión de la oferta</t>
        </r>
      </text>
    </comment>
    <comment ref="I122" authorId="0" shapeId="0">
      <text>
        <r>
          <rPr>
            <sz val="10"/>
            <rFont val="Arial"/>
            <family val="2"/>
          </rPr>
          <t>Valor mensual por persona</t>
        </r>
      </text>
    </comment>
    <comment ref="M122" authorId="0" shapeId="0">
      <text>
        <r>
          <rPr>
            <sz val="10"/>
            <rFont val="Arial"/>
            <family val="2"/>
          </rPr>
          <t>Espacio de trabajo + Computador</t>
        </r>
      </text>
    </comment>
    <comment ref="E123" authorId="0" shapeId="0">
      <text>
        <r>
          <rPr>
            <sz val="10"/>
            <rFont val="Arial"/>
            <family val="2"/>
          </rPr>
          <t>Salario minimo legal vigente</t>
        </r>
      </text>
    </comment>
    <comment ref="G123" authorId="0" shapeId="0">
      <text>
        <r>
          <rPr>
            <sz val="10"/>
            <rFont val="Arial"/>
            <family val="2"/>
          </rPr>
          <t>Auxilio de transporte</t>
        </r>
      </text>
    </comment>
    <comment ref="J123" authorId="0" shapeId="0">
      <text>
        <r>
          <rPr>
            <sz val="10"/>
            <rFont val="Arial"/>
            <family val="2"/>
          </rPr>
          <t>12% pensión
4% caja
0,5% ARL
13% adicional si fueran +10 salarios</t>
        </r>
      </text>
    </comment>
    <comment ref="M123" authorId="0" shapeId="0">
      <text>
        <r>
          <rPr>
            <sz val="10"/>
            <rFont val="Arial"/>
            <family val="2"/>
          </rPr>
          <t>1 primas
1 cesantías
0,5 vacaciones
1% intereses censantías + aux</t>
        </r>
      </text>
    </comment>
    <comment ref="O123" authorId="0" shapeId="0">
      <text>
        <r>
          <rPr>
            <sz val="10"/>
            <rFont val="Arial"/>
            <family val="2"/>
          </rPr>
          <t>40 semanales
x 4,2 semanas al mes
x días festivos del año / total hábiles</t>
        </r>
      </text>
    </comment>
    <comment ref="I130" authorId="0" shapeId="0">
      <text>
        <r>
          <rPr>
            <sz val="10"/>
            <rFont val="Arial"/>
            <family val="2"/>
          </rPr>
          <t>Equipos mobile para test</t>
        </r>
      </text>
    </comment>
    <comment ref="I132" authorId="0" shapeId="0">
      <text>
        <r>
          <rPr>
            <sz val="10"/>
            <rFont val="Arial"/>
            <family val="2"/>
          </rPr>
          <t>Equipo MAC para despliegue</t>
        </r>
      </text>
    </comment>
    <comment ref="I133" authorId="0" shapeId="0">
      <text>
        <r>
          <rPr>
            <sz val="10"/>
            <rFont val="Arial"/>
            <family val="2"/>
          </rPr>
          <t>Equipo MAC para despliegue</t>
        </r>
      </text>
    </comment>
  </commentList>
</comments>
</file>

<file path=xl/comments6.xml><?xml version="1.0" encoding="utf-8"?>
<comments xmlns="http://schemas.openxmlformats.org/spreadsheetml/2006/main">
  <authors>
    <author>None</author>
  </authors>
  <commentList>
    <comment ref="B1" authorId="0" shapeId="0">
      <text>
        <r>
          <rPr>
            <sz val="10"/>
            <rFont val="Arial"/>
            <family val="2"/>
          </rPr>
          <t>Bases de datos
Estructura Proyecto
Líder equipo, creación actividad
Taskman</t>
        </r>
      </text>
    </comment>
    <comment ref="C1" authorId="0" shapeId="0">
      <text>
        <r>
          <rPr>
            <sz val="10"/>
            <rFont val="Arial"/>
            <family val="2"/>
          </rPr>
          <t>Diseño interfaz</t>
        </r>
      </text>
    </comment>
    <comment ref="D1" authorId="0" shapeId="0">
      <text>
        <r>
          <rPr>
            <sz val="10"/>
            <rFont val="Arial"/>
            <family val="2"/>
          </rPr>
          <t>Frontend Medium</t>
        </r>
      </text>
    </comment>
    <comment ref="E1" authorId="0" shapeId="0">
      <text>
        <r>
          <rPr>
            <sz val="10"/>
            <rFont val="Arial"/>
            <family val="2"/>
          </rPr>
          <t>Backend Senior</t>
        </r>
      </text>
    </comment>
    <comment ref="F1" authorId="0" shapeId="0">
      <text>
        <r>
          <rPr>
            <sz val="10"/>
            <rFont val="Arial"/>
            <family val="2"/>
          </rPr>
          <t>Backend Medium</t>
        </r>
      </text>
    </comment>
    <comment ref="G1" authorId="0" shapeId="0">
      <text>
        <r>
          <rPr>
            <sz val="10"/>
            <rFont val="Arial"/>
            <family val="2"/>
          </rPr>
          <t>QA, Test</t>
        </r>
      </text>
    </comment>
    <comment ref="H1" authorId="0" shapeId="0">
      <text>
        <r>
          <rPr>
            <sz val="10"/>
            <rFont val="Arial"/>
            <family val="2"/>
          </rPr>
          <t>Implementación, capacitación, entrega</t>
        </r>
      </text>
    </comment>
    <comment ref="I1" authorId="0" shapeId="0">
      <text>
        <r>
          <rPr>
            <sz val="10"/>
            <rFont val="Arial"/>
            <family val="2"/>
          </rPr>
          <t>Mobile Semi-senior</t>
        </r>
      </text>
    </comment>
    <comment ref="J1" authorId="0" shapeId="0">
      <text>
        <r>
          <rPr>
            <sz val="10"/>
            <rFont val="Arial"/>
            <family val="2"/>
          </rPr>
          <t>Mobile Medium</t>
        </r>
      </text>
    </comment>
    <comment ref="K1" authorId="0" shapeId="0">
      <text>
        <r>
          <rPr>
            <sz val="10"/>
            <rFont val="Arial"/>
            <family val="2"/>
          </rPr>
          <t xml:space="preserve">Desarrollador Back -Skill IA 
</t>
        </r>
      </text>
    </comment>
    <comment ref="O1" authorId="0" shapeId="0">
      <text>
        <r>
          <rPr>
            <sz val="10"/>
            <rFont val="Arial"/>
            <family val="2"/>
          </rPr>
          <t xml:space="preserve">Resumen del Proyecto 
</t>
        </r>
      </text>
    </comment>
    <comment ref="W1" authorId="0" shapeId="0">
      <text>
        <r>
          <rPr>
            <sz val="10"/>
            <rFont val="Arial"/>
            <family val="2"/>
          </rPr>
          <t>Fecha de actualización</t>
        </r>
      </text>
    </comment>
    <comment ref="Y1" authorId="0" shapeId="0">
      <text>
        <r>
          <rPr>
            <sz val="10"/>
            <rFont val="Arial"/>
            <family val="2"/>
          </rPr>
          <t>COSTO con todos los alcances</t>
        </r>
      </text>
    </comment>
    <comment ref="Z1" authorId="0" shapeId="0">
      <text>
        <r>
          <rPr>
            <sz val="10"/>
            <rFont val="Arial"/>
            <family val="2"/>
          </rPr>
          <t>Alcances que se consideran importantes para el cliente, son Plus o hacen parte esencial de la oferta de valor</t>
        </r>
      </text>
    </comment>
    <comment ref="AA1" authorId="0" shapeId="0">
      <text>
        <r>
          <rPr>
            <sz val="10"/>
            <rFont val="Arial"/>
            <family val="2"/>
          </rPr>
          <t>Ítems o funcionalidades que No son criticas o prioritarias en el sistema y sería posible eliminarlas</t>
        </r>
      </text>
    </comment>
    <comment ref="AB1" authorId="0" shapeId="0">
      <text>
        <r>
          <rPr>
            <sz val="10"/>
            <rFont val="Arial"/>
            <family val="2"/>
          </rPr>
          <t>Selección de alcances, para creación de 2da versión de la oferta</t>
        </r>
      </text>
    </comment>
    <comment ref="I122" authorId="0" shapeId="0">
      <text>
        <r>
          <rPr>
            <sz val="10"/>
            <rFont val="Arial"/>
            <family val="2"/>
          </rPr>
          <t>Valor mensual por persona</t>
        </r>
      </text>
    </comment>
    <comment ref="M122" authorId="0" shapeId="0">
      <text>
        <r>
          <rPr>
            <sz val="10"/>
            <rFont val="Arial"/>
            <family val="2"/>
          </rPr>
          <t>Espacio de trabajo + Computador</t>
        </r>
      </text>
    </comment>
    <comment ref="E123" authorId="0" shapeId="0">
      <text>
        <r>
          <rPr>
            <sz val="10"/>
            <rFont val="Arial"/>
            <family val="2"/>
          </rPr>
          <t>Salario minimo legal vigente</t>
        </r>
      </text>
    </comment>
    <comment ref="G123" authorId="0" shapeId="0">
      <text>
        <r>
          <rPr>
            <sz val="10"/>
            <rFont val="Arial"/>
            <family val="2"/>
          </rPr>
          <t>Auxilio de transporte</t>
        </r>
      </text>
    </comment>
    <comment ref="J123" authorId="0" shapeId="0">
      <text>
        <r>
          <rPr>
            <sz val="10"/>
            <rFont val="Arial"/>
            <family val="2"/>
          </rPr>
          <t>12% pensión
4% caja
0,5% ARL
13% adicional si fueran +10 salarios</t>
        </r>
      </text>
    </comment>
    <comment ref="M123" authorId="0" shapeId="0">
      <text>
        <r>
          <rPr>
            <sz val="10"/>
            <rFont val="Arial"/>
            <family val="2"/>
          </rPr>
          <t>1 primas
1 cesantías
0,5 vacaciones
1% intereses censantías + aux</t>
        </r>
      </text>
    </comment>
    <comment ref="O123" authorId="0" shapeId="0">
      <text>
        <r>
          <rPr>
            <sz val="10"/>
            <rFont val="Arial"/>
            <family val="2"/>
          </rPr>
          <t>40 semanales
x 4,2 semanas al mes
x días festivos del año / total hábiles</t>
        </r>
      </text>
    </comment>
    <comment ref="I130" authorId="0" shapeId="0">
      <text>
        <r>
          <rPr>
            <sz val="10"/>
            <rFont val="Arial"/>
            <family val="2"/>
          </rPr>
          <t>Equipos mobile para test</t>
        </r>
      </text>
    </comment>
    <comment ref="I132" authorId="0" shapeId="0">
      <text>
        <r>
          <rPr>
            <sz val="10"/>
            <rFont val="Arial"/>
            <family val="2"/>
          </rPr>
          <t>Equipo MAC para despliegue</t>
        </r>
      </text>
    </comment>
    <comment ref="I133" authorId="0" shapeId="0">
      <text>
        <r>
          <rPr>
            <sz val="10"/>
            <rFont val="Arial"/>
            <family val="2"/>
          </rPr>
          <t>Equipo MAC para despliegue</t>
        </r>
      </text>
    </comment>
  </commentList>
</comments>
</file>

<file path=xl/comments7.xml><?xml version="1.0" encoding="utf-8"?>
<comments xmlns="http://schemas.openxmlformats.org/spreadsheetml/2006/main">
  <authors>
    <author>None</author>
  </authors>
  <commentList>
    <comment ref="B1" authorId="0" shapeId="0">
      <text>
        <r>
          <rPr>
            <sz val="10"/>
            <rFont val="Arial"/>
            <family val="2"/>
          </rPr>
          <t>Bases de datos
Estructura Proyecto
Líder equipo, creación actividad
Taskman</t>
        </r>
      </text>
    </comment>
    <comment ref="C1" authorId="0" shapeId="0">
      <text>
        <r>
          <rPr>
            <sz val="10"/>
            <rFont val="Arial"/>
            <family val="2"/>
          </rPr>
          <t>Diseño interfaz</t>
        </r>
      </text>
    </comment>
    <comment ref="D1" authorId="0" shapeId="0">
      <text>
        <r>
          <rPr>
            <sz val="10"/>
            <rFont val="Arial"/>
            <family val="2"/>
          </rPr>
          <t>Frontend Medium</t>
        </r>
      </text>
    </comment>
    <comment ref="E1" authorId="0" shapeId="0">
      <text>
        <r>
          <rPr>
            <sz val="10"/>
            <rFont val="Arial"/>
            <family val="2"/>
          </rPr>
          <t>Backend Senior</t>
        </r>
      </text>
    </comment>
    <comment ref="F1" authorId="0" shapeId="0">
      <text>
        <r>
          <rPr>
            <sz val="10"/>
            <rFont val="Arial"/>
            <family val="2"/>
          </rPr>
          <t>Backend Medium</t>
        </r>
      </text>
    </comment>
    <comment ref="G1" authorId="0" shapeId="0">
      <text>
        <r>
          <rPr>
            <sz val="10"/>
            <rFont val="Arial"/>
            <family val="2"/>
          </rPr>
          <t>QA, Test</t>
        </r>
      </text>
    </comment>
    <comment ref="H1" authorId="0" shapeId="0">
      <text>
        <r>
          <rPr>
            <sz val="10"/>
            <rFont val="Arial"/>
            <family val="2"/>
          </rPr>
          <t>Implementación, capacitación, entrega</t>
        </r>
      </text>
    </comment>
    <comment ref="I1" authorId="0" shapeId="0">
      <text>
        <r>
          <rPr>
            <sz val="10"/>
            <rFont val="Arial"/>
            <family val="2"/>
          </rPr>
          <t>Mobile Semi-senior</t>
        </r>
      </text>
    </comment>
    <comment ref="J1" authorId="0" shapeId="0">
      <text>
        <r>
          <rPr>
            <sz val="10"/>
            <rFont val="Arial"/>
            <family val="2"/>
          </rPr>
          <t>Mobile Medium</t>
        </r>
      </text>
    </comment>
    <comment ref="K1" authorId="0" shapeId="0">
      <text>
        <r>
          <rPr>
            <sz val="10"/>
            <rFont val="Arial"/>
            <family val="2"/>
          </rPr>
          <t xml:space="preserve">Desarrollador Back -Skill IA 
</t>
        </r>
      </text>
    </comment>
    <comment ref="O1" authorId="0" shapeId="0">
      <text>
        <r>
          <rPr>
            <sz val="10"/>
            <rFont val="Arial"/>
            <family val="2"/>
          </rPr>
          <t xml:space="preserve">Resumen del Proyecto 
</t>
        </r>
      </text>
    </comment>
    <comment ref="W1" authorId="0" shapeId="0">
      <text>
        <r>
          <rPr>
            <sz val="10"/>
            <rFont val="Arial"/>
            <family val="2"/>
          </rPr>
          <t>Fecha de actualización</t>
        </r>
      </text>
    </comment>
    <comment ref="Y1" authorId="0" shapeId="0">
      <text>
        <r>
          <rPr>
            <sz val="10"/>
            <rFont val="Arial"/>
            <family val="2"/>
          </rPr>
          <t>COSTO con todos los alcances</t>
        </r>
      </text>
    </comment>
    <comment ref="Z1" authorId="0" shapeId="0">
      <text>
        <r>
          <rPr>
            <sz val="10"/>
            <rFont val="Arial"/>
            <family val="2"/>
          </rPr>
          <t>Alcances que se consideran importantes para el cliente, son Plus o hacen parte esencial de la oferta de valor</t>
        </r>
      </text>
    </comment>
    <comment ref="AA1" authorId="0" shapeId="0">
      <text>
        <r>
          <rPr>
            <sz val="10"/>
            <rFont val="Arial"/>
            <family val="2"/>
          </rPr>
          <t>Ítems o funcionalidades que No son criticas o prioritarias en el sistema y sería posible eliminarlas</t>
        </r>
      </text>
    </comment>
    <comment ref="AB1" authorId="0" shapeId="0">
      <text>
        <r>
          <rPr>
            <sz val="10"/>
            <rFont val="Arial"/>
            <family val="2"/>
          </rPr>
          <t>Selección de alcances, para creación de 2da versión de la oferta</t>
        </r>
      </text>
    </comment>
    <comment ref="I122" authorId="0" shapeId="0">
      <text>
        <r>
          <rPr>
            <sz val="10"/>
            <rFont val="Arial"/>
            <family val="2"/>
          </rPr>
          <t>Valor mensual por persona</t>
        </r>
      </text>
    </comment>
    <comment ref="M122" authorId="0" shapeId="0">
      <text>
        <r>
          <rPr>
            <sz val="10"/>
            <rFont val="Arial"/>
            <family val="2"/>
          </rPr>
          <t>Espacio de trabajo + Computador</t>
        </r>
      </text>
    </comment>
    <comment ref="E123" authorId="0" shapeId="0">
      <text>
        <r>
          <rPr>
            <sz val="10"/>
            <rFont val="Arial"/>
            <family val="2"/>
          </rPr>
          <t>Salario minimo legal vigente</t>
        </r>
      </text>
    </comment>
    <comment ref="G123" authorId="0" shapeId="0">
      <text>
        <r>
          <rPr>
            <sz val="10"/>
            <rFont val="Arial"/>
            <family val="2"/>
          </rPr>
          <t>Auxilio de transporte</t>
        </r>
      </text>
    </comment>
    <comment ref="J123" authorId="0" shapeId="0">
      <text>
        <r>
          <rPr>
            <sz val="10"/>
            <rFont val="Arial"/>
            <family val="2"/>
          </rPr>
          <t>12% pensión
4% caja
0,5% ARL
13% adicional si fueran +10 salarios</t>
        </r>
      </text>
    </comment>
    <comment ref="M123" authorId="0" shapeId="0">
      <text>
        <r>
          <rPr>
            <sz val="10"/>
            <rFont val="Arial"/>
            <family val="2"/>
          </rPr>
          <t>1 primas
1 cesantías
0,5 vacaciones
1% intereses censantías + aux</t>
        </r>
      </text>
    </comment>
    <comment ref="O123" authorId="0" shapeId="0">
      <text>
        <r>
          <rPr>
            <sz val="10"/>
            <rFont val="Arial"/>
            <family val="2"/>
          </rPr>
          <t>40 semanales
x 4,2 semanas al mes
x días festivos del año / total hábiles</t>
        </r>
      </text>
    </comment>
    <comment ref="I130" authorId="0" shapeId="0">
      <text>
        <r>
          <rPr>
            <sz val="10"/>
            <rFont val="Arial"/>
            <family val="2"/>
          </rPr>
          <t>Equipos mobile para test</t>
        </r>
      </text>
    </comment>
    <comment ref="I132" authorId="0" shapeId="0">
      <text>
        <r>
          <rPr>
            <sz val="10"/>
            <rFont val="Arial"/>
            <family val="2"/>
          </rPr>
          <t>Equipo MAC para despliegue</t>
        </r>
      </text>
    </comment>
    <comment ref="I133" authorId="0" shapeId="0">
      <text>
        <r>
          <rPr>
            <sz val="10"/>
            <rFont val="Arial"/>
            <family val="2"/>
          </rPr>
          <t>Equipo MAC para despliegue</t>
        </r>
      </text>
    </comment>
  </commentList>
</comments>
</file>

<file path=xl/comments8.xml><?xml version="1.0" encoding="utf-8"?>
<comments xmlns="http://schemas.openxmlformats.org/spreadsheetml/2006/main">
  <authors>
    <author>None</author>
  </authors>
  <commentList>
    <comment ref="B1" authorId="0" shapeId="0">
      <text>
        <r>
          <rPr>
            <sz val="10"/>
            <rFont val="Arial"/>
            <family val="2"/>
          </rPr>
          <t>Bases de datos
Estructura Proyecto
Líder equipo, creación actividad
Taskman</t>
        </r>
      </text>
    </comment>
    <comment ref="C1" authorId="0" shapeId="0">
      <text>
        <r>
          <rPr>
            <sz val="10"/>
            <rFont val="Arial"/>
            <family val="2"/>
          </rPr>
          <t>Diseño interfaz</t>
        </r>
      </text>
    </comment>
    <comment ref="D1" authorId="0" shapeId="0">
      <text>
        <r>
          <rPr>
            <sz val="10"/>
            <rFont val="Arial"/>
            <family val="2"/>
          </rPr>
          <t>Frontend Medium</t>
        </r>
      </text>
    </comment>
    <comment ref="E1" authorId="0" shapeId="0">
      <text>
        <r>
          <rPr>
            <sz val="10"/>
            <rFont val="Arial"/>
            <family val="2"/>
          </rPr>
          <t>Backend Senior</t>
        </r>
      </text>
    </comment>
    <comment ref="F1" authorId="0" shapeId="0">
      <text>
        <r>
          <rPr>
            <sz val="10"/>
            <rFont val="Arial"/>
            <family val="2"/>
          </rPr>
          <t>Backend Medium</t>
        </r>
      </text>
    </comment>
    <comment ref="G1" authorId="0" shapeId="0">
      <text>
        <r>
          <rPr>
            <sz val="10"/>
            <rFont val="Arial"/>
            <family val="2"/>
          </rPr>
          <t>QA, Test</t>
        </r>
      </text>
    </comment>
    <comment ref="H1" authorId="0" shapeId="0">
      <text>
        <r>
          <rPr>
            <sz val="10"/>
            <rFont val="Arial"/>
            <family val="2"/>
          </rPr>
          <t>Implementación, capacitación, entrega</t>
        </r>
      </text>
    </comment>
    <comment ref="I1" authorId="0" shapeId="0">
      <text>
        <r>
          <rPr>
            <sz val="10"/>
            <rFont val="Arial"/>
            <family val="2"/>
          </rPr>
          <t>Mobile Semi-senior</t>
        </r>
      </text>
    </comment>
    <comment ref="J1" authorId="0" shapeId="0">
      <text>
        <r>
          <rPr>
            <sz val="10"/>
            <rFont val="Arial"/>
            <family val="2"/>
          </rPr>
          <t>Mobile Medium</t>
        </r>
      </text>
    </comment>
    <comment ref="K1" authorId="0" shapeId="0">
      <text>
        <r>
          <rPr>
            <sz val="10"/>
            <rFont val="Arial"/>
            <family val="2"/>
          </rPr>
          <t xml:space="preserve">Desarrollador Back -Skill IA 
</t>
        </r>
      </text>
    </comment>
    <comment ref="O1" authorId="0" shapeId="0">
      <text>
        <r>
          <rPr>
            <sz val="10"/>
            <rFont val="Arial"/>
            <family val="2"/>
          </rPr>
          <t xml:space="preserve">Resumen del Proyecto 
</t>
        </r>
      </text>
    </comment>
    <comment ref="W1" authorId="0" shapeId="0">
      <text>
        <r>
          <rPr>
            <sz val="10"/>
            <rFont val="Arial"/>
            <family val="2"/>
          </rPr>
          <t>Fecha de actualización</t>
        </r>
      </text>
    </comment>
    <comment ref="Y1" authorId="0" shapeId="0">
      <text>
        <r>
          <rPr>
            <sz val="10"/>
            <rFont val="Arial"/>
            <family val="2"/>
          </rPr>
          <t>COSTO con todos los alcances</t>
        </r>
      </text>
    </comment>
    <comment ref="Z1" authorId="0" shapeId="0">
      <text>
        <r>
          <rPr>
            <sz val="10"/>
            <rFont val="Arial"/>
            <family val="2"/>
          </rPr>
          <t>Alcances que se consideran importantes para el cliente, son Plus o hacen parte esencial de la oferta de valor</t>
        </r>
      </text>
    </comment>
    <comment ref="AA1" authorId="0" shapeId="0">
      <text>
        <r>
          <rPr>
            <sz val="10"/>
            <rFont val="Arial"/>
            <family val="2"/>
          </rPr>
          <t>Ítems o funcionalidades que No son criticas o prioritarias en el sistema y sería posible eliminarlas</t>
        </r>
      </text>
    </comment>
    <comment ref="AB1" authorId="0" shapeId="0">
      <text>
        <r>
          <rPr>
            <sz val="10"/>
            <rFont val="Arial"/>
            <family val="2"/>
          </rPr>
          <t>Selección de alcances, para creación de 2da versión de la oferta</t>
        </r>
      </text>
    </comment>
    <comment ref="I122" authorId="0" shapeId="0">
      <text>
        <r>
          <rPr>
            <sz val="10"/>
            <rFont val="Arial"/>
            <family val="2"/>
          </rPr>
          <t>Valor mensual por persona</t>
        </r>
      </text>
    </comment>
    <comment ref="M122" authorId="0" shapeId="0">
      <text>
        <r>
          <rPr>
            <sz val="10"/>
            <rFont val="Arial"/>
            <family val="2"/>
          </rPr>
          <t>Espacio de trabajo + Computador</t>
        </r>
      </text>
    </comment>
    <comment ref="E123" authorId="0" shapeId="0">
      <text>
        <r>
          <rPr>
            <sz val="10"/>
            <rFont val="Arial"/>
            <family val="2"/>
          </rPr>
          <t>Salario minimo legal vigente</t>
        </r>
      </text>
    </comment>
    <comment ref="G123" authorId="0" shapeId="0">
      <text>
        <r>
          <rPr>
            <sz val="10"/>
            <rFont val="Arial"/>
            <family val="2"/>
          </rPr>
          <t>Auxilio de transporte</t>
        </r>
      </text>
    </comment>
    <comment ref="J123" authorId="0" shapeId="0">
      <text>
        <r>
          <rPr>
            <sz val="10"/>
            <rFont val="Arial"/>
            <family val="2"/>
          </rPr>
          <t>12% pensión
4% caja
0,5% ARL
13% adicional si fueran +10 salarios</t>
        </r>
      </text>
    </comment>
    <comment ref="M123" authorId="0" shapeId="0">
      <text>
        <r>
          <rPr>
            <sz val="10"/>
            <rFont val="Arial"/>
            <family val="2"/>
          </rPr>
          <t>1 primas
1 cesantías
0,5 vacaciones
1% intereses censantías + aux</t>
        </r>
      </text>
    </comment>
    <comment ref="O123" authorId="0" shapeId="0">
      <text>
        <r>
          <rPr>
            <sz val="10"/>
            <rFont val="Arial"/>
            <family val="2"/>
          </rPr>
          <t>40 semanales
x 4,2 semanas al mes
x días festivos del año / total hábiles</t>
        </r>
      </text>
    </comment>
    <comment ref="I130" authorId="0" shapeId="0">
      <text>
        <r>
          <rPr>
            <sz val="10"/>
            <rFont val="Arial"/>
            <family val="2"/>
          </rPr>
          <t>Equipos mobile para test</t>
        </r>
      </text>
    </comment>
    <comment ref="I132" authorId="0" shapeId="0">
      <text>
        <r>
          <rPr>
            <sz val="10"/>
            <rFont val="Arial"/>
            <family val="2"/>
          </rPr>
          <t>Equipo MAC para despliegue</t>
        </r>
      </text>
    </comment>
    <comment ref="I133" authorId="0" shapeId="0">
      <text>
        <r>
          <rPr>
            <sz val="10"/>
            <rFont val="Arial"/>
            <family val="2"/>
          </rPr>
          <t>Equipo MAC para despliegue</t>
        </r>
      </text>
    </comment>
  </commentList>
</comments>
</file>

<file path=xl/comments9.xml><?xml version="1.0" encoding="utf-8"?>
<comments xmlns="http://schemas.openxmlformats.org/spreadsheetml/2006/main">
  <authors>
    <author>None</author>
  </authors>
  <commentList>
    <comment ref="B1" authorId="0" shapeId="0">
      <text>
        <r>
          <rPr>
            <sz val="10"/>
            <rFont val="Arial"/>
            <family val="2"/>
          </rPr>
          <t>Bases de datos
Estructura Proyecto
Líder equipo, creación actividad
Taskman</t>
        </r>
      </text>
    </comment>
    <comment ref="C1" authorId="0" shapeId="0">
      <text>
        <r>
          <rPr>
            <sz val="10"/>
            <rFont val="Arial"/>
            <family val="2"/>
          </rPr>
          <t>Diseño interfaz</t>
        </r>
      </text>
    </comment>
    <comment ref="D1" authorId="0" shapeId="0">
      <text>
        <r>
          <rPr>
            <sz val="10"/>
            <rFont val="Arial"/>
            <family val="2"/>
          </rPr>
          <t>Frontend Medium</t>
        </r>
      </text>
    </comment>
    <comment ref="E1" authorId="0" shapeId="0">
      <text>
        <r>
          <rPr>
            <sz val="10"/>
            <rFont val="Arial"/>
            <family val="2"/>
          </rPr>
          <t>Backend Senior</t>
        </r>
      </text>
    </comment>
    <comment ref="F1" authorId="0" shapeId="0">
      <text>
        <r>
          <rPr>
            <sz val="10"/>
            <rFont val="Arial"/>
            <family val="2"/>
          </rPr>
          <t>Backend Medium</t>
        </r>
      </text>
    </comment>
    <comment ref="G1" authorId="0" shapeId="0">
      <text>
        <r>
          <rPr>
            <sz val="10"/>
            <rFont val="Arial"/>
            <family val="2"/>
          </rPr>
          <t>QA, Test</t>
        </r>
      </text>
    </comment>
    <comment ref="H1" authorId="0" shapeId="0">
      <text>
        <r>
          <rPr>
            <sz val="10"/>
            <rFont val="Arial"/>
            <family val="2"/>
          </rPr>
          <t>Implementación, capacitación, entrega</t>
        </r>
      </text>
    </comment>
    <comment ref="I1" authorId="0" shapeId="0">
      <text>
        <r>
          <rPr>
            <sz val="10"/>
            <rFont val="Arial"/>
            <family val="2"/>
          </rPr>
          <t>Mobile Semi-senior</t>
        </r>
      </text>
    </comment>
    <comment ref="J1" authorId="0" shapeId="0">
      <text>
        <r>
          <rPr>
            <sz val="10"/>
            <rFont val="Arial"/>
            <family val="2"/>
          </rPr>
          <t>Mobile Medium</t>
        </r>
      </text>
    </comment>
    <comment ref="K1" authorId="0" shapeId="0">
      <text>
        <r>
          <rPr>
            <sz val="10"/>
            <rFont val="Arial"/>
            <family val="2"/>
          </rPr>
          <t xml:space="preserve">Desarrollador Back -Skill IA 
</t>
        </r>
      </text>
    </comment>
    <comment ref="O1" authorId="0" shapeId="0">
      <text>
        <r>
          <rPr>
            <sz val="10"/>
            <rFont val="Arial"/>
            <family val="2"/>
          </rPr>
          <t xml:space="preserve">Resumen del Proyecto 
</t>
        </r>
      </text>
    </comment>
    <comment ref="W1" authorId="0" shapeId="0">
      <text>
        <r>
          <rPr>
            <sz val="10"/>
            <rFont val="Arial"/>
            <family val="2"/>
          </rPr>
          <t>Fecha de actualización</t>
        </r>
      </text>
    </comment>
    <comment ref="Y1" authorId="0" shapeId="0">
      <text>
        <r>
          <rPr>
            <sz val="10"/>
            <rFont val="Arial"/>
            <family val="2"/>
          </rPr>
          <t>COSTO con todos los alcances</t>
        </r>
      </text>
    </comment>
    <comment ref="Z1" authorId="0" shapeId="0">
      <text>
        <r>
          <rPr>
            <sz val="10"/>
            <rFont val="Arial"/>
            <family val="2"/>
          </rPr>
          <t>Alcances que se consideran importantes para el cliente, son Plus o hacen parte esencial de la oferta de valor</t>
        </r>
      </text>
    </comment>
    <comment ref="AA1" authorId="0" shapeId="0">
      <text>
        <r>
          <rPr>
            <sz val="10"/>
            <rFont val="Arial"/>
            <family val="2"/>
          </rPr>
          <t>Ítems o funcionalidades que No son criticas o prioritarias en el sistema y sería posible eliminarlas</t>
        </r>
      </text>
    </comment>
    <comment ref="AB1" authorId="0" shapeId="0">
      <text>
        <r>
          <rPr>
            <sz val="10"/>
            <rFont val="Arial"/>
            <family val="2"/>
          </rPr>
          <t>Selección de alcances, para creación de 2da versión de la oferta</t>
        </r>
      </text>
    </comment>
    <comment ref="I122" authorId="0" shapeId="0">
      <text>
        <r>
          <rPr>
            <sz val="10"/>
            <rFont val="Arial"/>
            <family val="2"/>
          </rPr>
          <t>Valor mensual por persona</t>
        </r>
      </text>
    </comment>
    <comment ref="M122" authorId="0" shapeId="0">
      <text>
        <r>
          <rPr>
            <sz val="10"/>
            <rFont val="Arial"/>
            <family val="2"/>
          </rPr>
          <t>Espacio de trabajo + Computador</t>
        </r>
      </text>
    </comment>
    <comment ref="E123" authorId="0" shapeId="0">
      <text>
        <r>
          <rPr>
            <sz val="10"/>
            <rFont val="Arial"/>
            <family val="2"/>
          </rPr>
          <t>Salario minimo legal vigente</t>
        </r>
      </text>
    </comment>
    <comment ref="G123" authorId="0" shapeId="0">
      <text>
        <r>
          <rPr>
            <sz val="10"/>
            <rFont val="Arial"/>
            <family val="2"/>
          </rPr>
          <t>Auxilio de transporte</t>
        </r>
      </text>
    </comment>
    <comment ref="J123" authorId="0" shapeId="0">
      <text>
        <r>
          <rPr>
            <sz val="10"/>
            <rFont val="Arial"/>
            <family val="2"/>
          </rPr>
          <t>12% pensión
4% caja
0,5% ARL
13% adicional si fueran +10 salarios</t>
        </r>
      </text>
    </comment>
    <comment ref="M123" authorId="0" shapeId="0">
      <text>
        <r>
          <rPr>
            <sz val="10"/>
            <rFont val="Arial"/>
            <family val="2"/>
          </rPr>
          <t>1 primas
1 cesantías
0,5 vacaciones
1% intereses censantías + aux</t>
        </r>
      </text>
    </comment>
    <comment ref="O123" authorId="0" shapeId="0">
      <text>
        <r>
          <rPr>
            <sz val="10"/>
            <rFont val="Arial"/>
            <family val="2"/>
          </rPr>
          <t>40 semanales
x 4,2 semanas al mes
x días festivos del año / total hábiles</t>
        </r>
      </text>
    </comment>
    <comment ref="I130" authorId="0" shapeId="0">
      <text>
        <r>
          <rPr>
            <sz val="10"/>
            <rFont val="Arial"/>
            <family val="2"/>
          </rPr>
          <t>Equipos mobile para test</t>
        </r>
      </text>
    </comment>
    <comment ref="I132" authorId="0" shapeId="0">
      <text>
        <r>
          <rPr>
            <sz val="10"/>
            <rFont val="Arial"/>
            <family val="2"/>
          </rPr>
          <t>Equipo MAC para despliegue</t>
        </r>
      </text>
    </comment>
    <comment ref="I133" authorId="0" shapeId="0">
      <text>
        <r>
          <rPr>
            <sz val="10"/>
            <rFont val="Arial"/>
            <family val="2"/>
          </rPr>
          <t>Equipo MAC para despliegue</t>
        </r>
      </text>
    </comment>
  </commentList>
</comments>
</file>

<file path=xl/comments10.xml><?xml version="1.0" encoding="utf-8"?>
<comments xmlns="http://schemas.openxmlformats.org/spreadsheetml/2006/main">
  <authors>
    <author>None</author>
  </authors>
  <commentList>
    <comment ref="B1" authorId="0" shapeId="0">
      <text>
        <r>
          <rPr>
            <sz val="10"/>
            <rFont val="Arial"/>
            <family val="2"/>
          </rPr>
          <t>Bases de datos
Estructura Proyecto
Líder equipo, creación actividad
Taskman</t>
        </r>
      </text>
    </comment>
    <comment ref="C1" authorId="0" shapeId="0">
      <text>
        <r>
          <rPr>
            <sz val="10"/>
            <rFont val="Arial"/>
            <family val="2"/>
          </rPr>
          <t>Diseño interfaz</t>
        </r>
      </text>
    </comment>
    <comment ref="D1" authorId="0" shapeId="0">
      <text>
        <r>
          <rPr>
            <sz val="10"/>
            <rFont val="Arial"/>
            <family val="2"/>
          </rPr>
          <t>Frontend Medium</t>
        </r>
      </text>
    </comment>
    <comment ref="E1" authorId="0" shapeId="0">
      <text>
        <r>
          <rPr>
            <sz val="10"/>
            <rFont val="Arial"/>
            <family val="2"/>
          </rPr>
          <t>Backend Senior</t>
        </r>
      </text>
    </comment>
    <comment ref="F1" authorId="0" shapeId="0">
      <text>
        <r>
          <rPr>
            <sz val="10"/>
            <rFont val="Arial"/>
            <family val="2"/>
          </rPr>
          <t>Backend Medium</t>
        </r>
      </text>
    </comment>
    <comment ref="G1" authorId="0" shapeId="0">
      <text>
        <r>
          <rPr>
            <sz val="10"/>
            <rFont val="Arial"/>
            <family val="2"/>
          </rPr>
          <t>QA, Test</t>
        </r>
      </text>
    </comment>
    <comment ref="H1" authorId="0" shapeId="0">
      <text>
        <r>
          <rPr>
            <sz val="10"/>
            <rFont val="Arial"/>
            <family val="2"/>
          </rPr>
          <t>Implementación, capacitación, entrega</t>
        </r>
      </text>
    </comment>
    <comment ref="I1" authorId="0" shapeId="0">
      <text>
        <r>
          <rPr>
            <sz val="10"/>
            <rFont val="Arial"/>
            <family val="2"/>
          </rPr>
          <t>Mobile Semi-senior</t>
        </r>
      </text>
    </comment>
    <comment ref="J1" authorId="0" shapeId="0">
      <text>
        <r>
          <rPr>
            <sz val="10"/>
            <rFont val="Arial"/>
            <family val="2"/>
          </rPr>
          <t>Mobile Medium</t>
        </r>
      </text>
    </comment>
    <comment ref="K1" authorId="0" shapeId="0">
      <text>
        <r>
          <rPr>
            <sz val="10"/>
            <rFont val="Arial"/>
            <family val="2"/>
          </rPr>
          <t xml:space="preserve">Desarrollador Back -Skill IA 
</t>
        </r>
      </text>
    </comment>
    <comment ref="O1" authorId="0" shapeId="0">
      <text>
        <r>
          <rPr>
            <sz val="10"/>
            <rFont val="Arial"/>
            <family val="2"/>
          </rPr>
          <t xml:space="preserve">Resumen del Proyecto 
</t>
        </r>
      </text>
    </comment>
    <comment ref="W1" authorId="0" shapeId="0">
      <text>
        <r>
          <rPr>
            <sz val="10"/>
            <rFont val="Arial"/>
            <family val="2"/>
          </rPr>
          <t>Fecha de actualización</t>
        </r>
      </text>
    </comment>
    <comment ref="Y1" authorId="0" shapeId="0">
      <text>
        <r>
          <rPr>
            <sz val="10"/>
            <rFont val="Arial"/>
            <family val="2"/>
          </rPr>
          <t>COSTO con todos los alcances</t>
        </r>
      </text>
    </comment>
    <comment ref="Z1" authorId="0" shapeId="0">
      <text>
        <r>
          <rPr>
            <sz val="10"/>
            <rFont val="Arial"/>
            <family val="2"/>
          </rPr>
          <t>Alcances que se consideran importantes para el cliente, son Plus o hacen parte esencial de la oferta de valor</t>
        </r>
      </text>
    </comment>
    <comment ref="AA1" authorId="0" shapeId="0">
      <text>
        <r>
          <rPr>
            <sz val="10"/>
            <rFont val="Arial"/>
            <family val="2"/>
          </rPr>
          <t>Ítems o funcionalidades que No son criticas o prioritarias en el sistema y sería posible eliminarlas</t>
        </r>
      </text>
    </comment>
    <comment ref="AB1" authorId="0" shapeId="0">
      <text>
        <r>
          <rPr>
            <sz val="10"/>
            <rFont val="Arial"/>
            <family val="2"/>
          </rPr>
          <t>Selección de alcances, para creación de 2da versión de la oferta</t>
        </r>
      </text>
    </comment>
    <comment ref="I122" authorId="0" shapeId="0">
      <text>
        <r>
          <rPr>
            <sz val="10"/>
            <rFont val="Arial"/>
            <family val="2"/>
          </rPr>
          <t>Valor mensual por persona</t>
        </r>
      </text>
    </comment>
    <comment ref="M122" authorId="0" shapeId="0">
      <text>
        <r>
          <rPr>
            <sz val="10"/>
            <rFont val="Arial"/>
            <family val="2"/>
          </rPr>
          <t>Espacio de trabajo + Computador</t>
        </r>
      </text>
    </comment>
    <comment ref="E123" authorId="0" shapeId="0">
      <text>
        <r>
          <rPr>
            <sz val="10"/>
            <rFont val="Arial"/>
            <family val="2"/>
          </rPr>
          <t>Salario minimo legal vigente</t>
        </r>
      </text>
    </comment>
    <comment ref="G123" authorId="0" shapeId="0">
      <text>
        <r>
          <rPr>
            <sz val="10"/>
            <rFont val="Arial"/>
            <family val="2"/>
          </rPr>
          <t>Auxilio de transporte</t>
        </r>
      </text>
    </comment>
    <comment ref="J123" authorId="0" shapeId="0">
      <text>
        <r>
          <rPr>
            <sz val="10"/>
            <rFont val="Arial"/>
            <family val="2"/>
          </rPr>
          <t>12% pensión
4% caja
0,5% ARL
13% adicional si fueran +10 salarios</t>
        </r>
      </text>
    </comment>
    <comment ref="M123" authorId="0" shapeId="0">
      <text>
        <r>
          <rPr>
            <sz val="10"/>
            <rFont val="Arial"/>
            <family val="2"/>
          </rPr>
          <t>1 primas
1 cesantías
0,5 vacaciones
1% intereses censantías + aux</t>
        </r>
      </text>
    </comment>
    <comment ref="O123" authorId="0" shapeId="0">
      <text>
        <r>
          <rPr>
            <sz val="10"/>
            <rFont val="Arial"/>
            <family val="2"/>
          </rPr>
          <t>40 semanales
x 4,2 semanas al mes
x días festivos del año / total hábiles</t>
        </r>
      </text>
    </comment>
    <comment ref="I130" authorId="0" shapeId="0">
      <text>
        <r>
          <rPr>
            <sz val="10"/>
            <rFont val="Arial"/>
            <family val="2"/>
          </rPr>
          <t>Equipos mobile para test</t>
        </r>
      </text>
    </comment>
    <comment ref="I132" authorId="0" shapeId="0">
      <text>
        <r>
          <rPr>
            <sz val="10"/>
            <rFont val="Arial"/>
            <family val="2"/>
          </rPr>
          <t>Equipo MAC para despliegue</t>
        </r>
      </text>
    </comment>
    <comment ref="I133" authorId="0" shapeId="0">
      <text>
        <r>
          <rPr>
            <sz val="10"/>
            <rFont val="Arial"/>
            <family val="2"/>
          </rPr>
          <t>Equipo MAC para despliegue</t>
        </r>
      </text>
    </comment>
  </commentList>
</comments>
</file>

<file path=xl/comments11.xml><?xml version="1.0" encoding="utf-8"?>
<comments xmlns="http://schemas.openxmlformats.org/spreadsheetml/2006/main">
  <authors>
    <author>None</author>
  </authors>
  <commentList>
    <comment ref="B1" authorId="0" shapeId="0">
      <text>
        <r>
          <rPr>
            <sz val="10"/>
            <rFont val="Arial"/>
            <family val="2"/>
          </rPr>
          <t>Bases de datos
Estructura Proyecto
Líder equipo, creación actividad
Taskman</t>
        </r>
      </text>
    </comment>
    <comment ref="C1" authorId="0" shapeId="0">
      <text>
        <r>
          <rPr>
            <sz val="10"/>
            <rFont val="Arial"/>
            <family val="2"/>
          </rPr>
          <t>Diseño interfaz</t>
        </r>
      </text>
    </comment>
    <comment ref="D1" authorId="0" shapeId="0">
      <text>
        <r>
          <rPr>
            <sz val="10"/>
            <rFont val="Arial"/>
            <family val="2"/>
          </rPr>
          <t>Frontend Medium</t>
        </r>
      </text>
    </comment>
    <comment ref="E1" authorId="0" shapeId="0">
      <text>
        <r>
          <rPr>
            <sz val="10"/>
            <rFont val="Arial"/>
            <family val="2"/>
          </rPr>
          <t>Backend Senior</t>
        </r>
      </text>
    </comment>
    <comment ref="F1" authorId="0" shapeId="0">
      <text>
        <r>
          <rPr>
            <sz val="10"/>
            <rFont val="Arial"/>
            <family val="2"/>
          </rPr>
          <t>Backend Medium</t>
        </r>
      </text>
    </comment>
    <comment ref="G1" authorId="0" shapeId="0">
      <text>
        <r>
          <rPr>
            <sz val="10"/>
            <rFont val="Arial"/>
            <family val="2"/>
          </rPr>
          <t>QA, Test</t>
        </r>
      </text>
    </comment>
    <comment ref="H1" authorId="0" shapeId="0">
      <text>
        <r>
          <rPr>
            <sz val="10"/>
            <rFont val="Arial"/>
            <family val="2"/>
          </rPr>
          <t>Implementación, capacitación, entrega</t>
        </r>
      </text>
    </comment>
    <comment ref="I1" authorId="0" shapeId="0">
      <text>
        <r>
          <rPr>
            <sz val="10"/>
            <rFont val="Arial"/>
            <family val="2"/>
          </rPr>
          <t>Mobile Semi-senior</t>
        </r>
      </text>
    </comment>
    <comment ref="J1" authorId="0" shapeId="0">
      <text>
        <r>
          <rPr>
            <sz val="10"/>
            <rFont val="Arial"/>
            <family val="2"/>
          </rPr>
          <t>Mobile Medium</t>
        </r>
      </text>
    </comment>
    <comment ref="K1" authorId="0" shapeId="0">
      <text>
        <r>
          <rPr>
            <sz val="10"/>
            <rFont val="Arial"/>
            <family val="2"/>
          </rPr>
          <t xml:space="preserve">Desarrollador Back -Skill IA 
</t>
        </r>
      </text>
    </comment>
    <comment ref="O1" authorId="0" shapeId="0">
      <text>
        <r>
          <rPr>
            <sz val="10"/>
            <rFont val="Arial"/>
            <family val="2"/>
          </rPr>
          <t xml:space="preserve">Resumen del Proyecto 
</t>
        </r>
      </text>
    </comment>
    <comment ref="W1" authorId="0" shapeId="0">
      <text>
        <r>
          <rPr>
            <sz val="10"/>
            <rFont val="Arial"/>
            <family val="2"/>
          </rPr>
          <t>Fecha de actualización</t>
        </r>
      </text>
    </comment>
    <comment ref="Y1" authorId="0" shapeId="0">
      <text>
        <r>
          <rPr>
            <sz val="10"/>
            <rFont val="Arial"/>
            <family val="2"/>
          </rPr>
          <t>COSTO con todos los alcances</t>
        </r>
      </text>
    </comment>
    <comment ref="Z1" authorId="0" shapeId="0">
      <text>
        <r>
          <rPr>
            <sz val="10"/>
            <rFont val="Arial"/>
            <family val="2"/>
          </rPr>
          <t>Alcances que se consideran importantes para el cliente, son Plus o hacen parte esencial de la oferta de valor</t>
        </r>
      </text>
    </comment>
    <comment ref="AA1" authorId="0" shapeId="0">
      <text>
        <r>
          <rPr>
            <sz val="10"/>
            <rFont val="Arial"/>
            <family val="2"/>
          </rPr>
          <t>Ítems o funcionalidades que No son criticas o prioritarias en el sistema y sería posible eliminarlas</t>
        </r>
      </text>
    </comment>
    <comment ref="AB1" authorId="0" shapeId="0">
      <text>
        <r>
          <rPr>
            <sz val="10"/>
            <rFont val="Arial"/>
            <family val="2"/>
          </rPr>
          <t>Selección de alcances, para creación de 2da versión de la oferta</t>
        </r>
      </text>
    </comment>
    <comment ref="I122" authorId="0" shapeId="0">
      <text>
        <r>
          <rPr>
            <sz val="10"/>
            <rFont val="Arial"/>
            <family val="2"/>
          </rPr>
          <t>Valor mensual por persona</t>
        </r>
      </text>
    </comment>
    <comment ref="M122" authorId="0" shapeId="0">
      <text>
        <r>
          <rPr>
            <sz val="10"/>
            <rFont val="Arial"/>
            <family val="2"/>
          </rPr>
          <t>Espacio de trabajo + Computador</t>
        </r>
      </text>
    </comment>
    <comment ref="E123" authorId="0" shapeId="0">
      <text>
        <r>
          <rPr>
            <sz val="10"/>
            <rFont val="Arial"/>
            <family val="2"/>
          </rPr>
          <t>Salario minimo legal vigente</t>
        </r>
      </text>
    </comment>
    <comment ref="G123" authorId="0" shapeId="0">
      <text>
        <r>
          <rPr>
            <sz val="10"/>
            <rFont val="Arial"/>
            <family val="2"/>
          </rPr>
          <t>Auxilio de transporte</t>
        </r>
      </text>
    </comment>
    <comment ref="J123" authorId="0" shapeId="0">
      <text>
        <r>
          <rPr>
            <sz val="10"/>
            <rFont val="Arial"/>
            <family val="2"/>
          </rPr>
          <t>12% pensión
4% caja
0,5% ARL
13% adicional si fueran +10 salarios</t>
        </r>
      </text>
    </comment>
    <comment ref="M123" authorId="0" shapeId="0">
      <text>
        <r>
          <rPr>
            <sz val="10"/>
            <rFont val="Arial"/>
            <family val="2"/>
          </rPr>
          <t>1 primas
1 cesantías
0,5 vacaciones
1% intereses censantías + aux</t>
        </r>
      </text>
    </comment>
    <comment ref="O123" authorId="0" shapeId="0">
      <text>
        <r>
          <rPr>
            <sz val="10"/>
            <rFont val="Arial"/>
            <family val="2"/>
          </rPr>
          <t>40 semanales
x 4,2 semanas al mes
x días festivos del año / total hábiles</t>
        </r>
      </text>
    </comment>
    <comment ref="I130" authorId="0" shapeId="0">
      <text>
        <r>
          <rPr>
            <sz val="10"/>
            <rFont val="Arial"/>
            <family val="2"/>
          </rPr>
          <t>Equipos mobile para test</t>
        </r>
      </text>
    </comment>
    <comment ref="I132" authorId="0" shapeId="0">
      <text>
        <r>
          <rPr>
            <sz val="10"/>
            <rFont val="Arial"/>
            <family val="2"/>
          </rPr>
          <t>Equipo MAC para despliegue</t>
        </r>
      </text>
    </comment>
    <comment ref="I133" authorId="0" shapeId="0">
      <text>
        <r>
          <rPr>
            <sz val="10"/>
            <rFont val="Arial"/>
            <family val="2"/>
          </rPr>
          <t>Equipo MAC para despliegue</t>
        </r>
      </text>
    </comment>
  </commentList>
</comments>
</file>

<file path=xl/sharedStrings.xml><?xml version="1.0" encoding="utf-8"?>
<sst xmlns="http://schemas.openxmlformats.org/spreadsheetml/2006/main" count="727" uniqueCount="145">
  <si>
    <t>Días de Trabajo por especialidad</t>
  </si>
  <si>
    <t>DB</t>
  </si>
  <si>
    <t>UX</t>
  </si>
  <si>
    <t>FM</t>
  </si>
  <si>
    <t>BS</t>
  </si>
  <si>
    <t>BM</t>
  </si>
  <si>
    <t>QA</t>
  </si>
  <si>
    <t>IM</t>
  </si>
  <si>
    <t>MS</t>
  </si>
  <si>
    <t>MM</t>
  </si>
  <si>
    <t xml:space="preserve">IA </t>
  </si>
  <si>
    <t>Resumen</t>
  </si>
  <si>
    <t>Escribe acá una breve descripción del proyecto</t>
  </si>
  <si>
    <t>Plus</t>
  </si>
  <si>
    <t>Quitar</t>
  </si>
  <si>
    <t>2da Ver</t>
  </si>
  <si>
    <t>Estructura del proyecto</t>
  </si>
  <si>
    <t>UX y esquema del proyecto</t>
  </si>
  <si>
    <t>Implementación y entrega del sistema</t>
  </si>
  <si>
    <t xml:space="preserve">Estructura del agente IA </t>
  </si>
  <si>
    <t>PRY-ERP. ERP CORPORATIVO PROPIO - Eliminar de forma progresiva la dependencia de sistemas externos, costos de licenciamiento y limitaciones de integración del sistema actual (ILIMITADA), mediante un ERP a medida.</t>
  </si>
  <si>
    <t>Módulo de Compras</t>
  </si>
  <si>
    <t>Radicación de solicitudes internas de insumos, generación y emisión de órdenes de compra, y administración unificada del maestro de proveedores (Sección 5.1).</t>
  </si>
  <si>
    <t>Módulo de Inventarios</t>
  </si>
  <si>
    <t>Control de existencias físicas en tiempo real, gestión de ubicaciones lógicas de mercancía y control de kárdex con análisis de ratios de rotación (Sección 5.2).</t>
  </si>
  <si>
    <t>Módulo Comercial</t>
  </si>
  <si>
    <t>Registro maestro de clientes, captura nativa de pedidos de venta y motor dinámico de asignación y aprobación de descuentos comerciales (Sección 5.3).</t>
  </si>
  <si>
    <t>Módulo de Facturación</t>
  </si>
  <si>
    <t>Desarrollo de un motor nativo para facturación electrónica, emisión automatizada de notas crédito y resguardo documental fiscal indexado (Sección 5.4).</t>
  </si>
  <si>
    <t>Módulo de Cartera</t>
  </si>
  <si>
    <t>Control de deudores, automatización de flujos de recaudo, control e histórico de seguimiento de cobro y conciliaciones bancarias automáticas (Sección 5.5).</t>
  </si>
  <si>
    <t>Módulo de Despachos</t>
  </si>
  <si>
    <t>Gestión de operaciones de logística, asignación de transporte, planeación operativa de distribución y control de entregas de mercancía (Sección 5.6).</t>
  </si>
  <si>
    <t>Radicación y aprobación jerárquica de solicitudes de compra</t>
  </si>
  <si>
    <t>El sistema debe permitir a las áreas autorizadas radicar solicitudes de insumos y, previa aprobación jerárquica, emitir la Orden de Compra asociada al proveedor estratégico seleccionado de la base de datos unificada (RF-ERP-001).</t>
  </si>
  <si>
    <t>Captura móvil de pedidos con reserva de inventario en tiempo real</t>
  </si>
  <si>
    <t>El módulo debe capturar pedidos de venta desde terminales móviles de la fuerza comercial, ejecutar la reserva en tiempo real de unidades en el inventario y aplicar las políticas de descuentos parametrizadas en la ficha del cliente (RF-ERP-002).</t>
  </si>
  <si>
    <t>Facturación electrónica timbrada y conciliación automática</t>
  </si>
  <si>
    <t>El sistema debe generar facturas electrónicas timbradas ante la DIAN al confirmarse el despacho de un pedido, registrar simultáneamente la cuenta por cobrar en cartera con su fecha de vencimiento y automatizar la conciliación al recibir el pago (RF-ERP-003).</t>
  </si>
  <si>
    <t>Rendimiento transaccional sub-segundo</t>
  </si>
  <si>
    <t>Las transacciones de actualización de kárdex de inventarios e inserción de facturas de venta deben ejecutarse en un tiempo sub-segundo para asegurar la fluidez de las operaciones en las bodegas.</t>
  </si>
  <si>
    <t>Seguridad y disponibilidad cloud 24/7</t>
  </si>
  <si>
    <t>Autenticación estricta basada en roles, cifrado de punta a punta en la transmisión de datos financieros y fiscales, y alta disponibilidad cloud de 24/7 para evitar parálisis transaccionales o de ventas en campo.</t>
  </si>
  <si>
    <t>No borrar</t>
  </si>
  <si>
    <t>Costos Fijos -&gt;</t>
  </si>
  <si>
    <t>Min</t>
  </si>
  <si>
    <t>Aux</t>
  </si>
  <si>
    <t>SS</t>
  </si>
  <si>
    <t>Prov</t>
  </si>
  <si>
    <t>Horas</t>
  </si>
  <si>
    <t>AIU</t>
  </si>
  <si>
    <t>Horas Rango</t>
  </si>
  <si>
    <t>Básico</t>
  </si>
  <si>
    <t>Bono</t>
  </si>
  <si>
    <t>Otros</t>
  </si>
  <si>
    <t>TOTAL</t>
  </si>
  <si>
    <t>Valor Hora</t>
  </si>
  <si>
    <t>Valor Proyecto</t>
  </si>
  <si>
    <t>DB, Líder, Arquitecto, Scrum</t>
  </si>
  <si>
    <t>Diseño UI/UX</t>
  </si>
  <si>
    <t>FrontEnd Medium</t>
  </si>
  <si>
    <t>BackEnd Senior</t>
  </si>
  <si>
    <t>BackEnd Semi-Senior</t>
  </si>
  <si>
    <t>QA, Test</t>
  </si>
  <si>
    <t>Implementación, Capacitación</t>
  </si>
  <si>
    <t>Mobile Semi-Senior</t>
  </si>
  <si>
    <t>Mobile Medium</t>
  </si>
  <si>
    <t xml:space="preserve">BackEnd IA </t>
  </si>
  <si>
    <t>M1</t>
  </si>
  <si>
    <t>M2</t>
  </si>
  <si>
    <t>M3</t>
  </si>
  <si>
    <t>M4</t>
  </si>
  <si>
    <t>M5</t>
  </si>
  <si>
    <t>M6</t>
  </si>
  <si>
    <t>M7</t>
  </si>
  <si>
    <t>M8</t>
  </si>
  <si>
    <t>M9</t>
  </si>
  <si>
    <t>M10</t>
  </si>
  <si>
    <t xml:space="preserve"> </t>
  </si>
  <si>
    <t>PRY-WMS. WMS CORPORATIVO PROPIO - Reemplazar por completo el Sistema de Trazabilidad actual para asumir el control físico de la intralogística en bodega, mediante un WMS desarrollado a medida.</t>
  </si>
  <si>
    <t>Recepción</t>
  </si>
  <si>
    <t>Módulo digital para cotejo de mercancía entrante contra órdenes de compra y registro inmediato de novedades de calidad o cantidades.</t>
  </si>
  <si>
    <t>Ubicaciones</t>
  </si>
  <si>
    <t>Lógica predictiva para asignación dinámica de posiciones en estanterías, optimización de espacios físicos de bodega y zonificación por nivel de rotación de referencias.</t>
  </si>
  <si>
    <t>Picking y Packing</t>
  </si>
  <si>
    <t>Generación de rutas de recolección para operarios de bodega que optimicen los desplazamientos, y estaciones digitales automáticas para verificación de empaque, pesaje y etiquetado con códigos de barras.</t>
  </si>
  <si>
    <t>Despachos y Trazabilidad</t>
  </si>
  <si>
    <t>Consolidación de mercancías listas por transportadora asignada y trazabilidad completa del pedido hasta su salida física de las instalaciones.</t>
  </si>
  <si>
    <t>Escaneo de código de barras y actualización del mapa lógico</t>
  </si>
  <si>
    <t>El sistema debe obligar al operario de bodega a escanear el código de barras del lote de producto entrante junto con el código de barra de la posición física de estantería asignada, actualizando instantáneamente el mapa lógico del almacén (RF-WMS-001).</t>
  </si>
  <si>
    <t>Generación automática de rutas de picking optimizadas</t>
  </si>
  <si>
    <t>El WMS debe procesar los pedidos comerciales aprobados y generar de forma automática secuencias de recolección optimizadas geográficamente por los pasillos de la bodega, desplegando las instrucciones paso a paso en la terminal del operario (RF-WMS-002).</t>
  </si>
  <si>
    <t>Latencia sub-500ms en confirmación de picking</t>
  </si>
  <si>
    <t>Latencia de sincronización de datos inferior a 500 milisegundos en la confirmación de picking para asegurar consistencia física y lógica de existencias concurrentes.</t>
  </si>
  <si>
    <t>Alta disponibilidad local (arquitectura de borde)</t>
  </si>
  <si>
    <t>Alta disponibilidad local en la red de la bodega (arquitectura de borde) para garantizar que los operarios continúen despachando ante eventuales caídas del canal de internet principal cloud.</t>
  </si>
  <si>
    <t>PRY-CRM-EXT. MÓDULOS AMPLIADOS DEL CRM PROPIO - Adición de capacidades de comunicación digital unificada y administración de incentivos bajo código propietario, descartando plataformas CRM comerciales licenciadas de terceros.</t>
  </si>
  <si>
    <t>Atención Omnicanal Centralizada</t>
  </si>
  <si>
    <t>Integración nativa de APIs de canales de atención (WhatsApp, Correo Electrónico y Chat Web) dentro de la interfaz del CRM propio, asegurando que los asesores comerciales gestionen las comunicaciones comerciales desde la plataforma institucional y eliminando el uso de cuentas y dispositivos personales.</t>
  </si>
  <si>
    <t>Módulo de Fidelización y Relacionamiento Nativo</t>
  </si>
  <si>
    <t>Herramientas de software integradas en el CRM para la administración automatizada de programas de fidelización, métricas de recompra, control analítico de referidos y estructuración de relaciones comerciales de largo plazo.</t>
  </si>
  <si>
    <t>Bandeja unificada de mensajería consolidada</t>
  </si>
  <si>
    <t>El CRM propio debe capturar los mensajes entrantes de WhatsApp y correos electrónicos institucionales de los clientes y consolidarlos en una única bandeja transaccional, asociando automáticamente la conversación al historial de la ficha comercial del cliente (RF-CRM-004).</t>
  </si>
  <si>
    <t>Cálculo automático de estatus de fidelización</t>
  </si>
  <si>
    <t>El sistema debe calcular de forma automática el estatus de fidelización del cliente según su volumen transaccional en el ERP propio y activar de manera autónoma los beneficios y descuentos autorizados para compras recurrentes (RF-CRM-005).</t>
  </si>
  <si>
    <t>PRY-DMS-EXT. REPOSITORIO DOCUMENTAL - FIRMA ELECTRÓNICA - Extensión funcional sobre la plataforma de gestión documental orientada a dotar de inmutabilidad jurídica a las transacciones sin necesidad de soportes de papel.</t>
  </si>
  <si>
    <t>Firma Electrónica Nativa</t>
  </si>
  <si>
    <t>Incorporación de un componente criptográfico y funcional de firma electrónica digital con plena validez de auditoría legal para la formalización y firma desmaterializada de Contratos comerciales con terceros, Acuerdos legales de clientes y Remisiones/Actas de entrega firmadas por clientes o transportadoras en los muelles de despachos logísticos.</t>
  </si>
  <si>
    <t>Firma electrónica certificada con tokens de autenticación</t>
  </si>
  <si>
    <t>El sistema debe permitir a clientes, proveedores y apoderados legales estampar su firma electrónica certificada sobre remisiones de entrega o contratos alojados en el Repositorio Documental, utilizando tokens de autenticación digital seguros (RF-DMS-004).</t>
  </si>
  <si>
    <t>Sello de tiempo y hash criptográfico contra alteraciones</t>
  </si>
  <si>
    <t>Al ejecutarse una firma, el sistema debe incrustar un sello de tiempo inmutable y una firma hash digital que blinde el documento contra alteraciones posteriores, generando de forma automática la pista de auditoría legal de la transacción (RF-DMS-005).</t>
  </si>
  <si>
    <t>PRY-DAT. GOBIERNO DE DATOS CORPORATIVO - Administrar la totalidad de la información corporativa (operativa, comercial, financiera y logística) mediante una estrategia centralizada de datos.</t>
  </si>
  <si>
    <t>Diccionario de Datos Único</t>
  </si>
  <si>
    <t>El sistema debe centralizar las reglas de validación y taxonomía de datos maestros de la compañía, obligando a todos los microservicios de la plataforma propia a consumir y almacenar variables bajo una estructura uniforme de datos empresariales (RF-DAT-001).</t>
  </si>
  <si>
    <t>Linaje de Datos Automatizado</t>
  </si>
  <si>
    <t>El módulo debe mapear el flujo e historial de modificaciones de la información corporativa, registrando de qué sistema transaccional provienen los datos y qué transformaciones analíticas sufrieron antes de reflejarse en los dashboards de indicadores de alta gerencia (RF-DAT-002).</t>
  </si>
  <si>
    <t>PRY-AIE-01. AGENTE IA LOGÍSTICO - Componente cognitivo nuevo de la Plataforma IA Empresarial Nativa (PRY-AIE-NEW del documento fuente, Escenario C), enfocado en la optimización de rutas y control de última milla.</t>
  </si>
  <si>
    <t>Optimización de rutas de transporte</t>
  </si>
  <si>
    <t>Algoritmos cognitivos diseñados para la optimización de rutas de transporte de la flota de distribución.</t>
  </si>
  <si>
    <t>Control automatizado de entregas de última milla</t>
  </si>
  <si>
    <t>Control de entregas automatizado de última milla, reduciendo los tiempos de entrega en muelles.</t>
  </si>
  <si>
    <t>Procesamiento en tiempo real de pedidos facturados</t>
  </si>
  <si>
    <t>El Agente IA Logístico debe procesar en tiempo real las direcciones de pedidos de venta facturados y evaluar las capacidades de carga de los vehículos activos para generar hojas de ruta de distribución optimizadas (RF-AIE-001).</t>
  </si>
  <si>
    <t>PRY-AIE-02. AGENTE IA COMERCIAL (AMPLIACIÓN) - Ampliación cognitiva del Agente Comercial dentro de la Plataforma IA Empresarial Nativa (PRY-AIE-NEW del documento fuente, Escenario C), enfocada en la predicción de ventas.</t>
  </si>
  <si>
    <t>Predicción de ventas a corto y mediano plazo</t>
  </si>
  <si>
    <t>Incorporación de modelos predictivos de Machine Learning especializados en la predicción de ventas a corto y mediano plazo para guiar las estrategias comerciales de la empresa (RF-AIE-002 / Sección 10).</t>
  </si>
  <si>
    <t>PRY-AIE-03. AGENTE IA DE COMPRAS (AMPLIACIÓN) - Ampliación cognitiva del Agente de Compras dentro de la Plataforma IA Empresarial Nativa (PRY-AIE-NEW del documento fuente, Escenario C), enfocada en la negociación asistida con proveedores.</t>
  </si>
  <si>
    <t>Negociación asistida basada en tendencias de precios mundiales</t>
  </si>
  <si>
    <t>Capacidades cognitivas para la negociación asistida con proveedores mediante el análisis de tendencias de precios mundiales en el portal B2B.</t>
  </si>
  <si>
    <t>Negociación asistida basada en plazos logísticos del portal B2B</t>
  </si>
  <si>
    <t>Capacidades cognitivas para la negociación asistida con proveedores mediante el análisis de plazos logísticos disponibles en el portal B2B.</t>
  </si>
  <si>
    <t>PRY-AIE-04. AGENTE IA DE INVENTARIOS (AMPLIACIÓN) - Ampliación cognitiva del Agente de Inventarios dentro de la Plataforma IA Empresarial Nativa (PRY-AIE-NEW del documento fuente, Escenario C), enfocada en la reposición automática de stock.</t>
  </si>
  <si>
    <t>Emisión autónoma de solicitudes de reabastecimiento</t>
  </si>
  <si>
    <t>El agente debe emitir de forma autónoma solicitudes de reabastecimiento en el ERP propio al detectar caídas en los niveles de inventarios mínimos de seguridad.</t>
  </si>
  <si>
    <t>Evaluación continua de variables del WMS y lead times</t>
  </si>
  <si>
    <t>El Agente IA de Inventarios debe evaluar de forma continua las variables operativas de existencias físicas en el WMS y cruzar los datos con los lead times de proveedores para disparar automáticamente órdenes de suministro en el módulo de compras sin intervención humana (RF-AIE-002).</t>
  </si>
  <si>
    <t>PRY-AIE-05. AGENTE IA DE CARTERA (AMPLIACIÓN) - Ampliación cognitiva del Agente de Cartera dentro de la Plataforma IA Empresarial Nativa (PRY-AIE-NEW del documento fuente, Escenario C), enfocada en la predicción de mora financiera.</t>
  </si>
  <si>
    <t>Predicción de mora financiera de clientes mayoristas</t>
  </si>
  <si>
    <t>Lógica analítica predictiva diseñada para calcular la predicción de mora financiera de clientes mayoristas antes del cumplimiento de las fechas de vencimiento fiscales de las facturas de venta.</t>
  </si>
  <si>
    <t>Segmentación de perfiles de riesgo y alertas tempranas</t>
  </si>
  <si>
    <t>El Agente IA de Cartera debe evaluar el comportamiento transaccional histórico de pagos, segmentar perfiles de riesgo y emitir alertas tempranas preventivas al área financiera indicando qué facturas presentan alta probabilidad de caer en mora de recaudo (RF-AIE-003).</t>
  </si>
  <si>
    <t>PRY-AIE-06. AGENTE IA DE FIDELIZACIÓN - Componente cognitivo nuevo de la Plataforma IA Empresarial Nativa (PRY-AIE-NEW del documento fuente, Escenario C), enfocado en programas personalizados de fidelización mediante IA.</t>
  </si>
  <si>
    <t>Programas personalizados de fidelización mediante IA</t>
  </si>
  <si>
    <t>Motor inteligente integrado al CRM propio enfocado en el diseño automático de programas personalizados mediante IA basados en patrones conductuales para acelerar la tasa de recompra dirigida de clientes recurrentes (RF-AIE-003 / REQ-AIE-03).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</si>
</sst>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d\ mmmm\ yyyy"/>
    <numFmt numFmtId="165" formatCode="\$#,##0"/>
    <numFmt numFmtId="166" formatCode="0\ %"/>
    <numFmt numFmtId="167" formatCode="#,##0_);[Red]#,##0"/>
    <numFmt numFmtId="168" formatCode="\ mmmm\ "/>
  </numFmts>
  <fonts count="18">
    <font>
      <sz val="10"/>
      <color rgb="FF000000"/>
      <name val="Arial"/>
      <charset val="1"/>
    </font>
    <font>
      <b/>
      <sz val="10"/>
      <color theme="1"/>
      <name val="Arial"/>
      <charset val="1"/>
    </font>
    <font>
      <b/>
      <sz val="10"/>
      <color rgb="FFFFFFFF"/>
      <name val="Arial"/>
      <charset val="1"/>
    </font>
    <font>
      <sz val="10"/>
      <color theme="1"/>
      <name val="Arial"/>
      <charset val="1"/>
    </font>
    <font>
      <b/>
      <sz val="12"/>
      <color rgb="FFFFFFFF"/>
      <name val="Arial"/>
      <charset val="1"/>
    </font>
    <font>
      <b/>
      <sz val="11"/>
      <color theme="1"/>
      <name val="Arial"/>
      <charset val="1"/>
    </font>
    <font>
      <sz val="14"/>
      <color rgb="FF000000"/>
      <name val="Arial"/>
      <charset val="1"/>
    </font>
    <font>
      <b/>
      <sz val="11"/>
      <name val="Arial"/>
      <charset val="1"/>
    </font>
    <font>
      <b/>
      <sz val="10"/>
      <name val="Arial"/>
      <charset val="1"/>
    </font>
    <font>
      <sz val="10"/>
      <name val="Arial"/>
      <charset val="1"/>
    </font>
    <font>
      <sz val="10"/>
      <color theme="1"/>
      <name val="Arial"/>
      <family val="2"/>
      <charset val="1"/>
    </font>
    <font>
      <b/>
      <sz val="10"/>
      <color theme="1"/>
      <name val="Arial"/>
      <family val="2"/>
      <charset val="1"/>
    </font>
    <font>
      <sz val="10"/>
      <color rgb="FF000000"/>
      <name val="&quot;Calibri&quot;"/>
      <charset val="1"/>
    </font>
    <font>
      <sz val="11"/>
      <color rgb="FF000000"/>
      <name val="&quot;Calibri&quot;"/>
      <charset val="1"/>
    </font>
    <font>
      <b/>
      <sz val="10"/>
      <color rgb="FFFF0000"/>
      <name val="Arial"/>
      <charset val="1"/>
    </font>
    <font>
      <sz val="8"/>
      <color theme="1"/>
      <name val="Arial"/>
      <charset val="1"/>
    </font>
    <font>
      <sz val="10"/>
      <color rgb="FF686868"/>
      <name val="&quot;Open Sans&quot;"/>
      <charset val="1"/>
    </font>
    <font>
      <sz val="10"/>
      <name val="Arial"/>
      <family val="2"/>
    </font>
  </fonts>
  <fills count="21">
    <fill>
      <patternFill patternType="none"/>
    </fill>
    <fill>
      <patternFill patternType="gray125"/>
    </fill>
    <fill>
      <patternFill patternType="solid">
        <fgColor rgb="FF6AA84F"/>
        <bgColor rgb="FF808080"/>
      </patternFill>
    </fill>
    <fill>
      <patternFill patternType="solid">
        <fgColor rgb="FF1155CC"/>
        <bgColor rgb="FF3366FF"/>
      </patternFill>
    </fill>
    <fill>
      <patternFill patternType="solid">
        <fgColor rgb="FF9FC5E8"/>
        <bgColor rgb="FFA4C2F4"/>
      </patternFill>
    </fill>
    <fill>
      <patternFill patternType="solid">
        <fgColor rgb="FFFFFF00"/>
        <bgColor rgb="FFFFFF00"/>
      </patternFill>
    </fill>
    <fill>
      <patternFill patternType="solid">
        <fgColor rgb="FF274E13"/>
        <bgColor rgb="FF333333"/>
      </patternFill>
    </fill>
    <fill>
      <patternFill patternType="solid">
        <fgColor rgb="FFFFFFFF"/>
        <bgColor rgb="FFF3F3F3"/>
      </patternFill>
    </fill>
    <fill>
      <patternFill patternType="solid">
        <fgColor rgb="FF999999"/>
        <bgColor rgb="FF808080"/>
      </patternFill>
    </fill>
    <fill>
      <patternFill patternType="solid">
        <fgColor rgb="FFFF0000"/>
        <bgColor rgb="FF993300"/>
      </patternFill>
    </fill>
    <fill>
      <patternFill patternType="solid">
        <fgColor rgb="FFFFF2CC"/>
        <bgColor rgb="FFF3F3F3"/>
      </patternFill>
    </fill>
    <fill>
      <patternFill patternType="solid">
        <fgColor rgb="FFCFE2F3"/>
        <bgColor rgb="FFC9DAF8"/>
      </patternFill>
    </fill>
    <fill>
      <patternFill patternType="solid">
        <fgColor rgb="FFD9EAD3"/>
        <bgColor rgb="FFD9D9D9"/>
      </patternFill>
    </fill>
    <fill>
      <patternFill patternType="solid">
        <fgColor rgb="FFB6D7A8"/>
        <bgColor rgb="FFB7B7B7"/>
      </patternFill>
    </fill>
    <fill>
      <patternFill patternType="solid">
        <fgColor rgb="FFC9DAF8"/>
        <bgColor rgb="FFCFE2F3"/>
      </patternFill>
    </fill>
    <fill>
      <patternFill patternType="solid">
        <fgColor rgb="FFEAD1DC"/>
        <bgColor rgb="FFD9D2E9"/>
      </patternFill>
    </fill>
    <fill>
      <patternFill patternType="solid">
        <fgColor rgb="FFD9D2E9"/>
        <bgColor rgb="FFD9D9D9"/>
      </patternFill>
    </fill>
    <fill>
      <patternFill patternType="solid">
        <fgColor rgb="FFEFEFEF"/>
        <bgColor rgb="FFF3F3F3"/>
      </patternFill>
    </fill>
    <fill>
      <patternFill patternType="solid">
        <fgColor rgb="FFA4C2F4"/>
        <bgColor rgb="FF9FC5E8"/>
      </patternFill>
    </fill>
    <fill>
      <patternFill patternType="solid">
        <fgColor rgb="FFD9D9D9"/>
        <bgColor rgb="FFD9D2E9"/>
      </patternFill>
    </fill>
    <fill>
      <patternFill patternType="solid">
        <fgColor rgb="FFF3F3F3"/>
        <bgColor rgb="FFEFEFEF"/>
      </patternFill>
    </fill>
  </fills>
  <borders count="8">
    <border>
      <left/>
      <right/>
      <top/>
      <bottom/>
      <diagonal/>
    </border>
    <border>
      <left style="thin">
        <color rgb="FFFFFFFF"/>
      </left>
      <right style="thin">
        <color rgb="FFFFFFFF"/>
      </right>
      <top style="thin">
        <color rgb="FFFFFFFF"/>
      </top>
      <bottom style="thin">
        <color rgb="FFFFFFFF"/>
      </bottom>
      <diagonal/>
    </border>
    <border>
      <left style="thin">
        <color rgb="FFB7B7B7"/>
      </left>
      <right style="thin">
        <color rgb="FFB7B7B7"/>
      </right>
      <top style="thin">
        <color rgb="FFB7B7B7"/>
      </top>
      <bottom style="thin">
        <color rgb="FFB7B7B7"/>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thin">
        <color rgb="FFB7B7B7"/>
      </left>
      <right style="thin">
        <color rgb="FFFFFFFF"/>
      </right>
      <top style="thin">
        <color rgb="FFB7B7B7"/>
      </top>
      <bottom style="thin">
        <color rgb="FFB7B7B7"/>
      </bottom>
      <diagonal/>
    </border>
    <border>
      <left style="thin">
        <color rgb="FFFFFFFF"/>
      </left>
      <right style="thin">
        <color rgb="FFFFFFFF"/>
      </right>
      <top style="thin">
        <color rgb="FFB7B7B7"/>
      </top>
      <bottom style="thin">
        <color rgb="FFB7B7B7"/>
      </bottom>
      <diagonal/>
    </border>
    <border>
      <left style="thin">
        <color rgb="FFFFFFFF"/>
      </left>
      <right style="thin">
        <color rgb="FFB7B7B7"/>
      </right>
      <top style="thin">
        <color rgb="FFB7B7B7"/>
      </top>
      <bottom style="thin">
        <color rgb="FFB7B7B7"/>
      </bottom>
      <diagonal/>
    </border>
  </borders>
  <cellStyleXfs count="1">
    <xf numFmtId="0" fontId="0" fillId="0" borderId="0"/>
  </cellStyleXfs>
  <cellXfs count="84">
    <xf numFmtId="0" fontId="0" fillId="0" borderId="0" xfId="0"/>
    <xf numFmtId="0" fontId="5" fillId="19" borderId="2" xfId="0" applyFont="1" applyFill="1" applyBorder="1" applyAlignment="1">
      <alignment horizontal="center" vertical="center"/>
    </xf>
    <xf numFmtId="0" fontId="5" fillId="0" borderId="2" xfId="0" applyFont="1" applyBorder="1" applyAlignment="1">
      <alignment horizontal="center" vertical="center"/>
    </xf>
    <xf numFmtId="168" fontId="5" fillId="0" borderId="1" xfId="0" applyNumberFormat="1" applyFont="1" applyBorder="1" applyAlignment="1">
      <alignment horizontal="center" vertical="center"/>
    </xf>
    <xf numFmtId="167" fontId="1" fillId="18" borderId="0" xfId="0" applyNumberFormat="1" applyFont="1" applyFill="1" applyBorder="1" applyAlignment="1">
      <alignment horizontal="right" vertical="center"/>
    </xf>
    <xf numFmtId="167" fontId="3" fillId="17" borderId="0" xfId="0" applyNumberFormat="1" applyFont="1" applyFill="1" applyBorder="1" applyAlignment="1">
      <alignment horizontal="right" vertical="center"/>
    </xf>
    <xf numFmtId="167" fontId="3" fillId="0" borderId="0" xfId="0" applyNumberFormat="1" applyFont="1" applyBorder="1" applyAlignment="1">
      <alignment horizontal="right" vertical="center"/>
    </xf>
    <xf numFmtId="167" fontId="1" fillId="0" borderId="0" xfId="0" applyNumberFormat="1" applyFont="1" applyBorder="1" applyAlignment="1">
      <alignment horizontal="center" vertical="center"/>
    </xf>
    <xf numFmtId="167" fontId="3" fillId="10" borderId="0" xfId="0" applyNumberFormat="1" applyFont="1" applyFill="1" applyBorder="1" applyAlignment="1">
      <alignment horizontal="right" vertical="center"/>
    </xf>
    <xf numFmtId="167" fontId="1" fillId="10" borderId="0" xfId="0" applyNumberFormat="1" applyFont="1" applyFill="1" applyBorder="1" applyAlignment="1">
      <alignment horizontal="center" vertical="center"/>
    </xf>
    <xf numFmtId="0" fontId="3" fillId="4" borderId="0" xfId="0" applyFont="1" applyFill="1" applyBorder="1" applyAlignment="1">
      <alignment horizontal="left" vertical="center" wrapText="1"/>
    </xf>
    <xf numFmtId="0" fontId="2" fillId="3" borderId="0" xfId="0" applyFont="1" applyFill="1" applyBorder="1" applyAlignment="1">
      <alignment horizontal="left" vertical="center" wrapText="1"/>
    </xf>
    <xf numFmtId="0" fontId="1" fillId="0" borderId="0" xfId="0" applyFont="1" applyAlignment="1">
      <alignment horizontal="right" vertical="center" wrapText="1"/>
    </xf>
    <xf numFmtId="0" fontId="2" fillId="2" borderId="0" xfId="0" applyFont="1" applyFill="1" applyAlignment="1">
      <alignment horizontal="center" vertical="center" wrapText="1"/>
    </xf>
    <xf numFmtId="0" fontId="3" fillId="0" borderId="0" xfId="0" applyFont="1" applyAlignment="1">
      <alignment horizontal="center" vertical="center" wrapText="1"/>
    </xf>
    <xf numFmtId="164" fontId="3" fillId="5" borderId="0" xfId="0" applyNumberFormat="1" applyFont="1" applyFill="1" applyAlignment="1">
      <alignment horizontal="center" vertical="center" wrapText="1"/>
    </xf>
    <xf numFmtId="165" fontId="4" fillId="6" borderId="0" xfId="0" applyNumberFormat="1" applyFont="1" applyFill="1" applyAlignment="1">
      <alignment horizontal="center" vertical="center" wrapText="1"/>
    </xf>
    <xf numFmtId="166" fontId="1" fillId="0" borderId="0" xfId="0" applyNumberFormat="1" applyFont="1" applyAlignment="1">
      <alignment horizontal="center" vertical="center" wrapText="1"/>
    </xf>
    <xf numFmtId="0" fontId="1" fillId="0" borderId="0" xfId="0" applyFont="1" applyAlignment="1">
      <alignment horizontal="center" vertical="center" wrapText="1"/>
    </xf>
    <xf numFmtId="165" fontId="4" fillId="3" borderId="0" xfId="0" applyNumberFormat="1" applyFont="1" applyFill="1" applyAlignment="1">
      <alignment horizontal="center" vertical="center" wrapText="1"/>
    </xf>
    <xf numFmtId="3" fontId="3" fillId="0" borderId="0" xfId="0" applyNumberFormat="1" applyFont="1" applyAlignment="1">
      <alignment horizontal="right" vertical="center"/>
    </xf>
    <xf numFmtId="0" fontId="3" fillId="0" borderId="0" xfId="0" applyFont="1" applyAlignment="1">
      <alignment horizontal="center"/>
    </xf>
    <xf numFmtId="0" fontId="3" fillId="0" borderId="0" xfId="0" applyFont="1"/>
    <xf numFmtId="0" fontId="3" fillId="0" borderId="0" xfId="0" applyFont="1" applyAlignment="1">
      <alignment horizontal="center" vertical="center"/>
    </xf>
    <xf numFmtId="0" fontId="5" fillId="0" borderId="1" xfId="0" applyFont="1" applyBorder="1"/>
    <xf numFmtId="0" fontId="6" fillId="0" borderId="0" xfId="0" applyFont="1"/>
    <xf numFmtId="0" fontId="3" fillId="0" borderId="1" xfId="0" applyFont="1" applyBorder="1" applyAlignment="1">
      <alignment horizontal="left" vertical="center"/>
    </xf>
    <xf numFmtId="3" fontId="3" fillId="7" borderId="1" xfId="0" applyNumberFormat="1" applyFont="1" applyFill="1" applyBorder="1" applyAlignment="1">
      <alignment horizontal="right" vertical="center"/>
    </xf>
    <xf numFmtId="3" fontId="3" fillId="7" borderId="1" xfId="0" applyNumberFormat="1" applyFont="1" applyFill="1" applyBorder="1" applyAlignment="1">
      <alignment horizontal="center" vertical="center"/>
    </xf>
    <xf numFmtId="166" fontId="1" fillId="7" borderId="1" xfId="0" applyNumberFormat="1" applyFont="1" applyFill="1" applyBorder="1" applyAlignment="1">
      <alignment horizontal="center" vertical="center"/>
    </xf>
    <xf numFmtId="0" fontId="3" fillId="0" borderId="1" xfId="0" applyFont="1" applyBorder="1" applyAlignment="1">
      <alignment horizontal="center" vertical="center"/>
    </xf>
    <xf numFmtId="165" fontId="3" fillId="0" borderId="0" xfId="0" applyNumberFormat="1" applyFont="1" applyAlignment="1">
      <alignment horizontal="right" vertical="center"/>
    </xf>
    <xf numFmtId="0" fontId="1" fillId="7" borderId="1" xfId="0" applyFont="1" applyFill="1" applyBorder="1" applyAlignment="1">
      <alignment horizontal="center" vertical="center"/>
    </xf>
    <xf numFmtId="0" fontId="5" fillId="0" borderId="1" xfId="0" applyFont="1" applyBorder="1" applyAlignment="1">
      <alignment horizontal="left" vertical="center"/>
    </xf>
    <xf numFmtId="0" fontId="7" fillId="0" borderId="1" xfId="0" applyFont="1" applyBorder="1"/>
    <xf numFmtId="0" fontId="3" fillId="0" borderId="0" xfId="0" applyFont="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10" fillId="0" borderId="1" xfId="0" applyFont="1" applyBorder="1" applyAlignment="1">
      <alignment horizontal="left" vertical="center"/>
    </xf>
    <xf numFmtId="0" fontId="11" fillId="0" borderId="1" xfId="0" applyFont="1" applyBorder="1" applyAlignment="1">
      <alignment horizontal="left" vertical="center"/>
    </xf>
    <xf numFmtId="0" fontId="12" fillId="0" borderId="0" xfId="0" applyFont="1"/>
    <xf numFmtId="0" fontId="13" fillId="0" borderId="0" xfId="0" applyFont="1"/>
    <xf numFmtId="0" fontId="14" fillId="0" borderId="0" xfId="0" applyFont="1" applyAlignment="1">
      <alignment horizontal="center" vertical="center"/>
    </xf>
    <xf numFmtId="0" fontId="3" fillId="8" borderId="0" xfId="0" applyFont="1" applyFill="1" applyAlignment="1">
      <alignment horizontal="center" vertical="center"/>
    </xf>
    <xf numFmtId="0" fontId="3" fillId="8" borderId="0" xfId="0" applyFont="1" applyFill="1" applyAlignment="1">
      <alignment horizontal="left" vertical="center"/>
    </xf>
    <xf numFmtId="0" fontId="2" fillId="8" borderId="0" xfId="0" applyFont="1" applyFill="1" applyAlignment="1">
      <alignment horizontal="left" vertical="center"/>
    </xf>
    <xf numFmtId="0" fontId="2" fillId="9" borderId="0" xfId="0" applyFont="1" applyFill="1" applyAlignment="1">
      <alignment horizontal="center" vertical="center"/>
    </xf>
    <xf numFmtId="165" fontId="3" fillId="0" borderId="0" xfId="0" applyNumberFormat="1" applyFont="1" applyAlignment="1">
      <alignment horizontal="center" vertical="center"/>
    </xf>
    <xf numFmtId="0" fontId="3" fillId="0" borderId="0" xfId="0" applyFont="1" applyAlignment="1">
      <alignment vertical="center"/>
    </xf>
    <xf numFmtId="0" fontId="15" fillId="11" borderId="0" xfId="0" applyFont="1" applyFill="1" applyAlignment="1">
      <alignment vertical="center"/>
    </xf>
    <xf numFmtId="3" fontId="15" fillId="11" borderId="0" xfId="0" applyNumberFormat="1" applyFont="1" applyFill="1" applyAlignment="1">
      <alignment vertical="center"/>
    </xf>
    <xf numFmtId="0" fontId="15" fillId="12" borderId="0" xfId="0" applyFont="1" applyFill="1" applyAlignment="1">
      <alignment vertical="center"/>
    </xf>
    <xf numFmtId="3" fontId="15" fillId="12" borderId="0" xfId="0" applyNumberFormat="1" applyFont="1" applyFill="1" applyAlignment="1">
      <alignment vertical="center"/>
    </xf>
    <xf numFmtId="0" fontId="15" fillId="13" borderId="0" xfId="0" applyFont="1" applyFill="1" applyAlignment="1">
      <alignment vertical="center"/>
    </xf>
    <xf numFmtId="166" fontId="15" fillId="13" borderId="0" xfId="0" applyNumberFormat="1" applyFont="1" applyFill="1" applyAlignment="1">
      <alignment vertical="center"/>
    </xf>
    <xf numFmtId="0" fontId="15" fillId="14" borderId="0" xfId="0" applyFont="1" applyFill="1" applyAlignment="1">
      <alignment vertical="center"/>
    </xf>
    <xf numFmtId="166" fontId="15" fillId="14" borderId="0" xfId="0" applyNumberFormat="1" applyFont="1" applyFill="1" applyAlignment="1">
      <alignment vertical="center"/>
    </xf>
    <xf numFmtId="0" fontId="15" fillId="15" borderId="0" xfId="0" applyFont="1" applyFill="1" applyAlignment="1">
      <alignment vertical="center"/>
    </xf>
    <xf numFmtId="1" fontId="15" fillId="15" borderId="0" xfId="0" applyNumberFormat="1" applyFont="1" applyFill="1" applyAlignment="1">
      <alignment vertical="center"/>
    </xf>
    <xf numFmtId="166" fontId="5" fillId="13" borderId="0" xfId="0" applyNumberFormat="1" applyFont="1" applyFill="1" applyAlignment="1">
      <alignment vertical="center"/>
    </xf>
    <xf numFmtId="0" fontId="15" fillId="16" borderId="0" xfId="0" applyFont="1" applyFill="1" applyAlignment="1">
      <alignment horizontal="center" vertical="center"/>
    </xf>
    <xf numFmtId="0" fontId="15" fillId="16" borderId="0" xfId="0" applyFont="1" applyFill="1" applyAlignment="1">
      <alignment vertical="center"/>
    </xf>
    <xf numFmtId="0" fontId="3" fillId="16" borderId="0" xfId="0" applyFont="1" applyFill="1" applyAlignment="1">
      <alignment vertical="center"/>
    </xf>
    <xf numFmtId="0" fontId="1" fillId="0" borderId="0" xfId="0" applyFont="1" applyAlignment="1">
      <alignment horizontal="center" vertical="center"/>
    </xf>
    <xf numFmtId="167" fontId="3" fillId="17" borderId="0" xfId="0" applyNumberFormat="1" applyFont="1" applyFill="1" applyAlignment="1">
      <alignment horizontal="right" vertical="center"/>
    </xf>
    <xf numFmtId="167" fontId="1" fillId="18" borderId="0" xfId="0" applyNumberFormat="1" applyFont="1" applyFill="1" applyAlignment="1">
      <alignment horizontal="right" vertical="center"/>
    </xf>
    <xf numFmtId="0" fontId="16" fillId="7" borderId="0" xfId="0" applyFont="1" applyFill="1" applyAlignment="1">
      <alignment horizontal="center" vertical="center"/>
    </xf>
    <xf numFmtId="0" fontId="3" fillId="0" borderId="1" xfId="0" applyFont="1" applyBorder="1" applyAlignment="1">
      <alignment horizontal="center" vertical="center"/>
    </xf>
    <xf numFmtId="165" fontId="3" fillId="0" borderId="1" xfId="0" applyNumberFormat="1" applyFont="1" applyBorder="1" applyAlignment="1">
      <alignment horizontal="center" vertical="center"/>
    </xf>
    <xf numFmtId="0" fontId="5" fillId="0" borderId="2" xfId="0" applyFont="1" applyBorder="1" applyAlignment="1">
      <alignment horizontal="center" vertical="center"/>
    </xf>
    <xf numFmtId="0" fontId="5" fillId="19" borderId="2" xfId="0" applyFont="1" applyFill="1" applyBorder="1" applyAlignment="1">
      <alignment horizontal="center" vertical="center"/>
    </xf>
    <xf numFmtId="0" fontId="3" fillId="0" borderId="3" xfId="0" applyFont="1" applyBorder="1" applyAlignment="1">
      <alignment horizontal="left" vertical="center"/>
    </xf>
    <xf numFmtId="0" fontId="3" fillId="0" borderId="3"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0" borderId="2" xfId="0" applyFont="1" applyBorder="1" applyAlignment="1">
      <alignment horizontal="center" vertical="center"/>
    </xf>
    <xf numFmtId="0" fontId="1" fillId="20" borderId="2" xfId="0" applyFont="1" applyFill="1" applyBorder="1" applyAlignment="1">
      <alignment horizontal="center" vertical="center"/>
    </xf>
    <xf numFmtId="165" fontId="1" fillId="20" borderId="2" xfId="0" applyNumberFormat="1" applyFont="1" applyFill="1" applyBorder="1" applyAlignment="1">
      <alignment horizontal="center" vertical="center"/>
    </xf>
    <xf numFmtId="0" fontId="3" fillId="7" borderId="5" xfId="0" applyFont="1" applyFill="1" applyBorder="1" applyAlignment="1">
      <alignment horizontal="left" vertical="center"/>
    </xf>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0" fontId="3" fillId="0" borderId="2" xfId="0" applyFont="1" applyBorder="1" applyAlignment="1">
      <alignment horizontal="center" vertical="center"/>
    </xf>
    <xf numFmtId="0" fontId="3" fillId="20" borderId="2" xfId="0" applyFont="1" applyFill="1" applyBorder="1" applyAlignment="1">
      <alignment horizontal="center" vertical="center"/>
    </xf>
    <xf numFmtId="165" fontId="3" fillId="20" borderId="2" xfId="0" applyNumberFormat="1"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A4C2F4"/>
      <rgbColor rgb="FF993366"/>
      <rgbColor rgb="FFFFF2CC"/>
      <rgbColor rgb="FFCFE2F3"/>
      <rgbColor rgb="FF660066"/>
      <rgbColor rgb="FFFF8080"/>
      <rgbColor rgb="FF1155CC"/>
      <rgbColor rgb="FFC9DAF8"/>
      <rgbColor rgb="FF000080"/>
      <rgbColor rgb="FFFF00FF"/>
      <rgbColor rgb="FFFFFF00"/>
      <rgbColor rgb="FF00FFFF"/>
      <rgbColor rgb="FF800080"/>
      <rgbColor rgb="FF800000"/>
      <rgbColor rgb="FF008080"/>
      <rgbColor rgb="FF0000FF"/>
      <rgbColor rgb="FF00CCFF"/>
      <rgbColor rgb="FFEFEFEF"/>
      <rgbColor rgb="FFD9EAD3"/>
      <rgbColor rgb="FFF3F3F3"/>
      <rgbColor rgb="FF9FC5E8"/>
      <rgbColor rgb="FFD9D9D9"/>
      <rgbColor rgb="FFD9D2E9"/>
      <rgbColor rgb="FFEAD1DC"/>
      <rgbColor rgb="FF3366FF"/>
      <rgbColor rgb="FF33CCCC"/>
      <rgbColor rgb="FFB6D7A8"/>
      <rgbColor rgb="FFFFCC00"/>
      <rgbColor rgb="FFFF9900"/>
      <rgbColor rgb="FFFF6600"/>
      <rgbColor rgb="FF686868"/>
      <rgbColor rgb="FF999999"/>
      <rgbColor rgb="FF003366"/>
      <rgbColor rgb="FF6AA84F"/>
      <rgbColor rgb="FF003300"/>
      <rgbColor rgb="FF274E13"/>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heetPr>
  <dimension ref="A1:AE167"/>
  <sheetViews>
    <sheetView topLeftCell="A7" zoomScaleNormal="100" workbookViewId="0"/>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ustomHeight="1">
      <c r="A1" s="12" t="s">
        <v>0</v>
      </c>
      <c r="B1" s="13" t="s">
        <v>1</v>
      </c>
      <c r="C1" s="13" t="s">
        <v>2</v>
      </c>
      <c r="D1" s="13" t="s">
        <v>3</v>
      </c>
      <c r="E1" s="13" t="s">
        <v>4</v>
      </c>
      <c r="F1" s="13" t="s">
        <v>5</v>
      </c>
      <c r="G1" s="13" t="s">
        <v>6</v>
      </c>
      <c r="H1" s="13" t="s">
        <v>7</v>
      </c>
      <c r="I1" s="13" t="s">
        <v>8</v>
      </c>
      <c r="J1" s="13" t="s">
        <v>9</v>
      </c>
      <c r="K1" s="13" t="s">
        <v>10</v>
      </c>
      <c r="L1" s="14"/>
      <c r="M1" s="11" t="s">
        <v>11</v>
      </c>
      <c r="N1" s="11"/>
      <c r="O1" s="10" t="s">
        <v>12</v>
      </c>
      <c r="P1" s="10"/>
      <c r="Q1" s="10"/>
      <c r="R1" s="10"/>
      <c r="S1" s="10"/>
      <c r="T1" s="10"/>
      <c r="U1" s="10"/>
      <c r="V1" s="14"/>
      <c r="W1" s="15">
        <v>46049</v>
      </c>
      <c r="X1" s="14"/>
      <c r="Y1" s="16">
        <f>SUMIFS(Y2:Y120,L2:L120,"&lt;&gt;"&amp;"")</f>
        <v>0</v>
      </c>
      <c r="Z1" s="14" t="s">
        <v>13</v>
      </c>
      <c r="AA1" s="17" t="s">
        <v>14</v>
      </c>
      <c r="AB1" s="18" t="s">
        <v>15</v>
      </c>
      <c r="AC1" s="19">
        <f>SUM(AC2:AC120)</f>
        <v>0</v>
      </c>
      <c r="AD1" s="14"/>
      <c r="AE1" s="14"/>
    </row>
    <row r="2" spans="1:31" ht="15.75" customHeight="1">
      <c r="A2" s="20">
        <f t="shared" ref="A2:A33" si="0">(B2*$P$125+C2*$P$126+D2*$P$127+E2*$P$128+F2*$P$129+G2*$P$130+H2*$P$131+I2*$P$132+J2*$P$133+K2*$P$134)*$T$123</f>
        <v>0</v>
      </c>
      <c r="B2" s="21"/>
      <c r="C2" s="22"/>
      <c r="D2" s="22"/>
      <c r="E2" s="22"/>
      <c r="F2" s="22"/>
      <c r="G2" s="22"/>
      <c r="H2" s="22"/>
      <c r="I2" s="22"/>
      <c r="J2" s="23"/>
      <c r="K2" s="23"/>
      <c r="L2" s="24" t="s">
        <v>16</v>
      </c>
      <c r="M2" s="25"/>
      <c r="N2" s="26"/>
      <c r="O2" s="26"/>
      <c r="P2" s="26"/>
      <c r="Q2" s="26"/>
      <c r="R2" s="26"/>
      <c r="S2" s="26"/>
      <c r="T2" s="26"/>
      <c r="U2" s="26"/>
      <c r="V2" s="26"/>
      <c r="W2" s="26"/>
      <c r="X2" s="26">
        <f>COUNTIF($L$2:L2,"&lt;&gt;"&amp;"")</f>
        <v>1</v>
      </c>
      <c r="Y2" s="27">
        <f t="shared" ref="Y2:Y33" si="1">SUMIF($X$2:$X$120,X2,$A$2:$A$120)</f>
        <v>0</v>
      </c>
      <c r="Z2" s="28"/>
      <c r="AA2" s="29"/>
      <c r="AB2" s="30" t="b">
        <f>TRUE()</f>
        <v>1</v>
      </c>
      <c r="AC2" s="31">
        <f t="shared" ref="AC2:AC33" si="2">IF(L2="",0,IF(AB2=FALSE(),0,Y2))</f>
        <v>0</v>
      </c>
      <c r="AD2" s="23"/>
      <c r="AE2" s="23"/>
    </row>
    <row r="3" spans="1:31" ht="15.75" customHeight="1">
      <c r="A3" s="20">
        <f t="shared" si="0"/>
        <v>0</v>
      </c>
      <c r="B3" s="22"/>
      <c r="C3" s="21"/>
      <c r="D3" s="21"/>
      <c r="E3" s="22"/>
      <c r="F3" s="22"/>
      <c r="G3" s="22"/>
      <c r="H3" s="22"/>
      <c r="I3" s="22"/>
      <c r="J3" s="23"/>
      <c r="K3" s="23"/>
      <c r="L3" s="24" t="s">
        <v>17</v>
      </c>
      <c r="M3" s="26"/>
      <c r="N3" s="26"/>
      <c r="O3" s="26"/>
      <c r="P3" s="26"/>
      <c r="Q3" s="26"/>
      <c r="R3" s="26"/>
      <c r="S3" s="26"/>
      <c r="T3" s="26"/>
      <c r="U3" s="26"/>
      <c r="V3" s="26"/>
      <c r="W3" s="26"/>
      <c r="X3" s="26">
        <f>COUNTIF($L$2:L3,"&lt;&gt;"&amp;"")</f>
        <v>2</v>
      </c>
      <c r="Y3" s="27">
        <f t="shared" si="1"/>
        <v>0</v>
      </c>
      <c r="Z3" s="28"/>
      <c r="AA3" s="29"/>
      <c r="AB3" s="30" t="b">
        <f>TRUE()</f>
        <v>1</v>
      </c>
      <c r="AC3" s="31">
        <f t="shared" si="2"/>
        <v>0</v>
      </c>
      <c r="AD3" s="23"/>
      <c r="AE3" s="23"/>
    </row>
    <row r="4" spans="1:31" ht="15.75" customHeight="1">
      <c r="A4" s="20">
        <f t="shared" si="0"/>
        <v>0</v>
      </c>
      <c r="B4" s="22"/>
      <c r="C4" s="22"/>
      <c r="D4" s="22"/>
      <c r="E4" s="22"/>
      <c r="F4" s="22"/>
      <c r="G4" s="22"/>
      <c r="H4" s="21"/>
      <c r="I4" s="22"/>
      <c r="J4" s="23"/>
      <c r="K4" s="23"/>
      <c r="L4" s="24" t="s">
        <v>18</v>
      </c>
      <c r="M4" s="26"/>
      <c r="N4" s="26"/>
      <c r="O4" s="26"/>
      <c r="P4" s="26"/>
      <c r="Q4" s="26"/>
      <c r="R4" s="26"/>
      <c r="S4" s="26"/>
      <c r="T4" s="26"/>
      <c r="U4" s="26"/>
      <c r="V4" s="26"/>
      <c r="W4" s="26"/>
      <c r="X4" s="26">
        <f>COUNTIF($L$2:L4,"&lt;&gt;"&amp;"")</f>
        <v>3</v>
      </c>
      <c r="Y4" s="27">
        <f t="shared" si="1"/>
        <v>0</v>
      </c>
      <c r="Z4" s="28"/>
      <c r="AA4" s="32"/>
      <c r="AB4" s="30" t="b">
        <f>TRUE()</f>
        <v>1</v>
      </c>
      <c r="AC4" s="31">
        <f t="shared" si="2"/>
        <v>0</v>
      </c>
      <c r="AD4" s="23"/>
      <c r="AE4" s="23"/>
    </row>
    <row r="5" spans="1:31" ht="15.75" customHeight="1">
      <c r="A5" s="20">
        <f t="shared" si="0"/>
        <v>0</v>
      </c>
      <c r="B5" s="23"/>
      <c r="C5" s="23"/>
      <c r="D5" s="23"/>
      <c r="E5" s="23"/>
      <c r="F5" s="23"/>
      <c r="G5" s="23"/>
      <c r="H5" s="23"/>
      <c r="I5" s="23"/>
      <c r="J5" s="23"/>
      <c r="K5" s="23"/>
      <c r="L5" s="24" t="s">
        <v>19</v>
      </c>
      <c r="M5" s="26"/>
      <c r="N5" s="26"/>
      <c r="O5" s="26"/>
      <c r="P5" s="26"/>
      <c r="Q5" s="26"/>
      <c r="R5" s="26"/>
      <c r="S5" s="26"/>
      <c r="T5" s="26"/>
      <c r="U5" s="26"/>
      <c r="V5" s="26"/>
      <c r="W5" s="26"/>
      <c r="X5" s="26">
        <f>COUNTIF($L$2:L5,"&lt;&gt;"&amp;"")</f>
        <v>4</v>
      </c>
      <c r="Y5" s="27">
        <f t="shared" si="1"/>
        <v>0</v>
      </c>
      <c r="Z5" s="28"/>
      <c r="AA5" s="32"/>
      <c r="AB5" s="30" t="b">
        <f>TRUE()</f>
        <v>1</v>
      </c>
      <c r="AC5" s="31">
        <f t="shared" si="2"/>
        <v>0</v>
      </c>
      <c r="AD5" s="23"/>
      <c r="AE5" s="23"/>
    </row>
    <row r="6" spans="1:31" ht="15" customHeight="1">
      <c r="A6" s="20">
        <f t="shared" si="0"/>
        <v>0</v>
      </c>
      <c r="B6" s="23"/>
      <c r="C6" s="23"/>
      <c r="D6" s="23"/>
      <c r="E6" s="23"/>
      <c r="F6" s="23"/>
      <c r="G6" s="23"/>
      <c r="H6" s="23"/>
      <c r="I6" s="23"/>
      <c r="J6" s="23"/>
      <c r="K6" s="23"/>
      <c r="L6" s="33"/>
      <c r="M6" s="26"/>
      <c r="N6" s="26"/>
      <c r="O6" s="26"/>
      <c r="P6" s="26"/>
      <c r="Q6" s="26"/>
      <c r="R6" s="26"/>
      <c r="S6" s="26"/>
      <c r="T6" s="26"/>
      <c r="U6" s="26"/>
      <c r="V6" s="26"/>
      <c r="W6" s="26"/>
      <c r="X6" s="26">
        <f>COUNTIF($L$2:L6,"&lt;&gt;"&amp;"")</f>
        <v>4</v>
      </c>
      <c r="Y6" s="27">
        <f t="shared" si="1"/>
        <v>0</v>
      </c>
      <c r="Z6" s="28"/>
      <c r="AA6" s="29"/>
      <c r="AB6" s="30" t="b">
        <f>TRUE()</f>
        <v>1</v>
      </c>
      <c r="AC6" s="31">
        <f t="shared" si="2"/>
        <v>0</v>
      </c>
      <c r="AD6" s="23"/>
      <c r="AE6" s="23"/>
    </row>
    <row r="7" spans="1:31" ht="15" customHeight="1">
      <c r="A7" s="20">
        <f t="shared" si="0"/>
        <v>0</v>
      </c>
      <c r="B7" s="23"/>
      <c r="C7" s="23"/>
      <c r="D7" s="23"/>
      <c r="E7" s="23"/>
      <c r="F7" s="23"/>
      <c r="G7" s="23"/>
      <c r="H7" s="23"/>
      <c r="I7" s="23"/>
      <c r="J7" s="23"/>
      <c r="K7" s="23"/>
      <c r="L7" s="33"/>
      <c r="M7" s="26"/>
      <c r="N7" s="26"/>
      <c r="O7" s="26"/>
      <c r="P7" s="26"/>
      <c r="Q7" s="26"/>
      <c r="R7" s="26"/>
      <c r="S7" s="26"/>
      <c r="T7" s="26"/>
      <c r="U7" s="26"/>
      <c r="V7" s="26"/>
      <c r="W7" s="26"/>
      <c r="X7" s="26">
        <f>COUNTIF($L$2:L7,"&lt;&gt;"&amp;"")</f>
        <v>4</v>
      </c>
      <c r="Y7" s="27">
        <f t="shared" si="1"/>
        <v>0</v>
      </c>
      <c r="Z7" s="28"/>
      <c r="AA7" s="32"/>
      <c r="AB7" s="30" t="b">
        <f>TRUE()</f>
        <v>1</v>
      </c>
      <c r="AC7" s="31">
        <f t="shared" si="2"/>
        <v>0</v>
      </c>
      <c r="AD7" s="23"/>
      <c r="AE7" s="23"/>
    </row>
    <row r="8" spans="1:31" ht="15.75" customHeight="1">
      <c r="A8" s="20">
        <f t="shared" si="0"/>
        <v>0</v>
      </c>
      <c r="B8" s="23"/>
      <c r="C8" s="23"/>
      <c r="D8" s="23"/>
      <c r="E8" s="23"/>
      <c r="F8" s="23"/>
      <c r="G8" s="23"/>
      <c r="H8" s="23"/>
      <c r="I8" s="23"/>
      <c r="J8" s="23"/>
      <c r="K8" s="23"/>
      <c r="L8" s="34" t="s">
        <v>20</v>
      </c>
      <c r="M8" s="26"/>
      <c r="N8" s="26"/>
      <c r="O8" s="26"/>
      <c r="P8" s="26"/>
      <c r="Q8" s="26"/>
      <c r="R8" s="26"/>
      <c r="S8" s="26"/>
      <c r="T8" s="26"/>
      <c r="U8" s="26"/>
      <c r="V8" s="26"/>
      <c r="W8" s="26"/>
      <c r="X8" s="26">
        <f>COUNTIF($L$2:L8,"&lt;&gt;"&amp;"")</f>
        <v>5</v>
      </c>
      <c r="Y8" s="27">
        <f t="shared" si="1"/>
        <v>0</v>
      </c>
      <c r="Z8" s="28"/>
      <c r="AA8" s="29"/>
      <c r="AB8" s="30" t="b">
        <f>TRUE()</f>
        <v>1</v>
      </c>
      <c r="AC8" s="31">
        <f t="shared" si="2"/>
        <v>0</v>
      </c>
      <c r="AD8" s="35"/>
      <c r="AE8" s="35"/>
    </row>
    <row r="9" spans="1:31" ht="12.75" customHeight="1">
      <c r="A9" s="20">
        <f t="shared" si="0"/>
        <v>0</v>
      </c>
      <c r="B9" s="23"/>
      <c r="C9" s="23"/>
      <c r="D9" s="23"/>
      <c r="E9" s="23"/>
      <c r="F9" s="23"/>
      <c r="G9" s="23"/>
      <c r="H9" s="23"/>
      <c r="I9" s="23"/>
      <c r="J9" s="23"/>
      <c r="K9" s="23"/>
      <c r="L9" s="26"/>
      <c r="M9" s="36" t="s">
        <v>21</v>
      </c>
      <c r="N9" s="26"/>
      <c r="O9" s="26"/>
      <c r="P9" s="26"/>
      <c r="Q9" s="26"/>
      <c r="R9" s="26"/>
      <c r="S9" s="26"/>
      <c r="T9" s="26"/>
      <c r="U9" s="26"/>
      <c r="V9" s="26"/>
      <c r="W9" s="26"/>
      <c r="X9" s="26">
        <f>COUNTIF($L$2:L9,"&lt;&gt;"&amp;"")</f>
        <v>5</v>
      </c>
      <c r="Y9" s="27">
        <f t="shared" si="1"/>
        <v>0</v>
      </c>
      <c r="Z9" s="28"/>
      <c r="AA9" s="29"/>
      <c r="AB9" s="30" t="b">
        <f>TRUE()</f>
        <v>1</v>
      </c>
      <c r="AC9" s="31">
        <f t="shared" si="2"/>
        <v>0</v>
      </c>
      <c r="AD9" s="35"/>
      <c r="AE9" s="35"/>
    </row>
    <row r="10" spans="1:31" ht="12.75" customHeight="1">
      <c r="A10" s="20">
        <f t="shared" si="0"/>
        <v>0</v>
      </c>
      <c r="B10" s="23"/>
      <c r="C10" s="23"/>
      <c r="D10" s="23"/>
      <c r="E10" s="23"/>
      <c r="F10" s="23"/>
      <c r="G10" s="23"/>
      <c r="H10" s="23"/>
      <c r="I10" s="23"/>
      <c r="J10" s="23"/>
      <c r="K10" s="23"/>
      <c r="L10" s="26"/>
      <c r="M10" s="26"/>
      <c r="N10" s="37" t="s">
        <v>22</v>
      </c>
      <c r="O10" s="26"/>
      <c r="P10" s="26"/>
      <c r="Q10" s="26"/>
      <c r="R10" s="26"/>
      <c r="S10" s="26"/>
      <c r="T10" s="26"/>
      <c r="U10" s="26"/>
      <c r="V10" s="26"/>
      <c r="W10" s="26"/>
      <c r="X10" s="26">
        <f>COUNTIF($L$2:L10,"&lt;&gt;"&amp;"")</f>
        <v>5</v>
      </c>
      <c r="Y10" s="27">
        <f t="shared" si="1"/>
        <v>0</v>
      </c>
      <c r="Z10" s="28"/>
      <c r="AA10" s="29"/>
      <c r="AB10" s="30" t="b">
        <f>TRUE()</f>
        <v>1</v>
      </c>
      <c r="AC10" s="31">
        <f t="shared" si="2"/>
        <v>0</v>
      </c>
      <c r="AD10" s="35"/>
      <c r="AE10" s="35"/>
    </row>
    <row r="11" spans="1:31" ht="12.75" customHeight="1">
      <c r="A11" s="20">
        <f t="shared" si="0"/>
        <v>0</v>
      </c>
      <c r="B11" s="23"/>
      <c r="C11" s="23"/>
      <c r="D11" s="23"/>
      <c r="E11" s="23"/>
      <c r="F11" s="23"/>
      <c r="G11" s="23"/>
      <c r="H11" s="23"/>
      <c r="I11" s="23"/>
      <c r="J11" s="23"/>
      <c r="K11" s="23"/>
      <c r="L11" s="26"/>
      <c r="M11" s="36" t="s">
        <v>23</v>
      </c>
      <c r="N11" s="38"/>
      <c r="O11" s="26"/>
      <c r="P11" s="26"/>
      <c r="Q11" s="26"/>
      <c r="R11" s="26"/>
      <c r="S11" s="26"/>
      <c r="T11" s="26"/>
      <c r="U11" s="26"/>
      <c r="V11" s="26"/>
      <c r="W11" s="26"/>
      <c r="X11" s="26">
        <f>COUNTIF($L$2:L11,"&lt;&gt;"&amp;"")</f>
        <v>5</v>
      </c>
      <c r="Y11" s="27">
        <f t="shared" si="1"/>
        <v>0</v>
      </c>
      <c r="Z11" s="28"/>
      <c r="AA11" s="29"/>
      <c r="AB11" s="30" t="b">
        <f>TRUE()</f>
        <v>1</v>
      </c>
      <c r="AC11" s="31">
        <f t="shared" si="2"/>
        <v>0</v>
      </c>
      <c r="AD11" s="35"/>
      <c r="AE11" s="35"/>
    </row>
    <row r="12" spans="1:31" ht="12.75" customHeight="1">
      <c r="A12" s="20">
        <f t="shared" si="0"/>
        <v>0</v>
      </c>
      <c r="B12" s="23"/>
      <c r="C12" s="23"/>
      <c r="D12" s="23"/>
      <c r="E12" s="23"/>
      <c r="F12" s="23"/>
      <c r="G12" s="23"/>
      <c r="H12" s="23"/>
      <c r="I12" s="23"/>
      <c r="J12" s="23"/>
      <c r="K12" s="23"/>
      <c r="L12" s="26"/>
      <c r="M12" s="39"/>
      <c r="N12" s="37" t="s">
        <v>24</v>
      </c>
      <c r="O12" s="26"/>
      <c r="P12" s="26"/>
      <c r="Q12" s="26"/>
      <c r="R12" s="26"/>
      <c r="S12" s="26"/>
      <c r="T12" s="26"/>
      <c r="U12" s="26"/>
      <c r="V12" s="26"/>
      <c r="W12" s="26"/>
      <c r="X12" s="26">
        <f>COUNTIF($L$2:L12,"&lt;&gt;"&amp;"")</f>
        <v>5</v>
      </c>
      <c r="Y12" s="27">
        <f t="shared" si="1"/>
        <v>0</v>
      </c>
      <c r="Z12" s="28"/>
      <c r="AA12" s="29"/>
      <c r="AB12" s="30" t="b">
        <f>TRUE()</f>
        <v>1</v>
      </c>
      <c r="AC12" s="31">
        <f t="shared" si="2"/>
        <v>0</v>
      </c>
      <c r="AD12" s="35"/>
      <c r="AE12" s="35"/>
    </row>
    <row r="13" spans="1:31" ht="12.75" customHeight="1">
      <c r="A13" s="20">
        <f t="shared" si="0"/>
        <v>0</v>
      </c>
      <c r="B13" s="23"/>
      <c r="C13" s="23"/>
      <c r="D13" s="23"/>
      <c r="E13" s="23"/>
      <c r="F13" s="23"/>
      <c r="G13" s="23"/>
      <c r="H13" s="23"/>
      <c r="I13" s="23"/>
      <c r="J13" s="23"/>
      <c r="K13" s="23"/>
      <c r="L13" s="26"/>
      <c r="M13" s="36" t="s">
        <v>25</v>
      </c>
      <c r="N13" s="38"/>
      <c r="O13" s="26"/>
      <c r="P13" s="26"/>
      <c r="Q13" s="26"/>
      <c r="R13" s="26"/>
      <c r="S13" s="26"/>
      <c r="T13" s="26"/>
      <c r="U13" s="26"/>
      <c r="V13" s="26"/>
      <c r="W13" s="26"/>
      <c r="X13" s="26">
        <f>COUNTIF($L$2:L13,"&lt;&gt;"&amp;"")</f>
        <v>5</v>
      </c>
      <c r="Y13" s="27">
        <f t="shared" si="1"/>
        <v>0</v>
      </c>
      <c r="Z13" s="28"/>
      <c r="AA13" s="29"/>
      <c r="AB13" s="30" t="b">
        <f>TRUE()</f>
        <v>1</v>
      </c>
      <c r="AC13" s="31">
        <f t="shared" si="2"/>
        <v>0</v>
      </c>
      <c r="AD13" s="35"/>
      <c r="AE13" s="35"/>
    </row>
    <row r="14" spans="1:31" ht="15" customHeight="1">
      <c r="A14" s="20">
        <f t="shared" si="0"/>
        <v>0</v>
      </c>
      <c r="B14" s="23"/>
      <c r="C14" s="23"/>
      <c r="D14" s="23"/>
      <c r="E14" s="23"/>
      <c r="F14" s="23"/>
      <c r="G14" s="23"/>
      <c r="H14" s="23"/>
      <c r="I14" s="23"/>
      <c r="J14" s="23"/>
      <c r="K14" s="23"/>
      <c r="L14" s="33"/>
      <c r="M14" s="26"/>
      <c r="N14" s="37" t="s">
        <v>26</v>
      </c>
      <c r="O14" s="26"/>
      <c r="P14" s="26"/>
      <c r="Q14" s="26"/>
      <c r="R14" s="26"/>
      <c r="S14" s="26"/>
      <c r="T14" s="26"/>
      <c r="U14" s="26"/>
      <c r="V14" s="26"/>
      <c r="W14" s="26"/>
      <c r="X14" s="26">
        <f>COUNTIF($L$2:L14,"&lt;&gt;"&amp;"")</f>
        <v>5</v>
      </c>
      <c r="Y14" s="27">
        <f t="shared" si="1"/>
        <v>0</v>
      </c>
      <c r="Z14" s="28"/>
      <c r="AA14" s="29"/>
      <c r="AB14" s="30" t="b">
        <f>TRUE()</f>
        <v>1</v>
      </c>
      <c r="AC14" s="31">
        <f t="shared" si="2"/>
        <v>0</v>
      </c>
      <c r="AD14" s="35"/>
      <c r="AE14" s="35"/>
    </row>
    <row r="15" spans="1:31" ht="12.75" customHeight="1">
      <c r="A15" s="20">
        <f t="shared" si="0"/>
        <v>0</v>
      </c>
      <c r="B15" s="23"/>
      <c r="C15" s="23"/>
      <c r="D15" s="23"/>
      <c r="E15" s="23"/>
      <c r="F15" s="23"/>
      <c r="G15" s="23"/>
      <c r="H15" s="23"/>
      <c r="I15" s="23"/>
      <c r="J15" s="23"/>
      <c r="K15" s="23"/>
      <c r="L15" s="26"/>
      <c r="M15" s="36" t="s">
        <v>27</v>
      </c>
      <c r="N15" s="26"/>
      <c r="O15" s="26"/>
      <c r="P15" s="26"/>
      <c r="Q15" s="26"/>
      <c r="R15" s="26"/>
      <c r="S15" s="26"/>
      <c r="T15" s="26"/>
      <c r="U15" s="26"/>
      <c r="V15" s="26"/>
      <c r="W15" s="26"/>
      <c r="X15" s="26">
        <f>COUNTIF($L$2:L15,"&lt;&gt;"&amp;"")</f>
        <v>5</v>
      </c>
      <c r="Y15" s="27">
        <f t="shared" si="1"/>
        <v>0</v>
      </c>
      <c r="Z15" s="28"/>
      <c r="AA15" s="29"/>
      <c r="AB15" s="30" t="b">
        <f>TRUE()</f>
        <v>1</v>
      </c>
      <c r="AC15" s="31">
        <f t="shared" si="2"/>
        <v>0</v>
      </c>
      <c r="AD15" s="35"/>
      <c r="AE15" s="35"/>
    </row>
    <row r="16" spans="1:31" ht="12.75" customHeight="1">
      <c r="A16" s="20">
        <f t="shared" si="0"/>
        <v>0</v>
      </c>
      <c r="B16" s="23"/>
      <c r="C16" s="23"/>
      <c r="D16" s="23"/>
      <c r="E16" s="23"/>
      <c r="F16" s="23"/>
      <c r="G16" s="23"/>
      <c r="H16" s="23"/>
      <c r="I16" s="23"/>
      <c r="J16" s="23"/>
      <c r="K16" s="23"/>
      <c r="L16" s="26"/>
      <c r="M16" s="26"/>
      <c r="N16" s="37" t="s">
        <v>28</v>
      </c>
      <c r="O16" s="26"/>
      <c r="P16" s="26"/>
      <c r="Q16" s="26"/>
      <c r="R16" s="26"/>
      <c r="S16" s="26"/>
      <c r="T16" s="26"/>
      <c r="U16" s="26"/>
      <c r="V16" s="26"/>
      <c r="W16" s="26"/>
      <c r="X16" s="26">
        <f>COUNTIF($L$2:L16,"&lt;&gt;"&amp;"")</f>
        <v>5</v>
      </c>
      <c r="Y16" s="27">
        <f t="shared" si="1"/>
        <v>0</v>
      </c>
      <c r="Z16" s="28"/>
      <c r="AA16" s="29"/>
      <c r="AB16" s="30" t="b">
        <f>TRUE()</f>
        <v>1</v>
      </c>
      <c r="AC16" s="31">
        <f t="shared" si="2"/>
        <v>0</v>
      </c>
      <c r="AD16" s="35"/>
      <c r="AE16" s="35"/>
    </row>
    <row r="17" spans="1:31" ht="12.75" customHeight="1">
      <c r="A17" s="20">
        <f t="shared" si="0"/>
        <v>0</v>
      </c>
      <c r="B17" s="23"/>
      <c r="C17" s="23"/>
      <c r="D17" s="23"/>
      <c r="E17" s="23"/>
      <c r="F17" s="23"/>
      <c r="G17" s="23"/>
      <c r="H17" s="23"/>
      <c r="I17" s="23"/>
      <c r="J17" s="23"/>
      <c r="K17" s="23"/>
      <c r="L17" s="26"/>
      <c r="M17" s="36" t="s">
        <v>29</v>
      </c>
      <c r="N17" s="26"/>
      <c r="O17" s="26"/>
      <c r="P17" s="26"/>
      <c r="Q17" s="26"/>
      <c r="R17" s="26"/>
      <c r="S17" s="26"/>
      <c r="T17" s="26"/>
      <c r="U17" s="26"/>
      <c r="V17" s="26"/>
      <c r="W17" s="26"/>
      <c r="X17" s="26">
        <f>COUNTIF($L$2:L17,"&lt;&gt;"&amp;"")</f>
        <v>5</v>
      </c>
      <c r="Y17" s="27">
        <f t="shared" si="1"/>
        <v>0</v>
      </c>
      <c r="Z17" s="28"/>
      <c r="AA17" s="29"/>
      <c r="AB17" s="30" t="b">
        <f>TRUE()</f>
        <v>1</v>
      </c>
      <c r="AC17" s="31">
        <f t="shared" si="2"/>
        <v>0</v>
      </c>
      <c r="AD17" s="35"/>
      <c r="AE17" s="35"/>
    </row>
    <row r="18" spans="1:31" ht="12.75" customHeight="1">
      <c r="A18" s="20">
        <f t="shared" si="0"/>
        <v>0</v>
      </c>
      <c r="B18" s="23"/>
      <c r="C18" s="23"/>
      <c r="D18" s="23"/>
      <c r="E18" s="23"/>
      <c r="F18" s="23"/>
      <c r="G18" s="23"/>
      <c r="H18" s="23"/>
      <c r="I18" s="23"/>
      <c r="J18" s="23"/>
      <c r="K18" s="23"/>
      <c r="L18" s="26"/>
      <c r="M18" s="26"/>
      <c r="N18" s="37" t="s">
        <v>30</v>
      </c>
      <c r="O18" s="26"/>
      <c r="P18" s="26"/>
      <c r="Q18" s="26"/>
      <c r="R18" s="26"/>
      <c r="S18" s="26"/>
      <c r="T18" s="26"/>
      <c r="U18" s="26"/>
      <c r="V18" s="26"/>
      <c r="W18" s="26"/>
      <c r="X18" s="26">
        <f>COUNTIF($L$2:L18,"&lt;&gt;"&amp;"")</f>
        <v>5</v>
      </c>
      <c r="Y18" s="27">
        <f t="shared" si="1"/>
        <v>0</v>
      </c>
      <c r="Z18" s="28"/>
      <c r="AA18" s="29"/>
      <c r="AB18" s="30" t="b">
        <f>TRUE()</f>
        <v>1</v>
      </c>
      <c r="AC18" s="31">
        <f t="shared" si="2"/>
        <v>0</v>
      </c>
      <c r="AD18" s="35"/>
      <c r="AE18" s="35"/>
    </row>
    <row r="19" spans="1:31" ht="15" customHeight="1">
      <c r="A19" s="20">
        <f t="shared" si="0"/>
        <v>0</v>
      </c>
      <c r="B19" s="23"/>
      <c r="C19" s="23"/>
      <c r="D19" s="23"/>
      <c r="E19" s="23"/>
      <c r="F19" s="23"/>
      <c r="G19" s="23"/>
      <c r="H19" s="23"/>
      <c r="I19" s="23"/>
      <c r="J19" s="23"/>
      <c r="K19" s="23"/>
      <c r="L19" s="33"/>
      <c r="M19" s="36" t="s">
        <v>31</v>
      </c>
      <c r="N19" s="26"/>
      <c r="O19" s="26"/>
      <c r="P19" s="26"/>
      <c r="Q19" s="26"/>
      <c r="R19" s="26"/>
      <c r="S19" s="26"/>
      <c r="T19" s="26"/>
      <c r="U19" s="26"/>
      <c r="V19" s="26"/>
      <c r="W19" s="26"/>
      <c r="X19" s="26">
        <f>COUNTIF($L$2:L19,"&lt;&gt;"&amp;"")</f>
        <v>5</v>
      </c>
      <c r="Y19" s="27">
        <f t="shared" si="1"/>
        <v>0</v>
      </c>
      <c r="Z19" s="28"/>
      <c r="AA19" s="29"/>
      <c r="AB19" s="30" t="b">
        <f>TRUE()</f>
        <v>1</v>
      </c>
      <c r="AC19" s="31">
        <f t="shared" si="2"/>
        <v>0</v>
      </c>
      <c r="AD19" s="35"/>
      <c r="AE19" s="35"/>
    </row>
    <row r="20" spans="1:31" ht="12.75" customHeight="1">
      <c r="A20" s="20">
        <f t="shared" si="0"/>
        <v>0</v>
      </c>
      <c r="B20" s="23"/>
      <c r="C20" s="23"/>
      <c r="D20" s="23"/>
      <c r="E20" s="23"/>
      <c r="F20" s="23"/>
      <c r="G20" s="23"/>
      <c r="H20" s="23"/>
      <c r="I20" s="23"/>
      <c r="J20" s="23"/>
      <c r="K20" s="23"/>
      <c r="L20" s="26"/>
      <c r="M20" s="26"/>
      <c r="N20" s="37" t="s">
        <v>32</v>
      </c>
      <c r="O20" s="26"/>
      <c r="P20" s="26"/>
      <c r="Q20" s="26"/>
      <c r="R20" s="26"/>
      <c r="S20" s="26"/>
      <c r="T20" s="26"/>
      <c r="U20" s="26"/>
      <c r="V20" s="26"/>
      <c r="W20" s="26"/>
      <c r="X20" s="26">
        <f>COUNTIF($L$2:L20,"&lt;&gt;"&amp;"")</f>
        <v>5</v>
      </c>
      <c r="Y20" s="27">
        <f t="shared" si="1"/>
        <v>0</v>
      </c>
      <c r="Z20" s="28"/>
      <c r="AA20" s="29"/>
      <c r="AB20" s="30" t="b">
        <f>TRUE()</f>
        <v>1</v>
      </c>
      <c r="AC20" s="31">
        <f t="shared" si="2"/>
        <v>0</v>
      </c>
      <c r="AD20" s="35"/>
      <c r="AE20" s="35"/>
    </row>
    <row r="21" spans="1:31" ht="12.75" customHeight="1">
      <c r="A21" s="20">
        <f t="shared" si="0"/>
        <v>0</v>
      </c>
      <c r="B21" s="23"/>
      <c r="C21" s="23"/>
      <c r="D21" s="23"/>
      <c r="E21" s="23"/>
      <c r="F21" s="23"/>
      <c r="G21" s="23"/>
      <c r="H21" s="23"/>
      <c r="I21" s="23"/>
      <c r="J21" s="23"/>
      <c r="K21" s="23"/>
      <c r="L21" s="26"/>
      <c r="M21" s="36" t="s">
        <v>33</v>
      </c>
      <c r="N21" s="26"/>
      <c r="O21" s="26"/>
      <c r="P21" s="26"/>
      <c r="Q21" s="26"/>
      <c r="R21" s="26"/>
      <c r="S21" s="26"/>
      <c r="T21" s="26"/>
      <c r="U21" s="26"/>
      <c r="V21" s="26"/>
      <c r="W21" s="26"/>
      <c r="X21" s="26">
        <f>COUNTIF($L$2:L21,"&lt;&gt;"&amp;"")</f>
        <v>5</v>
      </c>
      <c r="Y21" s="27">
        <f t="shared" si="1"/>
        <v>0</v>
      </c>
      <c r="Z21" s="28"/>
      <c r="AA21" s="29"/>
      <c r="AB21" s="30" t="b">
        <f>TRUE()</f>
        <v>1</v>
      </c>
      <c r="AC21" s="31">
        <f t="shared" si="2"/>
        <v>0</v>
      </c>
      <c r="AD21" s="35"/>
      <c r="AE21" s="35"/>
    </row>
    <row r="22" spans="1:31" ht="12.75" customHeight="1">
      <c r="A22" s="20">
        <f t="shared" si="0"/>
        <v>0</v>
      </c>
      <c r="B22" s="23"/>
      <c r="C22" s="23"/>
      <c r="D22" s="23"/>
      <c r="E22" s="23"/>
      <c r="F22" s="23"/>
      <c r="G22" s="23"/>
      <c r="H22" s="23"/>
      <c r="I22" s="23"/>
      <c r="J22" s="23"/>
      <c r="K22" s="23"/>
      <c r="L22" s="26"/>
      <c r="M22" s="26"/>
      <c r="N22" s="37" t="s">
        <v>34</v>
      </c>
      <c r="O22" s="26"/>
      <c r="P22" s="26"/>
      <c r="Q22" s="26"/>
      <c r="R22" s="26"/>
      <c r="S22" s="26"/>
      <c r="T22" s="26"/>
      <c r="U22" s="26"/>
      <c r="V22" s="26"/>
      <c r="W22" s="26"/>
      <c r="X22" s="26">
        <f>COUNTIF($L$2:L22,"&lt;&gt;"&amp;"")</f>
        <v>5</v>
      </c>
      <c r="Y22" s="27">
        <f t="shared" si="1"/>
        <v>0</v>
      </c>
      <c r="Z22" s="28"/>
      <c r="AA22" s="29"/>
      <c r="AB22" s="30" t="b">
        <f>TRUE()</f>
        <v>1</v>
      </c>
      <c r="AC22" s="31">
        <f t="shared" si="2"/>
        <v>0</v>
      </c>
      <c r="AD22" s="35"/>
      <c r="AE22" s="35"/>
    </row>
    <row r="23" spans="1:31" ht="12.75" customHeight="1">
      <c r="A23" s="20">
        <f t="shared" si="0"/>
        <v>0</v>
      </c>
      <c r="B23" s="23"/>
      <c r="C23" s="23"/>
      <c r="D23" s="23"/>
      <c r="E23" s="23"/>
      <c r="F23" s="23"/>
      <c r="G23" s="23"/>
      <c r="H23" s="23"/>
      <c r="I23" s="23"/>
      <c r="J23" s="23"/>
      <c r="K23" s="23"/>
      <c r="L23" s="26"/>
      <c r="M23" s="36" t="s">
        <v>35</v>
      </c>
      <c r="N23" s="26"/>
      <c r="O23" s="26"/>
      <c r="P23" s="26"/>
      <c r="Q23" s="26"/>
      <c r="R23" s="26"/>
      <c r="S23" s="26"/>
      <c r="T23" s="26"/>
      <c r="U23" s="26"/>
      <c r="V23" s="26"/>
      <c r="W23" s="26"/>
      <c r="X23" s="26">
        <f>COUNTIF($L$2:L23,"&lt;&gt;"&amp;"")</f>
        <v>5</v>
      </c>
      <c r="Y23" s="27">
        <f t="shared" si="1"/>
        <v>0</v>
      </c>
      <c r="Z23" s="28"/>
      <c r="AA23" s="29"/>
      <c r="AB23" s="30" t="b">
        <f>TRUE()</f>
        <v>1</v>
      </c>
      <c r="AC23" s="31">
        <f t="shared" si="2"/>
        <v>0</v>
      </c>
      <c r="AD23" s="35"/>
      <c r="AE23" s="35"/>
    </row>
    <row r="24" spans="1:31" ht="12.75" customHeight="1">
      <c r="A24" s="20">
        <f t="shared" si="0"/>
        <v>0</v>
      </c>
      <c r="B24" s="23"/>
      <c r="C24" s="23"/>
      <c r="D24" s="23"/>
      <c r="E24" s="23"/>
      <c r="F24" s="23"/>
      <c r="G24" s="23"/>
      <c r="H24" s="23"/>
      <c r="I24" s="23"/>
      <c r="J24" s="23"/>
      <c r="K24" s="23"/>
      <c r="L24" s="26"/>
      <c r="M24" s="40"/>
      <c r="N24" s="37" t="s">
        <v>36</v>
      </c>
      <c r="O24" s="26"/>
      <c r="P24" s="26"/>
      <c r="Q24" s="26"/>
      <c r="R24" s="26"/>
      <c r="S24" s="26"/>
      <c r="T24" s="26"/>
      <c r="U24" s="26"/>
      <c r="V24" s="26"/>
      <c r="W24" s="26"/>
      <c r="X24" s="26">
        <f>COUNTIF($L$2:L24,"&lt;&gt;"&amp;"")</f>
        <v>5</v>
      </c>
      <c r="Y24" s="27">
        <f t="shared" si="1"/>
        <v>0</v>
      </c>
      <c r="Z24" s="28"/>
      <c r="AA24" s="29"/>
      <c r="AB24" s="30" t="b">
        <f>TRUE()</f>
        <v>1</v>
      </c>
      <c r="AC24" s="31">
        <f t="shared" si="2"/>
        <v>0</v>
      </c>
      <c r="AD24" s="35"/>
      <c r="AE24" s="35"/>
    </row>
    <row r="25" spans="1:31" ht="15" customHeight="1">
      <c r="A25" s="20">
        <f t="shared" si="0"/>
        <v>0</v>
      </c>
      <c r="B25" s="23"/>
      <c r="C25" s="23"/>
      <c r="D25" s="23"/>
      <c r="E25" s="23"/>
      <c r="F25" s="23"/>
      <c r="G25" s="23"/>
      <c r="H25" s="23"/>
      <c r="I25" s="23"/>
      <c r="J25" s="23"/>
      <c r="K25" s="23"/>
      <c r="L25" s="33"/>
      <c r="M25" s="36" t="s">
        <v>37</v>
      </c>
      <c r="N25" s="26"/>
      <c r="O25" s="26"/>
      <c r="P25" s="26"/>
      <c r="Q25" s="26"/>
      <c r="R25" s="26"/>
      <c r="S25" s="26"/>
      <c r="T25" s="26"/>
      <c r="U25" s="26"/>
      <c r="V25" s="26"/>
      <c r="W25" s="26"/>
      <c r="X25" s="26">
        <f>COUNTIF($L$2:L25,"&lt;&gt;"&amp;"")</f>
        <v>5</v>
      </c>
      <c r="Y25" s="27">
        <f t="shared" si="1"/>
        <v>0</v>
      </c>
      <c r="Z25" s="28"/>
      <c r="AA25" s="29"/>
      <c r="AB25" s="30" t="b">
        <f>TRUE()</f>
        <v>1</v>
      </c>
      <c r="AC25" s="31">
        <f t="shared" si="2"/>
        <v>0</v>
      </c>
      <c r="AD25" s="35"/>
      <c r="AE25" s="35"/>
    </row>
    <row r="26" spans="1:31" ht="15" customHeight="1">
      <c r="A26" s="20">
        <f t="shared" si="0"/>
        <v>0</v>
      </c>
      <c r="B26" s="23"/>
      <c r="C26" s="23"/>
      <c r="D26" s="23"/>
      <c r="E26" s="23"/>
      <c r="F26" s="23"/>
      <c r="G26" s="23"/>
      <c r="H26" s="23"/>
      <c r="I26" s="23"/>
      <c r="J26" s="23"/>
      <c r="K26" s="23"/>
      <c r="L26" s="33"/>
      <c r="M26" s="26"/>
      <c r="N26" s="37" t="s">
        <v>38</v>
      </c>
      <c r="O26" s="26"/>
      <c r="P26" s="26"/>
      <c r="Q26" s="26"/>
      <c r="R26" s="26"/>
      <c r="S26" s="26"/>
      <c r="T26" s="26"/>
      <c r="U26" s="26"/>
      <c r="V26" s="26"/>
      <c r="W26" s="26"/>
      <c r="X26" s="26">
        <f>COUNTIF($L$2:L26,"&lt;&gt;"&amp;"")</f>
        <v>5</v>
      </c>
      <c r="Y26" s="27">
        <f t="shared" si="1"/>
        <v>0</v>
      </c>
      <c r="Z26" s="28"/>
      <c r="AA26" s="29"/>
      <c r="AB26" s="30" t="b">
        <f>TRUE()</f>
        <v>1</v>
      </c>
      <c r="AC26" s="31">
        <f t="shared" si="2"/>
        <v>0</v>
      </c>
      <c r="AD26" s="35"/>
      <c r="AE26" s="35"/>
    </row>
    <row r="27" spans="1:31" ht="15" customHeight="1">
      <c r="A27" s="20">
        <f t="shared" si="0"/>
        <v>0</v>
      </c>
      <c r="B27" s="23"/>
      <c r="C27" s="23"/>
      <c r="D27" s="23"/>
      <c r="E27" s="23"/>
      <c r="F27" s="23"/>
      <c r="G27" s="23"/>
      <c r="H27" s="23"/>
      <c r="I27" s="23"/>
      <c r="J27" s="23"/>
      <c r="K27" s="23"/>
      <c r="L27" s="33"/>
      <c r="M27" s="36" t="s">
        <v>39</v>
      </c>
      <c r="N27" s="26"/>
      <c r="O27" s="26"/>
      <c r="P27" s="26"/>
      <c r="Q27" s="26"/>
      <c r="R27" s="26"/>
      <c r="S27" s="26"/>
      <c r="T27" s="26"/>
      <c r="U27" s="26"/>
      <c r="V27" s="26"/>
      <c r="W27" s="26"/>
      <c r="X27" s="26">
        <f>COUNTIF($L$2:L27,"&lt;&gt;"&amp;"")</f>
        <v>5</v>
      </c>
      <c r="Y27" s="27">
        <f t="shared" si="1"/>
        <v>0</v>
      </c>
      <c r="Z27" s="28"/>
      <c r="AA27" s="29"/>
      <c r="AB27" s="30" t="b">
        <f>TRUE()</f>
        <v>1</v>
      </c>
      <c r="AC27" s="31">
        <f t="shared" si="2"/>
        <v>0</v>
      </c>
      <c r="AD27" s="35"/>
      <c r="AE27" s="35"/>
    </row>
    <row r="28" spans="1:31" ht="15" customHeight="1">
      <c r="A28" s="20">
        <f t="shared" si="0"/>
        <v>0</v>
      </c>
      <c r="B28" s="23"/>
      <c r="C28" s="23"/>
      <c r="D28" s="23"/>
      <c r="E28" s="23"/>
      <c r="F28" s="23"/>
      <c r="G28" s="23"/>
      <c r="H28" s="23"/>
      <c r="I28" s="23"/>
      <c r="J28" s="23"/>
      <c r="K28" s="23"/>
      <c r="L28" s="33"/>
      <c r="M28" s="26"/>
      <c r="N28" s="37" t="s">
        <v>40</v>
      </c>
      <c r="O28" s="26"/>
      <c r="P28" s="26"/>
      <c r="Q28" s="26"/>
      <c r="R28" s="26"/>
      <c r="S28" s="26"/>
      <c r="T28" s="26"/>
      <c r="U28" s="26"/>
      <c r="V28" s="26"/>
      <c r="W28" s="26"/>
      <c r="X28" s="26">
        <f>COUNTIF($L$2:L28,"&lt;&gt;"&amp;"")</f>
        <v>5</v>
      </c>
      <c r="Y28" s="27">
        <f t="shared" si="1"/>
        <v>0</v>
      </c>
      <c r="Z28" s="28"/>
      <c r="AA28" s="29"/>
      <c r="AB28" s="30" t="b">
        <f>TRUE()</f>
        <v>1</v>
      </c>
      <c r="AC28" s="31">
        <f t="shared" si="2"/>
        <v>0</v>
      </c>
      <c r="AD28" s="35"/>
      <c r="AE28" s="35"/>
    </row>
    <row r="29" spans="1:31" ht="15" customHeight="1">
      <c r="A29" s="20">
        <f t="shared" si="0"/>
        <v>0</v>
      </c>
      <c r="B29" s="23"/>
      <c r="C29" s="23"/>
      <c r="D29" s="23"/>
      <c r="E29" s="23"/>
      <c r="F29" s="23"/>
      <c r="G29" s="23"/>
      <c r="H29" s="23"/>
      <c r="I29" s="23"/>
      <c r="J29" s="23"/>
      <c r="K29" s="23"/>
      <c r="L29" s="33"/>
      <c r="M29" s="36" t="s">
        <v>41</v>
      </c>
      <c r="N29" s="26"/>
      <c r="O29" s="26"/>
      <c r="P29" s="26"/>
      <c r="Q29" s="26"/>
      <c r="R29" s="26"/>
      <c r="S29" s="26"/>
      <c r="T29" s="26"/>
      <c r="U29" s="26"/>
      <c r="V29" s="26"/>
      <c r="W29" s="26"/>
      <c r="X29" s="26">
        <f>COUNTIF($L$2:L29,"&lt;&gt;"&amp;"")</f>
        <v>5</v>
      </c>
      <c r="Y29" s="27">
        <f t="shared" si="1"/>
        <v>0</v>
      </c>
      <c r="Z29" s="28"/>
      <c r="AA29" s="29"/>
      <c r="AB29" s="30" t="b">
        <f>TRUE()</f>
        <v>1</v>
      </c>
      <c r="AC29" s="31">
        <f t="shared" si="2"/>
        <v>0</v>
      </c>
      <c r="AD29" s="35"/>
      <c r="AE29" s="35"/>
    </row>
    <row r="30" spans="1:31" ht="15" customHeight="1">
      <c r="A30" s="20">
        <f t="shared" si="0"/>
        <v>0</v>
      </c>
      <c r="B30" s="23"/>
      <c r="C30" s="23"/>
      <c r="D30" s="23"/>
      <c r="E30" s="23"/>
      <c r="F30" s="23"/>
      <c r="G30" s="23"/>
      <c r="H30" s="23"/>
      <c r="I30" s="23"/>
      <c r="J30" s="23"/>
      <c r="K30" s="23"/>
      <c r="L30" s="33"/>
      <c r="M30" s="26"/>
      <c r="N30" s="37" t="s">
        <v>42</v>
      </c>
      <c r="O30" s="26"/>
      <c r="P30" s="26"/>
      <c r="Q30" s="26"/>
      <c r="R30" s="26"/>
      <c r="S30" s="26"/>
      <c r="T30" s="26"/>
      <c r="U30" s="26"/>
      <c r="V30" s="26"/>
      <c r="W30" s="26"/>
      <c r="X30" s="26">
        <f>COUNTIF($L$2:L30,"&lt;&gt;"&amp;"")</f>
        <v>5</v>
      </c>
      <c r="Y30" s="27">
        <f t="shared" si="1"/>
        <v>0</v>
      </c>
      <c r="Z30" s="28"/>
      <c r="AA30" s="29"/>
      <c r="AB30" s="30" t="b">
        <f>TRUE()</f>
        <v>1</v>
      </c>
      <c r="AC30" s="31">
        <f t="shared" si="2"/>
        <v>0</v>
      </c>
      <c r="AD30" s="35"/>
      <c r="AE30" s="35"/>
    </row>
    <row r="31" spans="1:31" ht="15" customHeight="1">
      <c r="A31" s="20">
        <f t="shared" si="0"/>
        <v>0</v>
      </c>
      <c r="B31" s="23"/>
      <c r="C31" s="23"/>
      <c r="D31" s="23"/>
      <c r="E31" s="23"/>
      <c r="F31" s="23"/>
      <c r="G31" s="23"/>
      <c r="H31" s="23"/>
      <c r="I31" s="23"/>
      <c r="J31" s="23"/>
      <c r="K31" s="23"/>
      <c r="L31" s="33"/>
      <c r="M31" s="26"/>
      <c r="N31" s="26"/>
      <c r="O31" s="26"/>
      <c r="P31" s="26"/>
      <c r="Q31" s="26"/>
      <c r="R31" s="26"/>
      <c r="S31" s="26"/>
      <c r="T31" s="26"/>
      <c r="U31" s="26"/>
      <c r="V31" s="26"/>
      <c r="W31" s="26"/>
      <c r="X31" s="26">
        <f>COUNTIF($L$2:L31,"&lt;&gt;"&amp;"")</f>
        <v>5</v>
      </c>
      <c r="Y31" s="27">
        <f t="shared" si="1"/>
        <v>0</v>
      </c>
      <c r="Z31" s="28"/>
      <c r="AA31" s="29"/>
      <c r="AB31" s="30" t="b">
        <f>TRUE()</f>
        <v>1</v>
      </c>
      <c r="AC31" s="31">
        <f t="shared" si="2"/>
        <v>0</v>
      </c>
      <c r="AD31" s="35"/>
      <c r="AE31" s="35"/>
    </row>
    <row r="32" spans="1:31" ht="15" customHeight="1">
      <c r="A32" s="20">
        <f t="shared" si="0"/>
        <v>0</v>
      </c>
      <c r="B32" s="23"/>
      <c r="C32" s="23"/>
      <c r="D32" s="23"/>
      <c r="E32" s="23"/>
      <c r="F32" s="23"/>
      <c r="G32" s="23"/>
      <c r="H32" s="23"/>
      <c r="I32" s="23"/>
      <c r="J32" s="23"/>
      <c r="K32" s="23"/>
      <c r="L32" s="33"/>
      <c r="M32" s="26"/>
      <c r="N32" s="26"/>
      <c r="O32" s="26"/>
      <c r="P32" s="26"/>
      <c r="Q32" s="26"/>
      <c r="R32" s="26"/>
      <c r="S32" s="26"/>
      <c r="T32" s="26"/>
      <c r="U32" s="26"/>
      <c r="V32" s="26"/>
      <c r="W32" s="26"/>
      <c r="X32" s="26">
        <f>COUNTIF($L$2:L32,"&lt;&gt;"&amp;"")</f>
        <v>5</v>
      </c>
      <c r="Y32" s="27">
        <f t="shared" si="1"/>
        <v>0</v>
      </c>
      <c r="Z32" s="28"/>
      <c r="AA32" s="29"/>
      <c r="AB32" s="30" t="b">
        <f>TRUE()</f>
        <v>1</v>
      </c>
      <c r="AC32" s="31">
        <f t="shared" si="2"/>
        <v>0</v>
      </c>
      <c r="AD32" s="35"/>
      <c r="AE32" s="35"/>
    </row>
    <row r="33" spans="1:31" ht="15" customHeight="1">
      <c r="A33" s="20">
        <f t="shared" si="0"/>
        <v>0</v>
      </c>
      <c r="B33" s="23"/>
      <c r="C33" s="23"/>
      <c r="D33" s="23"/>
      <c r="E33" s="23"/>
      <c r="F33" s="23"/>
      <c r="G33" s="23"/>
      <c r="H33" s="23"/>
      <c r="I33" s="23"/>
      <c r="J33" s="23"/>
      <c r="K33" s="23"/>
      <c r="L33" s="33"/>
      <c r="M33" s="26"/>
      <c r="N33" s="26"/>
      <c r="O33" s="26"/>
      <c r="P33" s="26"/>
      <c r="Q33" s="26"/>
      <c r="R33" s="26"/>
      <c r="S33" s="26"/>
      <c r="T33" s="26"/>
      <c r="U33" s="26"/>
      <c r="V33" s="26"/>
      <c r="W33" s="26"/>
      <c r="X33" s="26">
        <f>COUNTIF($L$2:L33,"&lt;&gt;"&amp;"")</f>
        <v>5</v>
      </c>
      <c r="Y33" s="27">
        <f t="shared" si="1"/>
        <v>0</v>
      </c>
      <c r="Z33" s="28"/>
      <c r="AA33" s="29"/>
      <c r="AB33" s="30" t="b">
        <f>TRUE()</f>
        <v>1</v>
      </c>
      <c r="AC33" s="31">
        <f t="shared" si="2"/>
        <v>0</v>
      </c>
      <c r="AD33" s="35"/>
      <c r="AE33" s="35"/>
    </row>
    <row r="34" spans="1:31" ht="15" customHeight="1">
      <c r="A34" s="20">
        <f t="shared" ref="A34:A65" si="3">(B34*$P$125+C34*$P$126+D34*$P$127+E34*$P$128+F34*$P$129+G34*$P$130+H34*$P$131+I34*$P$132+J34*$P$133+K34*$P$134)*$T$123</f>
        <v>0</v>
      </c>
      <c r="B34" s="23"/>
      <c r="C34" s="23"/>
      <c r="D34" s="23"/>
      <c r="E34" s="23"/>
      <c r="F34" s="23"/>
      <c r="G34" s="23"/>
      <c r="H34" s="23"/>
      <c r="I34" s="23"/>
      <c r="J34" s="23"/>
      <c r="K34" s="23"/>
      <c r="L34" s="33"/>
      <c r="M34" s="33"/>
      <c r="N34" s="26"/>
      <c r="O34" s="26"/>
      <c r="P34" s="26"/>
      <c r="Q34" s="26"/>
      <c r="R34" s="26"/>
      <c r="S34" s="26"/>
      <c r="T34" s="26"/>
      <c r="U34" s="26"/>
      <c r="V34" s="26"/>
      <c r="W34" s="26"/>
      <c r="X34" s="26">
        <f>COUNTIF($L$2:L34,"&lt;&gt;"&amp;"")</f>
        <v>5</v>
      </c>
      <c r="Y34" s="27">
        <f t="shared" ref="Y34:Y65" si="4">SUMIF($X$2:$X$120,X34,$A$2:$A$120)</f>
        <v>0</v>
      </c>
      <c r="Z34" s="28"/>
      <c r="AA34" s="29"/>
      <c r="AB34" s="30" t="b">
        <f>TRUE()</f>
        <v>1</v>
      </c>
      <c r="AC34" s="31">
        <f t="shared" ref="AC34:AC65" si="5">IF(L34="",0,IF(AB34=FALSE(),0,Y34))</f>
        <v>0</v>
      </c>
      <c r="AD34" s="35"/>
      <c r="AE34" s="35"/>
    </row>
    <row r="35" spans="1:31" ht="15" customHeight="1">
      <c r="A35" s="20">
        <f t="shared" si="3"/>
        <v>0</v>
      </c>
      <c r="B35" s="23"/>
      <c r="C35" s="23"/>
      <c r="D35" s="23"/>
      <c r="E35" s="23"/>
      <c r="F35" s="23"/>
      <c r="G35" s="23"/>
      <c r="H35" s="23"/>
      <c r="I35" s="23"/>
      <c r="J35" s="23"/>
      <c r="K35" s="23"/>
      <c r="L35" s="33"/>
      <c r="M35" s="26"/>
      <c r="N35" s="41"/>
      <c r="O35" s="26"/>
      <c r="P35" s="26"/>
      <c r="Q35" s="26"/>
      <c r="R35" s="26"/>
      <c r="S35" s="26"/>
      <c r="T35" s="26"/>
      <c r="U35" s="26"/>
      <c r="V35" s="26"/>
      <c r="W35" s="26"/>
      <c r="X35" s="26">
        <f>COUNTIF($L$2:L35,"&lt;&gt;"&amp;"")</f>
        <v>5</v>
      </c>
      <c r="Y35" s="27">
        <f t="shared" si="4"/>
        <v>0</v>
      </c>
      <c r="Z35" s="28"/>
      <c r="AA35" s="29"/>
      <c r="AB35" s="30" t="b">
        <f>TRUE()</f>
        <v>1</v>
      </c>
      <c r="AC35" s="31">
        <f t="shared" si="5"/>
        <v>0</v>
      </c>
      <c r="AD35" s="35"/>
      <c r="AE35" s="35"/>
    </row>
    <row r="36" spans="1:31" ht="15" customHeight="1">
      <c r="A36" s="20">
        <f t="shared" si="3"/>
        <v>0</v>
      </c>
      <c r="B36" s="23"/>
      <c r="C36" s="23"/>
      <c r="D36" s="23"/>
      <c r="E36" s="23"/>
      <c r="F36" s="23"/>
      <c r="G36" s="23"/>
      <c r="H36" s="23"/>
      <c r="I36" s="23"/>
      <c r="J36" s="23"/>
      <c r="K36" s="23"/>
      <c r="L36" s="33"/>
      <c r="M36" s="26"/>
      <c r="N36" s="26"/>
      <c r="O36" s="26"/>
      <c r="P36" s="26"/>
      <c r="Q36" s="26"/>
      <c r="R36" s="26"/>
      <c r="S36" s="26"/>
      <c r="T36" s="26"/>
      <c r="U36" s="26"/>
      <c r="V36" s="26"/>
      <c r="W36" s="26"/>
      <c r="X36" s="26">
        <f>COUNTIF($L$2:L36,"&lt;&gt;"&amp;"")</f>
        <v>5</v>
      </c>
      <c r="Y36" s="27">
        <f t="shared" si="4"/>
        <v>0</v>
      </c>
      <c r="Z36" s="28"/>
      <c r="AA36" s="29"/>
      <c r="AB36" s="30" t="b">
        <f>TRUE()</f>
        <v>1</v>
      </c>
      <c r="AC36" s="31">
        <f t="shared" si="5"/>
        <v>0</v>
      </c>
      <c r="AD36" s="35"/>
      <c r="AE36" s="35"/>
    </row>
    <row r="37" spans="1:31" ht="15" customHeight="1">
      <c r="A37" s="20">
        <f t="shared" si="3"/>
        <v>0</v>
      </c>
      <c r="B37" s="23"/>
      <c r="C37" s="23"/>
      <c r="D37" s="23"/>
      <c r="E37" s="23"/>
      <c r="F37" s="23"/>
      <c r="G37" s="23"/>
      <c r="H37" s="23"/>
      <c r="I37" s="23"/>
      <c r="J37" s="23"/>
      <c r="K37" s="23"/>
      <c r="L37" s="33"/>
      <c r="M37" s="26"/>
      <c r="N37" s="26"/>
      <c r="O37" s="26"/>
      <c r="P37" s="26"/>
      <c r="Q37" s="26"/>
      <c r="R37" s="26"/>
      <c r="S37" s="26"/>
      <c r="T37" s="26"/>
      <c r="U37" s="26"/>
      <c r="V37" s="26"/>
      <c r="W37" s="26"/>
      <c r="X37" s="26">
        <f>COUNTIF($L$2:L37,"&lt;&gt;"&amp;"")</f>
        <v>5</v>
      </c>
      <c r="Y37" s="27">
        <f t="shared" si="4"/>
        <v>0</v>
      </c>
      <c r="Z37" s="28"/>
      <c r="AA37" s="29"/>
      <c r="AB37" s="30" t="b">
        <f>TRUE()</f>
        <v>1</v>
      </c>
      <c r="AC37" s="31">
        <f t="shared" si="5"/>
        <v>0</v>
      </c>
      <c r="AD37" s="35"/>
      <c r="AE37" s="35"/>
    </row>
    <row r="38" spans="1:31" ht="15" customHeight="1">
      <c r="A38" s="20">
        <f t="shared" si="3"/>
        <v>0</v>
      </c>
      <c r="B38" s="23"/>
      <c r="C38" s="23"/>
      <c r="D38" s="23"/>
      <c r="E38" s="23"/>
      <c r="F38" s="23"/>
      <c r="G38" s="23"/>
      <c r="H38" s="23"/>
      <c r="I38" s="23"/>
      <c r="J38" s="23"/>
      <c r="K38" s="23"/>
      <c r="L38" s="33"/>
      <c r="M38" s="26"/>
      <c r="N38" s="26"/>
      <c r="O38" s="26"/>
      <c r="P38" s="26"/>
      <c r="Q38" s="26"/>
      <c r="R38" s="26"/>
      <c r="S38" s="26"/>
      <c r="T38" s="26"/>
      <c r="U38" s="26"/>
      <c r="V38" s="26"/>
      <c r="W38" s="26"/>
      <c r="X38" s="26">
        <f>COUNTIF($L$2:L38,"&lt;&gt;"&amp;"")</f>
        <v>5</v>
      </c>
      <c r="Y38" s="27">
        <f t="shared" si="4"/>
        <v>0</v>
      </c>
      <c r="Z38" s="28"/>
      <c r="AA38" s="29"/>
      <c r="AB38" s="30" t="b">
        <f>TRUE()</f>
        <v>1</v>
      </c>
      <c r="AC38" s="31">
        <f t="shared" si="5"/>
        <v>0</v>
      </c>
      <c r="AD38" s="42"/>
      <c r="AE38" s="42"/>
    </row>
    <row r="39" spans="1:31" ht="15" customHeight="1">
      <c r="A39" s="20">
        <f t="shared" si="3"/>
        <v>0</v>
      </c>
      <c r="B39" s="23"/>
      <c r="C39" s="23"/>
      <c r="D39" s="23"/>
      <c r="E39" s="23"/>
      <c r="F39" s="23"/>
      <c r="G39" s="23"/>
      <c r="H39" s="23"/>
      <c r="I39" s="23"/>
      <c r="J39" s="23"/>
      <c r="K39" s="23"/>
      <c r="L39" s="33"/>
      <c r="M39" s="26"/>
      <c r="N39" s="26"/>
      <c r="O39" s="26"/>
      <c r="P39" s="26"/>
      <c r="Q39" s="26"/>
      <c r="R39" s="26"/>
      <c r="S39" s="26"/>
      <c r="T39" s="26"/>
      <c r="U39" s="26"/>
      <c r="V39" s="26"/>
      <c r="W39" s="26"/>
      <c r="X39" s="26">
        <f>COUNTIF($L$2:L39,"&lt;&gt;"&amp;"")</f>
        <v>5</v>
      </c>
      <c r="Y39" s="27">
        <f t="shared" si="4"/>
        <v>0</v>
      </c>
      <c r="Z39" s="28"/>
      <c r="AA39" s="29"/>
      <c r="AB39" s="30" t="b">
        <f>TRUE()</f>
        <v>1</v>
      </c>
      <c r="AC39" s="31">
        <f t="shared" si="5"/>
        <v>0</v>
      </c>
      <c r="AD39" s="35"/>
      <c r="AE39" s="35"/>
    </row>
    <row r="40" spans="1:31" ht="15" customHeight="1">
      <c r="A40" s="20">
        <f t="shared" si="3"/>
        <v>0</v>
      </c>
      <c r="B40" s="23"/>
      <c r="C40" s="23"/>
      <c r="D40" s="23"/>
      <c r="E40" s="23"/>
      <c r="F40" s="23"/>
      <c r="G40" s="23"/>
      <c r="H40" s="23"/>
      <c r="I40" s="23"/>
      <c r="J40" s="23"/>
      <c r="K40" s="23"/>
      <c r="L40" s="33"/>
      <c r="M40" s="26"/>
      <c r="N40" s="26"/>
      <c r="O40" s="26"/>
      <c r="P40" s="26"/>
      <c r="Q40" s="26"/>
      <c r="R40" s="26"/>
      <c r="S40" s="26"/>
      <c r="T40" s="26"/>
      <c r="U40" s="26"/>
      <c r="V40" s="26"/>
      <c r="W40" s="26"/>
      <c r="X40" s="26">
        <f>COUNTIF($L$2:L40,"&lt;&gt;"&amp;"")</f>
        <v>5</v>
      </c>
      <c r="Y40" s="27">
        <f t="shared" si="4"/>
        <v>0</v>
      </c>
      <c r="Z40" s="28"/>
      <c r="AA40" s="29"/>
      <c r="AB40" s="30" t="b">
        <f>TRUE()</f>
        <v>1</v>
      </c>
      <c r="AC40" s="31">
        <f t="shared" si="5"/>
        <v>0</v>
      </c>
      <c r="AD40" s="42"/>
      <c r="AE40" s="42"/>
    </row>
    <row r="41" spans="1:31" ht="15" customHeight="1">
      <c r="A41" s="20">
        <f t="shared" si="3"/>
        <v>0</v>
      </c>
      <c r="B41" s="23"/>
      <c r="C41" s="23"/>
      <c r="D41" s="23"/>
      <c r="E41" s="23"/>
      <c r="F41" s="23"/>
      <c r="G41" s="23"/>
      <c r="H41" s="23"/>
      <c r="I41" s="23"/>
      <c r="J41" s="23"/>
      <c r="K41" s="23"/>
      <c r="L41" s="33"/>
      <c r="M41" s="26"/>
      <c r="N41" s="26"/>
      <c r="O41" s="26"/>
      <c r="P41" s="26"/>
      <c r="Q41" s="26"/>
      <c r="R41" s="26"/>
      <c r="S41" s="26"/>
      <c r="T41" s="26"/>
      <c r="U41" s="26"/>
      <c r="V41" s="26"/>
      <c r="W41" s="26"/>
      <c r="X41" s="26">
        <f>COUNTIF($L$2:L41,"&lt;&gt;"&amp;"")</f>
        <v>5</v>
      </c>
      <c r="Y41" s="27">
        <f t="shared" si="4"/>
        <v>0</v>
      </c>
      <c r="Z41" s="28"/>
      <c r="AA41" s="29"/>
      <c r="AB41" s="30" t="b">
        <f>TRUE()</f>
        <v>1</v>
      </c>
      <c r="AC41" s="31">
        <f t="shared" si="5"/>
        <v>0</v>
      </c>
      <c r="AD41" s="42"/>
      <c r="AE41" s="42"/>
    </row>
    <row r="42" spans="1:31" ht="15" customHeight="1">
      <c r="A42" s="20">
        <f t="shared" si="3"/>
        <v>0</v>
      </c>
      <c r="B42" s="23"/>
      <c r="C42" s="23"/>
      <c r="D42" s="23"/>
      <c r="E42" s="23"/>
      <c r="F42" s="23"/>
      <c r="G42" s="23"/>
      <c r="H42" s="23"/>
      <c r="I42" s="23"/>
      <c r="J42" s="23"/>
      <c r="K42" s="23"/>
      <c r="L42" s="33"/>
      <c r="M42" s="26"/>
      <c r="N42" s="40"/>
      <c r="O42" s="26"/>
      <c r="P42" s="26"/>
      <c r="Q42" s="26"/>
      <c r="R42" s="26"/>
      <c r="S42" s="26"/>
      <c r="T42" s="26"/>
      <c r="U42" s="26"/>
      <c r="V42" s="26"/>
      <c r="W42" s="26"/>
      <c r="X42" s="26">
        <f>COUNTIF($L$2:L42,"&lt;&gt;"&amp;"")</f>
        <v>5</v>
      </c>
      <c r="Y42" s="27">
        <f t="shared" si="4"/>
        <v>0</v>
      </c>
      <c r="Z42" s="28"/>
      <c r="AA42" s="29"/>
      <c r="AB42" s="30" t="b">
        <f>TRUE()</f>
        <v>1</v>
      </c>
      <c r="AC42" s="31">
        <f t="shared" si="5"/>
        <v>0</v>
      </c>
      <c r="AD42" s="35"/>
      <c r="AE42" s="35"/>
    </row>
    <row r="43" spans="1:31" ht="15" customHeight="1">
      <c r="A43" s="20">
        <f t="shared" si="3"/>
        <v>0</v>
      </c>
      <c r="B43" s="23"/>
      <c r="C43" s="23"/>
      <c r="D43" s="23"/>
      <c r="E43" s="23"/>
      <c r="F43" s="23"/>
      <c r="G43" s="23"/>
      <c r="H43" s="23"/>
      <c r="I43" s="23"/>
      <c r="J43" s="23"/>
      <c r="K43" s="23"/>
      <c r="L43" s="33"/>
      <c r="M43" s="33"/>
      <c r="N43" s="26"/>
      <c r="O43" s="26"/>
      <c r="P43" s="26"/>
      <c r="Q43" s="26"/>
      <c r="R43" s="26"/>
      <c r="S43" s="26"/>
      <c r="T43" s="26"/>
      <c r="U43" s="26"/>
      <c r="V43" s="26"/>
      <c r="W43" s="26"/>
      <c r="X43" s="26">
        <f>COUNTIF($L$2:L43,"&lt;&gt;"&amp;"")</f>
        <v>5</v>
      </c>
      <c r="Y43" s="27">
        <f t="shared" si="4"/>
        <v>0</v>
      </c>
      <c r="Z43" s="28"/>
      <c r="AA43" s="29"/>
      <c r="AB43" s="30" t="b">
        <f>TRUE()</f>
        <v>1</v>
      </c>
      <c r="AC43" s="31">
        <f t="shared" si="5"/>
        <v>0</v>
      </c>
      <c r="AD43" s="35"/>
      <c r="AE43" s="35"/>
    </row>
    <row r="44" spans="1:31" ht="15" customHeight="1">
      <c r="A44" s="20">
        <f t="shared" si="3"/>
        <v>0</v>
      </c>
      <c r="B44" s="23"/>
      <c r="C44" s="23"/>
      <c r="D44" s="23"/>
      <c r="E44" s="23"/>
      <c r="F44" s="23"/>
      <c r="G44" s="23"/>
      <c r="H44" s="23"/>
      <c r="I44" s="23"/>
      <c r="J44" s="23"/>
      <c r="K44" s="23"/>
      <c r="L44" s="33"/>
      <c r="M44" s="26"/>
      <c r="N44" s="26"/>
      <c r="O44" s="26"/>
      <c r="P44" s="26"/>
      <c r="Q44" s="26"/>
      <c r="R44" s="26"/>
      <c r="S44" s="26"/>
      <c r="T44" s="26"/>
      <c r="U44" s="26"/>
      <c r="V44" s="26"/>
      <c r="W44" s="26"/>
      <c r="X44" s="26">
        <f>COUNTIF($L$2:L44,"&lt;&gt;"&amp;"")</f>
        <v>5</v>
      </c>
      <c r="Y44" s="27">
        <f t="shared" si="4"/>
        <v>0</v>
      </c>
      <c r="Z44" s="28"/>
      <c r="AA44" s="29"/>
      <c r="AB44" s="30" t="b">
        <f>TRUE()</f>
        <v>1</v>
      </c>
      <c r="AC44" s="31">
        <f t="shared" si="5"/>
        <v>0</v>
      </c>
      <c r="AD44" s="35"/>
      <c r="AE44" s="35"/>
    </row>
    <row r="45" spans="1:31" ht="15" customHeight="1">
      <c r="A45" s="20">
        <f t="shared" si="3"/>
        <v>0</v>
      </c>
      <c r="B45" s="23"/>
      <c r="C45" s="23"/>
      <c r="D45" s="23"/>
      <c r="E45" s="23"/>
      <c r="F45" s="23"/>
      <c r="G45" s="23"/>
      <c r="H45" s="23"/>
      <c r="I45" s="23"/>
      <c r="J45" s="23"/>
      <c r="K45" s="23"/>
      <c r="L45" s="33"/>
      <c r="M45" s="26"/>
      <c r="N45" s="26"/>
      <c r="O45" s="26"/>
      <c r="P45" s="26"/>
      <c r="Q45" s="26"/>
      <c r="R45" s="26"/>
      <c r="S45" s="26"/>
      <c r="T45" s="26"/>
      <c r="U45" s="26"/>
      <c r="V45" s="26"/>
      <c r="W45" s="26"/>
      <c r="X45" s="26">
        <f>COUNTIF($L$2:L45,"&lt;&gt;"&amp;"")</f>
        <v>5</v>
      </c>
      <c r="Y45" s="27">
        <f t="shared" si="4"/>
        <v>0</v>
      </c>
      <c r="Z45" s="28"/>
      <c r="AA45" s="29"/>
      <c r="AB45" s="30" t="b">
        <f>TRUE()</f>
        <v>1</v>
      </c>
      <c r="AC45" s="31">
        <f t="shared" si="5"/>
        <v>0</v>
      </c>
      <c r="AD45" s="35"/>
      <c r="AE45" s="35"/>
    </row>
    <row r="46" spans="1:31" ht="15" customHeight="1">
      <c r="A46" s="20">
        <f t="shared" si="3"/>
        <v>0</v>
      </c>
      <c r="B46" s="23"/>
      <c r="C46" s="23"/>
      <c r="D46" s="23"/>
      <c r="E46" s="23"/>
      <c r="F46" s="23"/>
      <c r="G46" s="23"/>
      <c r="H46" s="23"/>
      <c r="I46" s="23"/>
      <c r="J46" s="23"/>
      <c r="K46" s="23"/>
      <c r="L46" s="33"/>
      <c r="M46" s="26"/>
      <c r="N46" s="26"/>
      <c r="O46" s="26"/>
      <c r="P46" s="26"/>
      <c r="Q46" s="26"/>
      <c r="R46" s="26"/>
      <c r="S46" s="26"/>
      <c r="T46" s="26"/>
      <c r="U46" s="26"/>
      <c r="V46" s="26"/>
      <c r="W46" s="26"/>
      <c r="X46" s="26">
        <f>COUNTIF($L$2:L46,"&lt;&gt;"&amp;"")</f>
        <v>5</v>
      </c>
      <c r="Y46" s="27">
        <f t="shared" si="4"/>
        <v>0</v>
      </c>
      <c r="Z46" s="28"/>
      <c r="AA46" s="29"/>
      <c r="AB46" s="30" t="b">
        <f>TRUE()</f>
        <v>1</v>
      </c>
      <c r="AC46" s="31">
        <f t="shared" si="5"/>
        <v>0</v>
      </c>
      <c r="AD46" s="35"/>
      <c r="AE46" s="35"/>
    </row>
    <row r="47" spans="1:31" ht="15" customHeight="1">
      <c r="A47" s="20">
        <f t="shared" si="3"/>
        <v>0</v>
      </c>
      <c r="B47" s="23"/>
      <c r="C47" s="23"/>
      <c r="D47" s="23"/>
      <c r="E47" s="23"/>
      <c r="F47" s="23"/>
      <c r="G47" s="23"/>
      <c r="H47" s="23"/>
      <c r="I47" s="23"/>
      <c r="J47" s="23"/>
      <c r="K47" s="23"/>
      <c r="L47" s="33"/>
      <c r="M47" s="26"/>
      <c r="N47" s="26"/>
      <c r="O47" s="26"/>
      <c r="P47" s="26"/>
      <c r="Q47" s="26"/>
      <c r="R47" s="26"/>
      <c r="S47" s="26"/>
      <c r="T47" s="26"/>
      <c r="U47" s="26"/>
      <c r="V47" s="26"/>
      <c r="W47" s="26"/>
      <c r="X47" s="26">
        <f>COUNTIF($L$2:L47,"&lt;&gt;"&amp;"")</f>
        <v>5</v>
      </c>
      <c r="Y47" s="27">
        <f t="shared" si="4"/>
        <v>0</v>
      </c>
      <c r="Z47" s="28"/>
      <c r="AA47" s="29"/>
      <c r="AB47" s="30" t="b">
        <f>TRUE()</f>
        <v>1</v>
      </c>
      <c r="AC47" s="31">
        <f t="shared" si="5"/>
        <v>0</v>
      </c>
      <c r="AD47" s="35"/>
      <c r="AE47" s="35"/>
    </row>
    <row r="48" spans="1:31" ht="15" customHeight="1">
      <c r="A48" s="20">
        <f t="shared" si="3"/>
        <v>0</v>
      </c>
      <c r="B48" s="23"/>
      <c r="C48" s="23"/>
      <c r="D48" s="23"/>
      <c r="E48" s="23"/>
      <c r="F48" s="23"/>
      <c r="G48" s="23"/>
      <c r="H48" s="23"/>
      <c r="I48" s="23"/>
      <c r="J48" s="23"/>
      <c r="K48" s="23"/>
      <c r="L48" s="33"/>
      <c r="M48" s="26"/>
      <c r="N48" s="26"/>
      <c r="O48" s="26"/>
      <c r="P48" s="26"/>
      <c r="Q48" s="26"/>
      <c r="R48" s="26"/>
      <c r="S48" s="26"/>
      <c r="T48" s="26"/>
      <c r="U48" s="26"/>
      <c r="V48" s="26"/>
      <c r="W48" s="26"/>
      <c r="X48" s="26">
        <f>COUNTIF($L$2:L48,"&lt;&gt;"&amp;"")</f>
        <v>5</v>
      </c>
      <c r="Y48" s="27">
        <f t="shared" si="4"/>
        <v>0</v>
      </c>
      <c r="Z48" s="28"/>
      <c r="AA48" s="29"/>
      <c r="AB48" s="30" t="b">
        <f>TRUE()</f>
        <v>1</v>
      </c>
      <c r="AC48" s="31">
        <f t="shared" si="5"/>
        <v>0</v>
      </c>
      <c r="AD48" s="42"/>
      <c r="AE48" s="42"/>
    </row>
    <row r="49" spans="1:31" ht="15" customHeight="1">
      <c r="A49" s="20">
        <f t="shared" si="3"/>
        <v>0</v>
      </c>
      <c r="B49" s="23"/>
      <c r="C49" s="23"/>
      <c r="D49" s="23"/>
      <c r="E49" s="23"/>
      <c r="F49" s="23"/>
      <c r="G49" s="23"/>
      <c r="H49" s="23"/>
      <c r="I49" s="23"/>
      <c r="J49" s="23"/>
      <c r="K49" s="23"/>
      <c r="L49" s="33"/>
      <c r="M49" s="26"/>
      <c r="N49" s="26"/>
      <c r="O49" s="26"/>
      <c r="P49" s="26"/>
      <c r="Q49" s="26"/>
      <c r="R49" s="26"/>
      <c r="S49" s="26"/>
      <c r="T49" s="26"/>
      <c r="U49" s="26"/>
      <c r="V49" s="26"/>
      <c r="W49" s="26"/>
      <c r="X49" s="26">
        <f>COUNTIF($L$2:L49,"&lt;&gt;"&amp;"")</f>
        <v>5</v>
      </c>
      <c r="Y49" s="27">
        <f t="shared" si="4"/>
        <v>0</v>
      </c>
      <c r="Z49" s="28"/>
      <c r="AA49" s="29"/>
      <c r="AB49" s="30" t="b">
        <f>TRUE()</f>
        <v>1</v>
      </c>
      <c r="AC49" s="31">
        <f t="shared" si="5"/>
        <v>0</v>
      </c>
      <c r="AD49" s="42"/>
      <c r="AE49" s="42"/>
    </row>
    <row r="50" spans="1:31" ht="15" customHeight="1">
      <c r="A50" s="20">
        <f t="shared" si="3"/>
        <v>0</v>
      </c>
      <c r="B50" s="23"/>
      <c r="C50" s="23"/>
      <c r="D50" s="23"/>
      <c r="E50" s="23"/>
      <c r="F50" s="23"/>
      <c r="G50" s="23"/>
      <c r="H50" s="23"/>
      <c r="I50" s="23"/>
      <c r="J50" s="23"/>
      <c r="K50" s="23"/>
      <c r="L50" s="33"/>
      <c r="M50" s="33"/>
      <c r="N50" s="26"/>
      <c r="O50" s="26"/>
      <c r="P50" s="26"/>
      <c r="Q50" s="26"/>
      <c r="R50" s="26"/>
      <c r="S50" s="26"/>
      <c r="T50" s="26"/>
      <c r="U50" s="26"/>
      <c r="V50" s="26"/>
      <c r="W50" s="26"/>
      <c r="X50" s="26">
        <f>COUNTIF($L$2:L50,"&lt;&gt;"&amp;"")</f>
        <v>5</v>
      </c>
      <c r="Y50" s="27">
        <f t="shared" si="4"/>
        <v>0</v>
      </c>
      <c r="Z50" s="28"/>
      <c r="AA50" s="29"/>
      <c r="AB50" s="30" t="b">
        <f>TRUE()</f>
        <v>1</v>
      </c>
      <c r="AC50" s="31">
        <f t="shared" si="5"/>
        <v>0</v>
      </c>
      <c r="AD50" s="42"/>
      <c r="AE50" s="42"/>
    </row>
    <row r="51" spans="1:31" ht="15" customHeight="1">
      <c r="A51" s="20">
        <f t="shared" si="3"/>
        <v>0</v>
      </c>
      <c r="B51" s="23"/>
      <c r="C51" s="23"/>
      <c r="D51" s="23"/>
      <c r="E51" s="23"/>
      <c r="F51" s="23"/>
      <c r="G51" s="23"/>
      <c r="H51" s="23"/>
      <c r="I51" s="23"/>
      <c r="J51" s="23"/>
      <c r="K51" s="23"/>
      <c r="L51" s="33"/>
      <c r="M51" s="26"/>
      <c r="N51" s="26"/>
      <c r="O51" s="26"/>
      <c r="P51" s="26"/>
      <c r="Q51" s="26"/>
      <c r="R51" s="26"/>
      <c r="S51" s="26"/>
      <c r="T51" s="26"/>
      <c r="U51" s="26"/>
      <c r="V51" s="26"/>
      <c r="W51" s="26"/>
      <c r="X51" s="26">
        <f>COUNTIF($L$2:L51,"&lt;&gt;"&amp;"")</f>
        <v>5</v>
      </c>
      <c r="Y51" s="27">
        <f t="shared" si="4"/>
        <v>0</v>
      </c>
      <c r="Z51" s="28"/>
      <c r="AA51" s="29"/>
      <c r="AB51" s="30" t="b">
        <f>TRUE()</f>
        <v>1</v>
      </c>
      <c r="AC51" s="31">
        <f t="shared" si="5"/>
        <v>0</v>
      </c>
      <c r="AD51" s="42"/>
      <c r="AE51" s="42"/>
    </row>
    <row r="52" spans="1:31" ht="15" customHeight="1">
      <c r="A52" s="20">
        <f t="shared" si="3"/>
        <v>0</v>
      </c>
      <c r="B52" s="23"/>
      <c r="C52" s="23"/>
      <c r="D52" s="23"/>
      <c r="E52" s="23"/>
      <c r="F52" s="23"/>
      <c r="G52" s="23"/>
      <c r="H52" s="23"/>
      <c r="I52" s="23"/>
      <c r="J52" s="23"/>
      <c r="K52" s="23"/>
      <c r="L52" s="33"/>
      <c r="M52" s="26"/>
      <c r="N52" s="26"/>
      <c r="O52" s="26"/>
      <c r="P52" s="26"/>
      <c r="Q52" s="26"/>
      <c r="R52" s="26"/>
      <c r="S52" s="26"/>
      <c r="T52" s="26"/>
      <c r="U52" s="26"/>
      <c r="V52" s="26"/>
      <c r="W52" s="26"/>
      <c r="X52" s="26">
        <f>COUNTIF($L$2:L52,"&lt;&gt;"&amp;"")</f>
        <v>5</v>
      </c>
      <c r="Y52" s="27">
        <f t="shared" si="4"/>
        <v>0</v>
      </c>
      <c r="Z52" s="28"/>
      <c r="AA52" s="29"/>
      <c r="AB52" s="30" t="b">
        <f>TRUE()</f>
        <v>1</v>
      </c>
      <c r="AC52" s="31">
        <f t="shared" si="5"/>
        <v>0</v>
      </c>
      <c r="AD52" s="42"/>
      <c r="AE52" s="42"/>
    </row>
    <row r="53" spans="1:31" ht="15" customHeight="1">
      <c r="A53" s="20">
        <f t="shared" si="3"/>
        <v>0</v>
      </c>
      <c r="B53" s="23"/>
      <c r="C53" s="23"/>
      <c r="D53" s="23"/>
      <c r="E53" s="23"/>
      <c r="F53" s="23"/>
      <c r="G53" s="23"/>
      <c r="H53" s="23"/>
      <c r="I53" s="23"/>
      <c r="J53" s="23"/>
      <c r="K53" s="23"/>
      <c r="L53" s="33"/>
      <c r="M53" s="33"/>
      <c r="N53" s="26"/>
      <c r="O53" s="26"/>
      <c r="P53" s="26"/>
      <c r="Q53" s="26"/>
      <c r="R53" s="26"/>
      <c r="S53" s="26"/>
      <c r="T53" s="26"/>
      <c r="U53" s="26"/>
      <c r="V53" s="26"/>
      <c r="W53" s="26"/>
      <c r="X53" s="26">
        <f>COUNTIF($L$2:L53,"&lt;&gt;"&amp;"")</f>
        <v>5</v>
      </c>
      <c r="Y53" s="27">
        <f t="shared" si="4"/>
        <v>0</v>
      </c>
      <c r="Z53" s="28"/>
      <c r="AA53" s="29"/>
      <c r="AB53" s="30" t="b">
        <f>TRUE()</f>
        <v>1</v>
      </c>
      <c r="AC53" s="31">
        <f t="shared" si="5"/>
        <v>0</v>
      </c>
      <c r="AD53" s="42"/>
      <c r="AE53" s="42"/>
    </row>
    <row r="54" spans="1:31" ht="15" customHeight="1">
      <c r="A54" s="20">
        <f t="shared" si="3"/>
        <v>0</v>
      </c>
      <c r="B54" s="23"/>
      <c r="C54" s="23"/>
      <c r="D54" s="23"/>
      <c r="E54" s="23"/>
      <c r="F54" s="23"/>
      <c r="G54" s="23"/>
      <c r="H54" s="23"/>
      <c r="I54" s="23"/>
      <c r="J54" s="23"/>
      <c r="K54" s="23"/>
      <c r="L54" s="33"/>
      <c r="M54" s="26"/>
      <c r="N54" s="26"/>
      <c r="O54" s="26"/>
      <c r="P54" s="26"/>
      <c r="Q54" s="26"/>
      <c r="R54" s="26"/>
      <c r="S54" s="26"/>
      <c r="T54" s="26"/>
      <c r="U54" s="26"/>
      <c r="V54" s="26"/>
      <c r="W54" s="26"/>
      <c r="X54" s="26">
        <f>COUNTIF($L$2:L54,"&lt;&gt;"&amp;"")</f>
        <v>5</v>
      </c>
      <c r="Y54" s="27">
        <f t="shared" si="4"/>
        <v>0</v>
      </c>
      <c r="Z54" s="28"/>
      <c r="AA54" s="29"/>
      <c r="AB54" s="30" t="b">
        <f>TRUE()</f>
        <v>1</v>
      </c>
      <c r="AC54" s="31">
        <f t="shared" si="5"/>
        <v>0</v>
      </c>
      <c r="AD54" s="42"/>
      <c r="AE54" s="42"/>
    </row>
    <row r="55" spans="1:31" ht="15" customHeight="1">
      <c r="A55" s="20">
        <f t="shared" si="3"/>
        <v>0</v>
      </c>
      <c r="B55" s="23"/>
      <c r="C55" s="23"/>
      <c r="D55" s="23"/>
      <c r="E55" s="23"/>
      <c r="F55" s="23"/>
      <c r="G55" s="23"/>
      <c r="H55" s="23"/>
      <c r="I55" s="23"/>
      <c r="J55" s="23"/>
      <c r="K55" s="23"/>
      <c r="L55" s="33"/>
      <c r="M55" s="26"/>
      <c r="N55" s="26"/>
      <c r="O55" s="26"/>
      <c r="P55" s="26"/>
      <c r="Q55" s="26"/>
      <c r="R55" s="26"/>
      <c r="S55" s="26"/>
      <c r="T55" s="26"/>
      <c r="U55" s="26"/>
      <c r="V55" s="26"/>
      <c r="W55" s="26"/>
      <c r="X55" s="26">
        <f>COUNTIF($L$2:L55,"&lt;&gt;"&amp;"")</f>
        <v>5</v>
      </c>
      <c r="Y55" s="27">
        <f t="shared" si="4"/>
        <v>0</v>
      </c>
      <c r="Z55" s="28"/>
      <c r="AA55" s="29"/>
      <c r="AB55" s="30" t="b">
        <f>TRUE()</f>
        <v>1</v>
      </c>
      <c r="AC55" s="31">
        <f t="shared" si="5"/>
        <v>0</v>
      </c>
      <c r="AD55" s="42"/>
      <c r="AE55" s="42"/>
    </row>
    <row r="56" spans="1:31" ht="15" customHeight="1">
      <c r="A56" s="20">
        <f t="shared" si="3"/>
        <v>0</v>
      </c>
      <c r="B56" s="23"/>
      <c r="C56" s="23"/>
      <c r="D56" s="23"/>
      <c r="E56" s="23"/>
      <c r="F56" s="23"/>
      <c r="G56" s="23"/>
      <c r="H56" s="23"/>
      <c r="I56" s="23"/>
      <c r="J56" s="23"/>
      <c r="K56" s="23"/>
      <c r="L56" s="33"/>
      <c r="M56" s="26"/>
      <c r="N56" s="26"/>
      <c r="O56" s="26"/>
      <c r="P56" s="26"/>
      <c r="Q56" s="26"/>
      <c r="R56" s="26"/>
      <c r="S56" s="26"/>
      <c r="T56" s="26"/>
      <c r="U56" s="26"/>
      <c r="V56" s="26"/>
      <c r="W56" s="26"/>
      <c r="X56" s="26">
        <f>COUNTIF($L$2:L56,"&lt;&gt;"&amp;"")</f>
        <v>5</v>
      </c>
      <c r="Y56" s="27">
        <f t="shared" si="4"/>
        <v>0</v>
      </c>
      <c r="Z56" s="28"/>
      <c r="AA56" s="29"/>
      <c r="AB56" s="30" t="b">
        <f>TRUE()</f>
        <v>1</v>
      </c>
      <c r="AC56" s="31">
        <f t="shared" si="5"/>
        <v>0</v>
      </c>
      <c r="AD56" s="42"/>
      <c r="AE56" s="42"/>
    </row>
    <row r="57" spans="1:31" ht="15" customHeight="1">
      <c r="A57" s="20">
        <f t="shared" si="3"/>
        <v>0</v>
      </c>
      <c r="B57" s="23"/>
      <c r="C57" s="23"/>
      <c r="D57" s="23"/>
      <c r="E57" s="23"/>
      <c r="F57" s="23"/>
      <c r="G57" s="23"/>
      <c r="H57" s="23"/>
      <c r="I57" s="23"/>
      <c r="J57" s="23"/>
      <c r="K57" s="23"/>
      <c r="L57" s="33"/>
      <c r="M57" s="26"/>
      <c r="N57" s="26"/>
      <c r="O57" s="26"/>
      <c r="P57" s="26"/>
      <c r="Q57" s="26"/>
      <c r="R57" s="26"/>
      <c r="S57" s="26"/>
      <c r="T57" s="26"/>
      <c r="U57" s="26"/>
      <c r="V57" s="26"/>
      <c r="W57" s="26"/>
      <c r="X57" s="26">
        <f>COUNTIF($L$2:L57,"&lt;&gt;"&amp;"")</f>
        <v>5</v>
      </c>
      <c r="Y57" s="27">
        <f t="shared" si="4"/>
        <v>0</v>
      </c>
      <c r="Z57" s="28"/>
      <c r="AA57" s="29"/>
      <c r="AB57" s="30" t="b">
        <f>TRUE()</f>
        <v>1</v>
      </c>
      <c r="AC57" s="31">
        <f t="shared" si="5"/>
        <v>0</v>
      </c>
      <c r="AD57" s="42"/>
      <c r="AE57" s="42"/>
    </row>
    <row r="58" spans="1:31" ht="15" customHeight="1">
      <c r="A58" s="20">
        <f t="shared" si="3"/>
        <v>0</v>
      </c>
      <c r="B58" s="23"/>
      <c r="C58" s="23"/>
      <c r="D58" s="23"/>
      <c r="E58" s="23"/>
      <c r="F58" s="23"/>
      <c r="G58" s="23"/>
      <c r="H58" s="23"/>
      <c r="I58" s="23"/>
      <c r="J58" s="23"/>
      <c r="K58" s="23"/>
      <c r="L58" s="33"/>
      <c r="M58" s="26"/>
      <c r="N58" s="26"/>
      <c r="O58" s="26"/>
      <c r="P58" s="26"/>
      <c r="Q58" s="26"/>
      <c r="R58" s="26"/>
      <c r="S58" s="26"/>
      <c r="T58" s="26"/>
      <c r="U58" s="26"/>
      <c r="V58" s="26"/>
      <c r="W58" s="26"/>
      <c r="X58" s="26">
        <f>COUNTIF($L$2:L58,"&lt;&gt;"&amp;"")</f>
        <v>5</v>
      </c>
      <c r="Y58" s="27">
        <f t="shared" si="4"/>
        <v>0</v>
      </c>
      <c r="Z58" s="28"/>
      <c r="AA58" s="29"/>
      <c r="AB58" s="30" t="b">
        <f>TRUE()</f>
        <v>1</v>
      </c>
      <c r="AC58" s="31">
        <f t="shared" si="5"/>
        <v>0</v>
      </c>
      <c r="AD58" s="42"/>
      <c r="AE58" s="42"/>
    </row>
    <row r="59" spans="1:31" ht="15" customHeight="1">
      <c r="A59" s="20">
        <f t="shared" si="3"/>
        <v>0</v>
      </c>
      <c r="B59" s="23"/>
      <c r="C59" s="23"/>
      <c r="D59" s="23"/>
      <c r="E59" s="23"/>
      <c r="F59" s="23"/>
      <c r="G59" s="23"/>
      <c r="H59" s="23"/>
      <c r="I59" s="23"/>
      <c r="J59" s="23"/>
      <c r="K59" s="23"/>
      <c r="L59" s="33"/>
      <c r="M59" s="26"/>
      <c r="N59" s="26"/>
      <c r="O59" s="26"/>
      <c r="P59" s="26"/>
      <c r="Q59" s="26"/>
      <c r="R59" s="26"/>
      <c r="S59" s="26"/>
      <c r="T59" s="26"/>
      <c r="U59" s="26"/>
      <c r="V59" s="26"/>
      <c r="W59" s="26"/>
      <c r="X59" s="26">
        <f>COUNTIF($L$2:L59,"&lt;&gt;"&amp;"")</f>
        <v>5</v>
      </c>
      <c r="Y59" s="27">
        <f t="shared" si="4"/>
        <v>0</v>
      </c>
      <c r="Z59" s="28"/>
      <c r="AA59" s="29"/>
      <c r="AB59" s="30" t="b">
        <f>TRUE()</f>
        <v>1</v>
      </c>
      <c r="AC59" s="31">
        <f t="shared" si="5"/>
        <v>0</v>
      </c>
      <c r="AD59" s="42"/>
      <c r="AE59" s="42"/>
    </row>
    <row r="60" spans="1:31" ht="15" customHeight="1">
      <c r="A60" s="20">
        <f t="shared" si="3"/>
        <v>0</v>
      </c>
      <c r="B60" s="23"/>
      <c r="C60" s="23"/>
      <c r="D60" s="23"/>
      <c r="E60" s="23"/>
      <c r="F60" s="23"/>
      <c r="G60" s="23"/>
      <c r="H60" s="23"/>
      <c r="I60" s="23"/>
      <c r="J60" s="23"/>
      <c r="K60" s="23"/>
      <c r="L60" s="33"/>
      <c r="M60" s="26"/>
      <c r="N60" s="26"/>
      <c r="O60" s="26"/>
      <c r="P60" s="26"/>
      <c r="Q60" s="26"/>
      <c r="R60" s="26"/>
      <c r="S60" s="26"/>
      <c r="T60" s="26"/>
      <c r="U60" s="26"/>
      <c r="V60" s="26"/>
      <c r="W60" s="26"/>
      <c r="X60" s="26">
        <f>COUNTIF($L$2:L60,"&lt;&gt;"&amp;"")</f>
        <v>5</v>
      </c>
      <c r="Y60" s="27">
        <f t="shared" si="4"/>
        <v>0</v>
      </c>
      <c r="Z60" s="28"/>
      <c r="AA60" s="29"/>
      <c r="AB60" s="30" t="b">
        <f>TRUE()</f>
        <v>1</v>
      </c>
      <c r="AC60" s="31">
        <f t="shared" si="5"/>
        <v>0</v>
      </c>
      <c r="AD60" s="42"/>
      <c r="AE60" s="42"/>
    </row>
    <row r="61" spans="1:31" ht="15" customHeight="1">
      <c r="A61" s="20">
        <f t="shared" si="3"/>
        <v>0</v>
      </c>
      <c r="B61" s="23"/>
      <c r="C61" s="23"/>
      <c r="D61" s="23"/>
      <c r="E61" s="23"/>
      <c r="F61" s="23"/>
      <c r="G61" s="23"/>
      <c r="H61" s="23"/>
      <c r="I61" s="23"/>
      <c r="J61" s="23"/>
      <c r="K61" s="23"/>
      <c r="L61" s="33"/>
      <c r="M61" s="26"/>
      <c r="N61" s="26"/>
      <c r="O61" s="26"/>
      <c r="P61" s="26"/>
      <c r="Q61" s="26"/>
      <c r="R61" s="26"/>
      <c r="S61" s="26"/>
      <c r="T61" s="26"/>
      <c r="U61" s="26"/>
      <c r="V61" s="26"/>
      <c r="W61" s="26"/>
      <c r="X61" s="26">
        <f>COUNTIF($L$2:L61,"&lt;&gt;"&amp;"")</f>
        <v>5</v>
      </c>
      <c r="Y61" s="27">
        <f t="shared" si="4"/>
        <v>0</v>
      </c>
      <c r="Z61" s="28"/>
      <c r="AA61" s="29"/>
      <c r="AB61" s="30" t="b">
        <f>TRUE()</f>
        <v>1</v>
      </c>
      <c r="AC61" s="31">
        <f t="shared" si="5"/>
        <v>0</v>
      </c>
      <c r="AD61" s="42"/>
      <c r="AE61" s="42"/>
    </row>
    <row r="62" spans="1:31" ht="15" customHeight="1">
      <c r="A62" s="20">
        <f t="shared" si="3"/>
        <v>0</v>
      </c>
      <c r="B62" s="23"/>
      <c r="C62" s="23"/>
      <c r="D62" s="23"/>
      <c r="E62" s="23"/>
      <c r="F62" s="23"/>
      <c r="G62" s="23"/>
      <c r="H62" s="23"/>
      <c r="I62" s="23"/>
      <c r="J62" s="23"/>
      <c r="K62" s="23"/>
      <c r="L62" s="33"/>
      <c r="M62" s="26"/>
      <c r="N62" s="26"/>
      <c r="O62" s="26"/>
      <c r="P62" s="26"/>
      <c r="Q62" s="26"/>
      <c r="R62" s="26"/>
      <c r="S62" s="26"/>
      <c r="T62" s="26"/>
      <c r="U62" s="26"/>
      <c r="V62" s="26"/>
      <c r="W62" s="26"/>
      <c r="X62" s="26">
        <f>COUNTIF($L$2:L62,"&lt;&gt;"&amp;"")</f>
        <v>5</v>
      </c>
      <c r="Y62" s="27">
        <f t="shared" si="4"/>
        <v>0</v>
      </c>
      <c r="Z62" s="28"/>
      <c r="AA62" s="29"/>
      <c r="AB62" s="30" t="b">
        <f>TRUE()</f>
        <v>1</v>
      </c>
      <c r="AC62" s="31">
        <f t="shared" si="5"/>
        <v>0</v>
      </c>
      <c r="AD62" s="42"/>
      <c r="AE62" s="42"/>
    </row>
    <row r="63" spans="1:31" ht="15" customHeight="1">
      <c r="A63" s="20">
        <f t="shared" si="3"/>
        <v>0</v>
      </c>
      <c r="B63" s="23"/>
      <c r="C63" s="23"/>
      <c r="D63" s="23"/>
      <c r="E63" s="23"/>
      <c r="F63" s="23"/>
      <c r="G63" s="23"/>
      <c r="H63" s="23"/>
      <c r="I63" s="23"/>
      <c r="J63" s="23"/>
      <c r="K63" s="23"/>
      <c r="L63" s="33"/>
      <c r="M63" s="26"/>
      <c r="N63" s="26"/>
      <c r="O63" s="26"/>
      <c r="P63" s="26"/>
      <c r="Q63" s="26"/>
      <c r="R63" s="26"/>
      <c r="S63" s="26"/>
      <c r="T63" s="26"/>
      <c r="U63" s="26"/>
      <c r="V63" s="26"/>
      <c r="W63" s="26"/>
      <c r="X63" s="26">
        <f>COUNTIF($L$2:L63,"&lt;&gt;"&amp;"")</f>
        <v>5</v>
      </c>
      <c r="Y63" s="27">
        <f t="shared" si="4"/>
        <v>0</v>
      </c>
      <c r="Z63" s="28"/>
      <c r="AA63" s="29"/>
      <c r="AB63" s="30" t="b">
        <f>TRUE()</f>
        <v>1</v>
      </c>
      <c r="AC63" s="31">
        <f t="shared" si="5"/>
        <v>0</v>
      </c>
      <c r="AD63" s="42"/>
      <c r="AE63" s="42"/>
    </row>
    <row r="64" spans="1:31" ht="15" customHeight="1">
      <c r="A64" s="20">
        <f t="shared" si="3"/>
        <v>0</v>
      </c>
      <c r="B64" s="23"/>
      <c r="C64" s="23"/>
      <c r="D64" s="23"/>
      <c r="E64" s="23"/>
      <c r="F64" s="23"/>
      <c r="G64" s="23"/>
      <c r="H64" s="23"/>
      <c r="I64" s="23"/>
      <c r="J64" s="23"/>
      <c r="K64" s="23"/>
      <c r="L64" s="33"/>
      <c r="M64" s="26"/>
      <c r="N64" s="26"/>
      <c r="O64" s="26"/>
      <c r="P64" s="26"/>
      <c r="Q64" s="26"/>
      <c r="R64" s="26"/>
      <c r="S64" s="26"/>
      <c r="T64" s="26"/>
      <c r="U64" s="26"/>
      <c r="V64" s="26"/>
      <c r="W64" s="26"/>
      <c r="X64" s="26">
        <f>COUNTIF($L$2:L64,"&lt;&gt;"&amp;"")</f>
        <v>5</v>
      </c>
      <c r="Y64" s="27">
        <f t="shared" si="4"/>
        <v>0</v>
      </c>
      <c r="Z64" s="28"/>
      <c r="AA64" s="29"/>
      <c r="AB64" s="30" t="b">
        <f>TRUE()</f>
        <v>1</v>
      </c>
      <c r="AC64" s="31">
        <f t="shared" si="5"/>
        <v>0</v>
      </c>
      <c r="AD64" s="35"/>
      <c r="AE64" s="35"/>
    </row>
    <row r="65" spans="1:31" ht="15" customHeight="1">
      <c r="A65" s="20">
        <f t="shared" si="3"/>
        <v>0</v>
      </c>
      <c r="B65" s="23"/>
      <c r="C65" s="23"/>
      <c r="D65" s="23"/>
      <c r="E65" s="23"/>
      <c r="F65" s="23"/>
      <c r="G65" s="23"/>
      <c r="H65" s="23"/>
      <c r="I65" s="23"/>
      <c r="J65" s="23"/>
      <c r="K65" s="23"/>
      <c r="L65" s="33"/>
      <c r="M65" s="26"/>
      <c r="N65" s="26"/>
      <c r="O65" s="26"/>
      <c r="P65" s="26"/>
      <c r="Q65" s="26"/>
      <c r="R65" s="26"/>
      <c r="S65" s="26"/>
      <c r="T65" s="26"/>
      <c r="U65" s="26"/>
      <c r="V65" s="26"/>
      <c r="W65" s="26"/>
      <c r="X65" s="26">
        <f>COUNTIF($L$2:L65,"&lt;&gt;"&amp;"")</f>
        <v>5</v>
      </c>
      <c r="Y65" s="27">
        <f t="shared" si="4"/>
        <v>0</v>
      </c>
      <c r="Z65" s="28"/>
      <c r="AA65" s="29"/>
      <c r="AB65" s="30" t="b">
        <f>TRUE()</f>
        <v>1</v>
      </c>
      <c r="AC65" s="31">
        <f t="shared" si="5"/>
        <v>0</v>
      </c>
      <c r="AD65" s="42"/>
      <c r="AE65" s="42"/>
    </row>
    <row r="66" spans="1:31" ht="15" customHeight="1">
      <c r="A66" s="20">
        <f t="shared" ref="A66:A97" si="6">(B66*$P$125+C66*$P$126+D66*$P$127+E66*$P$128+F66*$P$129+G66*$P$130+H66*$P$131+I66*$P$132+J66*$P$133+K66*$P$134)*$T$123</f>
        <v>0</v>
      </c>
      <c r="B66" s="23"/>
      <c r="C66" s="23"/>
      <c r="D66" s="23"/>
      <c r="E66" s="23"/>
      <c r="F66" s="23"/>
      <c r="G66" s="23"/>
      <c r="H66" s="23"/>
      <c r="I66" s="23"/>
      <c r="J66" s="23"/>
      <c r="K66" s="23"/>
      <c r="L66" s="33"/>
      <c r="M66" s="33"/>
      <c r="N66" s="26"/>
      <c r="O66" s="26"/>
      <c r="P66" s="26"/>
      <c r="Q66" s="26"/>
      <c r="R66" s="26"/>
      <c r="S66" s="26"/>
      <c r="T66" s="26"/>
      <c r="U66" s="26"/>
      <c r="V66" s="26"/>
      <c r="W66" s="26"/>
      <c r="X66" s="26">
        <f>COUNTIF($L$2:L66,"&lt;&gt;"&amp;"")</f>
        <v>5</v>
      </c>
      <c r="Y66" s="27">
        <f t="shared" ref="Y66:Y97" si="7">SUMIF($X$2:$X$120,X66,$A$2:$A$120)</f>
        <v>0</v>
      </c>
      <c r="Z66" s="28"/>
      <c r="AA66" s="29"/>
      <c r="AB66" s="30" t="b">
        <f>TRUE()</f>
        <v>1</v>
      </c>
      <c r="AC66" s="31">
        <f t="shared" ref="AC66:AC97" si="8">IF(L66="",0,IF(AB66=FALSE(),0,Y66))</f>
        <v>0</v>
      </c>
      <c r="AD66" s="42"/>
      <c r="AE66" s="42"/>
    </row>
    <row r="67" spans="1:31" ht="15" customHeight="1">
      <c r="A67" s="20">
        <f t="shared" si="6"/>
        <v>0</v>
      </c>
      <c r="B67" s="23"/>
      <c r="C67" s="23"/>
      <c r="D67" s="23"/>
      <c r="E67" s="23"/>
      <c r="F67" s="23"/>
      <c r="G67" s="23"/>
      <c r="H67" s="23"/>
      <c r="I67" s="23"/>
      <c r="J67" s="23"/>
      <c r="K67" s="23"/>
      <c r="L67" s="33"/>
      <c r="M67" s="26"/>
      <c r="N67" s="33"/>
      <c r="O67" s="26"/>
      <c r="P67" s="26"/>
      <c r="Q67" s="26"/>
      <c r="R67" s="26"/>
      <c r="S67" s="26"/>
      <c r="T67" s="26"/>
      <c r="U67" s="26"/>
      <c r="V67" s="26"/>
      <c r="W67" s="26"/>
      <c r="X67" s="26">
        <f>COUNTIF($L$2:L67,"&lt;&gt;"&amp;"")</f>
        <v>5</v>
      </c>
      <c r="Y67" s="27">
        <f t="shared" si="7"/>
        <v>0</v>
      </c>
      <c r="Z67" s="28"/>
      <c r="AA67" s="29"/>
      <c r="AB67" s="30" t="b">
        <f>TRUE()</f>
        <v>1</v>
      </c>
      <c r="AC67" s="31">
        <f t="shared" si="8"/>
        <v>0</v>
      </c>
      <c r="AD67" s="42"/>
      <c r="AE67" s="42"/>
    </row>
    <row r="68" spans="1:31" ht="15" customHeight="1">
      <c r="A68" s="20">
        <f t="shared" si="6"/>
        <v>0</v>
      </c>
      <c r="B68" s="23"/>
      <c r="C68" s="23"/>
      <c r="D68" s="23"/>
      <c r="E68" s="23"/>
      <c r="F68" s="23"/>
      <c r="G68" s="23"/>
      <c r="H68" s="23"/>
      <c r="I68" s="23"/>
      <c r="J68" s="23"/>
      <c r="K68" s="23"/>
      <c r="L68" s="33"/>
      <c r="M68" s="26"/>
      <c r="N68" s="26"/>
      <c r="O68" s="26"/>
      <c r="P68" s="26"/>
      <c r="Q68" s="26"/>
      <c r="R68" s="26"/>
      <c r="S68" s="26"/>
      <c r="T68" s="26"/>
      <c r="U68" s="26"/>
      <c r="V68" s="26"/>
      <c r="W68" s="26"/>
      <c r="X68" s="26">
        <f>COUNTIF($L$2:L68,"&lt;&gt;"&amp;"")</f>
        <v>5</v>
      </c>
      <c r="Y68" s="27">
        <f t="shared" si="7"/>
        <v>0</v>
      </c>
      <c r="Z68" s="28"/>
      <c r="AA68" s="29"/>
      <c r="AB68" s="30" t="b">
        <f>TRUE()</f>
        <v>1</v>
      </c>
      <c r="AC68" s="31">
        <f t="shared" si="8"/>
        <v>0</v>
      </c>
      <c r="AD68" s="42"/>
      <c r="AE68" s="42"/>
    </row>
    <row r="69" spans="1:31" ht="15" customHeight="1">
      <c r="A69" s="20">
        <f t="shared" si="6"/>
        <v>0</v>
      </c>
      <c r="B69" s="23"/>
      <c r="C69" s="23"/>
      <c r="D69" s="23"/>
      <c r="E69" s="23"/>
      <c r="F69" s="23"/>
      <c r="G69" s="23"/>
      <c r="H69" s="23"/>
      <c r="I69" s="23"/>
      <c r="J69" s="23"/>
      <c r="K69" s="23"/>
      <c r="L69" s="33"/>
      <c r="M69" s="26"/>
      <c r="N69" s="26"/>
      <c r="O69" s="26"/>
      <c r="P69" s="26"/>
      <c r="Q69" s="26"/>
      <c r="R69" s="26"/>
      <c r="S69" s="26"/>
      <c r="T69" s="26"/>
      <c r="U69" s="26"/>
      <c r="V69" s="26"/>
      <c r="W69" s="26"/>
      <c r="X69" s="26">
        <f>COUNTIF($L$2:L69,"&lt;&gt;"&amp;"")</f>
        <v>5</v>
      </c>
      <c r="Y69" s="27">
        <f t="shared" si="7"/>
        <v>0</v>
      </c>
      <c r="Z69" s="28"/>
      <c r="AA69" s="29"/>
      <c r="AB69" s="30" t="b">
        <f>TRUE()</f>
        <v>1</v>
      </c>
      <c r="AC69" s="31">
        <f t="shared" si="8"/>
        <v>0</v>
      </c>
      <c r="AD69" s="42"/>
      <c r="AE69" s="42"/>
    </row>
    <row r="70" spans="1:31" ht="15" customHeight="1">
      <c r="A70" s="20">
        <f t="shared" si="6"/>
        <v>0</v>
      </c>
      <c r="B70" s="23"/>
      <c r="C70" s="23"/>
      <c r="D70" s="23"/>
      <c r="E70" s="23"/>
      <c r="F70" s="23"/>
      <c r="G70" s="23"/>
      <c r="H70" s="23"/>
      <c r="I70" s="23"/>
      <c r="J70" s="23"/>
      <c r="K70" s="23"/>
      <c r="L70" s="33"/>
      <c r="M70" s="26"/>
      <c r="N70" s="26"/>
      <c r="O70" s="26"/>
      <c r="P70" s="26"/>
      <c r="Q70" s="26"/>
      <c r="R70" s="26"/>
      <c r="S70" s="26"/>
      <c r="T70" s="26"/>
      <c r="U70" s="26"/>
      <c r="V70" s="26"/>
      <c r="W70" s="26"/>
      <c r="X70" s="26">
        <f>COUNTIF($L$2:L70,"&lt;&gt;"&amp;"")</f>
        <v>5</v>
      </c>
      <c r="Y70" s="27">
        <f t="shared" si="7"/>
        <v>0</v>
      </c>
      <c r="Z70" s="28"/>
      <c r="AA70" s="29"/>
      <c r="AB70" s="30" t="b">
        <f>TRUE()</f>
        <v>1</v>
      </c>
      <c r="AC70" s="31">
        <f t="shared" si="8"/>
        <v>0</v>
      </c>
      <c r="AD70" s="42"/>
      <c r="AE70" s="42"/>
    </row>
    <row r="71" spans="1:31" ht="15" customHeight="1">
      <c r="A71" s="20">
        <f t="shared" si="6"/>
        <v>0</v>
      </c>
      <c r="B71" s="23"/>
      <c r="C71" s="23"/>
      <c r="D71" s="23"/>
      <c r="E71" s="23"/>
      <c r="F71" s="23"/>
      <c r="G71" s="23"/>
      <c r="H71" s="23"/>
      <c r="I71" s="23"/>
      <c r="J71" s="23"/>
      <c r="K71" s="23"/>
      <c r="L71" s="33"/>
      <c r="M71" s="26"/>
      <c r="N71" s="26"/>
      <c r="O71" s="26"/>
      <c r="P71" s="26"/>
      <c r="Q71" s="26"/>
      <c r="R71" s="26"/>
      <c r="S71" s="26"/>
      <c r="T71" s="26"/>
      <c r="U71" s="26"/>
      <c r="V71" s="26"/>
      <c r="W71" s="26"/>
      <c r="X71" s="26">
        <f>COUNTIF($L$2:L71,"&lt;&gt;"&amp;"")</f>
        <v>5</v>
      </c>
      <c r="Y71" s="27">
        <f t="shared" si="7"/>
        <v>0</v>
      </c>
      <c r="Z71" s="28"/>
      <c r="AA71" s="29"/>
      <c r="AB71" s="30" t="b">
        <f>TRUE()</f>
        <v>1</v>
      </c>
      <c r="AC71" s="31">
        <f t="shared" si="8"/>
        <v>0</v>
      </c>
      <c r="AD71" s="42"/>
      <c r="AE71" s="42"/>
    </row>
    <row r="72" spans="1:31" ht="15" customHeight="1">
      <c r="A72" s="20">
        <f t="shared" si="6"/>
        <v>0</v>
      </c>
      <c r="B72" s="23"/>
      <c r="C72" s="23"/>
      <c r="D72" s="23"/>
      <c r="E72" s="23"/>
      <c r="F72" s="23"/>
      <c r="G72" s="23"/>
      <c r="H72" s="23"/>
      <c r="I72" s="23"/>
      <c r="J72" s="23"/>
      <c r="K72" s="23"/>
      <c r="L72" s="33"/>
      <c r="M72" s="26"/>
      <c r="N72" s="26"/>
      <c r="O72" s="26"/>
      <c r="P72" s="26"/>
      <c r="Q72" s="26"/>
      <c r="R72" s="26"/>
      <c r="S72" s="26"/>
      <c r="T72" s="26"/>
      <c r="U72" s="26"/>
      <c r="V72" s="26"/>
      <c r="W72" s="26"/>
      <c r="X72" s="26">
        <f>COUNTIF($L$2:L72,"&lt;&gt;"&amp;"")</f>
        <v>5</v>
      </c>
      <c r="Y72" s="27">
        <f t="shared" si="7"/>
        <v>0</v>
      </c>
      <c r="Z72" s="28"/>
      <c r="AA72" s="29"/>
      <c r="AB72" s="30" t="b">
        <f>TRUE()</f>
        <v>1</v>
      </c>
      <c r="AC72" s="31">
        <f t="shared" si="8"/>
        <v>0</v>
      </c>
      <c r="AD72" s="42"/>
      <c r="AE72" s="42"/>
    </row>
    <row r="73" spans="1:31" ht="15" customHeight="1">
      <c r="A73" s="20">
        <f t="shared" si="6"/>
        <v>0</v>
      </c>
      <c r="B73" s="23"/>
      <c r="C73" s="23"/>
      <c r="D73" s="23"/>
      <c r="E73" s="23"/>
      <c r="F73" s="23"/>
      <c r="G73" s="23"/>
      <c r="H73" s="23"/>
      <c r="I73" s="23"/>
      <c r="J73" s="23"/>
      <c r="K73" s="23"/>
      <c r="L73" s="33"/>
      <c r="M73" s="26"/>
      <c r="N73" s="26"/>
      <c r="O73" s="26"/>
      <c r="P73" s="26"/>
      <c r="Q73" s="26"/>
      <c r="R73" s="26"/>
      <c r="S73" s="26"/>
      <c r="T73" s="26"/>
      <c r="U73" s="26"/>
      <c r="V73" s="26"/>
      <c r="W73" s="26"/>
      <c r="X73" s="26">
        <f>COUNTIF($L$2:L73,"&lt;&gt;"&amp;"")</f>
        <v>5</v>
      </c>
      <c r="Y73" s="27">
        <f t="shared" si="7"/>
        <v>0</v>
      </c>
      <c r="Z73" s="28"/>
      <c r="AA73" s="29"/>
      <c r="AB73" s="30" t="b">
        <f>TRUE()</f>
        <v>1</v>
      </c>
      <c r="AC73" s="31">
        <f t="shared" si="8"/>
        <v>0</v>
      </c>
      <c r="AD73" s="42"/>
      <c r="AE73" s="42"/>
    </row>
    <row r="74" spans="1:31" ht="15" customHeight="1">
      <c r="A74" s="20">
        <f t="shared" si="6"/>
        <v>0</v>
      </c>
      <c r="B74" s="23"/>
      <c r="C74" s="23"/>
      <c r="D74" s="23"/>
      <c r="E74" s="23"/>
      <c r="F74" s="23"/>
      <c r="G74" s="23"/>
      <c r="H74" s="23"/>
      <c r="I74" s="23"/>
      <c r="J74" s="23"/>
      <c r="K74" s="23"/>
      <c r="L74" s="33"/>
      <c r="M74" s="33"/>
      <c r="N74" s="26"/>
      <c r="O74" s="26"/>
      <c r="P74" s="26"/>
      <c r="Q74" s="26"/>
      <c r="R74" s="26"/>
      <c r="S74" s="26"/>
      <c r="T74" s="26"/>
      <c r="U74" s="26"/>
      <c r="V74" s="26"/>
      <c r="W74" s="26"/>
      <c r="X74" s="26">
        <f>COUNTIF($L$2:L74,"&lt;&gt;"&amp;"")</f>
        <v>5</v>
      </c>
      <c r="Y74" s="27">
        <f t="shared" si="7"/>
        <v>0</v>
      </c>
      <c r="Z74" s="28"/>
      <c r="AA74" s="29"/>
      <c r="AB74" s="30" t="b">
        <f>TRUE()</f>
        <v>1</v>
      </c>
      <c r="AC74" s="31">
        <f t="shared" si="8"/>
        <v>0</v>
      </c>
      <c r="AD74" s="42"/>
      <c r="AE74" s="42"/>
    </row>
    <row r="75" spans="1:31" ht="15" customHeight="1">
      <c r="A75" s="20">
        <f t="shared" si="6"/>
        <v>0</v>
      </c>
      <c r="B75" s="23"/>
      <c r="C75" s="23"/>
      <c r="D75" s="23"/>
      <c r="E75" s="23"/>
      <c r="F75" s="23"/>
      <c r="G75" s="23"/>
      <c r="H75" s="23"/>
      <c r="I75" s="23"/>
      <c r="J75" s="23"/>
      <c r="K75" s="23"/>
      <c r="L75" s="33"/>
      <c r="M75" s="26"/>
      <c r="N75" s="26"/>
      <c r="O75" s="26"/>
      <c r="P75" s="26"/>
      <c r="Q75" s="26"/>
      <c r="R75" s="26"/>
      <c r="S75" s="26"/>
      <c r="T75" s="26"/>
      <c r="U75" s="26"/>
      <c r="V75" s="26"/>
      <c r="W75" s="26"/>
      <c r="X75" s="26">
        <f>COUNTIF($L$2:L75,"&lt;&gt;"&amp;"")</f>
        <v>5</v>
      </c>
      <c r="Y75" s="27">
        <f t="shared" si="7"/>
        <v>0</v>
      </c>
      <c r="Z75" s="28"/>
      <c r="AA75" s="29"/>
      <c r="AB75" s="30" t="b">
        <f>TRUE()</f>
        <v>1</v>
      </c>
      <c r="AC75" s="31">
        <f t="shared" si="8"/>
        <v>0</v>
      </c>
      <c r="AD75" s="35"/>
      <c r="AE75" s="35"/>
    </row>
    <row r="76" spans="1:31" ht="15" customHeight="1">
      <c r="A76" s="20">
        <f t="shared" si="6"/>
        <v>0</v>
      </c>
      <c r="B76" s="23"/>
      <c r="C76" s="23"/>
      <c r="D76" s="23"/>
      <c r="E76" s="23"/>
      <c r="F76" s="23"/>
      <c r="G76" s="23"/>
      <c r="H76" s="23"/>
      <c r="I76" s="23"/>
      <c r="J76" s="23"/>
      <c r="K76" s="23"/>
      <c r="L76" s="33"/>
      <c r="M76" s="26"/>
      <c r="N76" s="26"/>
      <c r="O76" s="26"/>
      <c r="P76" s="26"/>
      <c r="Q76" s="26"/>
      <c r="R76" s="26"/>
      <c r="S76" s="26"/>
      <c r="T76" s="26"/>
      <c r="U76" s="26"/>
      <c r="V76" s="26"/>
      <c r="W76" s="26"/>
      <c r="X76" s="26">
        <f>COUNTIF($L$2:L76,"&lt;&gt;"&amp;"")</f>
        <v>5</v>
      </c>
      <c r="Y76" s="27">
        <f t="shared" si="7"/>
        <v>0</v>
      </c>
      <c r="Z76" s="28"/>
      <c r="AA76" s="29"/>
      <c r="AB76" s="30" t="b">
        <f>TRUE()</f>
        <v>1</v>
      </c>
      <c r="AC76" s="31">
        <f t="shared" si="8"/>
        <v>0</v>
      </c>
      <c r="AD76" s="35"/>
      <c r="AE76" s="35"/>
    </row>
    <row r="77" spans="1:31" ht="15" customHeight="1">
      <c r="A77" s="20">
        <f t="shared" si="6"/>
        <v>0</v>
      </c>
      <c r="B77" s="23"/>
      <c r="C77" s="23"/>
      <c r="D77" s="23"/>
      <c r="E77" s="23"/>
      <c r="F77" s="23"/>
      <c r="G77" s="23"/>
      <c r="H77" s="23"/>
      <c r="I77" s="23"/>
      <c r="J77" s="23"/>
      <c r="K77" s="23"/>
      <c r="L77" s="33"/>
      <c r="M77" s="26"/>
      <c r="N77" s="26"/>
      <c r="O77" s="26"/>
      <c r="P77" s="26"/>
      <c r="Q77" s="26"/>
      <c r="R77" s="26"/>
      <c r="S77" s="26"/>
      <c r="T77" s="26"/>
      <c r="U77" s="26"/>
      <c r="V77" s="26"/>
      <c r="W77" s="26"/>
      <c r="X77" s="26">
        <f>COUNTIF($L$2:L77,"&lt;&gt;"&amp;"")</f>
        <v>5</v>
      </c>
      <c r="Y77" s="27">
        <f t="shared" si="7"/>
        <v>0</v>
      </c>
      <c r="Z77" s="28"/>
      <c r="AA77" s="29"/>
      <c r="AB77" s="30" t="b">
        <f>TRUE()</f>
        <v>1</v>
      </c>
      <c r="AC77" s="31">
        <f t="shared" si="8"/>
        <v>0</v>
      </c>
      <c r="AD77" s="35"/>
      <c r="AE77" s="35"/>
    </row>
    <row r="78" spans="1:31" ht="15" customHeight="1">
      <c r="A78" s="20">
        <f t="shared" si="6"/>
        <v>0</v>
      </c>
      <c r="B78" s="23"/>
      <c r="C78" s="23"/>
      <c r="D78" s="23"/>
      <c r="E78" s="23"/>
      <c r="F78" s="23"/>
      <c r="G78" s="23"/>
      <c r="H78" s="23"/>
      <c r="I78" s="23"/>
      <c r="J78" s="23"/>
      <c r="K78" s="23"/>
      <c r="L78" s="33"/>
      <c r="M78" s="26"/>
      <c r="N78" s="26"/>
      <c r="O78" s="26"/>
      <c r="P78" s="26"/>
      <c r="Q78" s="26"/>
      <c r="R78" s="26"/>
      <c r="S78" s="26"/>
      <c r="T78" s="26"/>
      <c r="U78" s="26"/>
      <c r="V78" s="26"/>
      <c r="W78" s="26"/>
      <c r="X78" s="26">
        <f>COUNTIF($L$2:L78,"&lt;&gt;"&amp;"")</f>
        <v>5</v>
      </c>
      <c r="Y78" s="27">
        <f t="shared" si="7"/>
        <v>0</v>
      </c>
      <c r="Z78" s="28"/>
      <c r="AA78" s="29"/>
      <c r="AB78" s="30" t="b">
        <f>TRUE()</f>
        <v>1</v>
      </c>
      <c r="AC78" s="31">
        <f t="shared" si="8"/>
        <v>0</v>
      </c>
      <c r="AD78" s="35"/>
      <c r="AE78" s="35"/>
    </row>
    <row r="79" spans="1:31" ht="15" customHeight="1">
      <c r="A79" s="20">
        <f t="shared" si="6"/>
        <v>0</v>
      </c>
      <c r="B79" s="23"/>
      <c r="C79" s="23"/>
      <c r="D79" s="23"/>
      <c r="E79" s="23"/>
      <c r="F79" s="23"/>
      <c r="G79" s="23"/>
      <c r="H79" s="23"/>
      <c r="I79" s="23"/>
      <c r="J79" s="23"/>
      <c r="K79" s="23"/>
      <c r="L79" s="33"/>
      <c r="M79" s="26"/>
      <c r="N79" s="26"/>
      <c r="O79" s="26"/>
      <c r="P79" s="26"/>
      <c r="Q79" s="26"/>
      <c r="R79" s="26"/>
      <c r="S79" s="26"/>
      <c r="T79" s="26"/>
      <c r="U79" s="26"/>
      <c r="V79" s="26"/>
      <c r="W79" s="26"/>
      <c r="X79" s="26">
        <f>COUNTIF($L$2:L79,"&lt;&gt;"&amp;"")</f>
        <v>5</v>
      </c>
      <c r="Y79" s="27">
        <f t="shared" si="7"/>
        <v>0</v>
      </c>
      <c r="Z79" s="28"/>
      <c r="AA79" s="29"/>
      <c r="AB79" s="30" t="b">
        <f>TRUE()</f>
        <v>1</v>
      </c>
      <c r="AC79" s="31">
        <f t="shared" si="8"/>
        <v>0</v>
      </c>
      <c r="AD79" s="35"/>
      <c r="AE79" s="35"/>
    </row>
    <row r="80" spans="1:31" ht="15" customHeight="1">
      <c r="A80" s="20">
        <f t="shared" si="6"/>
        <v>0</v>
      </c>
      <c r="B80" s="23"/>
      <c r="C80" s="23"/>
      <c r="D80" s="23"/>
      <c r="E80" s="23"/>
      <c r="F80" s="23"/>
      <c r="G80" s="23"/>
      <c r="H80" s="23"/>
      <c r="I80" s="23"/>
      <c r="J80" s="23"/>
      <c r="K80" s="23"/>
      <c r="L80" s="33"/>
      <c r="M80" s="26"/>
      <c r="N80" s="26"/>
      <c r="O80" s="26"/>
      <c r="P80" s="26"/>
      <c r="Q80" s="26"/>
      <c r="R80" s="26"/>
      <c r="S80" s="26"/>
      <c r="T80" s="26"/>
      <c r="U80" s="26"/>
      <c r="V80" s="26"/>
      <c r="W80" s="26"/>
      <c r="X80" s="26">
        <f>COUNTIF($L$2:L80,"&lt;&gt;"&amp;"")</f>
        <v>5</v>
      </c>
      <c r="Y80" s="27">
        <f t="shared" si="7"/>
        <v>0</v>
      </c>
      <c r="Z80" s="28"/>
      <c r="AA80" s="29"/>
      <c r="AB80" s="30" t="b">
        <f>TRUE()</f>
        <v>1</v>
      </c>
      <c r="AC80" s="31">
        <f t="shared" si="8"/>
        <v>0</v>
      </c>
      <c r="AD80" s="23"/>
      <c r="AE80" s="23"/>
    </row>
    <row r="81" spans="1:31" ht="15" customHeight="1">
      <c r="A81" s="20">
        <f t="shared" si="6"/>
        <v>0</v>
      </c>
      <c r="B81" s="23"/>
      <c r="C81" s="23"/>
      <c r="D81" s="23"/>
      <c r="E81" s="23"/>
      <c r="F81" s="23"/>
      <c r="G81" s="23"/>
      <c r="H81" s="23"/>
      <c r="I81" s="23"/>
      <c r="J81" s="23"/>
      <c r="K81" s="23"/>
      <c r="L81" s="33"/>
      <c r="M81" s="26"/>
      <c r="N81" s="26"/>
      <c r="O81" s="26"/>
      <c r="P81" s="26"/>
      <c r="Q81" s="26"/>
      <c r="R81" s="26"/>
      <c r="S81" s="26"/>
      <c r="T81" s="26"/>
      <c r="U81" s="26"/>
      <c r="V81" s="26"/>
      <c r="W81" s="26"/>
      <c r="X81" s="26">
        <f>COUNTIF($L$2:L81,"&lt;&gt;"&amp;"")</f>
        <v>5</v>
      </c>
      <c r="Y81" s="27">
        <f t="shared" si="7"/>
        <v>0</v>
      </c>
      <c r="Z81" s="28"/>
      <c r="AA81" s="29"/>
      <c r="AB81" s="30" t="b">
        <f>TRUE()</f>
        <v>1</v>
      </c>
      <c r="AC81" s="31">
        <f t="shared" si="8"/>
        <v>0</v>
      </c>
      <c r="AD81" s="23"/>
      <c r="AE81" s="23"/>
    </row>
    <row r="82" spans="1:31" ht="15" customHeight="1">
      <c r="A82" s="20">
        <f t="shared" si="6"/>
        <v>0</v>
      </c>
      <c r="B82" s="23"/>
      <c r="C82" s="23"/>
      <c r="D82" s="23"/>
      <c r="E82" s="23"/>
      <c r="F82" s="23"/>
      <c r="G82" s="23"/>
      <c r="H82" s="23"/>
      <c r="I82" s="23"/>
      <c r="J82" s="23"/>
      <c r="K82" s="23"/>
      <c r="L82" s="33"/>
      <c r="M82" s="26"/>
      <c r="N82" s="26"/>
      <c r="O82" s="26"/>
      <c r="P82" s="26"/>
      <c r="Q82" s="26"/>
      <c r="R82" s="26"/>
      <c r="S82" s="26"/>
      <c r="T82" s="26"/>
      <c r="U82" s="26"/>
      <c r="V82" s="26"/>
      <c r="W82" s="26"/>
      <c r="X82" s="26">
        <f>COUNTIF($L$2:L82,"&lt;&gt;"&amp;"")</f>
        <v>5</v>
      </c>
      <c r="Y82" s="27">
        <f t="shared" si="7"/>
        <v>0</v>
      </c>
      <c r="Z82" s="28"/>
      <c r="AA82" s="29"/>
      <c r="AB82" s="30" t="b">
        <f>TRUE()</f>
        <v>1</v>
      </c>
      <c r="AC82" s="31">
        <f t="shared" si="8"/>
        <v>0</v>
      </c>
      <c r="AD82" s="23"/>
      <c r="AE82" s="23"/>
    </row>
    <row r="83" spans="1:31" ht="15" customHeight="1">
      <c r="A83" s="20">
        <f t="shared" si="6"/>
        <v>0</v>
      </c>
      <c r="B83" s="23"/>
      <c r="C83" s="23"/>
      <c r="D83" s="23"/>
      <c r="E83" s="23"/>
      <c r="F83" s="23"/>
      <c r="G83" s="23"/>
      <c r="H83" s="23"/>
      <c r="I83" s="23"/>
      <c r="J83" s="23"/>
      <c r="K83" s="23"/>
      <c r="L83" s="33"/>
      <c r="M83" s="26"/>
      <c r="N83" s="26"/>
      <c r="O83" s="26"/>
      <c r="P83" s="26"/>
      <c r="Q83" s="26"/>
      <c r="R83" s="26"/>
      <c r="S83" s="26"/>
      <c r="T83" s="26"/>
      <c r="U83" s="26"/>
      <c r="V83" s="26"/>
      <c r="W83" s="26"/>
      <c r="X83" s="26">
        <f>COUNTIF($L$2:L83,"&lt;&gt;"&amp;"")</f>
        <v>5</v>
      </c>
      <c r="Y83" s="27">
        <f t="shared" si="7"/>
        <v>0</v>
      </c>
      <c r="Z83" s="28"/>
      <c r="AA83" s="29"/>
      <c r="AB83" s="30" t="b">
        <f>TRUE()</f>
        <v>1</v>
      </c>
      <c r="AC83" s="31">
        <f t="shared" si="8"/>
        <v>0</v>
      </c>
      <c r="AD83" s="23"/>
      <c r="AE83" s="23"/>
    </row>
    <row r="84" spans="1:31" ht="15" customHeight="1">
      <c r="A84" s="20">
        <f t="shared" si="6"/>
        <v>0</v>
      </c>
      <c r="B84" s="23"/>
      <c r="C84" s="23"/>
      <c r="D84" s="23"/>
      <c r="E84" s="23"/>
      <c r="F84" s="23"/>
      <c r="G84" s="23"/>
      <c r="H84" s="23"/>
      <c r="I84" s="23"/>
      <c r="J84" s="23"/>
      <c r="K84" s="23"/>
      <c r="L84" s="33"/>
      <c r="M84" s="26"/>
      <c r="N84" s="26"/>
      <c r="O84" s="26"/>
      <c r="P84" s="26"/>
      <c r="Q84" s="26"/>
      <c r="R84" s="26"/>
      <c r="S84" s="26"/>
      <c r="T84" s="26"/>
      <c r="U84" s="26"/>
      <c r="V84" s="26"/>
      <c r="W84" s="26"/>
      <c r="X84" s="26">
        <f>COUNTIF($L$2:L84,"&lt;&gt;"&amp;"")</f>
        <v>5</v>
      </c>
      <c r="Y84" s="27">
        <f t="shared" si="7"/>
        <v>0</v>
      </c>
      <c r="Z84" s="28"/>
      <c r="AA84" s="29"/>
      <c r="AB84" s="30" t="b">
        <f>TRUE()</f>
        <v>1</v>
      </c>
      <c r="AC84" s="31">
        <f t="shared" si="8"/>
        <v>0</v>
      </c>
      <c r="AD84" s="23"/>
      <c r="AE84" s="23"/>
    </row>
    <row r="85" spans="1:31" ht="15" customHeight="1">
      <c r="A85" s="20">
        <f t="shared" si="6"/>
        <v>0</v>
      </c>
      <c r="B85" s="23"/>
      <c r="C85" s="23"/>
      <c r="D85" s="23"/>
      <c r="E85" s="23"/>
      <c r="F85" s="23"/>
      <c r="G85" s="23"/>
      <c r="H85" s="23"/>
      <c r="I85" s="23"/>
      <c r="J85" s="23"/>
      <c r="K85" s="23"/>
      <c r="L85" s="33"/>
      <c r="M85" s="26"/>
      <c r="N85" s="26"/>
      <c r="O85" s="26"/>
      <c r="P85" s="26"/>
      <c r="Q85" s="26"/>
      <c r="R85" s="26"/>
      <c r="S85" s="26"/>
      <c r="T85" s="26"/>
      <c r="U85" s="26"/>
      <c r="V85" s="26"/>
      <c r="W85" s="26"/>
      <c r="X85" s="26">
        <f>COUNTIF($L$2:L85,"&lt;&gt;"&amp;"")</f>
        <v>5</v>
      </c>
      <c r="Y85" s="27">
        <f t="shared" si="7"/>
        <v>0</v>
      </c>
      <c r="Z85" s="28"/>
      <c r="AA85" s="29"/>
      <c r="AB85" s="30" t="b">
        <f>TRUE()</f>
        <v>1</v>
      </c>
      <c r="AC85" s="31">
        <f t="shared" si="8"/>
        <v>0</v>
      </c>
      <c r="AD85" s="42"/>
      <c r="AE85" s="42"/>
    </row>
    <row r="86" spans="1:31" ht="15" customHeight="1">
      <c r="A86" s="20">
        <f t="shared" si="6"/>
        <v>0</v>
      </c>
      <c r="B86" s="23"/>
      <c r="C86" s="23"/>
      <c r="D86" s="23"/>
      <c r="E86" s="23"/>
      <c r="F86" s="23"/>
      <c r="G86" s="23"/>
      <c r="H86" s="23"/>
      <c r="I86" s="23"/>
      <c r="J86" s="23"/>
      <c r="K86" s="23"/>
      <c r="L86" s="33"/>
      <c r="M86" s="26"/>
      <c r="N86" s="26"/>
      <c r="O86" s="26"/>
      <c r="P86" s="26"/>
      <c r="Q86" s="26"/>
      <c r="R86" s="26"/>
      <c r="S86" s="26"/>
      <c r="T86" s="26"/>
      <c r="U86" s="26"/>
      <c r="V86" s="26"/>
      <c r="W86" s="26"/>
      <c r="X86" s="26">
        <f>COUNTIF($L$2:L86,"&lt;&gt;"&amp;"")</f>
        <v>5</v>
      </c>
      <c r="Y86" s="27">
        <f t="shared" si="7"/>
        <v>0</v>
      </c>
      <c r="Z86" s="28"/>
      <c r="AA86" s="29"/>
      <c r="AB86" s="30" t="b">
        <f>TRUE()</f>
        <v>1</v>
      </c>
      <c r="AC86" s="31">
        <f t="shared" si="8"/>
        <v>0</v>
      </c>
      <c r="AD86" s="42"/>
      <c r="AE86" s="42"/>
    </row>
    <row r="87" spans="1:31" ht="15" customHeight="1">
      <c r="A87" s="20">
        <f t="shared" si="6"/>
        <v>0</v>
      </c>
      <c r="B87" s="23"/>
      <c r="C87" s="23"/>
      <c r="D87" s="23"/>
      <c r="E87" s="23"/>
      <c r="F87" s="23"/>
      <c r="G87" s="23"/>
      <c r="H87" s="23"/>
      <c r="I87" s="23"/>
      <c r="J87" s="23"/>
      <c r="K87" s="23"/>
      <c r="L87" s="33"/>
      <c r="M87" s="26"/>
      <c r="N87" s="26"/>
      <c r="O87" s="26"/>
      <c r="P87" s="26"/>
      <c r="Q87" s="26"/>
      <c r="R87" s="26"/>
      <c r="S87" s="26"/>
      <c r="T87" s="26"/>
      <c r="U87" s="26"/>
      <c r="V87" s="26"/>
      <c r="W87" s="26"/>
      <c r="X87" s="26">
        <f>COUNTIF($L$2:L87,"&lt;&gt;"&amp;"")</f>
        <v>5</v>
      </c>
      <c r="Y87" s="27">
        <f t="shared" si="7"/>
        <v>0</v>
      </c>
      <c r="Z87" s="28"/>
      <c r="AA87" s="29"/>
      <c r="AB87" s="30" t="b">
        <f>TRUE()</f>
        <v>1</v>
      </c>
      <c r="AC87" s="31">
        <f t="shared" si="8"/>
        <v>0</v>
      </c>
      <c r="AD87" s="42"/>
      <c r="AE87" s="42"/>
    </row>
    <row r="88" spans="1:31" ht="15" customHeight="1">
      <c r="A88" s="20">
        <f t="shared" si="6"/>
        <v>0</v>
      </c>
      <c r="B88" s="23"/>
      <c r="C88" s="23"/>
      <c r="D88" s="23"/>
      <c r="E88" s="23"/>
      <c r="F88" s="23"/>
      <c r="G88" s="23"/>
      <c r="H88" s="23"/>
      <c r="I88" s="23"/>
      <c r="J88" s="23"/>
      <c r="K88" s="23"/>
      <c r="L88" s="33"/>
      <c r="M88" s="26"/>
      <c r="N88" s="26"/>
      <c r="O88" s="26"/>
      <c r="P88" s="26"/>
      <c r="Q88" s="26"/>
      <c r="R88" s="26"/>
      <c r="S88" s="26"/>
      <c r="T88" s="26"/>
      <c r="U88" s="26"/>
      <c r="V88" s="26"/>
      <c r="W88" s="26"/>
      <c r="X88" s="26">
        <f>COUNTIF($L$2:L88,"&lt;&gt;"&amp;"")</f>
        <v>5</v>
      </c>
      <c r="Y88" s="27">
        <f t="shared" si="7"/>
        <v>0</v>
      </c>
      <c r="Z88" s="28"/>
      <c r="AA88" s="29"/>
      <c r="AB88" s="30" t="b">
        <f>TRUE()</f>
        <v>1</v>
      </c>
      <c r="AC88" s="31">
        <f t="shared" si="8"/>
        <v>0</v>
      </c>
      <c r="AD88" s="42"/>
      <c r="AE88" s="42"/>
    </row>
    <row r="89" spans="1:31" ht="15" customHeight="1">
      <c r="A89" s="20">
        <f t="shared" si="6"/>
        <v>0</v>
      </c>
      <c r="B89" s="23"/>
      <c r="C89" s="23"/>
      <c r="D89" s="23"/>
      <c r="E89" s="23"/>
      <c r="F89" s="23"/>
      <c r="G89" s="23"/>
      <c r="H89" s="23"/>
      <c r="I89" s="23"/>
      <c r="J89" s="23"/>
      <c r="K89" s="23"/>
      <c r="L89" s="33"/>
      <c r="M89" s="26"/>
      <c r="N89" s="26"/>
      <c r="O89" s="26"/>
      <c r="P89" s="26"/>
      <c r="Q89" s="26"/>
      <c r="R89" s="26"/>
      <c r="S89" s="26"/>
      <c r="T89" s="26"/>
      <c r="U89" s="26"/>
      <c r="V89" s="26"/>
      <c r="W89" s="26"/>
      <c r="X89" s="26">
        <f>COUNTIF($L$2:L89,"&lt;&gt;"&amp;"")</f>
        <v>5</v>
      </c>
      <c r="Y89" s="27">
        <f t="shared" si="7"/>
        <v>0</v>
      </c>
      <c r="Z89" s="28"/>
      <c r="AA89" s="29"/>
      <c r="AB89" s="30" t="b">
        <f>TRUE()</f>
        <v>1</v>
      </c>
      <c r="AC89" s="31">
        <f t="shared" si="8"/>
        <v>0</v>
      </c>
      <c r="AD89" s="42"/>
      <c r="AE89" s="42"/>
    </row>
    <row r="90" spans="1:31" ht="15" customHeight="1">
      <c r="A90" s="20">
        <f t="shared" si="6"/>
        <v>0</v>
      </c>
      <c r="B90" s="23"/>
      <c r="C90" s="23"/>
      <c r="D90" s="23"/>
      <c r="E90" s="23"/>
      <c r="F90" s="23"/>
      <c r="G90" s="23"/>
      <c r="H90" s="23"/>
      <c r="I90" s="23"/>
      <c r="J90" s="23"/>
      <c r="K90" s="23"/>
      <c r="L90" s="33"/>
      <c r="M90" s="26"/>
      <c r="N90" s="26"/>
      <c r="O90" s="26"/>
      <c r="P90" s="26"/>
      <c r="Q90" s="26"/>
      <c r="R90" s="26"/>
      <c r="S90" s="26"/>
      <c r="T90" s="26"/>
      <c r="U90" s="26"/>
      <c r="V90" s="26"/>
      <c r="W90" s="26"/>
      <c r="X90" s="26">
        <f>COUNTIF($L$2:L90,"&lt;&gt;"&amp;"")</f>
        <v>5</v>
      </c>
      <c r="Y90" s="27">
        <f t="shared" si="7"/>
        <v>0</v>
      </c>
      <c r="Z90" s="28"/>
      <c r="AA90" s="29"/>
      <c r="AB90" s="30" t="b">
        <f>TRUE()</f>
        <v>1</v>
      </c>
      <c r="AC90" s="31">
        <f t="shared" si="8"/>
        <v>0</v>
      </c>
      <c r="AD90" s="42"/>
      <c r="AE90" s="42"/>
    </row>
    <row r="91" spans="1:31" ht="15" customHeight="1">
      <c r="A91" s="20">
        <f t="shared" si="6"/>
        <v>0</v>
      </c>
      <c r="B91" s="23"/>
      <c r="C91" s="23"/>
      <c r="D91" s="23"/>
      <c r="E91" s="23"/>
      <c r="F91" s="23"/>
      <c r="G91" s="23"/>
      <c r="H91" s="23"/>
      <c r="I91" s="23"/>
      <c r="J91" s="23"/>
      <c r="K91" s="23"/>
      <c r="L91" s="33"/>
      <c r="M91" s="26"/>
      <c r="N91" s="26"/>
      <c r="O91" s="26"/>
      <c r="P91" s="26"/>
      <c r="Q91" s="26"/>
      <c r="R91" s="26"/>
      <c r="S91" s="26"/>
      <c r="T91" s="26"/>
      <c r="U91" s="26"/>
      <c r="V91" s="26"/>
      <c r="W91" s="26"/>
      <c r="X91" s="26">
        <f>COUNTIF($L$2:L91,"&lt;&gt;"&amp;"")</f>
        <v>5</v>
      </c>
      <c r="Y91" s="27">
        <f t="shared" si="7"/>
        <v>0</v>
      </c>
      <c r="Z91" s="28"/>
      <c r="AA91" s="29"/>
      <c r="AB91" s="30" t="b">
        <f>TRUE()</f>
        <v>1</v>
      </c>
      <c r="AC91" s="31">
        <f t="shared" si="8"/>
        <v>0</v>
      </c>
      <c r="AD91" s="42"/>
      <c r="AE91" s="42"/>
    </row>
    <row r="92" spans="1:31" ht="15" customHeight="1">
      <c r="A92" s="20">
        <f t="shared" si="6"/>
        <v>0</v>
      </c>
      <c r="B92" s="23"/>
      <c r="C92" s="23"/>
      <c r="D92" s="23"/>
      <c r="E92" s="23"/>
      <c r="F92" s="23"/>
      <c r="G92" s="23"/>
      <c r="H92" s="23"/>
      <c r="I92" s="23"/>
      <c r="J92" s="23"/>
      <c r="K92" s="23"/>
      <c r="L92" s="33"/>
      <c r="M92" s="26"/>
      <c r="N92" s="26"/>
      <c r="O92" s="26"/>
      <c r="P92" s="26"/>
      <c r="Q92" s="26"/>
      <c r="R92" s="26"/>
      <c r="S92" s="26"/>
      <c r="T92" s="26"/>
      <c r="U92" s="26"/>
      <c r="V92" s="26"/>
      <c r="W92" s="26"/>
      <c r="X92" s="26">
        <f>COUNTIF($L$2:L92,"&lt;&gt;"&amp;"")</f>
        <v>5</v>
      </c>
      <c r="Y92" s="27">
        <f t="shared" si="7"/>
        <v>0</v>
      </c>
      <c r="Z92" s="28"/>
      <c r="AA92" s="29"/>
      <c r="AB92" s="30" t="b">
        <f>TRUE()</f>
        <v>1</v>
      </c>
      <c r="AC92" s="31">
        <f t="shared" si="8"/>
        <v>0</v>
      </c>
      <c r="AD92" s="42"/>
      <c r="AE92" s="42"/>
    </row>
    <row r="93" spans="1:31" ht="15" customHeight="1">
      <c r="A93" s="20">
        <f t="shared" si="6"/>
        <v>0</v>
      </c>
      <c r="B93" s="23"/>
      <c r="C93" s="23"/>
      <c r="D93" s="23"/>
      <c r="E93" s="23"/>
      <c r="F93" s="23"/>
      <c r="G93" s="23"/>
      <c r="H93" s="23"/>
      <c r="I93" s="23"/>
      <c r="J93" s="23"/>
      <c r="K93" s="23"/>
      <c r="L93" s="33"/>
      <c r="M93" s="26"/>
      <c r="N93" s="26"/>
      <c r="O93" s="26"/>
      <c r="P93" s="26"/>
      <c r="Q93" s="26"/>
      <c r="R93" s="26"/>
      <c r="S93" s="26"/>
      <c r="T93" s="26"/>
      <c r="U93" s="26"/>
      <c r="V93" s="26"/>
      <c r="W93" s="26"/>
      <c r="X93" s="26">
        <f>COUNTIF($L$2:L95,"&lt;&gt;"&amp;"")</f>
        <v>5</v>
      </c>
      <c r="Y93" s="27">
        <f t="shared" si="7"/>
        <v>0</v>
      </c>
      <c r="Z93" s="28"/>
      <c r="AA93" s="29"/>
      <c r="AB93" s="30" t="b">
        <f>TRUE()</f>
        <v>1</v>
      </c>
      <c r="AC93" s="31">
        <f t="shared" si="8"/>
        <v>0</v>
      </c>
      <c r="AD93" s="42"/>
      <c r="AE93" s="42"/>
    </row>
    <row r="94" spans="1:31" ht="15" customHeight="1">
      <c r="A94" s="20">
        <f t="shared" si="6"/>
        <v>0</v>
      </c>
      <c r="B94" s="23"/>
      <c r="C94" s="23"/>
      <c r="D94" s="23"/>
      <c r="E94" s="23"/>
      <c r="F94" s="23"/>
      <c r="G94" s="23"/>
      <c r="H94" s="23"/>
      <c r="I94" s="23"/>
      <c r="J94" s="23"/>
      <c r="K94" s="23"/>
      <c r="L94" s="33"/>
      <c r="M94" s="26"/>
      <c r="N94" s="26"/>
      <c r="O94" s="26"/>
      <c r="P94" s="26"/>
      <c r="Q94" s="26"/>
      <c r="R94" s="26"/>
      <c r="S94" s="26"/>
      <c r="T94" s="26"/>
      <c r="U94" s="26"/>
      <c r="V94" s="26"/>
      <c r="W94" s="26"/>
      <c r="X94" s="26">
        <f>COUNTIF($L$2:L94,"&lt;&gt;"&amp;"")</f>
        <v>5</v>
      </c>
      <c r="Y94" s="27">
        <f t="shared" si="7"/>
        <v>0</v>
      </c>
      <c r="Z94" s="28"/>
      <c r="AA94" s="29"/>
      <c r="AB94" s="30" t="b">
        <f>TRUE()</f>
        <v>1</v>
      </c>
      <c r="AC94" s="31">
        <f t="shared" si="8"/>
        <v>0</v>
      </c>
      <c r="AD94" s="42"/>
      <c r="AE94" s="42"/>
    </row>
    <row r="95" spans="1:31" ht="15" customHeight="1">
      <c r="A95" s="20">
        <f t="shared" si="6"/>
        <v>0</v>
      </c>
      <c r="B95" s="23"/>
      <c r="C95" s="23"/>
      <c r="D95" s="23"/>
      <c r="E95" s="23"/>
      <c r="F95" s="23"/>
      <c r="G95" s="23"/>
      <c r="H95" s="23"/>
      <c r="I95" s="23"/>
      <c r="J95" s="23"/>
      <c r="K95" s="23"/>
      <c r="L95" s="33"/>
      <c r="M95" s="26"/>
      <c r="N95" s="26"/>
      <c r="O95" s="26"/>
      <c r="P95" s="26"/>
      <c r="Q95" s="26"/>
      <c r="R95" s="26"/>
      <c r="S95" s="26"/>
      <c r="T95" s="26"/>
      <c r="U95" s="26"/>
      <c r="V95" s="26"/>
      <c r="W95" s="26"/>
      <c r="X95" s="26">
        <f>COUNTIF($L$2:L95,"&lt;&gt;"&amp;"")</f>
        <v>5</v>
      </c>
      <c r="Y95" s="27">
        <f t="shared" si="7"/>
        <v>0</v>
      </c>
      <c r="Z95" s="28"/>
      <c r="AA95" s="29"/>
      <c r="AB95" s="30" t="b">
        <f>TRUE()</f>
        <v>1</v>
      </c>
      <c r="AC95" s="31">
        <f t="shared" si="8"/>
        <v>0</v>
      </c>
      <c r="AD95" s="42"/>
      <c r="AE95" s="42"/>
    </row>
    <row r="96" spans="1:31" ht="15" customHeight="1">
      <c r="A96" s="20">
        <f t="shared" si="6"/>
        <v>0</v>
      </c>
      <c r="B96" s="23"/>
      <c r="C96" s="23"/>
      <c r="D96" s="23"/>
      <c r="E96" s="23"/>
      <c r="F96" s="23"/>
      <c r="G96" s="23"/>
      <c r="H96" s="23"/>
      <c r="I96" s="23"/>
      <c r="J96" s="23"/>
      <c r="K96" s="23"/>
      <c r="L96" s="33"/>
      <c r="M96" s="26"/>
      <c r="N96" s="26"/>
      <c r="O96" s="26"/>
      <c r="P96" s="26"/>
      <c r="Q96" s="26"/>
      <c r="R96" s="26"/>
      <c r="S96" s="26"/>
      <c r="T96" s="26"/>
      <c r="U96" s="26"/>
      <c r="V96" s="26"/>
      <c r="W96" s="26"/>
      <c r="X96" s="26">
        <f>COUNTIF($L$2:L96,"&lt;&gt;"&amp;"")</f>
        <v>5</v>
      </c>
      <c r="Y96" s="27">
        <f t="shared" si="7"/>
        <v>0</v>
      </c>
      <c r="Z96" s="28"/>
      <c r="AA96" s="29"/>
      <c r="AB96" s="30" t="b">
        <f>TRUE()</f>
        <v>1</v>
      </c>
      <c r="AC96" s="31">
        <f t="shared" si="8"/>
        <v>0</v>
      </c>
      <c r="AD96" s="42"/>
      <c r="AE96" s="42"/>
    </row>
    <row r="97" spans="1:31" ht="15" customHeight="1">
      <c r="A97" s="20">
        <f t="shared" si="6"/>
        <v>0</v>
      </c>
      <c r="B97" s="23"/>
      <c r="C97" s="23"/>
      <c r="D97" s="23"/>
      <c r="E97" s="23"/>
      <c r="F97" s="23"/>
      <c r="G97" s="23"/>
      <c r="H97" s="23"/>
      <c r="I97" s="23"/>
      <c r="J97" s="23"/>
      <c r="K97" s="23"/>
      <c r="L97" s="33"/>
      <c r="M97" s="26"/>
      <c r="N97" s="26"/>
      <c r="O97" s="26"/>
      <c r="P97" s="26"/>
      <c r="Q97" s="26"/>
      <c r="R97" s="26"/>
      <c r="S97" s="26"/>
      <c r="T97" s="26"/>
      <c r="U97" s="26"/>
      <c r="V97" s="26"/>
      <c r="W97" s="26"/>
      <c r="X97" s="26">
        <f>COUNTIF($L$2:L97,"&lt;&gt;"&amp;"")</f>
        <v>5</v>
      </c>
      <c r="Y97" s="27">
        <f t="shared" si="7"/>
        <v>0</v>
      </c>
      <c r="Z97" s="28"/>
      <c r="AA97" s="29"/>
      <c r="AB97" s="30" t="b">
        <f>TRUE()</f>
        <v>1</v>
      </c>
      <c r="AC97" s="31">
        <f t="shared" si="8"/>
        <v>0</v>
      </c>
      <c r="AD97" s="42"/>
      <c r="AE97" s="42"/>
    </row>
    <row r="98" spans="1:31" ht="15" customHeight="1">
      <c r="A98" s="20">
        <f t="shared" ref="A98:A129" si="9">(B98*$P$125+C98*$P$126+D98*$P$127+E98*$P$128+F98*$P$129+G98*$P$130+H98*$P$131+I98*$P$132+J98*$P$133+K98*$P$134)*$T$123</f>
        <v>0</v>
      </c>
      <c r="B98" s="23"/>
      <c r="C98" s="23"/>
      <c r="D98" s="23"/>
      <c r="E98" s="23"/>
      <c r="F98" s="23"/>
      <c r="G98" s="23"/>
      <c r="H98" s="23"/>
      <c r="I98" s="23"/>
      <c r="J98" s="23"/>
      <c r="K98" s="23"/>
      <c r="L98" s="33"/>
      <c r="M98" s="26"/>
      <c r="N98" s="26"/>
      <c r="O98" s="26"/>
      <c r="P98" s="26"/>
      <c r="Q98" s="26"/>
      <c r="R98" s="26"/>
      <c r="S98" s="26"/>
      <c r="T98" s="26"/>
      <c r="U98" s="26"/>
      <c r="V98" s="26"/>
      <c r="W98" s="26"/>
      <c r="X98" s="26">
        <f>COUNTIF($L$2:L98,"&lt;&gt;"&amp;"")</f>
        <v>5</v>
      </c>
      <c r="Y98" s="27">
        <f t="shared" ref="Y98:Y129" si="10">SUMIF($X$2:$X$120,X98,$A$2:$A$120)</f>
        <v>0</v>
      </c>
      <c r="Z98" s="28"/>
      <c r="AA98" s="29"/>
      <c r="AB98" s="30" t="b">
        <f>TRUE()</f>
        <v>1</v>
      </c>
      <c r="AC98" s="31">
        <f t="shared" ref="AC98:AC129" si="11">IF(L98="",0,IF(AB98=FALSE(),0,Y98))</f>
        <v>0</v>
      </c>
      <c r="AD98" s="42"/>
      <c r="AE98" s="42"/>
    </row>
    <row r="99" spans="1:31" ht="15" customHeight="1">
      <c r="A99" s="20">
        <f t="shared" si="9"/>
        <v>0</v>
      </c>
      <c r="B99" s="23"/>
      <c r="C99" s="23"/>
      <c r="D99" s="23"/>
      <c r="E99" s="23"/>
      <c r="F99" s="23"/>
      <c r="G99" s="23"/>
      <c r="H99" s="23"/>
      <c r="I99" s="23"/>
      <c r="J99" s="23"/>
      <c r="K99" s="23"/>
      <c r="L99" s="33"/>
      <c r="M99" s="26"/>
      <c r="N99" s="26"/>
      <c r="O99" s="26"/>
      <c r="P99" s="26"/>
      <c r="Q99" s="26"/>
      <c r="R99" s="26"/>
      <c r="S99" s="26"/>
      <c r="T99" s="26"/>
      <c r="U99" s="26"/>
      <c r="V99" s="26"/>
      <c r="W99" s="26"/>
      <c r="X99" s="26">
        <f>COUNTIF($L$2:L99,"&lt;&gt;"&amp;"")</f>
        <v>5</v>
      </c>
      <c r="Y99" s="27">
        <f t="shared" si="10"/>
        <v>0</v>
      </c>
      <c r="Z99" s="28"/>
      <c r="AA99" s="29"/>
      <c r="AB99" s="30" t="b">
        <f>TRUE()</f>
        <v>1</v>
      </c>
      <c r="AC99" s="31">
        <f t="shared" si="11"/>
        <v>0</v>
      </c>
      <c r="AD99" s="42"/>
      <c r="AE99" s="42"/>
    </row>
    <row r="100" spans="1:31" ht="15" customHeight="1">
      <c r="A100" s="20">
        <f t="shared" si="9"/>
        <v>0</v>
      </c>
      <c r="B100" s="23"/>
      <c r="C100" s="23"/>
      <c r="D100" s="23"/>
      <c r="E100" s="23"/>
      <c r="F100" s="23"/>
      <c r="G100" s="23"/>
      <c r="H100" s="23"/>
      <c r="I100" s="23"/>
      <c r="J100" s="23"/>
      <c r="K100" s="23"/>
      <c r="L100" s="33"/>
      <c r="M100" s="26"/>
      <c r="N100" s="26"/>
      <c r="O100" s="26"/>
      <c r="P100" s="26"/>
      <c r="Q100" s="26"/>
      <c r="R100" s="26"/>
      <c r="S100" s="26"/>
      <c r="T100" s="26"/>
      <c r="U100" s="26"/>
      <c r="V100" s="26"/>
      <c r="W100" s="26"/>
      <c r="X100" s="26">
        <f>COUNTIF($L$2:L100,"&lt;&gt;"&amp;"")</f>
        <v>5</v>
      </c>
      <c r="Y100" s="27">
        <f t="shared" si="10"/>
        <v>0</v>
      </c>
      <c r="Z100" s="28"/>
      <c r="AA100" s="29"/>
      <c r="AB100" s="30" t="b">
        <f>TRUE()</f>
        <v>1</v>
      </c>
      <c r="AC100" s="31">
        <f t="shared" si="11"/>
        <v>0</v>
      </c>
      <c r="AD100" s="42"/>
      <c r="AE100" s="42"/>
    </row>
    <row r="101" spans="1:31" ht="15" customHeight="1">
      <c r="A101" s="20">
        <f t="shared" si="9"/>
        <v>0</v>
      </c>
      <c r="B101" s="23"/>
      <c r="C101" s="23"/>
      <c r="D101" s="23"/>
      <c r="E101" s="23"/>
      <c r="F101" s="23"/>
      <c r="G101" s="23"/>
      <c r="H101" s="23"/>
      <c r="I101" s="23"/>
      <c r="J101" s="23"/>
      <c r="K101" s="23"/>
      <c r="L101" s="33"/>
      <c r="M101" s="26"/>
      <c r="N101" s="26"/>
      <c r="O101" s="26"/>
      <c r="P101" s="26"/>
      <c r="Q101" s="26"/>
      <c r="R101" s="26"/>
      <c r="S101" s="26"/>
      <c r="T101" s="26"/>
      <c r="U101" s="26"/>
      <c r="V101" s="26"/>
      <c r="W101" s="26"/>
      <c r="X101" s="26">
        <f>COUNTIF($L$2:L101,"&lt;&gt;"&amp;"")</f>
        <v>5</v>
      </c>
      <c r="Y101" s="27">
        <f t="shared" si="10"/>
        <v>0</v>
      </c>
      <c r="Z101" s="28"/>
      <c r="AA101" s="29"/>
      <c r="AB101" s="30" t="b">
        <f>TRUE()</f>
        <v>1</v>
      </c>
      <c r="AC101" s="31">
        <f t="shared" si="11"/>
        <v>0</v>
      </c>
      <c r="AD101" s="23"/>
      <c r="AE101" s="23"/>
    </row>
    <row r="102" spans="1:31" ht="15" customHeight="1">
      <c r="A102" s="20">
        <f t="shared" si="9"/>
        <v>0</v>
      </c>
      <c r="B102" s="23"/>
      <c r="C102" s="23"/>
      <c r="D102" s="23"/>
      <c r="E102" s="23"/>
      <c r="F102" s="23"/>
      <c r="G102" s="23"/>
      <c r="H102" s="23"/>
      <c r="I102" s="23"/>
      <c r="J102" s="23"/>
      <c r="K102" s="23"/>
      <c r="L102" s="33"/>
      <c r="M102" s="26"/>
      <c r="N102" s="26"/>
      <c r="O102" s="26"/>
      <c r="P102" s="26"/>
      <c r="Q102" s="26"/>
      <c r="R102" s="26"/>
      <c r="S102" s="26"/>
      <c r="T102" s="26"/>
      <c r="U102" s="26"/>
      <c r="V102" s="26"/>
      <c r="W102" s="26"/>
      <c r="X102" s="26">
        <f>COUNTIF($L$2:L106,"&lt;&gt;"&amp;"")</f>
        <v>5</v>
      </c>
      <c r="Y102" s="27">
        <f t="shared" si="10"/>
        <v>0</v>
      </c>
      <c r="Z102" s="28"/>
      <c r="AA102" s="29"/>
      <c r="AB102" s="30" t="b">
        <f>TRUE()</f>
        <v>1</v>
      </c>
      <c r="AC102" s="31">
        <f t="shared" si="11"/>
        <v>0</v>
      </c>
      <c r="AD102" s="23"/>
      <c r="AE102" s="23"/>
    </row>
    <row r="103" spans="1:31" ht="15" customHeight="1">
      <c r="A103" s="20">
        <f t="shared" si="9"/>
        <v>0</v>
      </c>
      <c r="B103" s="23"/>
      <c r="C103" s="23"/>
      <c r="D103" s="23"/>
      <c r="E103" s="23"/>
      <c r="F103" s="23"/>
      <c r="G103" s="23"/>
      <c r="H103" s="23"/>
      <c r="I103" s="23"/>
      <c r="J103" s="23"/>
      <c r="K103" s="23"/>
      <c r="L103" s="33"/>
      <c r="M103" s="26"/>
      <c r="N103" s="26"/>
      <c r="O103" s="26"/>
      <c r="P103" s="26"/>
      <c r="Q103" s="26"/>
      <c r="R103" s="26"/>
      <c r="S103" s="26"/>
      <c r="T103" s="26"/>
      <c r="U103" s="26"/>
      <c r="V103" s="26"/>
      <c r="W103" s="26"/>
      <c r="X103" s="26">
        <f>COUNTIF($L$2:L103,"&lt;&gt;"&amp;"")</f>
        <v>5</v>
      </c>
      <c r="Y103" s="27">
        <f t="shared" si="10"/>
        <v>0</v>
      </c>
      <c r="Z103" s="28"/>
      <c r="AA103" s="29"/>
      <c r="AB103" s="30" t="b">
        <f>TRUE()</f>
        <v>1</v>
      </c>
      <c r="AC103" s="31">
        <f t="shared" si="11"/>
        <v>0</v>
      </c>
      <c r="AD103" s="42"/>
      <c r="AE103" s="42"/>
    </row>
    <row r="104" spans="1:31" ht="15" customHeight="1">
      <c r="A104" s="20">
        <f t="shared" si="9"/>
        <v>0</v>
      </c>
      <c r="B104" s="23"/>
      <c r="C104" s="23"/>
      <c r="D104" s="23"/>
      <c r="E104" s="23"/>
      <c r="F104" s="23"/>
      <c r="G104" s="23"/>
      <c r="H104" s="23"/>
      <c r="I104" s="23"/>
      <c r="J104" s="23"/>
      <c r="K104" s="23"/>
      <c r="L104" s="33"/>
      <c r="M104" s="26"/>
      <c r="N104" s="26"/>
      <c r="O104" s="26"/>
      <c r="P104" s="26"/>
      <c r="Q104" s="26"/>
      <c r="R104" s="26"/>
      <c r="S104" s="26"/>
      <c r="T104" s="26"/>
      <c r="U104" s="26"/>
      <c r="V104" s="26"/>
      <c r="W104" s="26"/>
      <c r="X104" s="26">
        <f>COUNTIF($L$2:L104,"&lt;&gt;"&amp;"")</f>
        <v>5</v>
      </c>
      <c r="Y104" s="27">
        <f t="shared" si="10"/>
        <v>0</v>
      </c>
      <c r="Z104" s="28"/>
      <c r="AA104" s="29"/>
      <c r="AB104" s="30" t="b">
        <f>TRUE()</f>
        <v>1</v>
      </c>
      <c r="AC104" s="31">
        <f t="shared" si="11"/>
        <v>0</v>
      </c>
      <c r="AD104" s="42"/>
      <c r="AE104" s="42"/>
    </row>
    <row r="105" spans="1:31" ht="15" customHeight="1">
      <c r="A105" s="20">
        <f t="shared" si="9"/>
        <v>0</v>
      </c>
      <c r="B105" s="23"/>
      <c r="C105" s="23"/>
      <c r="D105" s="23"/>
      <c r="E105" s="23"/>
      <c r="F105" s="23"/>
      <c r="G105" s="23"/>
      <c r="H105" s="23"/>
      <c r="I105" s="23"/>
      <c r="J105" s="23"/>
      <c r="K105" s="23"/>
      <c r="L105" s="33"/>
      <c r="M105" s="26"/>
      <c r="N105" s="26"/>
      <c r="O105" s="26"/>
      <c r="P105" s="26"/>
      <c r="Q105" s="26"/>
      <c r="R105" s="26"/>
      <c r="S105" s="26"/>
      <c r="T105" s="26"/>
      <c r="U105" s="26"/>
      <c r="V105" s="26"/>
      <c r="W105" s="26"/>
      <c r="X105" s="26">
        <f>COUNTIF($L$2:L105,"&lt;&gt;"&amp;"")</f>
        <v>5</v>
      </c>
      <c r="Y105" s="27">
        <f t="shared" si="10"/>
        <v>0</v>
      </c>
      <c r="Z105" s="28"/>
      <c r="AA105" s="29"/>
      <c r="AB105" s="30" t="b">
        <f>TRUE()</f>
        <v>1</v>
      </c>
      <c r="AC105" s="31">
        <f t="shared" si="11"/>
        <v>0</v>
      </c>
      <c r="AD105" s="42"/>
      <c r="AE105" s="42"/>
    </row>
    <row r="106" spans="1:31" ht="15" customHeight="1">
      <c r="A106" s="20">
        <f t="shared" si="9"/>
        <v>0</v>
      </c>
      <c r="B106" s="23"/>
      <c r="C106" s="23"/>
      <c r="D106" s="23"/>
      <c r="E106" s="23"/>
      <c r="F106" s="23"/>
      <c r="G106" s="23"/>
      <c r="H106" s="23"/>
      <c r="I106" s="23"/>
      <c r="J106" s="23"/>
      <c r="K106" s="23"/>
      <c r="L106" s="33"/>
      <c r="M106" s="26"/>
      <c r="N106" s="26"/>
      <c r="O106" s="26"/>
      <c r="P106" s="26"/>
      <c r="Q106" s="26"/>
      <c r="R106" s="26"/>
      <c r="S106" s="26"/>
      <c r="T106" s="26"/>
      <c r="U106" s="26"/>
      <c r="V106" s="26"/>
      <c r="W106" s="26"/>
      <c r="X106" s="26">
        <f>COUNTIF($L$2:L106,"&lt;&gt;"&amp;"")</f>
        <v>5</v>
      </c>
      <c r="Y106" s="27">
        <f t="shared" si="10"/>
        <v>0</v>
      </c>
      <c r="Z106" s="28"/>
      <c r="AA106" s="29"/>
      <c r="AB106" s="30" t="b">
        <f>TRUE()</f>
        <v>1</v>
      </c>
      <c r="AC106" s="31">
        <f t="shared" si="11"/>
        <v>0</v>
      </c>
      <c r="AD106" s="42"/>
      <c r="AE106" s="42"/>
    </row>
    <row r="107" spans="1:31" ht="15" customHeight="1">
      <c r="A107" s="20">
        <f t="shared" si="9"/>
        <v>0</v>
      </c>
      <c r="B107" s="23"/>
      <c r="C107" s="23"/>
      <c r="D107" s="23"/>
      <c r="E107" s="23"/>
      <c r="F107" s="23"/>
      <c r="G107" s="23"/>
      <c r="H107" s="23"/>
      <c r="I107" s="23"/>
      <c r="J107" s="23"/>
      <c r="K107" s="23"/>
      <c r="L107" s="33"/>
      <c r="M107" s="26"/>
      <c r="N107" s="26"/>
      <c r="O107" s="26"/>
      <c r="P107" s="26"/>
      <c r="Q107" s="26"/>
      <c r="R107" s="26"/>
      <c r="S107" s="26"/>
      <c r="T107" s="26"/>
      <c r="U107" s="26"/>
      <c r="V107" s="26"/>
      <c r="W107" s="26"/>
      <c r="X107" s="26">
        <f>COUNTIF($L$2:L107,"&lt;&gt;"&amp;"")</f>
        <v>5</v>
      </c>
      <c r="Y107" s="27">
        <f t="shared" si="10"/>
        <v>0</v>
      </c>
      <c r="Z107" s="28"/>
      <c r="AA107" s="29"/>
      <c r="AB107" s="30" t="b">
        <f>TRUE()</f>
        <v>1</v>
      </c>
      <c r="AC107" s="31">
        <f t="shared" si="11"/>
        <v>0</v>
      </c>
      <c r="AD107" s="23"/>
      <c r="AE107" s="23"/>
    </row>
    <row r="108" spans="1:31" ht="15" customHeight="1">
      <c r="A108" s="20">
        <f t="shared" si="9"/>
        <v>0</v>
      </c>
      <c r="B108" s="23"/>
      <c r="C108" s="23"/>
      <c r="D108" s="23"/>
      <c r="E108" s="23"/>
      <c r="F108" s="23"/>
      <c r="G108" s="23"/>
      <c r="H108" s="23"/>
      <c r="I108" s="23"/>
      <c r="J108" s="23"/>
      <c r="K108" s="23"/>
      <c r="L108" s="33"/>
      <c r="M108" s="26"/>
      <c r="N108" s="26"/>
      <c r="O108" s="26"/>
      <c r="P108" s="26"/>
      <c r="Q108" s="26"/>
      <c r="R108" s="26"/>
      <c r="S108" s="26"/>
      <c r="T108" s="26"/>
      <c r="U108" s="26"/>
      <c r="V108" s="26"/>
      <c r="W108" s="26"/>
      <c r="X108" s="26">
        <f>COUNTIF($L$2:L108,"&lt;&gt;"&amp;"")</f>
        <v>5</v>
      </c>
      <c r="Y108" s="27">
        <f t="shared" si="10"/>
        <v>0</v>
      </c>
      <c r="Z108" s="28"/>
      <c r="AA108" s="29"/>
      <c r="AB108" s="30" t="b">
        <f>TRUE()</f>
        <v>1</v>
      </c>
      <c r="AC108" s="31">
        <f t="shared" si="11"/>
        <v>0</v>
      </c>
      <c r="AD108" s="23"/>
      <c r="AE108" s="23"/>
    </row>
    <row r="109" spans="1:31" ht="15" customHeight="1">
      <c r="A109" s="20">
        <f t="shared" si="9"/>
        <v>0</v>
      </c>
      <c r="B109" s="23"/>
      <c r="C109" s="23"/>
      <c r="D109" s="23"/>
      <c r="E109" s="23"/>
      <c r="F109" s="23"/>
      <c r="G109" s="23"/>
      <c r="H109" s="23"/>
      <c r="I109" s="23"/>
      <c r="J109" s="23"/>
      <c r="K109" s="23"/>
      <c r="L109" s="33"/>
      <c r="M109" s="26"/>
      <c r="N109" s="26"/>
      <c r="O109" s="26"/>
      <c r="P109" s="26"/>
      <c r="Q109" s="26"/>
      <c r="R109" s="26"/>
      <c r="S109" s="26"/>
      <c r="T109" s="26"/>
      <c r="U109" s="26"/>
      <c r="V109" s="26"/>
      <c r="W109" s="26"/>
      <c r="X109" s="26">
        <f>COUNTIF($L$2:L109,"&lt;&gt;"&amp;"")</f>
        <v>5</v>
      </c>
      <c r="Y109" s="27">
        <f t="shared" si="10"/>
        <v>0</v>
      </c>
      <c r="Z109" s="28"/>
      <c r="AA109" s="29"/>
      <c r="AB109" s="30" t="b">
        <f>TRUE()</f>
        <v>1</v>
      </c>
      <c r="AC109" s="31">
        <f t="shared" si="11"/>
        <v>0</v>
      </c>
      <c r="AD109" s="23"/>
      <c r="AE109" s="23"/>
    </row>
    <row r="110" spans="1:31" ht="15" customHeight="1">
      <c r="A110" s="20">
        <f t="shared" si="9"/>
        <v>0</v>
      </c>
      <c r="B110" s="23"/>
      <c r="C110" s="23"/>
      <c r="D110" s="23"/>
      <c r="E110" s="23"/>
      <c r="F110" s="23"/>
      <c r="G110" s="23"/>
      <c r="H110" s="23"/>
      <c r="I110" s="23"/>
      <c r="J110" s="23"/>
      <c r="K110" s="23"/>
      <c r="L110" s="33"/>
      <c r="M110" s="26"/>
      <c r="N110" s="26"/>
      <c r="O110" s="26"/>
      <c r="P110" s="26"/>
      <c r="Q110" s="26"/>
      <c r="R110" s="26"/>
      <c r="S110" s="26"/>
      <c r="T110" s="26"/>
      <c r="U110" s="26"/>
      <c r="V110" s="26"/>
      <c r="W110" s="26"/>
      <c r="X110" s="26">
        <f>COUNTIF($L$2:L110,"&lt;&gt;"&amp;"")</f>
        <v>5</v>
      </c>
      <c r="Y110" s="27">
        <f t="shared" si="10"/>
        <v>0</v>
      </c>
      <c r="Z110" s="28"/>
      <c r="AA110" s="29"/>
      <c r="AB110" s="30" t="b">
        <f>TRUE()</f>
        <v>1</v>
      </c>
      <c r="AC110" s="31">
        <f t="shared" si="11"/>
        <v>0</v>
      </c>
      <c r="AD110" s="23"/>
      <c r="AE110" s="23"/>
    </row>
    <row r="111" spans="1:31" ht="15" customHeight="1">
      <c r="A111" s="20">
        <f t="shared" si="9"/>
        <v>0</v>
      </c>
      <c r="B111" s="23"/>
      <c r="C111" s="23"/>
      <c r="D111" s="23"/>
      <c r="E111" s="23"/>
      <c r="F111" s="23"/>
      <c r="G111" s="23"/>
      <c r="H111" s="23"/>
      <c r="I111" s="23"/>
      <c r="J111" s="23"/>
      <c r="K111" s="23"/>
      <c r="L111" s="33"/>
      <c r="M111" s="26"/>
      <c r="N111" s="26"/>
      <c r="O111" s="26"/>
      <c r="P111" s="26"/>
      <c r="Q111" s="26"/>
      <c r="R111" s="26"/>
      <c r="S111" s="26"/>
      <c r="T111" s="26"/>
      <c r="U111" s="26"/>
      <c r="V111" s="26"/>
      <c r="W111" s="26"/>
      <c r="X111" s="26">
        <f>COUNTIF($L$2:L111,"&lt;&gt;"&amp;"")</f>
        <v>5</v>
      </c>
      <c r="Y111" s="27">
        <f t="shared" si="10"/>
        <v>0</v>
      </c>
      <c r="Z111" s="28"/>
      <c r="AA111" s="29"/>
      <c r="AB111" s="30" t="b">
        <f>TRUE()</f>
        <v>1</v>
      </c>
      <c r="AC111" s="31">
        <f t="shared" si="11"/>
        <v>0</v>
      </c>
      <c r="AD111" s="23"/>
      <c r="AE111" s="23"/>
    </row>
    <row r="112" spans="1:31" ht="15" customHeight="1">
      <c r="A112" s="20">
        <f t="shared" si="9"/>
        <v>0</v>
      </c>
      <c r="B112" s="23"/>
      <c r="C112" s="23"/>
      <c r="D112" s="23"/>
      <c r="E112" s="23"/>
      <c r="F112" s="23"/>
      <c r="G112" s="23"/>
      <c r="H112" s="23"/>
      <c r="I112" s="23"/>
      <c r="J112" s="23"/>
      <c r="K112" s="23"/>
      <c r="L112" s="33"/>
      <c r="M112" s="26"/>
      <c r="N112" s="26"/>
      <c r="O112" s="26"/>
      <c r="P112" s="26"/>
      <c r="Q112" s="26"/>
      <c r="R112" s="26"/>
      <c r="S112" s="26"/>
      <c r="T112" s="26"/>
      <c r="U112" s="26"/>
      <c r="V112" s="26"/>
      <c r="W112" s="26"/>
      <c r="X112" s="26">
        <f>COUNTIF($L$2:L112,"&lt;&gt;"&amp;"")</f>
        <v>5</v>
      </c>
      <c r="Y112" s="27">
        <f t="shared" si="10"/>
        <v>0</v>
      </c>
      <c r="Z112" s="28"/>
      <c r="AA112" s="29"/>
      <c r="AB112" s="30" t="b">
        <f>TRUE()</f>
        <v>1</v>
      </c>
      <c r="AC112" s="31">
        <f t="shared" si="11"/>
        <v>0</v>
      </c>
      <c r="AD112" s="23"/>
      <c r="AE112" s="23"/>
    </row>
    <row r="113" spans="1:31" ht="15" customHeight="1">
      <c r="A113" s="20">
        <f t="shared" si="9"/>
        <v>0</v>
      </c>
      <c r="B113" s="23"/>
      <c r="C113" s="23"/>
      <c r="D113" s="23"/>
      <c r="E113" s="23"/>
      <c r="F113" s="23"/>
      <c r="G113" s="23"/>
      <c r="H113" s="23"/>
      <c r="I113" s="23"/>
      <c r="J113" s="23"/>
      <c r="K113" s="23"/>
      <c r="L113" s="33"/>
      <c r="M113" s="26"/>
      <c r="N113" s="26"/>
      <c r="O113" s="26"/>
      <c r="P113" s="26"/>
      <c r="Q113" s="26"/>
      <c r="R113" s="26"/>
      <c r="S113" s="26"/>
      <c r="T113" s="26"/>
      <c r="U113" s="26"/>
      <c r="V113" s="26"/>
      <c r="W113" s="26"/>
      <c r="X113" s="26">
        <f>COUNTIF($L$2:L113,"&lt;&gt;"&amp;"")</f>
        <v>5</v>
      </c>
      <c r="Y113" s="27">
        <f t="shared" si="10"/>
        <v>0</v>
      </c>
      <c r="Z113" s="28"/>
      <c r="AA113" s="29"/>
      <c r="AB113" s="30" t="b">
        <f>TRUE()</f>
        <v>1</v>
      </c>
      <c r="AC113" s="31">
        <f t="shared" si="11"/>
        <v>0</v>
      </c>
      <c r="AD113" s="23"/>
      <c r="AE113" s="23"/>
    </row>
    <row r="114" spans="1:31" ht="15" customHeight="1">
      <c r="A114" s="20">
        <f t="shared" si="9"/>
        <v>0</v>
      </c>
      <c r="B114" s="23"/>
      <c r="C114" s="23"/>
      <c r="D114" s="23"/>
      <c r="E114" s="23"/>
      <c r="F114" s="23"/>
      <c r="G114" s="23"/>
      <c r="H114" s="23"/>
      <c r="I114" s="23"/>
      <c r="J114" s="23"/>
      <c r="K114" s="23"/>
      <c r="L114" s="33"/>
      <c r="M114" s="26"/>
      <c r="N114" s="26"/>
      <c r="O114" s="26"/>
      <c r="P114" s="26"/>
      <c r="Q114" s="26"/>
      <c r="R114" s="26"/>
      <c r="S114" s="26"/>
      <c r="T114" s="26"/>
      <c r="U114" s="26"/>
      <c r="V114" s="26"/>
      <c r="W114" s="26"/>
      <c r="X114" s="26">
        <f>COUNTIF($L$2:L114,"&lt;&gt;"&amp;"")</f>
        <v>5</v>
      </c>
      <c r="Y114" s="27">
        <f t="shared" si="10"/>
        <v>0</v>
      </c>
      <c r="Z114" s="28"/>
      <c r="AA114" s="29"/>
      <c r="AB114" s="30" t="b">
        <f>TRUE()</f>
        <v>1</v>
      </c>
      <c r="AC114" s="31">
        <f t="shared" si="11"/>
        <v>0</v>
      </c>
      <c r="AD114" s="23"/>
      <c r="AE114" s="23"/>
    </row>
    <row r="115" spans="1:31" ht="15" customHeight="1">
      <c r="A115" s="20">
        <f t="shared" si="9"/>
        <v>0</v>
      </c>
      <c r="B115" s="23"/>
      <c r="C115" s="23"/>
      <c r="D115" s="23"/>
      <c r="E115" s="23"/>
      <c r="F115" s="23"/>
      <c r="G115" s="23"/>
      <c r="H115" s="23"/>
      <c r="I115" s="23"/>
      <c r="J115" s="23"/>
      <c r="K115" s="23"/>
      <c r="L115" s="33"/>
      <c r="M115" s="26"/>
      <c r="N115" s="26"/>
      <c r="O115" s="26"/>
      <c r="P115" s="26"/>
      <c r="Q115" s="26"/>
      <c r="R115" s="26"/>
      <c r="S115" s="26"/>
      <c r="T115" s="26"/>
      <c r="U115" s="26"/>
      <c r="V115" s="26"/>
      <c r="W115" s="26"/>
      <c r="X115" s="26">
        <f>COUNTIF($L$2:L115,"&lt;&gt;"&amp;"")</f>
        <v>5</v>
      </c>
      <c r="Y115" s="27">
        <f t="shared" si="10"/>
        <v>0</v>
      </c>
      <c r="Z115" s="28"/>
      <c r="AA115" s="29"/>
      <c r="AB115" s="30" t="b">
        <f>TRUE()</f>
        <v>1</v>
      </c>
      <c r="AC115" s="31">
        <f t="shared" si="11"/>
        <v>0</v>
      </c>
      <c r="AD115" s="23"/>
      <c r="AE115" s="23"/>
    </row>
    <row r="116" spans="1:31" ht="15" customHeight="1">
      <c r="A116" s="20">
        <f t="shared" si="9"/>
        <v>0</v>
      </c>
      <c r="B116" s="23"/>
      <c r="C116" s="23"/>
      <c r="D116" s="23"/>
      <c r="E116" s="23"/>
      <c r="F116" s="23"/>
      <c r="G116" s="23"/>
      <c r="H116" s="23"/>
      <c r="I116" s="23"/>
      <c r="J116" s="23"/>
      <c r="K116" s="23"/>
      <c r="L116" s="33"/>
      <c r="M116" s="26"/>
      <c r="N116" s="26"/>
      <c r="O116" s="26"/>
      <c r="P116" s="26"/>
      <c r="Q116" s="26"/>
      <c r="R116" s="26"/>
      <c r="S116" s="26"/>
      <c r="T116" s="26"/>
      <c r="U116" s="26"/>
      <c r="V116" s="26"/>
      <c r="W116" s="26"/>
      <c r="X116" s="26">
        <f>COUNTIF($L$2:L116,"&lt;&gt;"&amp;"")</f>
        <v>5</v>
      </c>
      <c r="Y116" s="27">
        <f t="shared" si="10"/>
        <v>0</v>
      </c>
      <c r="Z116" s="28"/>
      <c r="AA116" s="29"/>
      <c r="AB116" s="30" t="b">
        <f>TRUE()</f>
        <v>1</v>
      </c>
      <c r="AC116" s="31">
        <f t="shared" si="11"/>
        <v>0</v>
      </c>
      <c r="AD116" s="23"/>
      <c r="AE116" s="23"/>
    </row>
    <row r="117" spans="1:31" ht="15" customHeight="1">
      <c r="A117" s="20">
        <f t="shared" si="9"/>
        <v>0</v>
      </c>
      <c r="B117" s="23"/>
      <c r="C117" s="23"/>
      <c r="D117" s="23"/>
      <c r="E117" s="23"/>
      <c r="F117" s="23"/>
      <c r="G117" s="23"/>
      <c r="H117" s="23"/>
      <c r="I117" s="23"/>
      <c r="J117" s="23"/>
      <c r="K117" s="23"/>
      <c r="L117" s="33"/>
      <c r="M117" s="26"/>
      <c r="N117" s="26"/>
      <c r="O117" s="26"/>
      <c r="P117" s="26"/>
      <c r="Q117" s="26"/>
      <c r="R117" s="26"/>
      <c r="S117" s="26"/>
      <c r="T117" s="26"/>
      <c r="U117" s="26"/>
      <c r="V117" s="26"/>
      <c r="W117" s="26"/>
      <c r="X117" s="26">
        <f>COUNTIF($L$2:L117,"&lt;&gt;"&amp;"")</f>
        <v>5</v>
      </c>
      <c r="Y117" s="27">
        <f t="shared" si="10"/>
        <v>0</v>
      </c>
      <c r="Z117" s="28"/>
      <c r="AA117" s="29"/>
      <c r="AB117" s="30" t="b">
        <f>TRUE()</f>
        <v>1</v>
      </c>
      <c r="AC117" s="31">
        <f t="shared" si="11"/>
        <v>0</v>
      </c>
      <c r="AD117" s="23"/>
      <c r="AE117" s="23"/>
    </row>
    <row r="118" spans="1:31" ht="15" customHeight="1">
      <c r="A118" s="20">
        <f t="shared" si="9"/>
        <v>0</v>
      </c>
      <c r="B118" s="23"/>
      <c r="C118" s="23"/>
      <c r="D118" s="23"/>
      <c r="E118" s="23"/>
      <c r="F118" s="23"/>
      <c r="G118" s="23"/>
      <c r="H118" s="23"/>
      <c r="I118" s="23"/>
      <c r="J118" s="23"/>
      <c r="K118" s="23"/>
      <c r="L118" s="33"/>
      <c r="M118" s="26"/>
      <c r="N118" s="26"/>
      <c r="O118" s="26"/>
      <c r="P118" s="26"/>
      <c r="Q118" s="26"/>
      <c r="R118" s="26"/>
      <c r="S118" s="26"/>
      <c r="T118" s="26"/>
      <c r="U118" s="26"/>
      <c r="V118" s="26"/>
      <c r="W118" s="26"/>
      <c r="X118" s="26">
        <f>COUNTIF($L$2:L118,"&lt;&gt;"&amp;"")</f>
        <v>5</v>
      </c>
      <c r="Y118" s="27">
        <f t="shared" si="10"/>
        <v>0</v>
      </c>
      <c r="Z118" s="28"/>
      <c r="AA118" s="29"/>
      <c r="AB118" s="30" t="b">
        <f>TRUE()</f>
        <v>1</v>
      </c>
      <c r="AC118" s="31">
        <f t="shared" si="11"/>
        <v>0</v>
      </c>
      <c r="AD118" s="23"/>
      <c r="AE118" s="23"/>
    </row>
    <row r="119" spans="1:31" ht="15" customHeight="1">
      <c r="A119" s="20">
        <f t="shared" si="9"/>
        <v>0</v>
      </c>
      <c r="B119" s="23"/>
      <c r="C119" s="23"/>
      <c r="D119" s="23"/>
      <c r="E119" s="23"/>
      <c r="F119" s="23"/>
      <c r="G119" s="23"/>
      <c r="H119" s="23"/>
      <c r="I119" s="23"/>
      <c r="J119" s="23"/>
      <c r="K119" s="23"/>
      <c r="L119" s="33"/>
      <c r="M119" s="26"/>
      <c r="N119" s="26"/>
      <c r="O119" s="26"/>
      <c r="P119" s="26"/>
      <c r="Q119" s="26"/>
      <c r="R119" s="26"/>
      <c r="S119" s="26"/>
      <c r="T119" s="26"/>
      <c r="U119" s="26"/>
      <c r="V119" s="26"/>
      <c r="W119" s="26"/>
      <c r="X119" s="26">
        <f>COUNTIF($L$2:L119,"&lt;&gt;"&amp;"")</f>
        <v>5</v>
      </c>
      <c r="Y119" s="27">
        <f t="shared" si="10"/>
        <v>0</v>
      </c>
      <c r="Z119" s="28"/>
      <c r="AA119" s="29"/>
      <c r="AB119" s="30" t="b">
        <f>TRUE()</f>
        <v>1</v>
      </c>
      <c r="AC119" s="31">
        <f t="shared" si="11"/>
        <v>0</v>
      </c>
      <c r="AD119" s="23"/>
      <c r="AE119" s="23"/>
    </row>
    <row r="120" spans="1:31" ht="12.75" customHeight="1">
      <c r="A120" s="43"/>
      <c r="B120" s="43"/>
      <c r="C120" s="43"/>
      <c r="D120" s="43"/>
      <c r="E120" s="43"/>
      <c r="F120" s="43"/>
      <c r="G120" s="43"/>
      <c r="H120" s="43"/>
      <c r="I120" s="43"/>
      <c r="J120" s="43"/>
      <c r="K120" s="43"/>
      <c r="L120" s="44"/>
      <c r="M120" s="44"/>
      <c r="N120" s="45"/>
      <c r="O120" s="45" t="s">
        <v>43</v>
      </c>
      <c r="P120" s="44"/>
      <c r="Q120" s="44"/>
      <c r="R120" s="44"/>
      <c r="S120" s="44"/>
      <c r="T120" s="44"/>
      <c r="U120" s="44"/>
      <c r="V120" s="44"/>
      <c r="W120" s="44"/>
      <c r="X120" s="44"/>
      <c r="Y120" s="44"/>
      <c r="Z120" s="44"/>
      <c r="AA120" s="44"/>
      <c r="AB120" s="44"/>
      <c r="AC120" s="44"/>
      <c r="AD120" s="23"/>
      <c r="AE120" s="23"/>
    </row>
    <row r="121" spans="1:31" ht="15" customHeight="1">
      <c r="A121" s="46">
        <f>ROW()</f>
        <v>121</v>
      </c>
      <c r="B121" s="23">
        <f t="shared" ref="B121:K121" si="12">SUM(B2:B120)</f>
        <v>0</v>
      </c>
      <c r="C121" s="23">
        <f t="shared" si="12"/>
        <v>0</v>
      </c>
      <c r="D121" s="23">
        <f t="shared" si="12"/>
        <v>0</v>
      </c>
      <c r="E121" s="23">
        <f t="shared" si="12"/>
        <v>0</v>
      </c>
      <c r="F121" s="23">
        <f t="shared" si="12"/>
        <v>0</v>
      </c>
      <c r="G121" s="23">
        <f t="shared" si="12"/>
        <v>0</v>
      </c>
      <c r="H121" s="23">
        <f t="shared" si="12"/>
        <v>0</v>
      </c>
      <c r="I121" s="23">
        <f t="shared" si="12"/>
        <v>0</v>
      </c>
      <c r="J121" s="23">
        <f t="shared" si="12"/>
        <v>0</v>
      </c>
      <c r="K121" s="23">
        <f t="shared" si="12"/>
        <v>0</v>
      </c>
      <c r="L121" s="33"/>
      <c r="M121" s="26"/>
      <c r="N121" s="26"/>
      <c r="O121" s="26"/>
      <c r="P121" s="23"/>
      <c r="Q121" s="23"/>
      <c r="R121" s="23"/>
      <c r="S121" s="23"/>
      <c r="T121" s="23"/>
      <c r="U121" s="23"/>
      <c r="V121" s="23"/>
      <c r="W121" s="23"/>
      <c r="X121" s="23"/>
      <c r="Y121" s="23"/>
      <c r="Z121" s="23"/>
      <c r="AA121" s="23"/>
      <c r="AB121" s="23"/>
      <c r="AC121" s="47"/>
      <c r="AD121" s="23"/>
      <c r="AE121" s="23"/>
    </row>
    <row r="122" spans="1:31" ht="12.75" customHeight="1">
      <c r="A122" s="23"/>
      <c r="B122" s="23"/>
      <c r="C122" s="48"/>
      <c r="D122" s="48"/>
      <c r="E122" s="48"/>
      <c r="F122" s="48"/>
      <c r="G122" s="48"/>
      <c r="H122" s="48"/>
      <c r="I122" s="9" t="s">
        <v>44</v>
      </c>
      <c r="J122" s="9"/>
      <c r="K122" s="9"/>
      <c r="L122" s="9"/>
      <c r="M122" s="8">
        <f>400000+120000</f>
        <v>520000</v>
      </c>
      <c r="N122" s="8"/>
      <c r="O122" s="8"/>
      <c r="P122" s="23"/>
      <c r="Q122" s="23"/>
      <c r="R122" s="23"/>
      <c r="S122" s="48"/>
      <c r="T122" s="48"/>
      <c r="U122" s="48"/>
      <c r="V122" s="23"/>
      <c r="W122" s="23"/>
      <c r="X122" s="23"/>
      <c r="Y122" s="23"/>
      <c r="Z122" s="23"/>
      <c r="AA122" s="23"/>
      <c r="AB122" s="23"/>
      <c r="AC122" s="47"/>
      <c r="AD122" s="23"/>
      <c r="AE122" s="23"/>
    </row>
    <row r="123" spans="1:31" ht="15" customHeight="1">
      <c r="A123" s="23"/>
      <c r="B123" s="23"/>
      <c r="C123" s="48"/>
      <c r="D123" s="49" t="s">
        <v>45</v>
      </c>
      <c r="E123" s="50">
        <v>1750905</v>
      </c>
      <c r="F123" s="51" t="s">
        <v>46</v>
      </c>
      <c r="G123" s="52">
        <v>249095</v>
      </c>
      <c r="H123" s="48"/>
      <c r="I123" s="53" t="s">
        <v>47</v>
      </c>
      <c r="J123" s="54">
        <v>0.18</v>
      </c>
      <c r="K123" s="54"/>
      <c r="L123" s="55" t="s">
        <v>48</v>
      </c>
      <c r="M123" s="56">
        <f>2.7/12</f>
        <v>0.22500000000000001</v>
      </c>
      <c r="N123" s="57" t="s">
        <v>49</v>
      </c>
      <c r="O123" s="58">
        <f>40*4.2*((244-2)/260)</f>
        <v>156.36923076923077</v>
      </c>
      <c r="P123" s="48"/>
      <c r="Q123" s="53" t="s">
        <v>50</v>
      </c>
      <c r="R123" s="59">
        <v>0.4</v>
      </c>
      <c r="S123" s="48"/>
      <c r="T123" s="60">
        <v>8</v>
      </c>
      <c r="U123" s="61" t="s">
        <v>51</v>
      </c>
      <c r="V123" s="62"/>
      <c r="W123" s="23"/>
      <c r="X123" s="23"/>
      <c r="Y123" s="23"/>
      <c r="Z123" s="23"/>
      <c r="AA123" s="23"/>
      <c r="AB123" s="23"/>
      <c r="AC123" s="47"/>
      <c r="AD123" s="23"/>
      <c r="AE123" s="23"/>
    </row>
    <row r="124" spans="1:31" ht="12.75" customHeight="1">
      <c r="A124" s="23"/>
      <c r="B124" s="23"/>
      <c r="C124" s="7" t="s">
        <v>52</v>
      </c>
      <c r="D124" s="7"/>
      <c r="E124" s="7"/>
      <c r="F124" s="7" t="s">
        <v>53</v>
      </c>
      <c r="G124" s="7"/>
      <c r="H124" s="7"/>
      <c r="I124" s="7" t="s">
        <v>54</v>
      </c>
      <c r="J124" s="7"/>
      <c r="K124" s="7"/>
      <c r="L124" s="7"/>
      <c r="M124" s="7" t="s">
        <v>55</v>
      </c>
      <c r="N124" s="7"/>
      <c r="O124" s="7"/>
      <c r="P124" s="7" t="s">
        <v>56</v>
      </c>
      <c r="Q124" s="7"/>
      <c r="R124" s="7"/>
      <c r="S124" s="48"/>
      <c r="T124" s="48"/>
      <c r="U124" s="63" t="s">
        <v>49</v>
      </c>
      <c r="V124" s="7" t="s">
        <v>57</v>
      </c>
      <c r="W124" s="7"/>
      <c r="X124" s="7"/>
      <c r="Y124" s="23"/>
      <c r="Z124" s="23"/>
      <c r="AA124" s="23"/>
      <c r="AB124" s="23"/>
      <c r="AC124" s="47"/>
      <c r="AD124" s="23"/>
      <c r="AE124" s="23"/>
    </row>
    <row r="125" spans="1:31" ht="12.75" customHeight="1">
      <c r="A125" s="35" t="s">
        <v>58</v>
      </c>
      <c r="B125" s="63" t="str">
        <f>B1</f>
        <v>DB</v>
      </c>
      <c r="C125" s="6">
        <v>6480000</v>
      </c>
      <c r="D125" s="6"/>
      <c r="E125" s="6"/>
      <c r="F125" s="6">
        <v>1080000</v>
      </c>
      <c r="G125" s="6"/>
      <c r="H125" s="6"/>
      <c r="I125" s="6">
        <v>0</v>
      </c>
      <c r="J125" s="6"/>
      <c r="K125" s="6"/>
      <c r="L125" s="6"/>
      <c r="M125" s="6">
        <f t="shared" ref="M125:M134" si="13">C125*(1+$J$123+$M$123)+F125+I125+$M$122+IF(($E$123*2)&gt;=C125,$G$123,0)</f>
        <v>10704400</v>
      </c>
      <c r="N125" s="6"/>
      <c r="O125" s="6"/>
      <c r="P125" s="5">
        <f t="shared" ref="P125:P134" si="14">M125/$O$123*(1+$R$123)</f>
        <v>95838.292011019294</v>
      </c>
      <c r="Q125" s="5"/>
      <c r="R125" s="5"/>
      <c r="S125" s="48"/>
      <c r="T125" s="48"/>
      <c r="U125" s="23">
        <f t="shared" ref="U125:U134" si="15">HLOOKUP(B125,$B$1:$K$121,$A$121,0)*$T$123</f>
        <v>0</v>
      </c>
      <c r="W125" s="64">
        <f t="shared" ref="W125:W134" si="16">P125*U125</f>
        <v>0</v>
      </c>
      <c r="Y125" s="23"/>
      <c r="Z125" s="23"/>
      <c r="AA125" s="23"/>
      <c r="AB125" s="23"/>
      <c r="AC125" s="47"/>
      <c r="AD125" s="23"/>
      <c r="AE125" s="23"/>
    </row>
    <row r="126" spans="1:31" ht="12.75" customHeight="1">
      <c r="A126" s="35" t="s">
        <v>59</v>
      </c>
      <c r="B126" s="63" t="str">
        <f>C1</f>
        <v>UX</v>
      </c>
      <c r="C126" s="6">
        <v>3240000</v>
      </c>
      <c r="D126" s="6"/>
      <c r="E126" s="6"/>
      <c r="F126" s="6">
        <v>540000</v>
      </c>
      <c r="G126" s="6"/>
      <c r="H126" s="6"/>
      <c r="I126" s="6">
        <v>0</v>
      </c>
      <c r="J126" s="6"/>
      <c r="K126" s="6"/>
      <c r="L126" s="6"/>
      <c r="M126" s="6">
        <f t="shared" si="13"/>
        <v>5861295</v>
      </c>
      <c r="N126" s="6"/>
      <c r="O126" s="6"/>
      <c r="P126" s="5">
        <f t="shared" si="14"/>
        <v>52477.159090909088</v>
      </c>
      <c r="Q126" s="5"/>
      <c r="R126" s="5"/>
      <c r="S126" s="48"/>
      <c r="T126" s="48"/>
      <c r="U126" s="23">
        <f t="shared" si="15"/>
        <v>0</v>
      </c>
      <c r="W126" s="64">
        <f t="shared" si="16"/>
        <v>0</v>
      </c>
      <c r="Y126" s="23"/>
      <c r="Z126" s="23"/>
      <c r="AA126" s="23"/>
      <c r="AB126" s="23"/>
      <c r="AC126" s="47"/>
      <c r="AD126" s="23"/>
      <c r="AE126" s="23"/>
    </row>
    <row r="127" spans="1:31" ht="12.75" customHeight="1">
      <c r="A127" s="35" t="s">
        <v>60</v>
      </c>
      <c r="B127" s="63" t="str">
        <f>D1</f>
        <v>FM</v>
      </c>
      <c r="C127" s="6">
        <v>3240000</v>
      </c>
      <c r="D127" s="6"/>
      <c r="E127" s="6"/>
      <c r="F127" s="6">
        <v>540000</v>
      </c>
      <c r="G127" s="6"/>
      <c r="H127" s="6"/>
      <c r="I127" s="6">
        <v>0</v>
      </c>
      <c r="J127" s="6"/>
      <c r="K127" s="6"/>
      <c r="L127" s="6"/>
      <c r="M127" s="6">
        <f t="shared" si="13"/>
        <v>5861295</v>
      </c>
      <c r="N127" s="6"/>
      <c r="O127" s="6"/>
      <c r="P127" s="5">
        <f t="shared" si="14"/>
        <v>52477.159090909088</v>
      </c>
      <c r="Q127" s="5"/>
      <c r="R127" s="5"/>
      <c r="S127" s="48"/>
      <c r="T127" s="48"/>
      <c r="U127" s="23">
        <f t="shared" si="15"/>
        <v>0</v>
      </c>
      <c r="W127" s="64">
        <f t="shared" si="16"/>
        <v>0</v>
      </c>
      <c r="Y127" s="23"/>
      <c r="Z127" s="23"/>
      <c r="AA127" s="23"/>
      <c r="AB127" s="23"/>
      <c r="AC127" s="47"/>
      <c r="AD127" s="23"/>
      <c r="AE127" s="23"/>
    </row>
    <row r="128" spans="1:31" ht="12.75" customHeight="1">
      <c r="A128" s="35" t="s">
        <v>61</v>
      </c>
      <c r="B128" s="63" t="str">
        <f>E1</f>
        <v>BS</v>
      </c>
      <c r="C128" s="6">
        <v>4320000</v>
      </c>
      <c r="D128" s="6"/>
      <c r="E128" s="6"/>
      <c r="F128" s="6">
        <v>1620000</v>
      </c>
      <c r="G128" s="6"/>
      <c r="H128" s="6"/>
      <c r="I128" s="6">
        <v>0</v>
      </c>
      <c r="J128" s="6"/>
      <c r="K128" s="6"/>
      <c r="L128" s="6"/>
      <c r="M128" s="6">
        <f t="shared" si="13"/>
        <v>8209600</v>
      </c>
      <c r="N128" s="6"/>
      <c r="O128" s="6"/>
      <c r="P128" s="5">
        <f t="shared" si="14"/>
        <v>73501.928374655647</v>
      </c>
      <c r="Q128" s="5"/>
      <c r="R128" s="5"/>
      <c r="S128" s="48"/>
      <c r="T128" s="48"/>
      <c r="U128" s="23">
        <f t="shared" si="15"/>
        <v>0</v>
      </c>
      <c r="W128" s="64">
        <f t="shared" si="16"/>
        <v>0</v>
      </c>
      <c r="Y128" s="23"/>
      <c r="Z128" s="23"/>
      <c r="AA128" s="23"/>
      <c r="AB128" s="23"/>
      <c r="AC128" s="47"/>
      <c r="AD128" s="23"/>
      <c r="AE128" s="23"/>
    </row>
    <row r="129" spans="1:31" ht="12.75" customHeight="1">
      <c r="A129" s="35" t="s">
        <v>62</v>
      </c>
      <c r="B129" s="63" t="str">
        <f>F1</f>
        <v>BM</v>
      </c>
      <c r="C129" s="6">
        <v>3780000</v>
      </c>
      <c r="D129" s="6"/>
      <c r="E129" s="6"/>
      <c r="F129" s="6">
        <v>1080000</v>
      </c>
      <c r="G129" s="6"/>
      <c r="H129" s="6"/>
      <c r="I129" s="6">
        <v>0</v>
      </c>
      <c r="J129" s="6"/>
      <c r="K129" s="6"/>
      <c r="L129" s="6"/>
      <c r="M129" s="6">
        <f t="shared" si="13"/>
        <v>6910900</v>
      </c>
      <c r="N129" s="6"/>
      <c r="O129" s="6"/>
      <c r="P129" s="5">
        <f t="shared" si="14"/>
        <v>61874.449035812671</v>
      </c>
      <c r="Q129" s="5"/>
      <c r="R129" s="5"/>
      <c r="S129" s="48"/>
      <c r="T129" s="48"/>
      <c r="U129" s="23">
        <f t="shared" si="15"/>
        <v>0</v>
      </c>
      <c r="W129" s="64">
        <f t="shared" si="16"/>
        <v>0</v>
      </c>
      <c r="Y129" s="23"/>
      <c r="Z129" s="23"/>
      <c r="AA129" s="23"/>
      <c r="AB129" s="23"/>
      <c r="AC129" s="47"/>
      <c r="AD129" s="23"/>
      <c r="AE129" s="23"/>
    </row>
    <row r="130" spans="1:31" ht="12.75" customHeight="1">
      <c r="A130" s="35" t="s">
        <v>63</v>
      </c>
      <c r="B130" s="63" t="str">
        <f>G1</f>
        <v>QA</v>
      </c>
      <c r="C130" s="6">
        <v>2700000</v>
      </c>
      <c r="D130" s="6"/>
      <c r="E130" s="6"/>
      <c r="F130" s="6">
        <v>1080000</v>
      </c>
      <c r="G130" s="6"/>
      <c r="H130" s="6"/>
      <c r="I130" s="6">
        <v>54000</v>
      </c>
      <c r="J130" s="6"/>
      <c r="K130" s="6"/>
      <c r="L130" s="6"/>
      <c r="M130" s="6">
        <f t="shared" si="13"/>
        <v>5696595</v>
      </c>
      <c r="N130" s="6"/>
      <c r="O130" s="6"/>
      <c r="P130" s="5">
        <f t="shared" si="14"/>
        <v>51002.572314049583</v>
      </c>
      <c r="Q130" s="5"/>
      <c r="R130" s="5"/>
      <c r="S130" s="48"/>
      <c r="T130" s="48"/>
      <c r="U130" s="23">
        <f t="shared" si="15"/>
        <v>0</v>
      </c>
      <c r="W130" s="64">
        <f t="shared" si="16"/>
        <v>0</v>
      </c>
      <c r="Y130" s="23"/>
      <c r="Z130" s="23"/>
      <c r="AA130" s="23"/>
      <c r="AB130" s="23"/>
      <c r="AC130" s="47"/>
      <c r="AD130" s="23"/>
      <c r="AE130" s="23"/>
    </row>
    <row r="131" spans="1:31" ht="12.75" customHeight="1">
      <c r="A131" s="35" t="s">
        <v>64</v>
      </c>
      <c r="B131" s="63" t="str">
        <f>H1</f>
        <v>IM</v>
      </c>
      <c r="C131" s="6">
        <v>2700000</v>
      </c>
      <c r="D131" s="6"/>
      <c r="E131" s="6"/>
      <c r="F131" s="6">
        <v>1080000</v>
      </c>
      <c r="G131" s="6"/>
      <c r="H131" s="6"/>
      <c r="I131" s="6">
        <v>0</v>
      </c>
      <c r="J131" s="6"/>
      <c r="K131" s="6"/>
      <c r="L131" s="6"/>
      <c r="M131" s="6">
        <f t="shared" si="13"/>
        <v>5642595</v>
      </c>
      <c r="N131" s="6"/>
      <c r="O131" s="6"/>
      <c r="P131" s="5">
        <f t="shared" si="14"/>
        <v>50519.10123966942</v>
      </c>
      <c r="Q131" s="5"/>
      <c r="R131" s="5"/>
      <c r="S131" s="48"/>
      <c r="T131" s="48"/>
      <c r="U131" s="23">
        <f t="shared" si="15"/>
        <v>0</v>
      </c>
      <c r="W131" s="64">
        <f t="shared" si="16"/>
        <v>0</v>
      </c>
      <c r="Y131" s="23"/>
      <c r="Z131" s="23"/>
      <c r="AA131" s="23"/>
      <c r="AB131" s="23"/>
      <c r="AC131" s="47"/>
      <c r="AD131" s="23"/>
      <c r="AE131" s="23"/>
    </row>
    <row r="132" spans="1:31" ht="12.75" customHeight="1">
      <c r="A132" s="35" t="s">
        <v>65</v>
      </c>
      <c r="B132" s="63" t="str">
        <f>I1</f>
        <v>MS</v>
      </c>
      <c r="C132" s="6">
        <v>8100000</v>
      </c>
      <c r="D132" s="6"/>
      <c r="E132" s="6"/>
      <c r="F132" s="6">
        <v>2160000</v>
      </c>
      <c r="G132" s="6"/>
      <c r="H132" s="6"/>
      <c r="I132" s="6">
        <v>132000</v>
      </c>
      <c r="J132" s="6"/>
      <c r="K132" s="6"/>
      <c r="L132" s="6"/>
      <c r="M132" s="6">
        <f t="shared" si="13"/>
        <v>14192500</v>
      </c>
      <c r="N132" s="6"/>
      <c r="O132" s="6"/>
      <c r="P132" s="5">
        <f t="shared" si="14"/>
        <v>127067.83746556473</v>
      </c>
      <c r="Q132" s="5"/>
      <c r="R132" s="5"/>
      <c r="S132" s="48"/>
      <c r="T132" s="48"/>
      <c r="U132" s="23">
        <f t="shared" si="15"/>
        <v>0</v>
      </c>
      <c r="W132" s="64">
        <f t="shared" si="16"/>
        <v>0</v>
      </c>
      <c r="Y132" s="23"/>
      <c r="Z132" s="23"/>
      <c r="AA132" s="23"/>
      <c r="AB132" s="23"/>
      <c r="AC132" s="47"/>
      <c r="AD132" s="23"/>
      <c r="AE132" s="23"/>
    </row>
    <row r="133" spans="1:31" ht="12.75" customHeight="1">
      <c r="A133" s="35" t="s">
        <v>66</v>
      </c>
      <c r="B133" s="63" t="str">
        <f>J1</f>
        <v>MM</v>
      </c>
      <c r="C133" s="6">
        <v>3240000</v>
      </c>
      <c r="D133" s="6"/>
      <c r="E133" s="6"/>
      <c r="F133" s="6">
        <v>1080000</v>
      </c>
      <c r="G133" s="6"/>
      <c r="H133" s="6"/>
      <c r="I133" s="6">
        <v>132000</v>
      </c>
      <c r="J133" s="6"/>
      <c r="K133" s="6"/>
      <c r="L133" s="6"/>
      <c r="M133" s="6">
        <f t="shared" si="13"/>
        <v>6533295</v>
      </c>
      <c r="N133" s="6"/>
      <c r="O133" s="6"/>
      <c r="P133" s="5">
        <f t="shared" si="14"/>
        <v>58493.688016528926</v>
      </c>
      <c r="Q133" s="5"/>
      <c r="R133" s="5"/>
      <c r="S133" s="48"/>
      <c r="T133" s="48"/>
      <c r="U133" s="23">
        <f t="shared" si="15"/>
        <v>0</v>
      </c>
      <c r="W133" s="64">
        <f t="shared" si="16"/>
        <v>0</v>
      </c>
      <c r="Y133" s="23"/>
      <c r="Z133" s="23"/>
      <c r="AA133" s="23"/>
      <c r="AB133" s="23"/>
      <c r="AC133" s="47"/>
      <c r="AD133" s="23"/>
      <c r="AE133" s="23"/>
    </row>
    <row r="134" spans="1:31" ht="12.75" customHeight="1">
      <c r="A134" s="35" t="s">
        <v>67</v>
      </c>
      <c r="B134" s="63" t="s">
        <v>10</v>
      </c>
      <c r="C134" s="6">
        <v>3240000</v>
      </c>
      <c r="D134" s="6"/>
      <c r="E134" s="6"/>
      <c r="F134" s="6">
        <v>1080000</v>
      </c>
      <c r="G134" s="6"/>
      <c r="H134" s="6"/>
      <c r="I134" s="6"/>
      <c r="J134" s="6"/>
      <c r="K134" s="6"/>
      <c r="L134" s="6"/>
      <c r="M134" s="6">
        <f t="shared" si="13"/>
        <v>6401295</v>
      </c>
      <c r="N134" s="6"/>
      <c r="O134" s="6"/>
      <c r="P134" s="5">
        <f t="shared" si="14"/>
        <v>57311.869834710742</v>
      </c>
      <c r="Q134" s="5"/>
      <c r="R134" s="5"/>
      <c r="S134" s="48"/>
      <c r="T134" s="48"/>
      <c r="U134" s="23">
        <f t="shared" si="15"/>
        <v>0</v>
      </c>
      <c r="W134" s="64">
        <f t="shared" si="16"/>
        <v>0</v>
      </c>
      <c r="Y134" s="23"/>
      <c r="Z134" s="23"/>
      <c r="AA134" s="23"/>
      <c r="AB134" s="23"/>
      <c r="AC134" s="47"/>
      <c r="AD134" s="23"/>
      <c r="AE134" s="23"/>
    </row>
    <row r="135" spans="1:31" ht="12.75" customHeight="1">
      <c r="A135" s="35"/>
      <c r="B135" s="63"/>
      <c r="C135" s="48"/>
      <c r="D135" s="48"/>
      <c r="E135" s="48"/>
      <c r="F135" s="48"/>
      <c r="G135" s="48"/>
      <c r="H135" s="48"/>
      <c r="I135" s="23"/>
      <c r="J135" s="23"/>
      <c r="K135" s="23"/>
      <c r="L135" s="23"/>
      <c r="M135" s="23"/>
      <c r="N135" s="23"/>
      <c r="O135" s="23"/>
      <c r="P135" s="4">
        <f>SUM(P125:P134)</f>
        <v>680564.0564738292</v>
      </c>
      <c r="Q135" s="4"/>
      <c r="R135" s="4"/>
      <c r="S135" s="48"/>
      <c r="T135" s="48"/>
      <c r="U135" s="48"/>
      <c r="W135" s="65">
        <f>SUM(W125:W134)</f>
        <v>0</v>
      </c>
      <c r="Y135" s="23"/>
      <c r="Z135" s="23"/>
      <c r="AA135" s="23"/>
      <c r="AB135" s="23"/>
      <c r="AC135" s="47"/>
      <c r="AD135" s="23"/>
      <c r="AE135" s="23"/>
    </row>
    <row r="136" spans="1:31" ht="12.75" customHeight="1">
      <c r="A136" s="23"/>
      <c r="B136" s="23"/>
      <c r="C136" s="66"/>
      <c r="D136" s="66"/>
      <c r="E136" s="23"/>
      <c r="F136" s="23"/>
      <c r="G136" s="23"/>
      <c r="H136" s="48"/>
      <c r="I136" s="23"/>
      <c r="J136" s="23"/>
      <c r="K136" s="23"/>
      <c r="L136" s="48"/>
      <c r="M136" s="23"/>
      <c r="N136" s="23"/>
      <c r="O136" s="23"/>
      <c r="P136" s="23"/>
      <c r="Q136" s="23"/>
      <c r="R136" s="23"/>
      <c r="S136" s="23"/>
      <c r="T136" s="23"/>
      <c r="U136" s="23"/>
      <c r="V136" s="23"/>
      <c r="W136" s="23"/>
      <c r="X136" s="23"/>
      <c r="Y136" s="23"/>
      <c r="Z136" s="23"/>
      <c r="AA136" s="23"/>
      <c r="AB136" s="23"/>
      <c r="AC136" s="47"/>
      <c r="AD136" s="23"/>
      <c r="AE136" s="23"/>
    </row>
    <row r="137" spans="1:31" ht="12.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47"/>
      <c r="AD137" s="23"/>
      <c r="AE137" s="23"/>
    </row>
    <row r="138" spans="1:31" ht="12.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8"/>
      <c r="AD138" s="67"/>
      <c r="AE138" s="67"/>
    </row>
    <row r="139" spans="1:31" ht="15" customHeight="1">
      <c r="A139" s="67"/>
      <c r="B139" s="67"/>
      <c r="C139" s="3"/>
      <c r="D139" s="3"/>
      <c r="E139" s="3"/>
      <c r="F139" s="3"/>
      <c r="G139" s="2"/>
      <c r="H139" s="2"/>
      <c r="I139" s="2"/>
      <c r="J139" s="2"/>
      <c r="K139" s="69"/>
      <c r="L139" s="1"/>
      <c r="M139" s="1"/>
      <c r="N139" s="1"/>
      <c r="O139" s="1"/>
      <c r="P139" s="2"/>
      <c r="Q139" s="2"/>
      <c r="R139" s="2"/>
      <c r="S139" s="2"/>
      <c r="T139" s="1"/>
      <c r="U139" s="1"/>
      <c r="V139" s="1"/>
      <c r="W139" s="1"/>
      <c r="X139" s="2"/>
      <c r="Y139" s="2"/>
      <c r="Z139" s="2"/>
      <c r="AA139" s="1"/>
      <c r="AB139" s="1"/>
      <c r="AC139" s="1"/>
      <c r="AD139" s="70"/>
      <c r="AE139" s="67"/>
    </row>
    <row r="140" spans="1:31" ht="12.75" customHeight="1">
      <c r="A140" s="71" t="e">
        <f t="array" aca="1" ref="A140:A144" ca="1">unique(L1:L120)</f>
        <v>#NAME?</v>
      </c>
      <c r="B140" s="72"/>
      <c r="C140" s="73"/>
      <c r="D140" s="73"/>
      <c r="E140" s="73"/>
      <c r="F140" s="74"/>
      <c r="G140" s="75" t="s">
        <v>68</v>
      </c>
      <c r="H140" s="75" t="s">
        <v>69</v>
      </c>
      <c r="I140" s="75" t="s">
        <v>70</v>
      </c>
      <c r="J140" s="75" t="s">
        <v>71</v>
      </c>
      <c r="K140" s="75" t="s">
        <v>72</v>
      </c>
      <c r="L140" s="76" t="s">
        <v>73</v>
      </c>
      <c r="M140" s="76" t="s">
        <v>74</v>
      </c>
      <c r="N140" s="76" t="s">
        <v>75</v>
      </c>
      <c r="O140" s="76" t="s">
        <v>76</v>
      </c>
      <c r="P140" s="75" t="s">
        <v>77</v>
      </c>
      <c r="Q140" s="75"/>
      <c r="R140" s="75"/>
      <c r="S140" s="75"/>
      <c r="T140" s="76"/>
      <c r="U140" s="76"/>
      <c r="V140" s="76"/>
      <c r="W140" s="76"/>
      <c r="X140" s="75"/>
      <c r="Y140" s="75"/>
      <c r="Z140" s="75"/>
      <c r="AA140" s="76"/>
      <c r="AB140" s="76"/>
      <c r="AC140" s="77"/>
      <c r="AD140" s="76"/>
      <c r="AE140" s="67"/>
    </row>
    <row r="141" spans="1:31" ht="12.75" customHeight="1">
      <c r="A141" s="78" t="e">
        <f ca="1"/>
        <v>#NAME?</v>
      </c>
      <c r="B141" s="79"/>
      <c r="C141" s="79"/>
      <c r="D141" s="79" t="s">
        <v>78</v>
      </c>
      <c r="E141" s="79"/>
      <c r="F141" s="80"/>
      <c r="G141" s="81"/>
      <c r="H141" s="81"/>
      <c r="I141" s="81"/>
      <c r="J141" s="81"/>
      <c r="K141" s="81"/>
      <c r="L141" s="82"/>
      <c r="M141" s="82"/>
      <c r="N141" s="82"/>
      <c r="O141" s="82"/>
      <c r="P141" s="81"/>
      <c r="Q141" s="81"/>
      <c r="R141" s="81"/>
      <c r="S141" s="81"/>
      <c r="T141" s="82"/>
      <c r="U141" s="82"/>
      <c r="V141" s="82"/>
      <c r="W141" s="82"/>
      <c r="X141" s="81"/>
      <c r="Y141" s="81"/>
      <c r="Z141" s="81"/>
      <c r="AA141" s="82"/>
      <c r="AB141" s="82"/>
      <c r="AC141" s="83"/>
      <c r="AD141" s="82"/>
      <c r="AE141" s="67"/>
    </row>
    <row r="142" spans="1:31" ht="12.75" customHeight="1">
      <c r="A142" s="78" t="e">
        <f ca="1"/>
        <v>#NAME?</v>
      </c>
      <c r="B142" s="79"/>
      <c r="C142" s="79"/>
      <c r="D142" s="79"/>
      <c r="E142" s="79"/>
      <c r="F142" s="80"/>
      <c r="G142" s="81"/>
      <c r="H142" s="81"/>
      <c r="I142" s="81"/>
      <c r="J142" s="81"/>
      <c r="K142" s="81"/>
      <c r="L142" s="82"/>
      <c r="M142" s="82"/>
      <c r="N142" s="82"/>
      <c r="O142" s="82"/>
      <c r="P142" s="81"/>
      <c r="Q142" s="81"/>
      <c r="R142" s="81"/>
      <c r="S142" s="81"/>
      <c r="T142" s="82"/>
      <c r="U142" s="82"/>
      <c r="V142" s="82"/>
      <c r="W142" s="82"/>
      <c r="X142" s="81"/>
      <c r="Y142" s="81"/>
      <c r="Z142" s="81"/>
      <c r="AA142" s="82"/>
      <c r="AB142" s="82"/>
      <c r="AC142" s="83"/>
      <c r="AD142" s="82"/>
      <c r="AE142" s="67"/>
    </row>
    <row r="143" spans="1:31" ht="12.75" customHeight="1">
      <c r="A143" s="78" t="e">
        <f ca="1"/>
        <v>#NAME?</v>
      </c>
      <c r="B143" s="79"/>
      <c r="C143" s="79"/>
      <c r="D143" s="79"/>
      <c r="E143" s="79"/>
      <c r="F143" s="80"/>
      <c r="G143" s="81"/>
      <c r="H143" s="81"/>
      <c r="I143" s="81"/>
      <c r="J143" s="81"/>
      <c r="K143" s="81"/>
      <c r="L143" s="82"/>
      <c r="M143" s="82"/>
      <c r="N143" s="82"/>
      <c r="O143" s="82"/>
      <c r="P143" s="81"/>
      <c r="Q143" s="81"/>
      <c r="R143" s="81"/>
      <c r="S143" s="81"/>
      <c r="T143" s="82"/>
      <c r="U143" s="82"/>
      <c r="V143" s="82"/>
      <c r="W143" s="82"/>
      <c r="X143" s="81"/>
      <c r="Y143" s="81"/>
      <c r="Z143" s="81"/>
      <c r="AA143" s="82"/>
      <c r="AB143" s="82"/>
      <c r="AC143" s="83"/>
      <c r="AD143" s="82"/>
      <c r="AE143" s="67"/>
    </row>
    <row r="144" spans="1:31" ht="12.75" customHeight="1">
      <c r="A144" s="78" t="e">
        <f ca="1"/>
        <v>#NAME?</v>
      </c>
      <c r="B144" s="79"/>
      <c r="C144" s="79"/>
      <c r="D144" s="79"/>
      <c r="E144" s="79"/>
      <c r="F144" s="80"/>
      <c r="G144" s="81"/>
      <c r="H144" s="81"/>
      <c r="I144" s="81"/>
      <c r="J144" s="81"/>
      <c r="K144" s="81"/>
      <c r="L144" s="82"/>
      <c r="M144" s="82"/>
      <c r="N144" s="82"/>
      <c r="O144" s="82"/>
      <c r="P144" s="81"/>
      <c r="Q144" s="81"/>
      <c r="R144" s="81"/>
      <c r="S144" s="81"/>
      <c r="T144" s="82"/>
      <c r="U144" s="82"/>
      <c r="V144" s="82"/>
      <c r="W144" s="82"/>
      <c r="X144" s="81"/>
      <c r="Y144" s="81"/>
      <c r="Z144" s="81"/>
      <c r="AA144" s="82"/>
      <c r="AB144" s="82"/>
      <c r="AC144" s="83"/>
      <c r="AD144" s="82"/>
      <c r="AE144" s="67"/>
    </row>
    <row r="145" spans="1:31" ht="12.75" customHeight="1">
      <c r="A145" s="78"/>
      <c r="B145" s="79"/>
      <c r="C145" s="79"/>
      <c r="D145" s="79"/>
      <c r="E145" s="79"/>
      <c r="F145" s="80"/>
      <c r="G145" s="81"/>
      <c r="H145" s="81"/>
      <c r="I145" s="81"/>
      <c r="J145" s="81"/>
      <c r="K145" s="81"/>
      <c r="L145" s="82"/>
      <c r="M145" s="82"/>
      <c r="N145" s="82"/>
      <c r="O145" s="82"/>
      <c r="P145" s="81"/>
      <c r="Q145" s="81"/>
      <c r="R145" s="81"/>
      <c r="S145" s="81"/>
      <c r="T145" s="82"/>
      <c r="U145" s="82"/>
      <c r="V145" s="82"/>
      <c r="W145" s="82"/>
      <c r="X145" s="81"/>
      <c r="Y145" s="81"/>
      <c r="Z145" s="81"/>
      <c r="AA145" s="82"/>
      <c r="AB145" s="82"/>
      <c r="AC145" s="83"/>
      <c r="AD145" s="82"/>
      <c r="AE145" s="67"/>
    </row>
    <row r="146" spans="1:31" ht="12.75" customHeight="1">
      <c r="A146" s="78"/>
      <c r="B146" s="79"/>
      <c r="C146" s="79"/>
      <c r="D146" s="79"/>
      <c r="E146" s="79"/>
      <c r="F146" s="80"/>
      <c r="G146" s="81"/>
      <c r="H146" s="81"/>
      <c r="I146" s="81"/>
      <c r="J146" s="81"/>
      <c r="K146" s="81"/>
      <c r="L146" s="82"/>
      <c r="M146" s="82"/>
      <c r="N146" s="82"/>
      <c r="O146" s="82"/>
      <c r="P146" s="81"/>
      <c r="Q146" s="81"/>
      <c r="R146" s="81"/>
      <c r="S146" s="81"/>
      <c r="T146" s="82"/>
      <c r="U146" s="82"/>
      <c r="V146" s="82"/>
      <c r="W146" s="82"/>
      <c r="X146" s="81"/>
      <c r="Y146" s="81"/>
      <c r="Z146" s="81"/>
      <c r="AA146" s="82"/>
      <c r="AB146" s="82"/>
      <c r="AC146" s="83"/>
      <c r="AD146" s="82"/>
      <c r="AE146" s="67"/>
    </row>
    <row r="147" spans="1:31" ht="12.75" customHeight="1">
      <c r="A147" s="78"/>
      <c r="B147" s="79"/>
      <c r="C147" s="79"/>
      <c r="D147" s="79"/>
      <c r="E147" s="79"/>
      <c r="F147" s="80"/>
      <c r="G147" s="81"/>
      <c r="H147" s="81"/>
      <c r="I147" s="81"/>
      <c r="J147" s="81"/>
      <c r="K147" s="81"/>
      <c r="L147" s="82"/>
      <c r="M147" s="82"/>
      <c r="N147" s="82"/>
      <c r="O147" s="82"/>
      <c r="P147" s="81"/>
      <c r="Q147" s="81"/>
      <c r="R147" s="81"/>
      <c r="S147" s="81"/>
      <c r="T147" s="82"/>
      <c r="U147" s="82"/>
      <c r="V147" s="82"/>
      <c r="W147" s="82"/>
      <c r="X147" s="81"/>
      <c r="Y147" s="81"/>
      <c r="Z147" s="81"/>
      <c r="AA147" s="82"/>
      <c r="AB147" s="82"/>
      <c r="AC147" s="83"/>
      <c r="AD147" s="82"/>
      <c r="AE147" s="67"/>
    </row>
    <row r="148" spans="1:31" ht="12.75" customHeight="1">
      <c r="A148" s="78"/>
      <c r="B148" s="79"/>
      <c r="C148" s="79"/>
      <c r="D148" s="79"/>
      <c r="E148" s="79"/>
      <c r="F148" s="80"/>
      <c r="G148" s="81"/>
      <c r="H148" s="81"/>
      <c r="I148" s="81"/>
      <c r="J148" s="81"/>
      <c r="K148" s="81"/>
      <c r="L148" s="82"/>
      <c r="M148" s="82"/>
      <c r="N148" s="82"/>
      <c r="O148" s="82"/>
      <c r="P148" s="81"/>
      <c r="Q148" s="81"/>
      <c r="R148" s="81"/>
      <c r="S148" s="81"/>
      <c r="T148" s="82"/>
      <c r="U148" s="82"/>
      <c r="V148" s="82"/>
      <c r="W148" s="82"/>
      <c r="X148" s="81"/>
      <c r="Y148" s="81"/>
      <c r="Z148" s="81"/>
      <c r="AA148" s="82"/>
      <c r="AB148" s="82"/>
      <c r="AC148" s="83"/>
      <c r="AD148" s="82"/>
      <c r="AE148" s="67"/>
    </row>
    <row r="149" spans="1:31" ht="12.75" customHeight="1">
      <c r="A149" s="78"/>
      <c r="B149" s="79"/>
      <c r="C149" s="79"/>
      <c r="D149" s="79"/>
      <c r="E149" s="79"/>
      <c r="F149" s="80"/>
      <c r="G149" s="81"/>
      <c r="H149" s="81"/>
      <c r="I149" s="81"/>
      <c r="J149" s="81"/>
      <c r="K149" s="81"/>
      <c r="L149" s="82"/>
      <c r="M149" s="82"/>
      <c r="N149" s="82"/>
      <c r="O149" s="82"/>
      <c r="P149" s="81"/>
      <c r="Q149" s="81"/>
      <c r="R149" s="81"/>
      <c r="S149" s="81"/>
      <c r="T149" s="82"/>
      <c r="U149" s="82"/>
      <c r="V149" s="82"/>
      <c r="W149" s="82"/>
      <c r="X149" s="81"/>
      <c r="Y149" s="81"/>
      <c r="Z149" s="81"/>
      <c r="AA149" s="82"/>
      <c r="AB149" s="82"/>
      <c r="AC149" s="83"/>
      <c r="AD149" s="82"/>
      <c r="AE149" s="67"/>
    </row>
    <row r="150" spans="1:31" ht="12.75" customHeight="1">
      <c r="A150" s="78"/>
      <c r="B150" s="79"/>
      <c r="C150" s="79"/>
      <c r="D150" s="79"/>
      <c r="E150" s="79"/>
      <c r="F150" s="80"/>
      <c r="G150" s="81"/>
      <c r="H150" s="81"/>
      <c r="I150" s="81"/>
      <c r="J150" s="81"/>
      <c r="K150" s="81"/>
      <c r="L150" s="82"/>
      <c r="M150" s="82"/>
      <c r="N150" s="82"/>
      <c r="O150" s="82"/>
      <c r="P150" s="81"/>
      <c r="Q150" s="81"/>
      <c r="R150" s="81"/>
      <c r="S150" s="81"/>
      <c r="T150" s="82"/>
      <c r="U150" s="82"/>
      <c r="V150" s="82"/>
      <c r="W150" s="82"/>
      <c r="X150" s="81"/>
      <c r="Y150" s="81"/>
      <c r="Z150" s="81"/>
      <c r="AA150" s="82"/>
      <c r="AB150" s="82"/>
      <c r="AC150" s="83"/>
      <c r="AD150" s="82"/>
      <c r="AE150" s="67"/>
    </row>
    <row r="151" spans="1:31" ht="12.75" customHeight="1">
      <c r="A151" s="78"/>
      <c r="B151" s="79"/>
      <c r="C151" s="79"/>
      <c r="D151" s="79"/>
      <c r="E151" s="79"/>
      <c r="F151" s="80"/>
      <c r="G151" s="81"/>
      <c r="H151" s="81"/>
      <c r="I151" s="81"/>
      <c r="J151" s="81"/>
      <c r="K151" s="81"/>
      <c r="L151" s="82"/>
      <c r="M151" s="82"/>
      <c r="N151" s="82"/>
      <c r="O151" s="82"/>
      <c r="P151" s="81"/>
      <c r="Q151" s="81"/>
      <c r="R151" s="81"/>
      <c r="S151" s="81"/>
      <c r="T151" s="82"/>
      <c r="U151" s="82"/>
      <c r="V151" s="82"/>
      <c r="W151" s="82"/>
      <c r="X151" s="81"/>
      <c r="Y151" s="81"/>
      <c r="Z151" s="81"/>
      <c r="AA151" s="82"/>
      <c r="AB151" s="82"/>
      <c r="AC151" s="83"/>
      <c r="AD151" s="82"/>
      <c r="AE151" s="67"/>
    </row>
    <row r="152" spans="1:31" ht="12.75" customHeight="1">
      <c r="A152" s="78"/>
      <c r="B152" s="79"/>
      <c r="C152" s="79"/>
      <c r="D152" s="79"/>
      <c r="E152" s="79"/>
      <c r="F152" s="80"/>
      <c r="G152" s="81"/>
      <c r="H152" s="81"/>
      <c r="I152" s="81"/>
      <c r="J152" s="81"/>
      <c r="K152" s="81"/>
      <c r="L152" s="82"/>
      <c r="M152" s="82"/>
      <c r="N152" s="82"/>
      <c r="O152" s="82"/>
      <c r="P152" s="81"/>
      <c r="Q152" s="81"/>
      <c r="R152" s="81"/>
      <c r="S152" s="81"/>
      <c r="T152" s="82"/>
      <c r="U152" s="82"/>
      <c r="V152" s="82"/>
      <c r="W152" s="82"/>
      <c r="X152" s="81"/>
      <c r="Y152" s="81"/>
      <c r="Z152" s="81"/>
      <c r="AA152" s="82"/>
      <c r="AB152" s="82"/>
      <c r="AC152" s="83"/>
      <c r="AD152" s="82"/>
      <c r="AE152" s="67"/>
    </row>
    <row r="153" spans="1:31" ht="12.75" customHeight="1">
      <c r="A153" s="78"/>
      <c r="B153" s="79"/>
      <c r="C153" s="79"/>
      <c r="D153" s="79"/>
      <c r="E153" s="79"/>
      <c r="F153" s="80"/>
      <c r="G153" s="81"/>
      <c r="H153" s="81"/>
      <c r="I153" s="81"/>
      <c r="J153" s="81"/>
      <c r="K153" s="81"/>
      <c r="L153" s="82"/>
      <c r="M153" s="82"/>
      <c r="N153" s="82"/>
      <c r="O153" s="82"/>
      <c r="P153" s="81"/>
      <c r="Q153" s="81"/>
      <c r="R153" s="81"/>
      <c r="S153" s="81"/>
      <c r="T153" s="82"/>
      <c r="U153" s="82"/>
      <c r="V153" s="82"/>
      <c r="W153" s="82"/>
      <c r="X153" s="81"/>
      <c r="Y153" s="81"/>
      <c r="Z153" s="81"/>
      <c r="AA153" s="82"/>
      <c r="AB153" s="82"/>
      <c r="AC153" s="83"/>
      <c r="AD153" s="82"/>
      <c r="AE153" s="67"/>
    </row>
    <row r="154" spans="1:31" ht="12.75" customHeight="1">
      <c r="A154" s="78"/>
      <c r="B154" s="79"/>
      <c r="C154" s="79"/>
      <c r="D154" s="79"/>
      <c r="E154" s="79"/>
      <c r="F154" s="80"/>
      <c r="G154" s="81"/>
      <c r="H154" s="81"/>
      <c r="I154" s="81"/>
      <c r="J154" s="81"/>
      <c r="K154" s="81"/>
      <c r="L154" s="82"/>
      <c r="M154" s="82"/>
      <c r="N154" s="82"/>
      <c r="O154" s="82"/>
      <c r="P154" s="81"/>
      <c r="Q154" s="81"/>
      <c r="R154" s="81"/>
      <c r="S154" s="81"/>
      <c r="T154" s="82"/>
      <c r="U154" s="82"/>
      <c r="V154" s="82"/>
      <c r="W154" s="82"/>
      <c r="X154" s="81"/>
      <c r="Y154" s="81"/>
      <c r="Z154" s="81"/>
      <c r="AA154" s="82"/>
      <c r="AB154" s="82"/>
      <c r="AC154" s="83"/>
      <c r="AD154" s="82"/>
      <c r="AE154" s="67"/>
    </row>
    <row r="155" spans="1:31" ht="12.75" customHeight="1">
      <c r="A155" s="78"/>
      <c r="B155" s="79"/>
      <c r="C155" s="79"/>
      <c r="D155" s="79"/>
      <c r="E155" s="79"/>
      <c r="F155" s="80"/>
      <c r="G155" s="81"/>
      <c r="H155" s="81"/>
      <c r="I155" s="81"/>
      <c r="J155" s="81"/>
      <c r="K155" s="81"/>
      <c r="L155" s="82"/>
      <c r="M155" s="82"/>
      <c r="N155" s="82"/>
      <c r="O155" s="82"/>
      <c r="P155" s="81"/>
      <c r="Q155" s="81"/>
      <c r="R155" s="81"/>
      <c r="S155" s="81"/>
      <c r="T155" s="82"/>
      <c r="U155" s="82"/>
      <c r="V155" s="82"/>
      <c r="W155" s="82"/>
      <c r="X155" s="81"/>
      <c r="Y155" s="81"/>
      <c r="Z155" s="81"/>
      <c r="AA155" s="82"/>
      <c r="AB155" s="82"/>
      <c r="AC155" s="83"/>
      <c r="AD155" s="82"/>
      <c r="AE155" s="67"/>
    </row>
    <row r="156" spans="1:31" ht="12.75" customHeight="1">
      <c r="A156" s="78"/>
      <c r="B156" s="79"/>
      <c r="C156" s="79"/>
      <c r="D156" s="79"/>
      <c r="E156" s="79"/>
      <c r="F156" s="80"/>
      <c r="G156" s="81"/>
      <c r="H156" s="81"/>
      <c r="I156" s="81"/>
      <c r="J156" s="81"/>
      <c r="K156" s="81"/>
      <c r="L156" s="82"/>
      <c r="M156" s="82"/>
      <c r="N156" s="82"/>
      <c r="O156" s="82"/>
      <c r="P156" s="81"/>
      <c r="Q156" s="81"/>
      <c r="R156" s="81"/>
      <c r="S156" s="81"/>
      <c r="T156" s="82"/>
      <c r="U156" s="82"/>
      <c r="V156" s="82"/>
      <c r="W156" s="82"/>
      <c r="X156" s="81"/>
      <c r="Y156" s="81"/>
      <c r="Z156" s="81"/>
      <c r="AA156" s="82"/>
      <c r="AB156" s="82"/>
      <c r="AC156" s="83"/>
      <c r="AD156" s="82"/>
      <c r="AE156" s="67"/>
    </row>
    <row r="157" spans="1:31" ht="12.75" customHeight="1">
      <c r="A157" s="78"/>
      <c r="B157" s="79"/>
      <c r="C157" s="79"/>
      <c r="D157" s="79"/>
      <c r="E157" s="79"/>
      <c r="F157" s="80"/>
      <c r="G157" s="81"/>
      <c r="H157" s="81"/>
      <c r="I157" s="81"/>
      <c r="J157" s="81"/>
      <c r="K157" s="81"/>
      <c r="L157" s="82"/>
      <c r="M157" s="82"/>
      <c r="N157" s="82"/>
      <c r="O157" s="82"/>
      <c r="P157" s="81"/>
      <c r="Q157" s="81"/>
      <c r="R157" s="81"/>
      <c r="S157" s="81"/>
      <c r="T157" s="82"/>
      <c r="U157" s="82"/>
      <c r="V157" s="82"/>
      <c r="W157" s="82"/>
      <c r="X157" s="81"/>
      <c r="Y157" s="81"/>
      <c r="Z157" s="81"/>
      <c r="AA157" s="82"/>
      <c r="AB157" s="82"/>
      <c r="AC157" s="83"/>
      <c r="AD157" s="82"/>
      <c r="AE157" s="67"/>
    </row>
    <row r="158" spans="1:31" ht="12.75" customHeight="1">
      <c r="A158" s="78"/>
      <c r="B158" s="79"/>
      <c r="C158" s="79"/>
      <c r="D158" s="79"/>
      <c r="E158" s="79"/>
      <c r="F158" s="80"/>
      <c r="G158" s="81"/>
      <c r="H158" s="81"/>
      <c r="I158" s="81"/>
      <c r="J158" s="81"/>
      <c r="K158" s="81"/>
      <c r="L158" s="82"/>
      <c r="M158" s="82"/>
      <c r="N158" s="82"/>
      <c r="O158" s="82"/>
      <c r="P158" s="81"/>
      <c r="Q158" s="81"/>
      <c r="R158" s="81"/>
      <c r="S158" s="81"/>
      <c r="T158" s="82"/>
      <c r="U158" s="82"/>
      <c r="V158" s="82"/>
      <c r="W158" s="82"/>
      <c r="X158" s="81"/>
      <c r="Y158" s="81"/>
      <c r="Z158" s="81"/>
      <c r="AA158" s="82"/>
      <c r="AB158" s="82"/>
      <c r="AC158" s="83"/>
      <c r="AD158" s="82"/>
      <c r="AE158" s="67"/>
    </row>
    <row r="159" spans="1:31" ht="12.75" customHeight="1">
      <c r="A159" s="78"/>
      <c r="B159" s="79"/>
      <c r="C159" s="79"/>
      <c r="D159" s="79"/>
      <c r="E159" s="79"/>
      <c r="F159" s="80"/>
      <c r="G159" s="81"/>
      <c r="H159" s="81"/>
      <c r="I159" s="81"/>
      <c r="J159" s="81"/>
      <c r="K159" s="81"/>
      <c r="L159" s="82"/>
      <c r="M159" s="82"/>
      <c r="N159" s="82"/>
      <c r="O159" s="82"/>
      <c r="P159" s="81"/>
      <c r="Q159" s="81"/>
      <c r="R159" s="81"/>
      <c r="S159" s="81"/>
      <c r="T159" s="82"/>
      <c r="U159" s="82"/>
      <c r="V159" s="82"/>
      <c r="W159" s="82"/>
      <c r="X159" s="81"/>
      <c r="Y159" s="81"/>
      <c r="Z159" s="81"/>
      <c r="AA159" s="82"/>
      <c r="AB159" s="82"/>
      <c r="AC159" s="83"/>
      <c r="AD159" s="82"/>
      <c r="AE159" s="67"/>
    </row>
    <row r="160" spans="1:31" ht="12.75" customHeight="1">
      <c r="A160" s="78"/>
      <c r="B160" s="79"/>
      <c r="C160" s="79"/>
      <c r="D160" s="79"/>
      <c r="E160" s="79"/>
      <c r="F160" s="80"/>
      <c r="G160" s="81"/>
      <c r="H160" s="81"/>
      <c r="I160" s="81"/>
      <c r="J160" s="81"/>
      <c r="K160" s="81"/>
      <c r="L160" s="82"/>
      <c r="M160" s="82"/>
      <c r="N160" s="82"/>
      <c r="O160" s="82"/>
      <c r="P160" s="81"/>
      <c r="Q160" s="81"/>
      <c r="R160" s="81"/>
      <c r="S160" s="81"/>
      <c r="T160" s="82"/>
      <c r="U160" s="82"/>
      <c r="V160" s="82"/>
      <c r="W160" s="82"/>
      <c r="X160" s="81"/>
      <c r="Y160" s="81"/>
      <c r="Z160" s="81"/>
      <c r="AA160" s="82"/>
      <c r="AB160" s="82"/>
      <c r="AC160" s="83"/>
      <c r="AD160" s="82"/>
      <c r="AE160" s="67"/>
    </row>
    <row r="161" spans="1:31" ht="12.75" customHeight="1">
      <c r="A161" s="78"/>
      <c r="B161" s="79"/>
      <c r="C161" s="79"/>
      <c r="D161" s="79"/>
      <c r="E161" s="79"/>
      <c r="F161" s="80"/>
      <c r="G161" s="81"/>
      <c r="H161" s="81"/>
      <c r="I161" s="81"/>
      <c r="J161" s="81"/>
      <c r="K161" s="81"/>
      <c r="L161" s="82"/>
      <c r="M161" s="82"/>
      <c r="N161" s="82"/>
      <c r="O161" s="82"/>
      <c r="P161" s="81"/>
      <c r="Q161" s="81"/>
      <c r="R161" s="81"/>
      <c r="S161" s="81"/>
      <c r="T161" s="82"/>
      <c r="U161" s="82"/>
      <c r="V161" s="82"/>
      <c r="W161" s="82"/>
      <c r="X161" s="81"/>
      <c r="Y161" s="81"/>
      <c r="Z161" s="81"/>
      <c r="AA161" s="82"/>
      <c r="AB161" s="82"/>
      <c r="AC161" s="83"/>
      <c r="AD161" s="82"/>
      <c r="AE161" s="67"/>
    </row>
    <row r="162" spans="1:31" ht="12.75" customHeight="1">
      <c r="A162" s="78"/>
      <c r="B162" s="79"/>
      <c r="C162" s="79"/>
      <c r="D162" s="79"/>
      <c r="E162" s="79"/>
      <c r="F162" s="80"/>
      <c r="G162" s="81"/>
      <c r="H162" s="81"/>
      <c r="I162" s="81"/>
      <c r="J162" s="81"/>
      <c r="K162" s="81"/>
      <c r="L162" s="82"/>
      <c r="M162" s="82"/>
      <c r="N162" s="82"/>
      <c r="O162" s="82"/>
      <c r="P162" s="81"/>
      <c r="Q162" s="81"/>
      <c r="R162" s="81"/>
      <c r="S162" s="81"/>
      <c r="T162" s="82"/>
      <c r="U162" s="82"/>
      <c r="V162" s="82"/>
      <c r="W162" s="82"/>
      <c r="X162" s="81"/>
      <c r="Y162" s="81"/>
      <c r="Z162" s="81"/>
      <c r="AA162" s="82"/>
      <c r="AB162" s="82"/>
      <c r="AC162" s="83"/>
      <c r="AD162" s="82"/>
      <c r="AE162" s="67"/>
    </row>
    <row r="163" spans="1:31" ht="12.75" customHeight="1">
      <c r="A163" s="78"/>
      <c r="B163" s="79"/>
      <c r="C163" s="79"/>
      <c r="D163" s="79"/>
      <c r="E163" s="79"/>
      <c r="F163" s="80"/>
      <c r="G163" s="81"/>
      <c r="H163" s="81"/>
      <c r="I163" s="81"/>
      <c r="J163" s="81"/>
      <c r="K163" s="81"/>
      <c r="L163" s="82"/>
      <c r="M163" s="82"/>
      <c r="N163" s="82"/>
      <c r="O163" s="82"/>
      <c r="P163" s="81"/>
      <c r="Q163" s="81"/>
      <c r="R163" s="81"/>
      <c r="S163" s="81"/>
      <c r="T163" s="82"/>
      <c r="U163" s="82"/>
      <c r="V163" s="82"/>
      <c r="W163" s="82"/>
      <c r="X163" s="81"/>
      <c r="Y163" s="81"/>
      <c r="Z163" s="81"/>
      <c r="AA163" s="82"/>
      <c r="AB163" s="82"/>
      <c r="AC163" s="83"/>
      <c r="AD163" s="82"/>
      <c r="AE163" s="67"/>
    </row>
    <row r="164" spans="1:31" ht="12.75" customHeight="1">
      <c r="A164" s="78"/>
      <c r="B164" s="79"/>
      <c r="C164" s="79"/>
      <c r="D164" s="79"/>
      <c r="E164" s="79"/>
      <c r="F164" s="80"/>
      <c r="G164" s="81"/>
      <c r="H164" s="81"/>
      <c r="I164" s="81"/>
      <c r="J164" s="81"/>
      <c r="K164" s="81"/>
      <c r="L164" s="82"/>
      <c r="M164" s="82"/>
      <c r="N164" s="82"/>
      <c r="O164" s="82"/>
      <c r="P164" s="81"/>
      <c r="Q164" s="81"/>
      <c r="R164" s="81"/>
      <c r="S164" s="81"/>
      <c r="T164" s="82"/>
      <c r="U164" s="82"/>
      <c r="V164" s="82"/>
      <c r="W164" s="82"/>
      <c r="X164" s="81"/>
      <c r="Y164" s="81"/>
      <c r="Z164" s="81"/>
      <c r="AA164" s="82"/>
      <c r="AB164" s="82"/>
      <c r="AC164" s="83"/>
      <c r="AD164" s="82"/>
      <c r="AE164" s="67"/>
    </row>
    <row r="165" spans="1:31" ht="12.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47"/>
      <c r="AD165" s="23"/>
      <c r="AE165" s="67"/>
    </row>
    <row r="166" spans="1:31" ht="12.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47"/>
      <c r="AD166" s="23"/>
      <c r="AE166" s="23"/>
    </row>
    <row r="167" spans="1:31" ht="12.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47"/>
      <c r="AD167" s="23"/>
      <c r="AE167" s="23"/>
    </row>
  </sheetData>
  <mergeCells count="68">
    <mergeCell ref="T139:W139"/>
    <mergeCell ref="X139:Z139"/>
    <mergeCell ref="AA139:AC139"/>
    <mergeCell ref="P135:R135"/>
    <mergeCell ref="C139:F139"/>
    <mergeCell ref="G139:J139"/>
    <mergeCell ref="L139:O139"/>
    <mergeCell ref="P139:S139"/>
    <mergeCell ref="C134:E134"/>
    <mergeCell ref="F134:H134"/>
    <mergeCell ref="I134:L134"/>
    <mergeCell ref="M134:O134"/>
    <mergeCell ref="P134:R134"/>
    <mergeCell ref="C133:E133"/>
    <mergeCell ref="F133:H133"/>
    <mergeCell ref="I133:L133"/>
    <mergeCell ref="M133:O133"/>
    <mergeCell ref="P133:R133"/>
    <mergeCell ref="C132:E132"/>
    <mergeCell ref="F132:H132"/>
    <mergeCell ref="I132:L132"/>
    <mergeCell ref="M132:O132"/>
    <mergeCell ref="P132:R132"/>
    <mergeCell ref="C131:E131"/>
    <mergeCell ref="F131:H131"/>
    <mergeCell ref="I131:L131"/>
    <mergeCell ref="M131:O131"/>
    <mergeCell ref="P131:R131"/>
    <mergeCell ref="C130:E130"/>
    <mergeCell ref="F130:H130"/>
    <mergeCell ref="I130:L130"/>
    <mergeCell ref="M130:O130"/>
    <mergeCell ref="P130:R130"/>
    <mergeCell ref="C129:E129"/>
    <mergeCell ref="F129:H129"/>
    <mergeCell ref="I129:L129"/>
    <mergeCell ref="M129:O129"/>
    <mergeCell ref="P129:R129"/>
    <mergeCell ref="C128:E128"/>
    <mergeCell ref="F128:H128"/>
    <mergeCell ref="I128:L128"/>
    <mergeCell ref="M128:O128"/>
    <mergeCell ref="P128:R128"/>
    <mergeCell ref="C127:E127"/>
    <mergeCell ref="F127:H127"/>
    <mergeCell ref="I127:L127"/>
    <mergeCell ref="M127:O127"/>
    <mergeCell ref="P127:R127"/>
    <mergeCell ref="C126:E126"/>
    <mergeCell ref="F126:H126"/>
    <mergeCell ref="I126:L126"/>
    <mergeCell ref="M126:O126"/>
    <mergeCell ref="P126:R126"/>
    <mergeCell ref="V124:X124"/>
    <mergeCell ref="C125:E125"/>
    <mergeCell ref="F125:H125"/>
    <mergeCell ref="I125:L125"/>
    <mergeCell ref="M125:O125"/>
    <mergeCell ref="P125:R125"/>
    <mergeCell ref="M1:N1"/>
    <mergeCell ref="O1:U1"/>
    <mergeCell ref="I122:L122"/>
    <mergeCell ref="M122:O122"/>
    <mergeCell ref="C124:E124"/>
    <mergeCell ref="F124:H124"/>
    <mergeCell ref="I124:L124"/>
    <mergeCell ref="M124:O124"/>
    <mergeCell ref="P124:R124"/>
  </mergeCells>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heetPr>
  <dimension ref="A1:AE167"/>
  <sheetViews>
    <sheetView zoomScaleNormal="100" workbookViewId="0"/>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ustomHeight="1">
      <c r="A1" s="12" t="s">
        <v>0</v>
      </c>
      <c r="B1" s="13" t="s">
        <v>1</v>
      </c>
      <c r="C1" s="13" t="s">
        <v>2</v>
      </c>
      <c r="D1" s="13" t="s">
        <v>3</v>
      </c>
      <c r="E1" s="13" t="s">
        <v>4</v>
      </c>
      <c r="F1" s="13" t="s">
        <v>5</v>
      </c>
      <c r="G1" s="13" t="s">
        <v>6</v>
      </c>
      <c r="H1" s="13" t="s">
        <v>7</v>
      </c>
      <c r="I1" s="13" t="s">
        <v>8</v>
      </c>
      <c r="J1" s="13" t="s">
        <v>9</v>
      </c>
      <c r="K1" s="13" t="s">
        <v>10</v>
      </c>
      <c r="L1" s="14"/>
      <c r="M1" s="11" t="s">
        <v>11</v>
      </c>
      <c r="N1" s="11"/>
      <c r="O1" s="10" t="s">
        <v>12</v>
      </c>
      <c r="P1" s="10"/>
      <c r="Q1" s="10"/>
      <c r="R1" s="10"/>
      <c r="S1" s="10"/>
      <c r="T1" s="10"/>
      <c r="U1" s="10"/>
      <c r="V1" s="14"/>
      <c r="W1" s="15">
        <v>46049</v>
      </c>
      <c r="X1" s="14"/>
      <c r="Y1" s="16">
        <f>SUMIFS(Y2:Y120,L2:L120,"&lt;&gt;"&amp;"")</f>
        <v>0</v>
      </c>
      <c r="Z1" s="14" t="s">
        <v>13</v>
      </c>
      <c r="AA1" s="17" t="s">
        <v>14</v>
      </c>
      <c r="AB1" s="18" t="s">
        <v>15</v>
      </c>
      <c r="AC1" s="19">
        <f>SUM(AC2:AC120)</f>
        <v>0</v>
      </c>
      <c r="AD1" s="14"/>
      <c r="AE1" s="14"/>
    </row>
    <row r="2" spans="1:31" ht="15.75" customHeight="1">
      <c r="A2" s="20">
        <f t="shared" ref="A2:A33" si="0">(B2*$P$125+C2*$P$126+D2*$P$127+E2*$P$128+F2*$P$129+G2*$P$130+H2*$P$131+I2*$P$132+J2*$P$133+K2*$P$134)*$T$123</f>
        <v>0</v>
      </c>
      <c r="B2" s="21"/>
      <c r="C2" s="22"/>
      <c r="D2" s="22"/>
      <c r="E2" s="22"/>
      <c r="F2" s="22"/>
      <c r="G2" s="22"/>
      <c r="H2" s="22"/>
      <c r="I2" s="22"/>
      <c r="J2" s="23"/>
      <c r="K2" s="23"/>
      <c r="L2" s="24" t="s">
        <v>16</v>
      </c>
      <c r="M2" s="25"/>
      <c r="N2" s="26"/>
      <c r="O2" s="26"/>
      <c r="P2" s="26"/>
      <c r="Q2" s="26"/>
      <c r="R2" s="26"/>
      <c r="S2" s="26"/>
      <c r="T2" s="26"/>
      <c r="U2" s="26"/>
      <c r="V2" s="26"/>
      <c r="W2" s="26"/>
      <c r="X2" s="26">
        <f>COUNTIF($L$2:L2,"&lt;&gt;"&amp;"")</f>
        <v>1</v>
      </c>
      <c r="Y2" s="27">
        <f t="shared" ref="Y2:Y33" si="1">SUMIF($X$2:$X$120,X2,$A$2:$A$120)</f>
        <v>0</v>
      </c>
      <c r="Z2" s="28"/>
      <c r="AA2" s="29"/>
      <c r="AB2" s="30" t="b">
        <f>TRUE()</f>
        <v>1</v>
      </c>
      <c r="AC2" s="31">
        <f t="shared" ref="AC2:AC33" si="2">IF(L2="",0,IF(AB2=FALSE(),0,Y2))</f>
        <v>0</v>
      </c>
      <c r="AD2" s="23"/>
      <c r="AE2" s="23"/>
    </row>
    <row r="3" spans="1:31" ht="15.75" customHeight="1">
      <c r="A3" s="20">
        <f t="shared" si="0"/>
        <v>0</v>
      </c>
      <c r="B3" s="22"/>
      <c r="C3" s="21"/>
      <c r="D3" s="21"/>
      <c r="E3" s="22"/>
      <c r="F3" s="22"/>
      <c r="G3" s="22"/>
      <c r="H3" s="22"/>
      <c r="I3" s="22"/>
      <c r="J3" s="23"/>
      <c r="K3" s="23"/>
      <c r="L3" s="24" t="s">
        <v>17</v>
      </c>
      <c r="M3" s="26"/>
      <c r="N3" s="26"/>
      <c r="O3" s="26"/>
      <c r="P3" s="26"/>
      <c r="Q3" s="26"/>
      <c r="R3" s="26"/>
      <c r="S3" s="26"/>
      <c r="T3" s="26"/>
      <c r="U3" s="26"/>
      <c r="V3" s="26"/>
      <c r="W3" s="26"/>
      <c r="X3" s="26">
        <f>COUNTIF($L$2:L3,"&lt;&gt;"&amp;"")</f>
        <v>2</v>
      </c>
      <c r="Y3" s="27">
        <f t="shared" si="1"/>
        <v>0</v>
      </c>
      <c r="Z3" s="28"/>
      <c r="AA3" s="29"/>
      <c r="AB3" s="30" t="b">
        <f>TRUE()</f>
        <v>1</v>
      </c>
      <c r="AC3" s="31">
        <f t="shared" si="2"/>
        <v>0</v>
      </c>
      <c r="AD3" s="23"/>
      <c r="AE3" s="23"/>
    </row>
    <row r="4" spans="1:31" ht="15.75" customHeight="1">
      <c r="A4" s="20">
        <f t="shared" si="0"/>
        <v>0</v>
      </c>
      <c r="B4" s="22"/>
      <c r="C4" s="22"/>
      <c r="D4" s="22"/>
      <c r="E4" s="22"/>
      <c r="F4" s="22"/>
      <c r="G4" s="22"/>
      <c r="H4" s="21"/>
      <c r="I4" s="22"/>
      <c r="J4" s="23"/>
      <c r="K4" s="23"/>
      <c r="L4" s="24" t="s">
        <v>18</v>
      </c>
      <c r="M4" s="26"/>
      <c r="N4" s="26"/>
      <c r="O4" s="26"/>
      <c r="P4" s="26"/>
      <c r="Q4" s="26"/>
      <c r="R4" s="26"/>
      <c r="S4" s="26"/>
      <c r="T4" s="26"/>
      <c r="U4" s="26"/>
      <c r="V4" s="26"/>
      <c r="W4" s="26"/>
      <c r="X4" s="26">
        <f>COUNTIF($L$2:L4,"&lt;&gt;"&amp;"")</f>
        <v>3</v>
      </c>
      <c r="Y4" s="27">
        <f t="shared" si="1"/>
        <v>0</v>
      </c>
      <c r="Z4" s="28"/>
      <c r="AA4" s="32"/>
      <c r="AB4" s="30" t="b">
        <f>TRUE()</f>
        <v>1</v>
      </c>
      <c r="AC4" s="31">
        <f t="shared" si="2"/>
        <v>0</v>
      </c>
      <c r="AD4" s="23"/>
      <c r="AE4" s="23"/>
    </row>
    <row r="5" spans="1:31" ht="15.75" customHeight="1">
      <c r="A5" s="20">
        <f t="shared" si="0"/>
        <v>0</v>
      </c>
      <c r="B5" s="23"/>
      <c r="C5" s="23"/>
      <c r="D5" s="23"/>
      <c r="E5" s="23"/>
      <c r="F5" s="23"/>
      <c r="G5" s="23"/>
      <c r="H5" s="23"/>
      <c r="I5" s="23"/>
      <c r="J5" s="23"/>
      <c r="K5" s="23"/>
      <c r="L5" s="24" t="s">
        <v>19</v>
      </c>
      <c r="M5" s="26"/>
      <c r="N5" s="26"/>
      <c r="O5" s="26"/>
      <c r="P5" s="26"/>
      <c r="Q5" s="26"/>
      <c r="R5" s="26"/>
      <c r="S5" s="26"/>
      <c r="T5" s="26"/>
      <c r="U5" s="26"/>
      <c r="V5" s="26"/>
      <c r="W5" s="26"/>
      <c r="X5" s="26">
        <f>COUNTIF($L$2:L5,"&lt;&gt;"&amp;"")</f>
        <v>4</v>
      </c>
      <c r="Y5" s="27">
        <f t="shared" si="1"/>
        <v>0</v>
      </c>
      <c r="Z5" s="28"/>
      <c r="AA5" s="32"/>
      <c r="AB5" s="30" t="b">
        <f>TRUE()</f>
        <v>1</v>
      </c>
      <c r="AC5" s="31">
        <f t="shared" si="2"/>
        <v>0</v>
      </c>
      <c r="AD5" s="23"/>
      <c r="AE5" s="23"/>
    </row>
    <row r="6" spans="1:31" ht="15" customHeight="1">
      <c r="A6" s="20">
        <f t="shared" si="0"/>
        <v>0</v>
      </c>
      <c r="B6" s="23"/>
      <c r="C6" s="23"/>
      <c r="D6" s="23"/>
      <c r="E6" s="23"/>
      <c r="F6" s="23"/>
      <c r="G6" s="23"/>
      <c r="H6" s="23"/>
      <c r="I6" s="23"/>
      <c r="J6" s="23"/>
      <c r="K6" s="23"/>
      <c r="L6" s="33"/>
      <c r="M6" s="26"/>
      <c r="N6" s="26"/>
      <c r="O6" s="26"/>
      <c r="P6" s="26"/>
      <c r="Q6" s="26"/>
      <c r="R6" s="26"/>
      <c r="S6" s="26"/>
      <c r="T6" s="26"/>
      <c r="U6" s="26"/>
      <c r="V6" s="26"/>
      <c r="W6" s="26"/>
      <c r="X6" s="26">
        <f>COUNTIF($L$2:L6,"&lt;&gt;"&amp;"")</f>
        <v>4</v>
      </c>
      <c r="Y6" s="27">
        <f t="shared" si="1"/>
        <v>0</v>
      </c>
      <c r="Z6" s="28"/>
      <c r="AA6" s="29"/>
      <c r="AB6" s="30" t="b">
        <f>TRUE()</f>
        <v>1</v>
      </c>
      <c r="AC6" s="31">
        <f t="shared" si="2"/>
        <v>0</v>
      </c>
      <c r="AD6" s="23"/>
      <c r="AE6" s="23"/>
    </row>
    <row r="7" spans="1:31" ht="15" customHeight="1">
      <c r="A7" s="20">
        <f t="shared" si="0"/>
        <v>0</v>
      </c>
      <c r="B7" s="23"/>
      <c r="C7" s="23"/>
      <c r="D7" s="23"/>
      <c r="E7" s="23"/>
      <c r="F7" s="23"/>
      <c r="G7" s="23"/>
      <c r="H7" s="23"/>
      <c r="I7" s="23"/>
      <c r="J7" s="23"/>
      <c r="K7" s="23"/>
      <c r="L7" s="33"/>
      <c r="M7" s="26"/>
      <c r="N7" s="26"/>
      <c r="O7" s="26"/>
      <c r="P7" s="26"/>
      <c r="Q7" s="26"/>
      <c r="R7" s="26"/>
      <c r="S7" s="26"/>
      <c r="T7" s="26"/>
      <c r="U7" s="26"/>
      <c r="V7" s="26"/>
      <c r="W7" s="26"/>
      <c r="X7" s="26">
        <f>COUNTIF($L$2:L7,"&lt;&gt;"&amp;"")</f>
        <v>4</v>
      </c>
      <c r="Y7" s="27">
        <f t="shared" si="1"/>
        <v>0</v>
      </c>
      <c r="Z7" s="28"/>
      <c r="AA7" s="32"/>
      <c r="AB7" s="30" t="b">
        <f>TRUE()</f>
        <v>1</v>
      </c>
      <c r="AC7" s="31">
        <f t="shared" si="2"/>
        <v>0</v>
      </c>
      <c r="AD7" s="23"/>
      <c r="AE7" s="23"/>
    </row>
    <row r="8" spans="1:31" ht="15.75" customHeight="1">
      <c r="A8" s="20">
        <f t="shared" si="0"/>
        <v>0</v>
      </c>
      <c r="B8" s="23"/>
      <c r="C8" s="23"/>
      <c r="D8" s="23"/>
      <c r="E8" s="23"/>
      <c r="F8" s="23"/>
      <c r="G8" s="23"/>
      <c r="H8" s="23"/>
      <c r="I8" s="23"/>
      <c r="J8" s="23"/>
      <c r="K8" s="23"/>
      <c r="L8" s="34" t="s">
        <v>79</v>
      </c>
      <c r="M8" s="26"/>
      <c r="N8" s="26"/>
      <c r="O8" s="26"/>
      <c r="P8" s="26"/>
      <c r="Q8" s="26"/>
      <c r="R8" s="26"/>
      <c r="S8" s="26"/>
      <c r="T8" s="26"/>
      <c r="U8" s="26"/>
      <c r="V8" s="26"/>
      <c r="W8" s="26"/>
      <c r="X8" s="26">
        <f>COUNTIF($L$2:L8,"&lt;&gt;"&amp;"")</f>
        <v>5</v>
      </c>
      <c r="Y8" s="27">
        <f t="shared" si="1"/>
        <v>0</v>
      </c>
      <c r="Z8" s="28"/>
      <c r="AA8" s="29"/>
      <c r="AB8" s="30" t="b">
        <f>TRUE()</f>
        <v>1</v>
      </c>
      <c r="AC8" s="31">
        <f t="shared" si="2"/>
        <v>0</v>
      </c>
      <c r="AD8" s="35"/>
      <c r="AE8" s="35"/>
    </row>
    <row r="9" spans="1:31" ht="12.75" customHeight="1">
      <c r="A9" s="20">
        <f t="shared" si="0"/>
        <v>0</v>
      </c>
      <c r="B9" s="23"/>
      <c r="C9" s="23"/>
      <c r="D9" s="23"/>
      <c r="E9" s="23"/>
      <c r="F9" s="23"/>
      <c r="G9" s="23"/>
      <c r="H9" s="23"/>
      <c r="I9" s="23"/>
      <c r="J9" s="23"/>
      <c r="K9" s="23"/>
      <c r="L9" s="26"/>
      <c r="M9" s="36" t="s">
        <v>80</v>
      </c>
      <c r="N9" s="26"/>
      <c r="O9" s="26"/>
      <c r="P9" s="26"/>
      <c r="Q9" s="26"/>
      <c r="R9" s="26"/>
      <c r="S9" s="26"/>
      <c r="T9" s="26"/>
      <c r="U9" s="26"/>
      <c r="V9" s="26"/>
      <c r="W9" s="26"/>
      <c r="X9" s="26">
        <f>COUNTIF($L$2:L9,"&lt;&gt;"&amp;"")</f>
        <v>5</v>
      </c>
      <c r="Y9" s="27">
        <f t="shared" si="1"/>
        <v>0</v>
      </c>
      <c r="Z9" s="28"/>
      <c r="AA9" s="29"/>
      <c r="AB9" s="30" t="b">
        <f>TRUE()</f>
        <v>1</v>
      </c>
      <c r="AC9" s="31">
        <f t="shared" si="2"/>
        <v>0</v>
      </c>
      <c r="AD9" s="35"/>
      <c r="AE9" s="35"/>
    </row>
    <row r="10" spans="1:31" ht="12.75" customHeight="1">
      <c r="A10" s="20">
        <f t="shared" si="0"/>
        <v>0</v>
      </c>
      <c r="B10" s="23"/>
      <c r="C10" s="23"/>
      <c r="D10" s="23"/>
      <c r="E10" s="23"/>
      <c r="F10" s="23"/>
      <c r="G10" s="23"/>
      <c r="H10" s="23"/>
      <c r="I10" s="23"/>
      <c r="J10" s="23"/>
      <c r="K10" s="23"/>
      <c r="L10" s="26"/>
      <c r="M10" s="26"/>
      <c r="N10" s="37" t="s">
        <v>81</v>
      </c>
      <c r="O10" s="26"/>
      <c r="P10" s="26"/>
      <c r="Q10" s="26"/>
      <c r="R10" s="26"/>
      <c r="S10" s="26"/>
      <c r="T10" s="26"/>
      <c r="U10" s="26"/>
      <c r="V10" s="26"/>
      <c r="W10" s="26"/>
      <c r="X10" s="26">
        <f>COUNTIF($L$2:L10,"&lt;&gt;"&amp;"")</f>
        <v>5</v>
      </c>
      <c r="Y10" s="27">
        <f t="shared" si="1"/>
        <v>0</v>
      </c>
      <c r="Z10" s="28"/>
      <c r="AA10" s="29"/>
      <c r="AB10" s="30" t="b">
        <f>TRUE()</f>
        <v>1</v>
      </c>
      <c r="AC10" s="31">
        <f t="shared" si="2"/>
        <v>0</v>
      </c>
      <c r="AD10" s="35"/>
      <c r="AE10" s="35"/>
    </row>
    <row r="11" spans="1:31" ht="12.75" customHeight="1">
      <c r="A11" s="20">
        <f t="shared" si="0"/>
        <v>0</v>
      </c>
      <c r="B11" s="23"/>
      <c r="C11" s="23"/>
      <c r="D11" s="23"/>
      <c r="E11" s="23"/>
      <c r="F11" s="23"/>
      <c r="G11" s="23"/>
      <c r="H11" s="23"/>
      <c r="I11" s="23"/>
      <c r="J11" s="23"/>
      <c r="K11" s="23"/>
      <c r="L11" s="26"/>
      <c r="M11" s="36" t="s">
        <v>82</v>
      </c>
      <c r="N11" s="38"/>
      <c r="O11" s="26"/>
      <c r="P11" s="26"/>
      <c r="Q11" s="26"/>
      <c r="R11" s="26"/>
      <c r="S11" s="26"/>
      <c r="T11" s="26"/>
      <c r="U11" s="26"/>
      <c r="V11" s="26"/>
      <c r="W11" s="26"/>
      <c r="X11" s="26">
        <f>COUNTIF($L$2:L11,"&lt;&gt;"&amp;"")</f>
        <v>5</v>
      </c>
      <c r="Y11" s="27">
        <f t="shared" si="1"/>
        <v>0</v>
      </c>
      <c r="Z11" s="28"/>
      <c r="AA11" s="29"/>
      <c r="AB11" s="30" t="b">
        <f>TRUE()</f>
        <v>1</v>
      </c>
      <c r="AC11" s="31">
        <f t="shared" si="2"/>
        <v>0</v>
      </c>
      <c r="AD11" s="35"/>
      <c r="AE11" s="35"/>
    </row>
    <row r="12" spans="1:31" ht="12.75" customHeight="1">
      <c r="A12" s="20">
        <f t="shared" si="0"/>
        <v>0</v>
      </c>
      <c r="B12" s="23"/>
      <c r="C12" s="23"/>
      <c r="D12" s="23"/>
      <c r="E12" s="23"/>
      <c r="F12" s="23"/>
      <c r="G12" s="23"/>
      <c r="H12" s="23"/>
      <c r="I12" s="23"/>
      <c r="J12" s="23"/>
      <c r="K12" s="23"/>
      <c r="L12" s="26"/>
      <c r="M12" s="39"/>
      <c r="N12" s="37" t="s">
        <v>83</v>
      </c>
      <c r="O12" s="26"/>
      <c r="P12" s="26"/>
      <c r="Q12" s="26"/>
      <c r="R12" s="26"/>
      <c r="S12" s="26"/>
      <c r="T12" s="26"/>
      <c r="U12" s="26"/>
      <c r="V12" s="26"/>
      <c r="W12" s="26"/>
      <c r="X12" s="26">
        <f>COUNTIF($L$2:L12,"&lt;&gt;"&amp;"")</f>
        <v>5</v>
      </c>
      <c r="Y12" s="27">
        <f t="shared" si="1"/>
        <v>0</v>
      </c>
      <c r="Z12" s="28"/>
      <c r="AA12" s="29"/>
      <c r="AB12" s="30" t="b">
        <f>TRUE()</f>
        <v>1</v>
      </c>
      <c r="AC12" s="31">
        <f t="shared" si="2"/>
        <v>0</v>
      </c>
      <c r="AD12" s="35"/>
      <c r="AE12" s="35"/>
    </row>
    <row r="13" spans="1:31" ht="12.75" customHeight="1">
      <c r="A13" s="20">
        <f t="shared" si="0"/>
        <v>0</v>
      </c>
      <c r="B13" s="23"/>
      <c r="C13" s="23"/>
      <c r="D13" s="23"/>
      <c r="E13" s="23"/>
      <c r="F13" s="23"/>
      <c r="G13" s="23"/>
      <c r="H13" s="23"/>
      <c r="I13" s="23"/>
      <c r="J13" s="23"/>
      <c r="K13" s="23"/>
      <c r="L13" s="26"/>
      <c r="M13" s="36" t="s">
        <v>84</v>
      </c>
      <c r="N13" s="38"/>
      <c r="O13" s="26"/>
      <c r="P13" s="26"/>
      <c r="Q13" s="26"/>
      <c r="R13" s="26"/>
      <c r="S13" s="26"/>
      <c r="T13" s="26"/>
      <c r="U13" s="26"/>
      <c r="V13" s="26"/>
      <c r="W13" s="26"/>
      <c r="X13" s="26">
        <f>COUNTIF($L$2:L13,"&lt;&gt;"&amp;"")</f>
        <v>5</v>
      </c>
      <c r="Y13" s="27">
        <f t="shared" si="1"/>
        <v>0</v>
      </c>
      <c r="Z13" s="28"/>
      <c r="AA13" s="29"/>
      <c r="AB13" s="30" t="b">
        <f>TRUE()</f>
        <v>1</v>
      </c>
      <c r="AC13" s="31">
        <f t="shared" si="2"/>
        <v>0</v>
      </c>
      <c r="AD13" s="35"/>
      <c r="AE13" s="35"/>
    </row>
    <row r="14" spans="1:31" ht="15" customHeight="1">
      <c r="A14" s="20">
        <f t="shared" si="0"/>
        <v>0</v>
      </c>
      <c r="B14" s="23"/>
      <c r="C14" s="23"/>
      <c r="D14" s="23"/>
      <c r="E14" s="23"/>
      <c r="F14" s="23"/>
      <c r="G14" s="23"/>
      <c r="H14" s="23"/>
      <c r="I14" s="23"/>
      <c r="J14" s="23"/>
      <c r="K14" s="23"/>
      <c r="L14" s="33"/>
      <c r="M14" s="26"/>
      <c r="N14" s="37" t="s">
        <v>85</v>
      </c>
      <c r="O14" s="26"/>
      <c r="P14" s="26"/>
      <c r="Q14" s="26"/>
      <c r="R14" s="26"/>
      <c r="S14" s="26"/>
      <c r="T14" s="26"/>
      <c r="U14" s="26"/>
      <c r="V14" s="26"/>
      <c r="W14" s="26"/>
      <c r="X14" s="26">
        <f>COUNTIF($L$2:L14,"&lt;&gt;"&amp;"")</f>
        <v>5</v>
      </c>
      <c r="Y14" s="27">
        <f t="shared" si="1"/>
        <v>0</v>
      </c>
      <c r="Z14" s="28"/>
      <c r="AA14" s="29"/>
      <c r="AB14" s="30" t="b">
        <f>TRUE()</f>
        <v>1</v>
      </c>
      <c r="AC14" s="31">
        <f t="shared" si="2"/>
        <v>0</v>
      </c>
      <c r="AD14" s="35"/>
      <c r="AE14" s="35"/>
    </row>
    <row r="15" spans="1:31" ht="12.75" customHeight="1">
      <c r="A15" s="20">
        <f t="shared" si="0"/>
        <v>0</v>
      </c>
      <c r="B15" s="23"/>
      <c r="C15" s="23"/>
      <c r="D15" s="23"/>
      <c r="E15" s="23"/>
      <c r="F15" s="23"/>
      <c r="G15" s="23"/>
      <c r="H15" s="23"/>
      <c r="I15" s="23"/>
      <c r="J15" s="23"/>
      <c r="K15" s="23"/>
      <c r="L15" s="26"/>
      <c r="M15" s="36" t="s">
        <v>86</v>
      </c>
      <c r="N15" s="26"/>
      <c r="O15" s="26"/>
      <c r="P15" s="26"/>
      <c r="Q15" s="26"/>
      <c r="R15" s="26"/>
      <c r="S15" s="26"/>
      <c r="T15" s="26"/>
      <c r="U15" s="26"/>
      <c r="V15" s="26"/>
      <c r="W15" s="26"/>
      <c r="X15" s="26">
        <f>COUNTIF($L$2:L15,"&lt;&gt;"&amp;"")</f>
        <v>5</v>
      </c>
      <c r="Y15" s="27">
        <f t="shared" si="1"/>
        <v>0</v>
      </c>
      <c r="Z15" s="28"/>
      <c r="AA15" s="29"/>
      <c r="AB15" s="30" t="b">
        <f>TRUE()</f>
        <v>1</v>
      </c>
      <c r="AC15" s="31">
        <f t="shared" si="2"/>
        <v>0</v>
      </c>
      <c r="AD15" s="35"/>
      <c r="AE15" s="35"/>
    </row>
    <row r="16" spans="1:31" ht="12.75" customHeight="1">
      <c r="A16" s="20">
        <f t="shared" si="0"/>
        <v>0</v>
      </c>
      <c r="B16" s="23"/>
      <c r="C16" s="23"/>
      <c r="D16" s="23"/>
      <c r="E16" s="23"/>
      <c r="F16" s="23"/>
      <c r="G16" s="23"/>
      <c r="H16" s="23"/>
      <c r="I16" s="23"/>
      <c r="J16" s="23"/>
      <c r="K16" s="23"/>
      <c r="L16" s="26"/>
      <c r="M16" s="26"/>
      <c r="N16" s="37" t="s">
        <v>87</v>
      </c>
      <c r="O16" s="26"/>
      <c r="P16" s="26"/>
      <c r="Q16" s="26"/>
      <c r="R16" s="26"/>
      <c r="S16" s="26"/>
      <c r="T16" s="26"/>
      <c r="U16" s="26"/>
      <c r="V16" s="26"/>
      <c r="W16" s="26"/>
      <c r="X16" s="26">
        <f>COUNTIF($L$2:L16,"&lt;&gt;"&amp;"")</f>
        <v>5</v>
      </c>
      <c r="Y16" s="27">
        <f t="shared" si="1"/>
        <v>0</v>
      </c>
      <c r="Z16" s="28"/>
      <c r="AA16" s="29"/>
      <c r="AB16" s="30" t="b">
        <f>TRUE()</f>
        <v>1</v>
      </c>
      <c r="AC16" s="31">
        <f t="shared" si="2"/>
        <v>0</v>
      </c>
      <c r="AD16" s="35"/>
      <c r="AE16" s="35"/>
    </row>
    <row r="17" spans="1:31" ht="12.75" customHeight="1">
      <c r="A17" s="20">
        <f t="shared" si="0"/>
        <v>0</v>
      </c>
      <c r="B17" s="23"/>
      <c r="C17" s="23"/>
      <c r="D17" s="23"/>
      <c r="E17" s="23"/>
      <c r="F17" s="23"/>
      <c r="G17" s="23"/>
      <c r="H17" s="23"/>
      <c r="I17" s="23"/>
      <c r="J17" s="23"/>
      <c r="K17" s="23"/>
      <c r="L17" s="26"/>
      <c r="M17" s="36" t="s">
        <v>88</v>
      </c>
      <c r="N17" s="26"/>
      <c r="O17" s="26"/>
      <c r="P17" s="26"/>
      <c r="Q17" s="26"/>
      <c r="R17" s="26"/>
      <c r="S17" s="26"/>
      <c r="T17" s="26"/>
      <c r="U17" s="26"/>
      <c r="V17" s="26"/>
      <c r="W17" s="26"/>
      <c r="X17" s="26">
        <f>COUNTIF($L$2:L17,"&lt;&gt;"&amp;"")</f>
        <v>5</v>
      </c>
      <c r="Y17" s="27">
        <f t="shared" si="1"/>
        <v>0</v>
      </c>
      <c r="Z17" s="28"/>
      <c r="AA17" s="29"/>
      <c r="AB17" s="30" t="b">
        <f>TRUE()</f>
        <v>1</v>
      </c>
      <c r="AC17" s="31">
        <f t="shared" si="2"/>
        <v>0</v>
      </c>
      <c r="AD17" s="35"/>
      <c r="AE17" s="35"/>
    </row>
    <row r="18" spans="1:31" ht="12.75" customHeight="1">
      <c r="A18" s="20">
        <f t="shared" si="0"/>
        <v>0</v>
      </c>
      <c r="B18" s="23"/>
      <c r="C18" s="23"/>
      <c r="D18" s="23"/>
      <c r="E18" s="23"/>
      <c r="F18" s="23"/>
      <c r="G18" s="23"/>
      <c r="H18" s="23"/>
      <c r="I18" s="23"/>
      <c r="J18" s="23"/>
      <c r="K18" s="23"/>
      <c r="L18" s="26"/>
      <c r="M18" s="26"/>
      <c r="N18" s="37" t="s">
        <v>89</v>
      </c>
      <c r="O18" s="26"/>
      <c r="P18" s="26"/>
      <c r="Q18" s="26"/>
      <c r="R18" s="26"/>
      <c r="S18" s="26"/>
      <c r="T18" s="26"/>
      <c r="U18" s="26"/>
      <c r="V18" s="26"/>
      <c r="W18" s="26"/>
      <c r="X18" s="26">
        <f>COUNTIF($L$2:L18,"&lt;&gt;"&amp;"")</f>
        <v>5</v>
      </c>
      <c r="Y18" s="27">
        <f t="shared" si="1"/>
        <v>0</v>
      </c>
      <c r="Z18" s="28"/>
      <c r="AA18" s="29"/>
      <c r="AB18" s="30" t="b">
        <f>TRUE()</f>
        <v>1</v>
      </c>
      <c r="AC18" s="31">
        <f t="shared" si="2"/>
        <v>0</v>
      </c>
      <c r="AD18" s="35"/>
      <c r="AE18" s="35"/>
    </row>
    <row r="19" spans="1:31" ht="15" customHeight="1">
      <c r="A19" s="20">
        <f t="shared" si="0"/>
        <v>0</v>
      </c>
      <c r="B19" s="23"/>
      <c r="C19" s="23"/>
      <c r="D19" s="23"/>
      <c r="E19" s="23"/>
      <c r="F19" s="23"/>
      <c r="G19" s="23"/>
      <c r="H19" s="23"/>
      <c r="I19" s="23"/>
      <c r="J19" s="23"/>
      <c r="K19" s="23"/>
      <c r="L19" s="33"/>
      <c r="M19" s="36" t="s">
        <v>90</v>
      </c>
      <c r="N19" s="26"/>
      <c r="O19" s="26"/>
      <c r="P19" s="26"/>
      <c r="Q19" s="26"/>
      <c r="R19" s="26"/>
      <c r="S19" s="26"/>
      <c r="T19" s="26"/>
      <c r="U19" s="26"/>
      <c r="V19" s="26"/>
      <c r="W19" s="26"/>
      <c r="X19" s="26">
        <f>COUNTIF($L$2:L19,"&lt;&gt;"&amp;"")</f>
        <v>5</v>
      </c>
      <c r="Y19" s="27">
        <f t="shared" si="1"/>
        <v>0</v>
      </c>
      <c r="Z19" s="28"/>
      <c r="AA19" s="29"/>
      <c r="AB19" s="30" t="b">
        <f>TRUE()</f>
        <v>1</v>
      </c>
      <c r="AC19" s="31">
        <f t="shared" si="2"/>
        <v>0</v>
      </c>
      <c r="AD19" s="35"/>
      <c r="AE19" s="35"/>
    </row>
    <row r="20" spans="1:31" ht="12.75" customHeight="1">
      <c r="A20" s="20">
        <f t="shared" si="0"/>
        <v>0</v>
      </c>
      <c r="B20" s="23"/>
      <c r="C20" s="23"/>
      <c r="D20" s="23"/>
      <c r="E20" s="23"/>
      <c r="F20" s="23"/>
      <c r="G20" s="23"/>
      <c r="H20" s="23"/>
      <c r="I20" s="23"/>
      <c r="J20" s="23"/>
      <c r="K20" s="23"/>
      <c r="L20" s="26"/>
      <c r="M20" s="26"/>
      <c r="N20" s="37" t="s">
        <v>91</v>
      </c>
      <c r="O20" s="26"/>
      <c r="P20" s="26"/>
      <c r="Q20" s="26"/>
      <c r="R20" s="26"/>
      <c r="S20" s="26"/>
      <c r="T20" s="26"/>
      <c r="U20" s="26"/>
      <c r="V20" s="26"/>
      <c r="W20" s="26"/>
      <c r="X20" s="26">
        <f>COUNTIF($L$2:L20,"&lt;&gt;"&amp;"")</f>
        <v>5</v>
      </c>
      <c r="Y20" s="27">
        <f t="shared" si="1"/>
        <v>0</v>
      </c>
      <c r="Z20" s="28"/>
      <c r="AA20" s="29"/>
      <c r="AB20" s="30" t="b">
        <f>TRUE()</f>
        <v>1</v>
      </c>
      <c r="AC20" s="31">
        <f t="shared" si="2"/>
        <v>0</v>
      </c>
      <c r="AD20" s="35"/>
      <c r="AE20" s="35"/>
    </row>
    <row r="21" spans="1:31" ht="12.75" customHeight="1">
      <c r="A21" s="20">
        <f t="shared" si="0"/>
        <v>0</v>
      </c>
      <c r="B21" s="23"/>
      <c r="C21" s="23"/>
      <c r="D21" s="23"/>
      <c r="E21" s="23"/>
      <c r="F21" s="23"/>
      <c r="G21" s="23"/>
      <c r="H21" s="23"/>
      <c r="I21" s="23"/>
      <c r="J21" s="23"/>
      <c r="K21" s="23"/>
      <c r="L21" s="26"/>
      <c r="M21" s="36" t="s">
        <v>92</v>
      </c>
      <c r="N21" s="26"/>
      <c r="O21" s="26"/>
      <c r="P21" s="26"/>
      <c r="Q21" s="26"/>
      <c r="R21" s="26"/>
      <c r="S21" s="26"/>
      <c r="T21" s="26"/>
      <c r="U21" s="26"/>
      <c r="V21" s="26"/>
      <c r="W21" s="26"/>
      <c r="X21" s="26">
        <f>COUNTIF($L$2:L21,"&lt;&gt;"&amp;"")</f>
        <v>5</v>
      </c>
      <c r="Y21" s="27">
        <f t="shared" si="1"/>
        <v>0</v>
      </c>
      <c r="Z21" s="28"/>
      <c r="AA21" s="29"/>
      <c r="AB21" s="30" t="b">
        <f>TRUE()</f>
        <v>1</v>
      </c>
      <c r="AC21" s="31">
        <f t="shared" si="2"/>
        <v>0</v>
      </c>
      <c r="AD21" s="35"/>
      <c r="AE21" s="35"/>
    </row>
    <row r="22" spans="1:31" ht="12.75" customHeight="1">
      <c r="A22" s="20">
        <f t="shared" si="0"/>
        <v>0</v>
      </c>
      <c r="B22" s="23"/>
      <c r="C22" s="23"/>
      <c r="D22" s="23"/>
      <c r="E22" s="23"/>
      <c r="F22" s="23"/>
      <c r="G22" s="23"/>
      <c r="H22" s="23"/>
      <c r="I22" s="23"/>
      <c r="J22" s="23"/>
      <c r="K22" s="23"/>
      <c r="L22" s="26"/>
      <c r="M22" s="26"/>
      <c r="N22" s="37" t="s">
        <v>93</v>
      </c>
      <c r="O22" s="26"/>
      <c r="P22" s="26"/>
      <c r="Q22" s="26"/>
      <c r="R22" s="26"/>
      <c r="S22" s="26"/>
      <c r="T22" s="26"/>
      <c r="U22" s="26"/>
      <c r="V22" s="26"/>
      <c r="W22" s="26"/>
      <c r="X22" s="26">
        <f>COUNTIF($L$2:L22,"&lt;&gt;"&amp;"")</f>
        <v>5</v>
      </c>
      <c r="Y22" s="27">
        <f t="shared" si="1"/>
        <v>0</v>
      </c>
      <c r="Z22" s="28"/>
      <c r="AA22" s="29"/>
      <c r="AB22" s="30" t="b">
        <f>TRUE()</f>
        <v>1</v>
      </c>
      <c r="AC22" s="31">
        <f t="shared" si="2"/>
        <v>0</v>
      </c>
      <c r="AD22" s="35"/>
      <c r="AE22" s="35"/>
    </row>
    <row r="23" spans="1:31" ht="12.75" customHeight="1">
      <c r="A23" s="20">
        <f t="shared" si="0"/>
        <v>0</v>
      </c>
      <c r="B23" s="23"/>
      <c r="C23" s="23"/>
      <c r="D23" s="23"/>
      <c r="E23" s="23"/>
      <c r="F23" s="23"/>
      <c r="G23" s="23"/>
      <c r="H23" s="23"/>
      <c r="I23" s="23"/>
      <c r="J23" s="23"/>
      <c r="K23" s="23"/>
      <c r="L23" s="26"/>
      <c r="M23" s="36" t="s">
        <v>94</v>
      </c>
      <c r="N23" s="26"/>
      <c r="O23" s="26"/>
      <c r="P23" s="26"/>
      <c r="Q23" s="26"/>
      <c r="R23" s="26"/>
      <c r="S23" s="26"/>
      <c r="T23" s="26"/>
      <c r="U23" s="26"/>
      <c r="V23" s="26"/>
      <c r="W23" s="26"/>
      <c r="X23" s="26">
        <f>COUNTIF($L$2:L23,"&lt;&gt;"&amp;"")</f>
        <v>5</v>
      </c>
      <c r="Y23" s="27">
        <f t="shared" si="1"/>
        <v>0</v>
      </c>
      <c r="Z23" s="28"/>
      <c r="AA23" s="29"/>
      <c r="AB23" s="30" t="b">
        <f>TRUE()</f>
        <v>1</v>
      </c>
      <c r="AC23" s="31">
        <f t="shared" si="2"/>
        <v>0</v>
      </c>
      <c r="AD23" s="35"/>
      <c r="AE23" s="35"/>
    </row>
    <row r="24" spans="1:31" ht="12.75" customHeight="1">
      <c r="A24" s="20">
        <f t="shared" si="0"/>
        <v>0</v>
      </c>
      <c r="B24" s="23"/>
      <c r="C24" s="23"/>
      <c r="D24" s="23"/>
      <c r="E24" s="23"/>
      <c r="F24" s="23"/>
      <c r="G24" s="23"/>
      <c r="H24" s="23"/>
      <c r="I24" s="23"/>
      <c r="J24" s="23"/>
      <c r="K24" s="23"/>
      <c r="L24" s="26"/>
      <c r="M24" s="40"/>
      <c r="N24" s="37" t="s">
        <v>95</v>
      </c>
      <c r="O24" s="26"/>
      <c r="P24" s="26"/>
      <c r="Q24" s="26"/>
      <c r="R24" s="26"/>
      <c r="S24" s="26"/>
      <c r="T24" s="26"/>
      <c r="U24" s="26"/>
      <c r="V24" s="26"/>
      <c r="W24" s="26"/>
      <c r="X24" s="26">
        <f>COUNTIF($L$2:L24,"&lt;&gt;"&amp;"")</f>
        <v>5</v>
      </c>
      <c r="Y24" s="27">
        <f t="shared" si="1"/>
        <v>0</v>
      </c>
      <c r="Z24" s="28"/>
      <c r="AA24" s="29"/>
      <c r="AB24" s="30" t="b">
        <f>TRUE()</f>
        <v>1</v>
      </c>
      <c r="AC24" s="31">
        <f t="shared" si="2"/>
        <v>0</v>
      </c>
      <c r="AD24" s="35"/>
      <c r="AE24" s="35"/>
    </row>
    <row r="25" spans="1:31" ht="15" customHeight="1">
      <c r="A25" s="20">
        <f t="shared" si="0"/>
        <v>0</v>
      </c>
      <c r="B25" s="23"/>
      <c r="C25" s="23"/>
      <c r="D25" s="23"/>
      <c r="E25" s="23"/>
      <c r="F25" s="23"/>
      <c r="G25" s="23"/>
      <c r="H25" s="23"/>
      <c r="I25" s="23"/>
      <c r="J25" s="23"/>
      <c r="K25" s="23"/>
      <c r="L25" s="33"/>
      <c r="M25" s="26"/>
      <c r="N25" s="26"/>
      <c r="O25" s="26"/>
      <c r="P25" s="26"/>
      <c r="Q25" s="26"/>
      <c r="R25" s="26"/>
      <c r="S25" s="26"/>
      <c r="T25" s="26"/>
      <c r="U25" s="26"/>
      <c r="V25" s="26"/>
      <c r="W25" s="26"/>
      <c r="X25" s="26">
        <f>COUNTIF($L$2:L25,"&lt;&gt;"&amp;"")</f>
        <v>5</v>
      </c>
      <c r="Y25" s="27">
        <f t="shared" si="1"/>
        <v>0</v>
      </c>
      <c r="Z25" s="28"/>
      <c r="AA25" s="29"/>
      <c r="AB25" s="30" t="b">
        <f>TRUE()</f>
        <v>1</v>
      </c>
      <c r="AC25" s="31">
        <f t="shared" si="2"/>
        <v>0</v>
      </c>
      <c r="AD25" s="35"/>
      <c r="AE25" s="35"/>
    </row>
    <row r="26" spans="1:31" ht="15" customHeight="1">
      <c r="A26" s="20">
        <f t="shared" si="0"/>
        <v>0</v>
      </c>
      <c r="B26" s="23"/>
      <c r="C26" s="23"/>
      <c r="D26" s="23"/>
      <c r="E26" s="23"/>
      <c r="F26" s="23"/>
      <c r="G26" s="23"/>
      <c r="H26" s="23"/>
      <c r="I26" s="23"/>
      <c r="J26" s="23"/>
      <c r="K26" s="23"/>
      <c r="L26" s="33"/>
      <c r="M26" s="26"/>
      <c r="N26" s="26"/>
      <c r="O26" s="26"/>
      <c r="P26" s="26"/>
      <c r="Q26" s="26"/>
      <c r="R26" s="26"/>
      <c r="S26" s="26"/>
      <c r="T26" s="26"/>
      <c r="U26" s="26"/>
      <c r="V26" s="26"/>
      <c r="W26" s="26"/>
      <c r="X26" s="26">
        <f>COUNTIF($L$2:L26,"&lt;&gt;"&amp;"")</f>
        <v>5</v>
      </c>
      <c r="Y26" s="27">
        <f t="shared" si="1"/>
        <v>0</v>
      </c>
      <c r="Z26" s="28"/>
      <c r="AA26" s="29"/>
      <c r="AB26" s="30" t="b">
        <f>TRUE()</f>
        <v>1</v>
      </c>
      <c r="AC26" s="31">
        <f t="shared" si="2"/>
        <v>0</v>
      </c>
      <c r="AD26" s="35"/>
      <c r="AE26" s="35"/>
    </row>
    <row r="27" spans="1:31" ht="15" customHeight="1">
      <c r="A27" s="20">
        <f t="shared" si="0"/>
        <v>0</v>
      </c>
      <c r="B27" s="23"/>
      <c r="C27" s="23"/>
      <c r="D27" s="23"/>
      <c r="E27" s="23"/>
      <c r="F27" s="23"/>
      <c r="G27" s="23"/>
      <c r="H27" s="23"/>
      <c r="I27" s="23"/>
      <c r="J27" s="23"/>
      <c r="K27" s="23"/>
      <c r="L27" s="33"/>
      <c r="M27" s="26"/>
      <c r="N27" s="26"/>
      <c r="O27" s="26"/>
      <c r="P27" s="26"/>
      <c r="Q27" s="26"/>
      <c r="R27" s="26"/>
      <c r="S27" s="26"/>
      <c r="T27" s="26"/>
      <c r="U27" s="26"/>
      <c r="V27" s="26"/>
      <c r="W27" s="26"/>
      <c r="X27" s="26">
        <f>COUNTIF($L$2:L27,"&lt;&gt;"&amp;"")</f>
        <v>5</v>
      </c>
      <c r="Y27" s="27">
        <f t="shared" si="1"/>
        <v>0</v>
      </c>
      <c r="Z27" s="28"/>
      <c r="AA27" s="29"/>
      <c r="AB27" s="30" t="b">
        <f>TRUE()</f>
        <v>1</v>
      </c>
      <c r="AC27" s="31">
        <f t="shared" si="2"/>
        <v>0</v>
      </c>
      <c r="AD27" s="35"/>
      <c r="AE27" s="35"/>
    </row>
    <row r="28" spans="1:31" ht="15" customHeight="1">
      <c r="A28" s="20">
        <f t="shared" si="0"/>
        <v>0</v>
      </c>
      <c r="B28" s="23"/>
      <c r="C28" s="23"/>
      <c r="D28" s="23"/>
      <c r="E28" s="23"/>
      <c r="F28" s="23"/>
      <c r="G28" s="23"/>
      <c r="H28" s="23"/>
      <c r="I28" s="23"/>
      <c r="J28" s="23"/>
      <c r="K28" s="23"/>
      <c r="L28" s="33"/>
      <c r="M28" s="26"/>
      <c r="N28" s="26"/>
      <c r="O28" s="26"/>
      <c r="P28" s="26"/>
      <c r="Q28" s="26"/>
      <c r="R28" s="26"/>
      <c r="S28" s="26"/>
      <c r="T28" s="26"/>
      <c r="U28" s="26"/>
      <c r="V28" s="26"/>
      <c r="W28" s="26"/>
      <c r="X28" s="26">
        <f>COUNTIF($L$2:L28,"&lt;&gt;"&amp;"")</f>
        <v>5</v>
      </c>
      <c r="Y28" s="27">
        <f t="shared" si="1"/>
        <v>0</v>
      </c>
      <c r="Z28" s="28"/>
      <c r="AA28" s="29"/>
      <c r="AB28" s="30" t="b">
        <f>TRUE()</f>
        <v>1</v>
      </c>
      <c r="AC28" s="31">
        <f t="shared" si="2"/>
        <v>0</v>
      </c>
      <c r="AD28" s="35"/>
      <c r="AE28" s="35"/>
    </row>
    <row r="29" spans="1:31" ht="15" customHeight="1">
      <c r="A29" s="20">
        <f t="shared" si="0"/>
        <v>0</v>
      </c>
      <c r="B29" s="23"/>
      <c r="C29" s="23"/>
      <c r="D29" s="23"/>
      <c r="E29" s="23"/>
      <c r="F29" s="23"/>
      <c r="G29" s="23"/>
      <c r="H29" s="23"/>
      <c r="I29" s="23"/>
      <c r="J29" s="23"/>
      <c r="K29" s="23"/>
      <c r="L29" s="33"/>
      <c r="M29" s="26"/>
      <c r="N29" s="26"/>
      <c r="O29" s="26"/>
      <c r="P29" s="26"/>
      <c r="Q29" s="26"/>
      <c r="R29" s="26"/>
      <c r="S29" s="26"/>
      <c r="T29" s="26"/>
      <c r="U29" s="26"/>
      <c r="V29" s="26"/>
      <c r="W29" s="26"/>
      <c r="X29" s="26">
        <f>COUNTIF($L$2:L29,"&lt;&gt;"&amp;"")</f>
        <v>5</v>
      </c>
      <c r="Y29" s="27">
        <f t="shared" si="1"/>
        <v>0</v>
      </c>
      <c r="Z29" s="28"/>
      <c r="AA29" s="29"/>
      <c r="AB29" s="30" t="b">
        <f>TRUE()</f>
        <v>1</v>
      </c>
      <c r="AC29" s="31">
        <f t="shared" si="2"/>
        <v>0</v>
      </c>
      <c r="AD29" s="35"/>
      <c r="AE29" s="35"/>
    </row>
    <row r="30" spans="1:31" ht="15" customHeight="1">
      <c r="A30" s="20">
        <f t="shared" si="0"/>
        <v>0</v>
      </c>
      <c r="B30" s="23"/>
      <c r="C30" s="23"/>
      <c r="D30" s="23"/>
      <c r="E30" s="23"/>
      <c r="F30" s="23"/>
      <c r="G30" s="23"/>
      <c r="H30" s="23"/>
      <c r="I30" s="23"/>
      <c r="J30" s="23"/>
      <c r="K30" s="23"/>
      <c r="L30" s="33"/>
      <c r="M30" s="26"/>
      <c r="N30" s="26"/>
      <c r="O30" s="26"/>
      <c r="P30" s="26"/>
      <c r="Q30" s="26"/>
      <c r="R30" s="26"/>
      <c r="S30" s="26"/>
      <c r="T30" s="26"/>
      <c r="U30" s="26"/>
      <c r="V30" s="26"/>
      <c r="W30" s="26"/>
      <c r="X30" s="26">
        <f>COUNTIF($L$2:L30,"&lt;&gt;"&amp;"")</f>
        <v>5</v>
      </c>
      <c r="Y30" s="27">
        <f t="shared" si="1"/>
        <v>0</v>
      </c>
      <c r="Z30" s="28"/>
      <c r="AA30" s="29"/>
      <c r="AB30" s="30" t="b">
        <f>TRUE()</f>
        <v>1</v>
      </c>
      <c r="AC30" s="31">
        <f t="shared" si="2"/>
        <v>0</v>
      </c>
      <c r="AD30" s="35"/>
      <c r="AE30" s="35"/>
    </row>
    <row r="31" spans="1:31" ht="15" customHeight="1">
      <c r="A31" s="20">
        <f t="shared" si="0"/>
        <v>0</v>
      </c>
      <c r="B31" s="23"/>
      <c r="C31" s="23"/>
      <c r="D31" s="23"/>
      <c r="E31" s="23"/>
      <c r="F31" s="23"/>
      <c r="G31" s="23"/>
      <c r="H31" s="23"/>
      <c r="I31" s="23"/>
      <c r="J31" s="23"/>
      <c r="K31" s="23"/>
      <c r="L31" s="33"/>
      <c r="M31" s="26"/>
      <c r="N31" s="26"/>
      <c r="O31" s="26"/>
      <c r="P31" s="26"/>
      <c r="Q31" s="26"/>
      <c r="R31" s="26"/>
      <c r="S31" s="26"/>
      <c r="T31" s="26"/>
      <c r="U31" s="26"/>
      <c r="V31" s="26"/>
      <c r="W31" s="26"/>
      <c r="X31" s="26">
        <f>COUNTIF($L$2:L31,"&lt;&gt;"&amp;"")</f>
        <v>5</v>
      </c>
      <c r="Y31" s="27">
        <f t="shared" si="1"/>
        <v>0</v>
      </c>
      <c r="Z31" s="28"/>
      <c r="AA31" s="29"/>
      <c r="AB31" s="30" t="b">
        <f>TRUE()</f>
        <v>1</v>
      </c>
      <c r="AC31" s="31">
        <f t="shared" si="2"/>
        <v>0</v>
      </c>
      <c r="AD31" s="35"/>
      <c r="AE31" s="35"/>
    </row>
    <row r="32" spans="1:31" ht="15" customHeight="1">
      <c r="A32" s="20">
        <f t="shared" si="0"/>
        <v>0</v>
      </c>
      <c r="B32" s="23"/>
      <c r="C32" s="23"/>
      <c r="D32" s="23"/>
      <c r="E32" s="23"/>
      <c r="F32" s="23"/>
      <c r="G32" s="23"/>
      <c r="H32" s="23"/>
      <c r="I32" s="23"/>
      <c r="J32" s="23"/>
      <c r="K32" s="23"/>
      <c r="L32" s="33"/>
      <c r="M32" s="26"/>
      <c r="N32" s="26"/>
      <c r="O32" s="26"/>
      <c r="P32" s="26"/>
      <c r="Q32" s="26"/>
      <c r="R32" s="26"/>
      <c r="S32" s="26"/>
      <c r="T32" s="26"/>
      <c r="U32" s="26"/>
      <c r="V32" s="26"/>
      <c r="W32" s="26"/>
      <c r="X32" s="26">
        <f>COUNTIF($L$2:L32,"&lt;&gt;"&amp;"")</f>
        <v>5</v>
      </c>
      <c r="Y32" s="27">
        <f t="shared" si="1"/>
        <v>0</v>
      </c>
      <c r="Z32" s="28"/>
      <c r="AA32" s="29"/>
      <c r="AB32" s="30" t="b">
        <f>TRUE()</f>
        <v>1</v>
      </c>
      <c r="AC32" s="31">
        <f t="shared" si="2"/>
        <v>0</v>
      </c>
      <c r="AD32" s="35"/>
      <c r="AE32" s="35"/>
    </row>
    <row r="33" spans="1:31" ht="15" customHeight="1">
      <c r="A33" s="20">
        <f t="shared" si="0"/>
        <v>0</v>
      </c>
      <c r="B33" s="23"/>
      <c r="C33" s="23"/>
      <c r="D33" s="23"/>
      <c r="E33" s="23"/>
      <c r="F33" s="23"/>
      <c r="G33" s="23"/>
      <c r="H33" s="23"/>
      <c r="I33" s="23"/>
      <c r="J33" s="23"/>
      <c r="K33" s="23"/>
      <c r="L33" s="33"/>
      <c r="M33" s="26"/>
      <c r="N33" s="26"/>
      <c r="O33" s="26"/>
      <c r="P33" s="26"/>
      <c r="Q33" s="26"/>
      <c r="R33" s="26"/>
      <c r="S33" s="26"/>
      <c r="T33" s="26"/>
      <c r="U33" s="26"/>
      <c r="V33" s="26"/>
      <c r="W33" s="26"/>
      <c r="X33" s="26">
        <f>COUNTIF($L$2:L33,"&lt;&gt;"&amp;"")</f>
        <v>5</v>
      </c>
      <c r="Y33" s="27">
        <f t="shared" si="1"/>
        <v>0</v>
      </c>
      <c r="Z33" s="28"/>
      <c r="AA33" s="29"/>
      <c r="AB33" s="30" t="b">
        <f>TRUE()</f>
        <v>1</v>
      </c>
      <c r="AC33" s="31">
        <f t="shared" si="2"/>
        <v>0</v>
      </c>
      <c r="AD33" s="35"/>
      <c r="AE33" s="35"/>
    </row>
    <row r="34" spans="1:31" ht="15" customHeight="1">
      <c r="A34" s="20">
        <f t="shared" ref="A34:A65" si="3">(B34*$P$125+C34*$P$126+D34*$P$127+E34*$P$128+F34*$P$129+G34*$P$130+H34*$P$131+I34*$P$132+J34*$P$133+K34*$P$134)*$T$123</f>
        <v>0</v>
      </c>
      <c r="B34" s="23"/>
      <c r="C34" s="23"/>
      <c r="D34" s="23"/>
      <c r="E34" s="23"/>
      <c r="F34" s="23"/>
      <c r="G34" s="23"/>
      <c r="H34" s="23"/>
      <c r="I34" s="23"/>
      <c r="J34" s="23"/>
      <c r="K34" s="23"/>
      <c r="L34" s="33"/>
      <c r="M34" s="33"/>
      <c r="N34" s="26"/>
      <c r="O34" s="26"/>
      <c r="P34" s="26"/>
      <c r="Q34" s="26"/>
      <c r="R34" s="26"/>
      <c r="S34" s="26"/>
      <c r="T34" s="26"/>
      <c r="U34" s="26"/>
      <c r="V34" s="26"/>
      <c r="W34" s="26"/>
      <c r="X34" s="26">
        <f>COUNTIF($L$2:L34,"&lt;&gt;"&amp;"")</f>
        <v>5</v>
      </c>
      <c r="Y34" s="27">
        <f t="shared" ref="Y34:Y65" si="4">SUMIF($X$2:$X$120,X34,$A$2:$A$120)</f>
        <v>0</v>
      </c>
      <c r="Z34" s="28"/>
      <c r="AA34" s="29"/>
      <c r="AB34" s="30" t="b">
        <f>TRUE()</f>
        <v>1</v>
      </c>
      <c r="AC34" s="31">
        <f t="shared" ref="AC34:AC65" si="5">IF(L34="",0,IF(AB34=FALSE(),0,Y34))</f>
        <v>0</v>
      </c>
      <c r="AD34" s="35"/>
      <c r="AE34" s="35"/>
    </row>
    <row r="35" spans="1:31" ht="15" customHeight="1">
      <c r="A35" s="20">
        <f t="shared" si="3"/>
        <v>0</v>
      </c>
      <c r="B35" s="23"/>
      <c r="C35" s="23"/>
      <c r="D35" s="23"/>
      <c r="E35" s="23"/>
      <c r="F35" s="23"/>
      <c r="G35" s="23"/>
      <c r="H35" s="23"/>
      <c r="I35" s="23"/>
      <c r="J35" s="23"/>
      <c r="K35" s="23"/>
      <c r="L35" s="33"/>
      <c r="M35" s="26"/>
      <c r="N35" s="41"/>
      <c r="O35" s="26"/>
      <c r="P35" s="26"/>
      <c r="Q35" s="26"/>
      <c r="R35" s="26"/>
      <c r="S35" s="26"/>
      <c r="T35" s="26"/>
      <c r="U35" s="26"/>
      <c r="V35" s="26"/>
      <c r="W35" s="26"/>
      <c r="X35" s="26">
        <f>COUNTIF($L$2:L35,"&lt;&gt;"&amp;"")</f>
        <v>5</v>
      </c>
      <c r="Y35" s="27">
        <f t="shared" si="4"/>
        <v>0</v>
      </c>
      <c r="Z35" s="28"/>
      <c r="AA35" s="29"/>
      <c r="AB35" s="30" t="b">
        <f>TRUE()</f>
        <v>1</v>
      </c>
      <c r="AC35" s="31">
        <f t="shared" si="5"/>
        <v>0</v>
      </c>
      <c r="AD35" s="35"/>
      <c r="AE35" s="35"/>
    </row>
    <row r="36" spans="1:31" ht="15" customHeight="1">
      <c r="A36" s="20">
        <f t="shared" si="3"/>
        <v>0</v>
      </c>
      <c r="B36" s="23"/>
      <c r="C36" s="23"/>
      <c r="D36" s="23"/>
      <c r="E36" s="23"/>
      <c r="F36" s="23"/>
      <c r="G36" s="23"/>
      <c r="H36" s="23"/>
      <c r="I36" s="23"/>
      <c r="J36" s="23"/>
      <c r="K36" s="23"/>
      <c r="L36" s="33"/>
      <c r="M36" s="26"/>
      <c r="N36" s="26"/>
      <c r="O36" s="26"/>
      <c r="P36" s="26"/>
      <c r="Q36" s="26"/>
      <c r="R36" s="26"/>
      <c r="S36" s="26"/>
      <c r="T36" s="26"/>
      <c r="U36" s="26"/>
      <c r="V36" s="26"/>
      <c r="W36" s="26"/>
      <c r="X36" s="26">
        <f>COUNTIF($L$2:L36,"&lt;&gt;"&amp;"")</f>
        <v>5</v>
      </c>
      <c r="Y36" s="27">
        <f t="shared" si="4"/>
        <v>0</v>
      </c>
      <c r="Z36" s="28"/>
      <c r="AA36" s="29"/>
      <c r="AB36" s="30" t="b">
        <f>TRUE()</f>
        <v>1</v>
      </c>
      <c r="AC36" s="31">
        <f t="shared" si="5"/>
        <v>0</v>
      </c>
      <c r="AD36" s="35"/>
      <c r="AE36" s="35"/>
    </row>
    <row r="37" spans="1:31" ht="15" customHeight="1">
      <c r="A37" s="20">
        <f t="shared" si="3"/>
        <v>0</v>
      </c>
      <c r="B37" s="23"/>
      <c r="C37" s="23"/>
      <c r="D37" s="23"/>
      <c r="E37" s="23"/>
      <c r="F37" s="23"/>
      <c r="G37" s="23"/>
      <c r="H37" s="23"/>
      <c r="I37" s="23"/>
      <c r="J37" s="23"/>
      <c r="K37" s="23"/>
      <c r="L37" s="33"/>
      <c r="M37" s="26"/>
      <c r="N37" s="26"/>
      <c r="O37" s="26"/>
      <c r="P37" s="26"/>
      <c r="Q37" s="26"/>
      <c r="R37" s="26"/>
      <c r="S37" s="26"/>
      <c r="T37" s="26"/>
      <c r="U37" s="26"/>
      <c r="V37" s="26"/>
      <c r="W37" s="26"/>
      <c r="X37" s="26">
        <f>COUNTIF($L$2:L37,"&lt;&gt;"&amp;"")</f>
        <v>5</v>
      </c>
      <c r="Y37" s="27">
        <f t="shared" si="4"/>
        <v>0</v>
      </c>
      <c r="Z37" s="28"/>
      <c r="AA37" s="29"/>
      <c r="AB37" s="30" t="b">
        <f>TRUE()</f>
        <v>1</v>
      </c>
      <c r="AC37" s="31">
        <f t="shared" si="5"/>
        <v>0</v>
      </c>
      <c r="AD37" s="35"/>
      <c r="AE37" s="35"/>
    </row>
    <row r="38" spans="1:31" ht="15" customHeight="1">
      <c r="A38" s="20">
        <f t="shared" si="3"/>
        <v>0</v>
      </c>
      <c r="B38" s="23"/>
      <c r="C38" s="23"/>
      <c r="D38" s="23"/>
      <c r="E38" s="23"/>
      <c r="F38" s="23"/>
      <c r="G38" s="23"/>
      <c r="H38" s="23"/>
      <c r="I38" s="23"/>
      <c r="J38" s="23"/>
      <c r="K38" s="23"/>
      <c r="L38" s="33"/>
      <c r="M38" s="26"/>
      <c r="N38" s="26"/>
      <c r="O38" s="26"/>
      <c r="P38" s="26"/>
      <c r="Q38" s="26"/>
      <c r="R38" s="26"/>
      <c r="S38" s="26"/>
      <c r="T38" s="26"/>
      <c r="U38" s="26"/>
      <c r="V38" s="26"/>
      <c r="W38" s="26"/>
      <c r="X38" s="26">
        <f>COUNTIF($L$2:L38,"&lt;&gt;"&amp;"")</f>
        <v>5</v>
      </c>
      <c r="Y38" s="27">
        <f t="shared" si="4"/>
        <v>0</v>
      </c>
      <c r="Z38" s="28"/>
      <c r="AA38" s="29"/>
      <c r="AB38" s="30" t="b">
        <f>TRUE()</f>
        <v>1</v>
      </c>
      <c r="AC38" s="31">
        <f t="shared" si="5"/>
        <v>0</v>
      </c>
      <c r="AD38" s="42"/>
      <c r="AE38" s="42"/>
    </row>
    <row r="39" spans="1:31" ht="15" customHeight="1">
      <c r="A39" s="20">
        <f t="shared" si="3"/>
        <v>0</v>
      </c>
      <c r="B39" s="23"/>
      <c r="C39" s="23"/>
      <c r="D39" s="23"/>
      <c r="E39" s="23"/>
      <c r="F39" s="23"/>
      <c r="G39" s="23"/>
      <c r="H39" s="23"/>
      <c r="I39" s="23"/>
      <c r="J39" s="23"/>
      <c r="K39" s="23"/>
      <c r="L39" s="33"/>
      <c r="M39" s="26"/>
      <c r="N39" s="26"/>
      <c r="O39" s="26"/>
      <c r="P39" s="26"/>
      <c r="Q39" s="26"/>
      <c r="R39" s="26"/>
      <c r="S39" s="26"/>
      <c r="T39" s="26"/>
      <c r="U39" s="26"/>
      <c r="V39" s="26"/>
      <c r="W39" s="26"/>
      <c r="X39" s="26">
        <f>COUNTIF($L$2:L39,"&lt;&gt;"&amp;"")</f>
        <v>5</v>
      </c>
      <c r="Y39" s="27">
        <f t="shared" si="4"/>
        <v>0</v>
      </c>
      <c r="Z39" s="28"/>
      <c r="AA39" s="29"/>
      <c r="AB39" s="30" t="b">
        <f>TRUE()</f>
        <v>1</v>
      </c>
      <c r="AC39" s="31">
        <f t="shared" si="5"/>
        <v>0</v>
      </c>
      <c r="AD39" s="35"/>
      <c r="AE39" s="35"/>
    </row>
    <row r="40" spans="1:31" ht="15" customHeight="1">
      <c r="A40" s="20">
        <f t="shared" si="3"/>
        <v>0</v>
      </c>
      <c r="B40" s="23"/>
      <c r="C40" s="23"/>
      <c r="D40" s="23"/>
      <c r="E40" s="23"/>
      <c r="F40" s="23"/>
      <c r="G40" s="23"/>
      <c r="H40" s="23"/>
      <c r="I40" s="23"/>
      <c r="J40" s="23"/>
      <c r="K40" s="23"/>
      <c r="L40" s="33"/>
      <c r="M40" s="26"/>
      <c r="N40" s="26"/>
      <c r="O40" s="26"/>
      <c r="P40" s="26"/>
      <c r="Q40" s="26"/>
      <c r="R40" s="26"/>
      <c r="S40" s="26"/>
      <c r="T40" s="26"/>
      <c r="U40" s="26"/>
      <c r="V40" s="26"/>
      <c r="W40" s="26"/>
      <c r="X40" s="26">
        <f>COUNTIF($L$2:L40,"&lt;&gt;"&amp;"")</f>
        <v>5</v>
      </c>
      <c r="Y40" s="27">
        <f t="shared" si="4"/>
        <v>0</v>
      </c>
      <c r="Z40" s="28"/>
      <c r="AA40" s="29"/>
      <c r="AB40" s="30" t="b">
        <f>TRUE()</f>
        <v>1</v>
      </c>
      <c r="AC40" s="31">
        <f t="shared" si="5"/>
        <v>0</v>
      </c>
      <c r="AD40" s="42"/>
      <c r="AE40" s="42"/>
    </row>
    <row r="41" spans="1:31" ht="15" customHeight="1">
      <c r="A41" s="20">
        <f t="shared" si="3"/>
        <v>0</v>
      </c>
      <c r="B41" s="23"/>
      <c r="C41" s="23"/>
      <c r="D41" s="23"/>
      <c r="E41" s="23"/>
      <c r="F41" s="23"/>
      <c r="G41" s="23"/>
      <c r="H41" s="23"/>
      <c r="I41" s="23"/>
      <c r="J41" s="23"/>
      <c r="K41" s="23"/>
      <c r="L41" s="33"/>
      <c r="M41" s="26"/>
      <c r="N41" s="26"/>
      <c r="O41" s="26"/>
      <c r="P41" s="26"/>
      <c r="Q41" s="26"/>
      <c r="R41" s="26"/>
      <c r="S41" s="26"/>
      <c r="T41" s="26"/>
      <c r="U41" s="26"/>
      <c r="V41" s="26"/>
      <c r="W41" s="26"/>
      <c r="X41" s="26">
        <f>COUNTIF($L$2:L41,"&lt;&gt;"&amp;"")</f>
        <v>5</v>
      </c>
      <c r="Y41" s="27">
        <f t="shared" si="4"/>
        <v>0</v>
      </c>
      <c r="Z41" s="28"/>
      <c r="AA41" s="29"/>
      <c r="AB41" s="30" t="b">
        <f>TRUE()</f>
        <v>1</v>
      </c>
      <c r="AC41" s="31">
        <f t="shared" si="5"/>
        <v>0</v>
      </c>
      <c r="AD41" s="42"/>
      <c r="AE41" s="42"/>
    </row>
    <row r="42" spans="1:31" ht="15" customHeight="1">
      <c r="A42" s="20">
        <f t="shared" si="3"/>
        <v>0</v>
      </c>
      <c r="B42" s="23"/>
      <c r="C42" s="23"/>
      <c r="D42" s="23"/>
      <c r="E42" s="23"/>
      <c r="F42" s="23"/>
      <c r="G42" s="23"/>
      <c r="H42" s="23"/>
      <c r="I42" s="23"/>
      <c r="J42" s="23"/>
      <c r="K42" s="23"/>
      <c r="L42" s="33"/>
      <c r="M42" s="26"/>
      <c r="N42" s="40"/>
      <c r="O42" s="26"/>
      <c r="P42" s="26"/>
      <c r="Q42" s="26"/>
      <c r="R42" s="26"/>
      <c r="S42" s="26"/>
      <c r="T42" s="26"/>
      <c r="U42" s="26"/>
      <c r="V42" s="26"/>
      <c r="W42" s="26"/>
      <c r="X42" s="26">
        <f>COUNTIF($L$2:L42,"&lt;&gt;"&amp;"")</f>
        <v>5</v>
      </c>
      <c r="Y42" s="27">
        <f t="shared" si="4"/>
        <v>0</v>
      </c>
      <c r="Z42" s="28"/>
      <c r="AA42" s="29"/>
      <c r="AB42" s="30" t="b">
        <f>TRUE()</f>
        <v>1</v>
      </c>
      <c r="AC42" s="31">
        <f t="shared" si="5"/>
        <v>0</v>
      </c>
      <c r="AD42" s="35"/>
      <c r="AE42" s="35"/>
    </row>
    <row r="43" spans="1:31" ht="15" customHeight="1">
      <c r="A43" s="20">
        <f t="shared" si="3"/>
        <v>0</v>
      </c>
      <c r="B43" s="23"/>
      <c r="C43" s="23"/>
      <c r="D43" s="23"/>
      <c r="E43" s="23"/>
      <c r="F43" s="23"/>
      <c r="G43" s="23"/>
      <c r="H43" s="23"/>
      <c r="I43" s="23"/>
      <c r="J43" s="23"/>
      <c r="K43" s="23"/>
      <c r="L43" s="33"/>
      <c r="M43" s="33"/>
      <c r="N43" s="26"/>
      <c r="O43" s="26"/>
      <c r="P43" s="26"/>
      <c r="Q43" s="26"/>
      <c r="R43" s="26"/>
      <c r="S43" s="26"/>
      <c r="T43" s="26"/>
      <c r="U43" s="26"/>
      <c r="V43" s="26"/>
      <c r="W43" s="26"/>
      <c r="X43" s="26">
        <f>COUNTIF($L$2:L43,"&lt;&gt;"&amp;"")</f>
        <v>5</v>
      </c>
      <c r="Y43" s="27">
        <f t="shared" si="4"/>
        <v>0</v>
      </c>
      <c r="Z43" s="28"/>
      <c r="AA43" s="29"/>
      <c r="AB43" s="30" t="b">
        <f>TRUE()</f>
        <v>1</v>
      </c>
      <c r="AC43" s="31">
        <f t="shared" si="5"/>
        <v>0</v>
      </c>
      <c r="AD43" s="35"/>
      <c r="AE43" s="35"/>
    </row>
    <row r="44" spans="1:31" ht="15" customHeight="1">
      <c r="A44" s="20">
        <f t="shared" si="3"/>
        <v>0</v>
      </c>
      <c r="B44" s="23"/>
      <c r="C44" s="23"/>
      <c r="D44" s="23"/>
      <c r="E44" s="23"/>
      <c r="F44" s="23"/>
      <c r="G44" s="23"/>
      <c r="H44" s="23"/>
      <c r="I44" s="23"/>
      <c r="J44" s="23"/>
      <c r="K44" s="23"/>
      <c r="L44" s="33"/>
      <c r="M44" s="26"/>
      <c r="N44" s="26"/>
      <c r="O44" s="26"/>
      <c r="P44" s="26"/>
      <c r="Q44" s="26"/>
      <c r="R44" s="26"/>
      <c r="S44" s="26"/>
      <c r="T44" s="26"/>
      <c r="U44" s="26"/>
      <c r="V44" s="26"/>
      <c r="W44" s="26"/>
      <c r="X44" s="26">
        <f>COUNTIF($L$2:L44,"&lt;&gt;"&amp;"")</f>
        <v>5</v>
      </c>
      <c r="Y44" s="27">
        <f t="shared" si="4"/>
        <v>0</v>
      </c>
      <c r="Z44" s="28"/>
      <c r="AA44" s="29"/>
      <c r="AB44" s="30" t="b">
        <f>TRUE()</f>
        <v>1</v>
      </c>
      <c r="AC44" s="31">
        <f t="shared" si="5"/>
        <v>0</v>
      </c>
      <c r="AD44" s="35"/>
      <c r="AE44" s="35"/>
    </row>
    <row r="45" spans="1:31" ht="15" customHeight="1">
      <c r="A45" s="20">
        <f t="shared" si="3"/>
        <v>0</v>
      </c>
      <c r="B45" s="23"/>
      <c r="C45" s="23"/>
      <c r="D45" s="23"/>
      <c r="E45" s="23"/>
      <c r="F45" s="23"/>
      <c r="G45" s="23"/>
      <c r="H45" s="23"/>
      <c r="I45" s="23"/>
      <c r="J45" s="23"/>
      <c r="K45" s="23"/>
      <c r="L45" s="33"/>
      <c r="M45" s="26"/>
      <c r="N45" s="26"/>
      <c r="O45" s="26"/>
      <c r="P45" s="26"/>
      <c r="Q45" s="26"/>
      <c r="R45" s="26"/>
      <c r="S45" s="26"/>
      <c r="T45" s="26"/>
      <c r="U45" s="26"/>
      <c r="V45" s="26"/>
      <c r="W45" s="26"/>
      <c r="X45" s="26">
        <f>COUNTIF($L$2:L45,"&lt;&gt;"&amp;"")</f>
        <v>5</v>
      </c>
      <c r="Y45" s="27">
        <f t="shared" si="4"/>
        <v>0</v>
      </c>
      <c r="Z45" s="28"/>
      <c r="AA45" s="29"/>
      <c r="AB45" s="30" t="b">
        <f>TRUE()</f>
        <v>1</v>
      </c>
      <c r="AC45" s="31">
        <f t="shared" si="5"/>
        <v>0</v>
      </c>
      <c r="AD45" s="35"/>
      <c r="AE45" s="35"/>
    </row>
    <row r="46" spans="1:31" ht="15" customHeight="1">
      <c r="A46" s="20">
        <f t="shared" si="3"/>
        <v>0</v>
      </c>
      <c r="B46" s="23"/>
      <c r="C46" s="23"/>
      <c r="D46" s="23"/>
      <c r="E46" s="23"/>
      <c r="F46" s="23"/>
      <c r="G46" s="23"/>
      <c r="H46" s="23"/>
      <c r="I46" s="23"/>
      <c r="J46" s="23"/>
      <c r="K46" s="23"/>
      <c r="L46" s="33"/>
      <c r="M46" s="26"/>
      <c r="N46" s="26"/>
      <c r="O46" s="26"/>
      <c r="P46" s="26"/>
      <c r="Q46" s="26"/>
      <c r="R46" s="26"/>
      <c r="S46" s="26"/>
      <c r="T46" s="26"/>
      <c r="U46" s="26"/>
      <c r="V46" s="26"/>
      <c r="W46" s="26"/>
      <c r="X46" s="26">
        <f>COUNTIF($L$2:L46,"&lt;&gt;"&amp;"")</f>
        <v>5</v>
      </c>
      <c r="Y46" s="27">
        <f t="shared" si="4"/>
        <v>0</v>
      </c>
      <c r="Z46" s="28"/>
      <c r="AA46" s="29"/>
      <c r="AB46" s="30" t="b">
        <f>TRUE()</f>
        <v>1</v>
      </c>
      <c r="AC46" s="31">
        <f t="shared" si="5"/>
        <v>0</v>
      </c>
      <c r="AD46" s="35"/>
      <c r="AE46" s="35"/>
    </row>
    <row r="47" spans="1:31" ht="15" customHeight="1">
      <c r="A47" s="20">
        <f t="shared" si="3"/>
        <v>0</v>
      </c>
      <c r="B47" s="23"/>
      <c r="C47" s="23"/>
      <c r="D47" s="23"/>
      <c r="E47" s="23"/>
      <c r="F47" s="23"/>
      <c r="G47" s="23"/>
      <c r="H47" s="23"/>
      <c r="I47" s="23"/>
      <c r="J47" s="23"/>
      <c r="K47" s="23"/>
      <c r="L47" s="33"/>
      <c r="M47" s="26"/>
      <c r="N47" s="26"/>
      <c r="O47" s="26"/>
      <c r="P47" s="26"/>
      <c r="Q47" s="26"/>
      <c r="R47" s="26"/>
      <c r="S47" s="26"/>
      <c r="T47" s="26"/>
      <c r="U47" s="26"/>
      <c r="V47" s="26"/>
      <c r="W47" s="26"/>
      <c r="X47" s="26">
        <f>COUNTIF($L$2:L47,"&lt;&gt;"&amp;"")</f>
        <v>5</v>
      </c>
      <c r="Y47" s="27">
        <f t="shared" si="4"/>
        <v>0</v>
      </c>
      <c r="Z47" s="28"/>
      <c r="AA47" s="29"/>
      <c r="AB47" s="30" t="b">
        <f>TRUE()</f>
        <v>1</v>
      </c>
      <c r="AC47" s="31">
        <f t="shared" si="5"/>
        <v>0</v>
      </c>
      <c r="AD47" s="35"/>
      <c r="AE47" s="35"/>
    </row>
    <row r="48" spans="1:31" ht="15" customHeight="1">
      <c r="A48" s="20">
        <f t="shared" si="3"/>
        <v>0</v>
      </c>
      <c r="B48" s="23"/>
      <c r="C48" s="23"/>
      <c r="D48" s="23"/>
      <c r="E48" s="23"/>
      <c r="F48" s="23"/>
      <c r="G48" s="23"/>
      <c r="H48" s="23"/>
      <c r="I48" s="23"/>
      <c r="J48" s="23"/>
      <c r="K48" s="23"/>
      <c r="L48" s="33"/>
      <c r="M48" s="26"/>
      <c r="N48" s="26"/>
      <c r="O48" s="26"/>
      <c r="P48" s="26"/>
      <c r="Q48" s="26"/>
      <c r="R48" s="26"/>
      <c r="S48" s="26"/>
      <c r="T48" s="26"/>
      <c r="U48" s="26"/>
      <c r="V48" s="26"/>
      <c r="W48" s="26"/>
      <c r="X48" s="26">
        <f>COUNTIF($L$2:L48,"&lt;&gt;"&amp;"")</f>
        <v>5</v>
      </c>
      <c r="Y48" s="27">
        <f t="shared" si="4"/>
        <v>0</v>
      </c>
      <c r="Z48" s="28"/>
      <c r="AA48" s="29"/>
      <c r="AB48" s="30" t="b">
        <f>TRUE()</f>
        <v>1</v>
      </c>
      <c r="AC48" s="31">
        <f t="shared" si="5"/>
        <v>0</v>
      </c>
      <c r="AD48" s="42"/>
      <c r="AE48" s="42"/>
    </row>
    <row r="49" spans="1:31" ht="15" customHeight="1">
      <c r="A49" s="20">
        <f t="shared" si="3"/>
        <v>0</v>
      </c>
      <c r="B49" s="23"/>
      <c r="C49" s="23"/>
      <c r="D49" s="23"/>
      <c r="E49" s="23"/>
      <c r="F49" s="23"/>
      <c r="G49" s="23"/>
      <c r="H49" s="23"/>
      <c r="I49" s="23"/>
      <c r="J49" s="23"/>
      <c r="K49" s="23"/>
      <c r="L49" s="33"/>
      <c r="M49" s="26"/>
      <c r="N49" s="26"/>
      <c r="O49" s="26"/>
      <c r="P49" s="26"/>
      <c r="Q49" s="26"/>
      <c r="R49" s="26"/>
      <c r="S49" s="26"/>
      <c r="T49" s="26"/>
      <c r="U49" s="26"/>
      <c r="V49" s="26"/>
      <c r="W49" s="26"/>
      <c r="X49" s="26">
        <f>COUNTIF($L$2:L49,"&lt;&gt;"&amp;"")</f>
        <v>5</v>
      </c>
      <c r="Y49" s="27">
        <f t="shared" si="4"/>
        <v>0</v>
      </c>
      <c r="Z49" s="28"/>
      <c r="AA49" s="29"/>
      <c r="AB49" s="30" t="b">
        <f>TRUE()</f>
        <v>1</v>
      </c>
      <c r="AC49" s="31">
        <f t="shared" si="5"/>
        <v>0</v>
      </c>
      <c r="AD49" s="42"/>
      <c r="AE49" s="42"/>
    </row>
    <row r="50" spans="1:31" ht="15" customHeight="1">
      <c r="A50" s="20">
        <f t="shared" si="3"/>
        <v>0</v>
      </c>
      <c r="B50" s="23"/>
      <c r="C50" s="23"/>
      <c r="D50" s="23"/>
      <c r="E50" s="23"/>
      <c r="F50" s="23"/>
      <c r="G50" s="23"/>
      <c r="H50" s="23"/>
      <c r="I50" s="23"/>
      <c r="J50" s="23"/>
      <c r="K50" s="23"/>
      <c r="L50" s="33"/>
      <c r="M50" s="33"/>
      <c r="N50" s="26"/>
      <c r="O50" s="26"/>
      <c r="P50" s="26"/>
      <c r="Q50" s="26"/>
      <c r="R50" s="26"/>
      <c r="S50" s="26"/>
      <c r="T50" s="26"/>
      <c r="U50" s="26"/>
      <c r="V50" s="26"/>
      <c r="W50" s="26"/>
      <c r="X50" s="26">
        <f>COUNTIF($L$2:L50,"&lt;&gt;"&amp;"")</f>
        <v>5</v>
      </c>
      <c r="Y50" s="27">
        <f t="shared" si="4"/>
        <v>0</v>
      </c>
      <c r="Z50" s="28"/>
      <c r="AA50" s="29"/>
      <c r="AB50" s="30" t="b">
        <f>TRUE()</f>
        <v>1</v>
      </c>
      <c r="AC50" s="31">
        <f t="shared" si="5"/>
        <v>0</v>
      </c>
      <c r="AD50" s="42"/>
      <c r="AE50" s="42"/>
    </row>
    <row r="51" spans="1:31" ht="15" customHeight="1">
      <c r="A51" s="20">
        <f t="shared" si="3"/>
        <v>0</v>
      </c>
      <c r="B51" s="23"/>
      <c r="C51" s="23"/>
      <c r="D51" s="23"/>
      <c r="E51" s="23"/>
      <c r="F51" s="23"/>
      <c r="G51" s="23"/>
      <c r="H51" s="23"/>
      <c r="I51" s="23"/>
      <c r="J51" s="23"/>
      <c r="K51" s="23"/>
      <c r="L51" s="33"/>
      <c r="M51" s="26"/>
      <c r="N51" s="26"/>
      <c r="O51" s="26"/>
      <c r="P51" s="26"/>
      <c r="Q51" s="26"/>
      <c r="R51" s="26"/>
      <c r="S51" s="26"/>
      <c r="T51" s="26"/>
      <c r="U51" s="26"/>
      <c r="V51" s="26"/>
      <c r="W51" s="26"/>
      <c r="X51" s="26">
        <f>COUNTIF($L$2:L51,"&lt;&gt;"&amp;"")</f>
        <v>5</v>
      </c>
      <c r="Y51" s="27">
        <f t="shared" si="4"/>
        <v>0</v>
      </c>
      <c r="Z51" s="28"/>
      <c r="AA51" s="29"/>
      <c r="AB51" s="30" t="b">
        <f>TRUE()</f>
        <v>1</v>
      </c>
      <c r="AC51" s="31">
        <f t="shared" si="5"/>
        <v>0</v>
      </c>
      <c r="AD51" s="42"/>
      <c r="AE51" s="42"/>
    </row>
    <row r="52" spans="1:31" ht="15" customHeight="1">
      <c r="A52" s="20">
        <f t="shared" si="3"/>
        <v>0</v>
      </c>
      <c r="B52" s="23"/>
      <c r="C52" s="23"/>
      <c r="D52" s="23"/>
      <c r="E52" s="23"/>
      <c r="F52" s="23"/>
      <c r="G52" s="23"/>
      <c r="H52" s="23"/>
      <c r="I52" s="23"/>
      <c r="J52" s="23"/>
      <c r="K52" s="23"/>
      <c r="L52" s="33"/>
      <c r="M52" s="26"/>
      <c r="N52" s="26"/>
      <c r="O52" s="26"/>
      <c r="P52" s="26"/>
      <c r="Q52" s="26"/>
      <c r="R52" s="26"/>
      <c r="S52" s="26"/>
      <c r="T52" s="26"/>
      <c r="U52" s="26"/>
      <c r="V52" s="26"/>
      <c r="W52" s="26"/>
      <c r="X52" s="26">
        <f>COUNTIF($L$2:L52,"&lt;&gt;"&amp;"")</f>
        <v>5</v>
      </c>
      <c r="Y52" s="27">
        <f t="shared" si="4"/>
        <v>0</v>
      </c>
      <c r="Z52" s="28"/>
      <c r="AA52" s="29"/>
      <c r="AB52" s="30" t="b">
        <f>TRUE()</f>
        <v>1</v>
      </c>
      <c r="AC52" s="31">
        <f t="shared" si="5"/>
        <v>0</v>
      </c>
      <c r="AD52" s="42"/>
      <c r="AE52" s="42"/>
    </row>
    <row r="53" spans="1:31" ht="15" customHeight="1">
      <c r="A53" s="20">
        <f t="shared" si="3"/>
        <v>0</v>
      </c>
      <c r="B53" s="23"/>
      <c r="C53" s="23"/>
      <c r="D53" s="23"/>
      <c r="E53" s="23"/>
      <c r="F53" s="23"/>
      <c r="G53" s="23"/>
      <c r="H53" s="23"/>
      <c r="I53" s="23"/>
      <c r="J53" s="23"/>
      <c r="K53" s="23"/>
      <c r="L53" s="33"/>
      <c r="M53" s="33"/>
      <c r="N53" s="26"/>
      <c r="O53" s="26"/>
      <c r="P53" s="26"/>
      <c r="Q53" s="26"/>
      <c r="R53" s="26"/>
      <c r="S53" s="26"/>
      <c r="T53" s="26"/>
      <c r="U53" s="26"/>
      <c r="V53" s="26"/>
      <c r="W53" s="26"/>
      <c r="X53" s="26">
        <f>COUNTIF($L$2:L53,"&lt;&gt;"&amp;"")</f>
        <v>5</v>
      </c>
      <c r="Y53" s="27">
        <f t="shared" si="4"/>
        <v>0</v>
      </c>
      <c r="Z53" s="28"/>
      <c r="AA53" s="29"/>
      <c r="AB53" s="30" t="b">
        <f>TRUE()</f>
        <v>1</v>
      </c>
      <c r="AC53" s="31">
        <f t="shared" si="5"/>
        <v>0</v>
      </c>
      <c r="AD53" s="42"/>
      <c r="AE53" s="42"/>
    </row>
    <row r="54" spans="1:31" ht="15" customHeight="1">
      <c r="A54" s="20">
        <f t="shared" si="3"/>
        <v>0</v>
      </c>
      <c r="B54" s="23"/>
      <c r="C54" s="23"/>
      <c r="D54" s="23"/>
      <c r="E54" s="23"/>
      <c r="F54" s="23"/>
      <c r="G54" s="23"/>
      <c r="H54" s="23"/>
      <c r="I54" s="23"/>
      <c r="J54" s="23"/>
      <c r="K54" s="23"/>
      <c r="L54" s="33"/>
      <c r="M54" s="26"/>
      <c r="N54" s="26"/>
      <c r="O54" s="26"/>
      <c r="P54" s="26"/>
      <c r="Q54" s="26"/>
      <c r="R54" s="26"/>
      <c r="S54" s="26"/>
      <c r="T54" s="26"/>
      <c r="U54" s="26"/>
      <c r="V54" s="26"/>
      <c r="W54" s="26"/>
      <c r="X54" s="26">
        <f>COUNTIF($L$2:L54,"&lt;&gt;"&amp;"")</f>
        <v>5</v>
      </c>
      <c r="Y54" s="27">
        <f t="shared" si="4"/>
        <v>0</v>
      </c>
      <c r="Z54" s="28"/>
      <c r="AA54" s="29"/>
      <c r="AB54" s="30" t="b">
        <f>TRUE()</f>
        <v>1</v>
      </c>
      <c r="AC54" s="31">
        <f t="shared" si="5"/>
        <v>0</v>
      </c>
      <c r="AD54" s="42"/>
      <c r="AE54" s="42"/>
    </row>
    <row r="55" spans="1:31" ht="15" customHeight="1">
      <c r="A55" s="20">
        <f t="shared" si="3"/>
        <v>0</v>
      </c>
      <c r="B55" s="23"/>
      <c r="C55" s="23"/>
      <c r="D55" s="23"/>
      <c r="E55" s="23"/>
      <c r="F55" s="23"/>
      <c r="G55" s="23"/>
      <c r="H55" s="23"/>
      <c r="I55" s="23"/>
      <c r="J55" s="23"/>
      <c r="K55" s="23"/>
      <c r="L55" s="33"/>
      <c r="M55" s="26"/>
      <c r="N55" s="26"/>
      <c r="O55" s="26"/>
      <c r="P55" s="26"/>
      <c r="Q55" s="26"/>
      <c r="R55" s="26"/>
      <c r="S55" s="26"/>
      <c r="T55" s="26"/>
      <c r="U55" s="26"/>
      <c r="V55" s="26"/>
      <c r="W55" s="26"/>
      <c r="X55" s="26">
        <f>COUNTIF($L$2:L55,"&lt;&gt;"&amp;"")</f>
        <v>5</v>
      </c>
      <c r="Y55" s="27">
        <f t="shared" si="4"/>
        <v>0</v>
      </c>
      <c r="Z55" s="28"/>
      <c r="AA55" s="29"/>
      <c r="AB55" s="30" t="b">
        <f>TRUE()</f>
        <v>1</v>
      </c>
      <c r="AC55" s="31">
        <f t="shared" si="5"/>
        <v>0</v>
      </c>
      <c r="AD55" s="42"/>
      <c r="AE55" s="42"/>
    </row>
    <row r="56" spans="1:31" ht="15" customHeight="1">
      <c r="A56" s="20">
        <f t="shared" si="3"/>
        <v>0</v>
      </c>
      <c r="B56" s="23"/>
      <c r="C56" s="23"/>
      <c r="D56" s="23"/>
      <c r="E56" s="23"/>
      <c r="F56" s="23"/>
      <c r="G56" s="23"/>
      <c r="H56" s="23"/>
      <c r="I56" s="23"/>
      <c r="J56" s="23"/>
      <c r="K56" s="23"/>
      <c r="L56" s="33"/>
      <c r="M56" s="26"/>
      <c r="N56" s="26"/>
      <c r="O56" s="26"/>
      <c r="P56" s="26"/>
      <c r="Q56" s="26"/>
      <c r="R56" s="26"/>
      <c r="S56" s="26"/>
      <c r="T56" s="26"/>
      <c r="U56" s="26"/>
      <c r="V56" s="26"/>
      <c r="W56" s="26"/>
      <c r="X56" s="26">
        <f>COUNTIF($L$2:L56,"&lt;&gt;"&amp;"")</f>
        <v>5</v>
      </c>
      <c r="Y56" s="27">
        <f t="shared" si="4"/>
        <v>0</v>
      </c>
      <c r="Z56" s="28"/>
      <c r="AA56" s="29"/>
      <c r="AB56" s="30" t="b">
        <f>TRUE()</f>
        <v>1</v>
      </c>
      <c r="AC56" s="31">
        <f t="shared" si="5"/>
        <v>0</v>
      </c>
      <c r="AD56" s="42"/>
      <c r="AE56" s="42"/>
    </row>
    <row r="57" spans="1:31" ht="15" customHeight="1">
      <c r="A57" s="20">
        <f t="shared" si="3"/>
        <v>0</v>
      </c>
      <c r="B57" s="23"/>
      <c r="C57" s="23"/>
      <c r="D57" s="23"/>
      <c r="E57" s="23"/>
      <c r="F57" s="23"/>
      <c r="G57" s="23"/>
      <c r="H57" s="23"/>
      <c r="I57" s="23"/>
      <c r="J57" s="23"/>
      <c r="K57" s="23"/>
      <c r="L57" s="33"/>
      <c r="M57" s="26"/>
      <c r="N57" s="26"/>
      <c r="O57" s="26"/>
      <c r="P57" s="26"/>
      <c r="Q57" s="26"/>
      <c r="R57" s="26"/>
      <c r="S57" s="26"/>
      <c r="T57" s="26"/>
      <c r="U57" s="26"/>
      <c r="V57" s="26"/>
      <c r="W57" s="26"/>
      <c r="X57" s="26">
        <f>COUNTIF($L$2:L57,"&lt;&gt;"&amp;"")</f>
        <v>5</v>
      </c>
      <c r="Y57" s="27">
        <f t="shared" si="4"/>
        <v>0</v>
      </c>
      <c r="Z57" s="28"/>
      <c r="AA57" s="29"/>
      <c r="AB57" s="30" t="b">
        <f>TRUE()</f>
        <v>1</v>
      </c>
      <c r="AC57" s="31">
        <f t="shared" si="5"/>
        <v>0</v>
      </c>
      <c r="AD57" s="42"/>
      <c r="AE57" s="42"/>
    </row>
    <row r="58" spans="1:31" ht="15" customHeight="1">
      <c r="A58" s="20">
        <f t="shared" si="3"/>
        <v>0</v>
      </c>
      <c r="B58" s="23"/>
      <c r="C58" s="23"/>
      <c r="D58" s="23"/>
      <c r="E58" s="23"/>
      <c r="F58" s="23"/>
      <c r="G58" s="23"/>
      <c r="H58" s="23"/>
      <c r="I58" s="23"/>
      <c r="J58" s="23"/>
      <c r="K58" s="23"/>
      <c r="L58" s="33"/>
      <c r="M58" s="26"/>
      <c r="N58" s="26"/>
      <c r="O58" s="26"/>
      <c r="P58" s="26"/>
      <c r="Q58" s="26"/>
      <c r="R58" s="26"/>
      <c r="S58" s="26"/>
      <c r="T58" s="26"/>
      <c r="U58" s="26"/>
      <c r="V58" s="26"/>
      <c r="W58" s="26"/>
      <c r="X58" s="26">
        <f>COUNTIF($L$2:L58,"&lt;&gt;"&amp;"")</f>
        <v>5</v>
      </c>
      <c r="Y58" s="27">
        <f t="shared" si="4"/>
        <v>0</v>
      </c>
      <c r="Z58" s="28"/>
      <c r="AA58" s="29"/>
      <c r="AB58" s="30" t="b">
        <f>TRUE()</f>
        <v>1</v>
      </c>
      <c r="AC58" s="31">
        <f t="shared" si="5"/>
        <v>0</v>
      </c>
      <c r="AD58" s="42"/>
      <c r="AE58" s="42"/>
    </row>
    <row r="59" spans="1:31" ht="15" customHeight="1">
      <c r="A59" s="20">
        <f t="shared" si="3"/>
        <v>0</v>
      </c>
      <c r="B59" s="23"/>
      <c r="C59" s="23"/>
      <c r="D59" s="23"/>
      <c r="E59" s="23"/>
      <c r="F59" s="23"/>
      <c r="G59" s="23"/>
      <c r="H59" s="23"/>
      <c r="I59" s="23"/>
      <c r="J59" s="23"/>
      <c r="K59" s="23"/>
      <c r="L59" s="33"/>
      <c r="M59" s="26"/>
      <c r="N59" s="26"/>
      <c r="O59" s="26"/>
      <c r="P59" s="26"/>
      <c r="Q59" s="26"/>
      <c r="R59" s="26"/>
      <c r="S59" s="26"/>
      <c r="T59" s="26"/>
      <c r="U59" s="26"/>
      <c r="V59" s="26"/>
      <c r="W59" s="26"/>
      <c r="X59" s="26">
        <f>COUNTIF($L$2:L59,"&lt;&gt;"&amp;"")</f>
        <v>5</v>
      </c>
      <c r="Y59" s="27">
        <f t="shared" si="4"/>
        <v>0</v>
      </c>
      <c r="Z59" s="28"/>
      <c r="AA59" s="29"/>
      <c r="AB59" s="30" t="b">
        <f>TRUE()</f>
        <v>1</v>
      </c>
      <c r="AC59" s="31">
        <f t="shared" si="5"/>
        <v>0</v>
      </c>
      <c r="AD59" s="42"/>
      <c r="AE59" s="42"/>
    </row>
    <row r="60" spans="1:31" ht="15" customHeight="1">
      <c r="A60" s="20">
        <f t="shared" si="3"/>
        <v>0</v>
      </c>
      <c r="B60" s="23"/>
      <c r="C60" s="23"/>
      <c r="D60" s="23"/>
      <c r="E60" s="23"/>
      <c r="F60" s="23"/>
      <c r="G60" s="23"/>
      <c r="H60" s="23"/>
      <c r="I60" s="23"/>
      <c r="J60" s="23"/>
      <c r="K60" s="23"/>
      <c r="L60" s="33"/>
      <c r="M60" s="26"/>
      <c r="N60" s="26"/>
      <c r="O60" s="26"/>
      <c r="P60" s="26"/>
      <c r="Q60" s="26"/>
      <c r="R60" s="26"/>
      <c r="S60" s="26"/>
      <c r="T60" s="26"/>
      <c r="U60" s="26"/>
      <c r="V60" s="26"/>
      <c r="W60" s="26"/>
      <c r="X60" s="26">
        <f>COUNTIF($L$2:L60,"&lt;&gt;"&amp;"")</f>
        <v>5</v>
      </c>
      <c r="Y60" s="27">
        <f t="shared" si="4"/>
        <v>0</v>
      </c>
      <c r="Z60" s="28"/>
      <c r="AA60" s="29"/>
      <c r="AB60" s="30" t="b">
        <f>TRUE()</f>
        <v>1</v>
      </c>
      <c r="AC60" s="31">
        <f t="shared" si="5"/>
        <v>0</v>
      </c>
      <c r="AD60" s="42"/>
      <c r="AE60" s="42"/>
    </row>
    <row r="61" spans="1:31" ht="15" customHeight="1">
      <c r="A61" s="20">
        <f t="shared" si="3"/>
        <v>0</v>
      </c>
      <c r="B61" s="23"/>
      <c r="C61" s="23"/>
      <c r="D61" s="23"/>
      <c r="E61" s="23"/>
      <c r="F61" s="23"/>
      <c r="G61" s="23"/>
      <c r="H61" s="23"/>
      <c r="I61" s="23"/>
      <c r="J61" s="23"/>
      <c r="K61" s="23"/>
      <c r="L61" s="33"/>
      <c r="M61" s="26"/>
      <c r="N61" s="26"/>
      <c r="O61" s="26"/>
      <c r="P61" s="26"/>
      <c r="Q61" s="26"/>
      <c r="R61" s="26"/>
      <c r="S61" s="26"/>
      <c r="T61" s="26"/>
      <c r="U61" s="26"/>
      <c r="V61" s="26"/>
      <c r="W61" s="26"/>
      <c r="X61" s="26">
        <f>COUNTIF($L$2:L61,"&lt;&gt;"&amp;"")</f>
        <v>5</v>
      </c>
      <c r="Y61" s="27">
        <f t="shared" si="4"/>
        <v>0</v>
      </c>
      <c r="Z61" s="28"/>
      <c r="AA61" s="29"/>
      <c r="AB61" s="30" t="b">
        <f>TRUE()</f>
        <v>1</v>
      </c>
      <c r="AC61" s="31">
        <f t="shared" si="5"/>
        <v>0</v>
      </c>
      <c r="AD61" s="42"/>
      <c r="AE61" s="42"/>
    </row>
    <row r="62" spans="1:31" ht="15" customHeight="1">
      <c r="A62" s="20">
        <f t="shared" si="3"/>
        <v>0</v>
      </c>
      <c r="B62" s="23"/>
      <c r="C62" s="23"/>
      <c r="D62" s="23"/>
      <c r="E62" s="23"/>
      <c r="F62" s="23"/>
      <c r="G62" s="23"/>
      <c r="H62" s="23"/>
      <c r="I62" s="23"/>
      <c r="J62" s="23"/>
      <c r="K62" s="23"/>
      <c r="L62" s="33"/>
      <c r="M62" s="26"/>
      <c r="N62" s="26"/>
      <c r="O62" s="26"/>
      <c r="P62" s="26"/>
      <c r="Q62" s="26"/>
      <c r="R62" s="26"/>
      <c r="S62" s="26"/>
      <c r="T62" s="26"/>
      <c r="U62" s="26"/>
      <c r="V62" s="26"/>
      <c r="W62" s="26"/>
      <c r="X62" s="26">
        <f>COUNTIF($L$2:L62,"&lt;&gt;"&amp;"")</f>
        <v>5</v>
      </c>
      <c r="Y62" s="27">
        <f t="shared" si="4"/>
        <v>0</v>
      </c>
      <c r="Z62" s="28"/>
      <c r="AA62" s="29"/>
      <c r="AB62" s="30" t="b">
        <f>TRUE()</f>
        <v>1</v>
      </c>
      <c r="AC62" s="31">
        <f t="shared" si="5"/>
        <v>0</v>
      </c>
      <c r="AD62" s="42"/>
      <c r="AE62" s="42"/>
    </row>
    <row r="63" spans="1:31" ht="15" customHeight="1">
      <c r="A63" s="20">
        <f t="shared" si="3"/>
        <v>0</v>
      </c>
      <c r="B63" s="23"/>
      <c r="C63" s="23"/>
      <c r="D63" s="23"/>
      <c r="E63" s="23"/>
      <c r="F63" s="23"/>
      <c r="G63" s="23"/>
      <c r="H63" s="23"/>
      <c r="I63" s="23"/>
      <c r="J63" s="23"/>
      <c r="K63" s="23"/>
      <c r="L63" s="33"/>
      <c r="M63" s="26"/>
      <c r="N63" s="26"/>
      <c r="O63" s="26"/>
      <c r="P63" s="26"/>
      <c r="Q63" s="26"/>
      <c r="R63" s="26"/>
      <c r="S63" s="26"/>
      <c r="T63" s="26"/>
      <c r="U63" s="26"/>
      <c r="V63" s="26"/>
      <c r="W63" s="26"/>
      <c r="X63" s="26">
        <f>COUNTIF($L$2:L63,"&lt;&gt;"&amp;"")</f>
        <v>5</v>
      </c>
      <c r="Y63" s="27">
        <f t="shared" si="4"/>
        <v>0</v>
      </c>
      <c r="Z63" s="28"/>
      <c r="AA63" s="29"/>
      <c r="AB63" s="30" t="b">
        <f>TRUE()</f>
        <v>1</v>
      </c>
      <c r="AC63" s="31">
        <f t="shared" si="5"/>
        <v>0</v>
      </c>
      <c r="AD63" s="42"/>
      <c r="AE63" s="42"/>
    </row>
    <row r="64" spans="1:31" ht="15" customHeight="1">
      <c r="A64" s="20">
        <f t="shared" si="3"/>
        <v>0</v>
      </c>
      <c r="B64" s="23"/>
      <c r="C64" s="23"/>
      <c r="D64" s="23"/>
      <c r="E64" s="23"/>
      <c r="F64" s="23"/>
      <c r="G64" s="23"/>
      <c r="H64" s="23"/>
      <c r="I64" s="23"/>
      <c r="J64" s="23"/>
      <c r="K64" s="23"/>
      <c r="L64" s="33"/>
      <c r="M64" s="26"/>
      <c r="N64" s="26"/>
      <c r="O64" s="26"/>
      <c r="P64" s="26"/>
      <c r="Q64" s="26"/>
      <c r="R64" s="26"/>
      <c r="S64" s="26"/>
      <c r="T64" s="26"/>
      <c r="U64" s="26"/>
      <c r="V64" s="26"/>
      <c r="W64" s="26"/>
      <c r="X64" s="26">
        <f>COUNTIF($L$2:L64,"&lt;&gt;"&amp;"")</f>
        <v>5</v>
      </c>
      <c r="Y64" s="27">
        <f t="shared" si="4"/>
        <v>0</v>
      </c>
      <c r="Z64" s="28"/>
      <c r="AA64" s="29"/>
      <c r="AB64" s="30" t="b">
        <f>TRUE()</f>
        <v>1</v>
      </c>
      <c r="AC64" s="31">
        <f t="shared" si="5"/>
        <v>0</v>
      </c>
      <c r="AD64" s="35"/>
      <c r="AE64" s="35"/>
    </row>
    <row r="65" spans="1:31" ht="15" customHeight="1">
      <c r="A65" s="20">
        <f t="shared" si="3"/>
        <v>0</v>
      </c>
      <c r="B65" s="23"/>
      <c r="C65" s="23"/>
      <c r="D65" s="23"/>
      <c r="E65" s="23"/>
      <c r="F65" s="23"/>
      <c r="G65" s="23"/>
      <c r="H65" s="23"/>
      <c r="I65" s="23"/>
      <c r="J65" s="23"/>
      <c r="K65" s="23"/>
      <c r="L65" s="33"/>
      <c r="M65" s="26"/>
      <c r="N65" s="26"/>
      <c r="O65" s="26"/>
      <c r="P65" s="26"/>
      <c r="Q65" s="26"/>
      <c r="R65" s="26"/>
      <c r="S65" s="26"/>
      <c r="T65" s="26"/>
      <c r="U65" s="26"/>
      <c r="V65" s="26"/>
      <c r="W65" s="26"/>
      <c r="X65" s="26">
        <f>COUNTIF($L$2:L65,"&lt;&gt;"&amp;"")</f>
        <v>5</v>
      </c>
      <c r="Y65" s="27">
        <f t="shared" si="4"/>
        <v>0</v>
      </c>
      <c r="Z65" s="28"/>
      <c r="AA65" s="29"/>
      <c r="AB65" s="30" t="b">
        <f>TRUE()</f>
        <v>1</v>
      </c>
      <c r="AC65" s="31">
        <f t="shared" si="5"/>
        <v>0</v>
      </c>
      <c r="AD65" s="42"/>
      <c r="AE65" s="42"/>
    </row>
    <row r="66" spans="1:31" ht="15" customHeight="1">
      <c r="A66" s="20">
        <f t="shared" ref="A66:A97" si="6">(B66*$P$125+C66*$P$126+D66*$P$127+E66*$P$128+F66*$P$129+G66*$P$130+H66*$P$131+I66*$P$132+J66*$P$133+K66*$P$134)*$T$123</f>
        <v>0</v>
      </c>
      <c r="B66" s="23"/>
      <c r="C66" s="23"/>
      <c r="D66" s="23"/>
      <c r="E66" s="23"/>
      <c r="F66" s="23"/>
      <c r="G66" s="23"/>
      <c r="H66" s="23"/>
      <c r="I66" s="23"/>
      <c r="J66" s="23"/>
      <c r="K66" s="23"/>
      <c r="L66" s="33"/>
      <c r="M66" s="33"/>
      <c r="N66" s="26"/>
      <c r="O66" s="26"/>
      <c r="P66" s="26"/>
      <c r="Q66" s="26"/>
      <c r="R66" s="26"/>
      <c r="S66" s="26"/>
      <c r="T66" s="26"/>
      <c r="U66" s="26"/>
      <c r="V66" s="26"/>
      <c r="W66" s="26"/>
      <c r="X66" s="26">
        <f>COUNTIF($L$2:L66,"&lt;&gt;"&amp;"")</f>
        <v>5</v>
      </c>
      <c r="Y66" s="27">
        <f t="shared" ref="Y66:Y97" si="7">SUMIF($X$2:$X$120,X66,$A$2:$A$120)</f>
        <v>0</v>
      </c>
      <c r="Z66" s="28"/>
      <c r="AA66" s="29"/>
      <c r="AB66" s="30" t="b">
        <f>TRUE()</f>
        <v>1</v>
      </c>
      <c r="AC66" s="31">
        <f t="shared" ref="AC66:AC97" si="8">IF(L66="",0,IF(AB66=FALSE(),0,Y66))</f>
        <v>0</v>
      </c>
      <c r="AD66" s="42"/>
      <c r="AE66" s="42"/>
    </row>
    <row r="67" spans="1:31" ht="15" customHeight="1">
      <c r="A67" s="20">
        <f t="shared" si="6"/>
        <v>0</v>
      </c>
      <c r="B67" s="23"/>
      <c r="C67" s="23"/>
      <c r="D67" s="23"/>
      <c r="E67" s="23"/>
      <c r="F67" s="23"/>
      <c r="G67" s="23"/>
      <c r="H67" s="23"/>
      <c r="I67" s="23"/>
      <c r="J67" s="23"/>
      <c r="K67" s="23"/>
      <c r="L67" s="33"/>
      <c r="M67" s="26"/>
      <c r="N67" s="33"/>
      <c r="O67" s="26"/>
      <c r="P67" s="26"/>
      <c r="Q67" s="26"/>
      <c r="R67" s="26"/>
      <c r="S67" s="26"/>
      <c r="T67" s="26"/>
      <c r="U67" s="26"/>
      <c r="V67" s="26"/>
      <c r="W67" s="26"/>
      <c r="X67" s="26">
        <f>COUNTIF($L$2:L67,"&lt;&gt;"&amp;"")</f>
        <v>5</v>
      </c>
      <c r="Y67" s="27">
        <f t="shared" si="7"/>
        <v>0</v>
      </c>
      <c r="Z67" s="28"/>
      <c r="AA67" s="29"/>
      <c r="AB67" s="30" t="b">
        <f>TRUE()</f>
        <v>1</v>
      </c>
      <c r="AC67" s="31">
        <f t="shared" si="8"/>
        <v>0</v>
      </c>
      <c r="AD67" s="42"/>
      <c r="AE67" s="42"/>
    </row>
    <row r="68" spans="1:31" ht="15" customHeight="1">
      <c r="A68" s="20">
        <f t="shared" si="6"/>
        <v>0</v>
      </c>
      <c r="B68" s="23"/>
      <c r="C68" s="23"/>
      <c r="D68" s="23"/>
      <c r="E68" s="23"/>
      <c r="F68" s="23"/>
      <c r="G68" s="23"/>
      <c r="H68" s="23"/>
      <c r="I68" s="23"/>
      <c r="J68" s="23"/>
      <c r="K68" s="23"/>
      <c r="L68" s="33"/>
      <c r="M68" s="26"/>
      <c r="N68" s="26"/>
      <c r="O68" s="26"/>
      <c r="P68" s="26"/>
      <c r="Q68" s="26"/>
      <c r="R68" s="26"/>
      <c r="S68" s="26"/>
      <c r="T68" s="26"/>
      <c r="U68" s="26"/>
      <c r="V68" s="26"/>
      <c r="W68" s="26"/>
      <c r="X68" s="26">
        <f>COUNTIF($L$2:L68,"&lt;&gt;"&amp;"")</f>
        <v>5</v>
      </c>
      <c r="Y68" s="27">
        <f t="shared" si="7"/>
        <v>0</v>
      </c>
      <c r="Z68" s="28"/>
      <c r="AA68" s="29"/>
      <c r="AB68" s="30" t="b">
        <f>TRUE()</f>
        <v>1</v>
      </c>
      <c r="AC68" s="31">
        <f t="shared" si="8"/>
        <v>0</v>
      </c>
      <c r="AD68" s="42"/>
      <c r="AE68" s="42"/>
    </row>
    <row r="69" spans="1:31" ht="15" customHeight="1">
      <c r="A69" s="20">
        <f t="shared" si="6"/>
        <v>0</v>
      </c>
      <c r="B69" s="23"/>
      <c r="C69" s="23"/>
      <c r="D69" s="23"/>
      <c r="E69" s="23"/>
      <c r="F69" s="23"/>
      <c r="G69" s="23"/>
      <c r="H69" s="23"/>
      <c r="I69" s="23"/>
      <c r="J69" s="23"/>
      <c r="K69" s="23"/>
      <c r="L69" s="33"/>
      <c r="M69" s="26"/>
      <c r="N69" s="26"/>
      <c r="O69" s="26"/>
      <c r="P69" s="26"/>
      <c r="Q69" s="26"/>
      <c r="R69" s="26"/>
      <c r="S69" s="26"/>
      <c r="T69" s="26"/>
      <c r="U69" s="26"/>
      <c r="V69" s="26"/>
      <c r="W69" s="26"/>
      <c r="X69" s="26">
        <f>COUNTIF($L$2:L69,"&lt;&gt;"&amp;"")</f>
        <v>5</v>
      </c>
      <c r="Y69" s="27">
        <f t="shared" si="7"/>
        <v>0</v>
      </c>
      <c r="Z69" s="28"/>
      <c r="AA69" s="29"/>
      <c r="AB69" s="30" t="b">
        <f>TRUE()</f>
        <v>1</v>
      </c>
      <c r="AC69" s="31">
        <f t="shared" si="8"/>
        <v>0</v>
      </c>
      <c r="AD69" s="42"/>
      <c r="AE69" s="42"/>
    </row>
    <row r="70" spans="1:31" ht="15" customHeight="1">
      <c r="A70" s="20">
        <f t="shared" si="6"/>
        <v>0</v>
      </c>
      <c r="B70" s="23"/>
      <c r="C70" s="23"/>
      <c r="D70" s="23"/>
      <c r="E70" s="23"/>
      <c r="F70" s="23"/>
      <c r="G70" s="23"/>
      <c r="H70" s="23"/>
      <c r="I70" s="23"/>
      <c r="J70" s="23"/>
      <c r="K70" s="23"/>
      <c r="L70" s="33"/>
      <c r="M70" s="26"/>
      <c r="N70" s="26"/>
      <c r="O70" s="26"/>
      <c r="P70" s="26"/>
      <c r="Q70" s="26"/>
      <c r="R70" s="26"/>
      <c r="S70" s="26"/>
      <c r="T70" s="26"/>
      <c r="U70" s="26"/>
      <c r="V70" s="26"/>
      <c r="W70" s="26"/>
      <c r="X70" s="26">
        <f>COUNTIF($L$2:L70,"&lt;&gt;"&amp;"")</f>
        <v>5</v>
      </c>
      <c r="Y70" s="27">
        <f t="shared" si="7"/>
        <v>0</v>
      </c>
      <c r="Z70" s="28"/>
      <c r="AA70" s="29"/>
      <c r="AB70" s="30" t="b">
        <f>TRUE()</f>
        <v>1</v>
      </c>
      <c r="AC70" s="31">
        <f t="shared" si="8"/>
        <v>0</v>
      </c>
      <c r="AD70" s="42"/>
      <c r="AE70" s="42"/>
    </row>
    <row r="71" spans="1:31" ht="15" customHeight="1">
      <c r="A71" s="20">
        <f t="shared" si="6"/>
        <v>0</v>
      </c>
      <c r="B71" s="23"/>
      <c r="C71" s="23"/>
      <c r="D71" s="23"/>
      <c r="E71" s="23"/>
      <c r="F71" s="23"/>
      <c r="G71" s="23"/>
      <c r="H71" s="23"/>
      <c r="I71" s="23"/>
      <c r="J71" s="23"/>
      <c r="K71" s="23"/>
      <c r="L71" s="33"/>
      <c r="M71" s="26"/>
      <c r="N71" s="26"/>
      <c r="O71" s="26"/>
      <c r="P71" s="26"/>
      <c r="Q71" s="26"/>
      <c r="R71" s="26"/>
      <c r="S71" s="26"/>
      <c r="T71" s="26"/>
      <c r="U71" s="26"/>
      <c r="V71" s="26"/>
      <c r="W71" s="26"/>
      <c r="X71" s="26">
        <f>COUNTIF($L$2:L71,"&lt;&gt;"&amp;"")</f>
        <v>5</v>
      </c>
      <c r="Y71" s="27">
        <f t="shared" si="7"/>
        <v>0</v>
      </c>
      <c r="Z71" s="28"/>
      <c r="AA71" s="29"/>
      <c r="AB71" s="30" t="b">
        <f>TRUE()</f>
        <v>1</v>
      </c>
      <c r="AC71" s="31">
        <f t="shared" si="8"/>
        <v>0</v>
      </c>
      <c r="AD71" s="42"/>
      <c r="AE71" s="42"/>
    </row>
    <row r="72" spans="1:31" ht="15" customHeight="1">
      <c r="A72" s="20">
        <f t="shared" si="6"/>
        <v>0</v>
      </c>
      <c r="B72" s="23"/>
      <c r="C72" s="23"/>
      <c r="D72" s="23"/>
      <c r="E72" s="23"/>
      <c r="F72" s="23"/>
      <c r="G72" s="23"/>
      <c r="H72" s="23"/>
      <c r="I72" s="23"/>
      <c r="J72" s="23"/>
      <c r="K72" s="23"/>
      <c r="L72" s="33"/>
      <c r="M72" s="26"/>
      <c r="N72" s="26"/>
      <c r="O72" s="26"/>
      <c r="P72" s="26"/>
      <c r="Q72" s="26"/>
      <c r="R72" s="26"/>
      <c r="S72" s="26"/>
      <c r="T72" s="26"/>
      <c r="U72" s="26"/>
      <c r="V72" s="26"/>
      <c r="W72" s="26"/>
      <c r="X72" s="26">
        <f>COUNTIF($L$2:L72,"&lt;&gt;"&amp;"")</f>
        <v>5</v>
      </c>
      <c r="Y72" s="27">
        <f t="shared" si="7"/>
        <v>0</v>
      </c>
      <c r="Z72" s="28"/>
      <c r="AA72" s="29"/>
      <c r="AB72" s="30" t="b">
        <f>TRUE()</f>
        <v>1</v>
      </c>
      <c r="AC72" s="31">
        <f t="shared" si="8"/>
        <v>0</v>
      </c>
      <c r="AD72" s="42"/>
      <c r="AE72" s="42"/>
    </row>
    <row r="73" spans="1:31" ht="15" customHeight="1">
      <c r="A73" s="20">
        <f t="shared" si="6"/>
        <v>0</v>
      </c>
      <c r="B73" s="23"/>
      <c r="C73" s="23"/>
      <c r="D73" s="23"/>
      <c r="E73" s="23"/>
      <c r="F73" s="23"/>
      <c r="G73" s="23"/>
      <c r="H73" s="23"/>
      <c r="I73" s="23"/>
      <c r="J73" s="23"/>
      <c r="K73" s="23"/>
      <c r="L73" s="33"/>
      <c r="M73" s="26"/>
      <c r="N73" s="26"/>
      <c r="O73" s="26"/>
      <c r="P73" s="26"/>
      <c r="Q73" s="26"/>
      <c r="R73" s="26"/>
      <c r="S73" s="26"/>
      <c r="T73" s="26"/>
      <c r="U73" s="26"/>
      <c r="V73" s="26"/>
      <c r="W73" s="26"/>
      <c r="X73" s="26">
        <f>COUNTIF($L$2:L73,"&lt;&gt;"&amp;"")</f>
        <v>5</v>
      </c>
      <c r="Y73" s="27">
        <f t="shared" si="7"/>
        <v>0</v>
      </c>
      <c r="Z73" s="28"/>
      <c r="AA73" s="29"/>
      <c r="AB73" s="30" t="b">
        <f>TRUE()</f>
        <v>1</v>
      </c>
      <c r="AC73" s="31">
        <f t="shared" si="8"/>
        <v>0</v>
      </c>
      <c r="AD73" s="42"/>
      <c r="AE73" s="42"/>
    </row>
    <row r="74" spans="1:31" ht="15" customHeight="1">
      <c r="A74" s="20">
        <f t="shared" si="6"/>
        <v>0</v>
      </c>
      <c r="B74" s="23"/>
      <c r="C74" s="23"/>
      <c r="D74" s="23"/>
      <c r="E74" s="23"/>
      <c r="F74" s="23"/>
      <c r="G74" s="23"/>
      <c r="H74" s="23"/>
      <c r="I74" s="23"/>
      <c r="J74" s="23"/>
      <c r="K74" s="23"/>
      <c r="L74" s="33"/>
      <c r="M74" s="33"/>
      <c r="N74" s="26"/>
      <c r="O74" s="26"/>
      <c r="P74" s="26"/>
      <c r="Q74" s="26"/>
      <c r="R74" s="26"/>
      <c r="S74" s="26"/>
      <c r="T74" s="26"/>
      <c r="U74" s="26"/>
      <c r="V74" s="26"/>
      <c r="W74" s="26"/>
      <c r="X74" s="26">
        <f>COUNTIF($L$2:L74,"&lt;&gt;"&amp;"")</f>
        <v>5</v>
      </c>
      <c r="Y74" s="27">
        <f t="shared" si="7"/>
        <v>0</v>
      </c>
      <c r="Z74" s="28"/>
      <c r="AA74" s="29"/>
      <c r="AB74" s="30" t="b">
        <f>TRUE()</f>
        <v>1</v>
      </c>
      <c r="AC74" s="31">
        <f t="shared" si="8"/>
        <v>0</v>
      </c>
      <c r="AD74" s="42"/>
      <c r="AE74" s="42"/>
    </row>
    <row r="75" spans="1:31" ht="15" customHeight="1">
      <c r="A75" s="20">
        <f t="shared" si="6"/>
        <v>0</v>
      </c>
      <c r="B75" s="23"/>
      <c r="C75" s="23"/>
      <c r="D75" s="23"/>
      <c r="E75" s="23"/>
      <c r="F75" s="23"/>
      <c r="G75" s="23"/>
      <c r="H75" s="23"/>
      <c r="I75" s="23"/>
      <c r="J75" s="23"/>
      <c r="K75" s="23"/>
      <c r="L75" s="33"/>
      <c r="M75" s="26"/>
      <c r="N75" s="26"/>
      <c r="O75" s="26"/>
      <c r="P75" s="26"/>
      <c r="Q75" s="26"/>
      <c r="R75" s="26"/>
      <c r="S75" s="26"/>
      <c r="T75" s="26"/>
      <c r="U75" s="26"/>
      <c r="V75" s="26"/>
      <c r="W75" s="26"/>
      <c r="X75" s="26">
        <f>COUNTIF($L$2:L75,"&lt;&gt;"&amp;"")</f>
        <v>5</v>
      </c>
      <c r="Y75" s="27">
        <f t="shared" si="7"/>
        <v>0</v>
      </c>
      <c r="Z75" s="28"/>
      <c r="AA75" s="29"/>
      <c r="AB75" s="30" t="b">
        <f>TRUE()</f>
        <v>1</v>
      </c>
      <c r="AC75" s="31">
        <f t="shared" si="8"/>
        <v>0</v>
      </c>
      <c r="AD75" s="35"/>
      <c r="AE75" s="35"/>
    </row>
    <row r="76" spans="1:31" ht="15" customHeight="1">
      <c r="A76" s="20">
        <f t="shared" si="6"/>
        <v>0</v>
      </c>
      <c r="B76" s="23"/>
      <c r="C76" s="23"/>
      <c r="D76" s="23"/>
      <c r="E76" s="23"/>
      <c r="F76" s="23"/>
      <c r="G76" s="23"/>
      <c r="H76" s="23"/>
      <c r="I76" s="23"/>
      <c r="J76" s="23"/>
      <c r="K76" s="23"/>
      <c r="L76" s="33"/>
      <c r="M76" s="26"/>
      <c r="N76" s="26"/>
      <c r="O76" s="26"/>
      <c r="P76" s="26"/>
      <c r="Q76" s="26"/>
      <c r="R76" s="26"/>
      <c r="S76" s="26"/>
      <c r="T76" s="26"/>
      <c r="U76" s="26"/>
      <c r="V76" s="26"/>
      <c r="W76" s="26"/>
      <c r="X76" s="26">
        <f>COUNTIF($L$2:L76,"&lt;&gt;"&amp;"")</f>
        <v>5</v>
      </c>
      <c r="Y76" s="27">
        <f t="shared" si="7"/>
        <v>0</v>
      </c>
      <c r="Z76" s="28"/>
      <c r="AA76" s="29"/>
      <c r="AB76" s="30" t="b">
        <f>TRUE()</f>
        <v>1</v>
      </c>
      <c r="AC76" s="31">
        <f t="shared" si="8"/>
        <v>0</v>
      </c>
      <c r="AD76" s="35"/>
      <c r="AE76" s="35"/>
    </row>
    <row r="77" spans="1:31" ht="15" customHeight="1">
      <c r="A77" s="20">
        <f t="shared" si="6"/>
        <v>0</v>
      </c>
      <c r="B77" s="23"/>
      <c r="C77" s="23"/>
      <c r="D77" s="23"/>
      <c r="E77" s="23"/>
      <c r="F77" s="23"/>
      <c r="G77" s="23"/>
      <c r="H77" s="23"/>
      <c r="I77" s="23"/>
      <c r="J77" s="23"/>
      <c r="K77" s="23"/>
      <c r="L77" s="33"/>
      <c r="M77" s="26"/>
      <c r="N77" s="26"/>
      <c r="O77" s="26"/>
      <c r="P77" s="26"/>
      <c r="Q77" s="26"/>
      <c r="R77" s="26"/>
      <c r="S77" s="26"/>
      <c r="T77" s="26"/>
      <c r="U77" s="26"/>
      <c r="V77" s="26"/>
      <c r="W77" s="26"/>
      <c r="X77" s="26">
        <f>COUNTIF($L$2:L77,"&lt;&gt;"&amp;"")</f>
        <v>5</v>
      </c>
      <c r="Y77" s="27">
        <f t="shared" si="7"/>
        <v>0</v>
      </c>
      <c r="Z77" s="28"/>
      <c r="AA77" s="29"/>
      <c r="AB77" s="30" t="b">
        <f>TRUE()</f>
        <v>1</v>
      </c>
      <c r="AC77" s="31">
        <f t="shared" si="8"/>
        <v>0</v>
      </c>
      <c r="AD77" s="35"/>
      <c r="AE77" s="35"/>
    </row>
    <row r="78" spans="1:31" ht="15" customHeight="1">
      <c r="A78" s="20">
        <f t="shared" si="6"/>
        <v>0</v>
      </c>
      <c r="B78" s="23"/>
      <c r="C78" s="23"/>
      <c r="D78" s="23"/>
      <c r="E78" s="23"/>
      <c r="F78" s="23"/>
      <c r="G78" s="23"/>
      <c r="H78" s="23"/>
      <c r="I78" s="23"/>
      <c r="J78" s="23"/>
      <c r="K78" s="23"/>
      <c r="L78" s="33"/>
      <c r="M78" s="26"/>
      <c r="N78" s="26"/>
      <c r="O78" s="26"/>
      <c r="P78" s="26"/>
      <c r="Q78" s="26"/>
      <c r="R78" s="26"/>
      <c r="S78" s="26"/>
      <c r="T78" s="26"/>
      <c r="U78" s="26"/>
      <c r="V78" s="26"/>
      <c r="W78" s="26"/>
      <c r="X78" s="26">
        <f>COUNTIF($L$2:L78,"&lt;&gt;"&amp;"")</f>
        <v>5</v>
      </c>
      <c r="Y78" s="27">
        <f t="shared" si="7"/>
        <v>0</v>
      </c>
      <c r="Z78" s="28"/>
      <c r="AA78" s="29"/>
      <c r="AB78" s="30" t="b">
        <f>TRUE()</f>
        <v>1</v>
      </c>
      <c r="AC78" s="31">
        <f t="shared" si="8"/>
        <v>0</v>
      </c>
      <c r="AD78" s="35"/>
      <c r="AE78" s="35"/>
    </row>
    <row r="79" spans="1:31" ht="15" customHeight="1">
      <c r="A79" s="20">
        <f t="shared" si="6"/>
        <v>0</v>
      </c>
      <c r="B79" s="23"/>
      <c r="C79" s="23"/>
      <c r="D79" s="23"/>
      <c r="E79" s="23"/>
      <c r="F79" s="23"/>
      <c r="G79" s="23"/>
      <c r="H79" s="23"/>
      <c r="I79" s="23"/>
      <c r="J79" s="23"/>
      <c r="K79" s="23"/>
      <c r="L79" s="33"/>
      <c r="M79" s="26"/>
      <c r="N79" s="26"/>
      <c r="O79" s="26"/>
      <c r="P79" s="26"/>
      <c r="Q79" s="26"/>
      <c r="R79" s="26"/>
      <c r="S79" s="26"/>
      <c r="T79" s="26"/>
      <c r="U79" s="26"/>
      <c r="V79" s="26"/>
      <c r="W79" s="26"/>
      <c r="X79" s="26">
        <f>COUNTIF($L$2:L79,"&lt;&gt;"&amp;"")</f>
        <v>5</v>
      </c>
      <c r="Y79" s="27">
        <f t="shared" si="7"/>
        <v>0</v>
      </c>
      <c r="Z79" s="28"/>
      <c r="AA79" s="29"/>
      <c r="AB79" s="30" t="b">
        <f>TRUE()</f>
        <v>1</v>
      </c>
      <c r="AC79" s="31">
        <f t="shared" si="8"/>
        <v>0</v>
      </c>
      <c r="AD79" s="35"/>
      <c r="AE79" s="35"/>
    </row>
    <row r="80" spans="1:31" ht="15" customHeight="1">
      <c r="A80" s="20">
        <f t="shared" si="6"/>
        <v>0</v>
      </c>
      <c r="B80" s="23"/>
      <c r="C80" s="23"/>
      <c r="D80" s="23"/>
      <c r="E80" s="23"/>
      <c r="F80" s="23"/>
      <c r="G80" s="23"/>
      <c r="H80" s="23"/>
      <c r="I80" s="23"/>
      <c r="J80" s="23"/>
      <c r="K80" s="23"/>
      <c r="L80" s="33"/>
      <c r="M80" s="26"/>
      <c r="N80" s="26"/>
      <c r="O80" s="26"/>
      <c r="P80" s="26"/>
      <c r="Q80" s="26"/>
      <c r="R80" s="26"/>
      <c r="S80" s="26"/>
      <c r="T80" s="26"/>
      <c r="U80" s="26"/>
      <c r="V80" s="26"/>
      <c r="W80" s="26"/>
      <c r="X80" s="26">
        <f>COUNTIF($L$2:L80,"&lt;&gt;"&amp;"")</f>
        <v>5</v>
      </c>
      <c r="Y80" s="27">
        <f t="shared" si="7"/>
        <v>0</v>
      </c>
      <c r="Z80" s="28"/>
      <c r="AA80" s="29"/>
      <c r="AB80" s="30" t="b">
        <f>TRUE()</f>
        <v>1</v>
      </c>
      <c r="AC80" s="31">
        <f t="shared" si="8"/>
        <v>0</v>
      </c>
      <c r="AD80" s="23"/>
      <c r="AE80" s="23"/>
    </row>
    <row r="81" spans="1:31" ht="15" customHeight="1">
      <c r="A81" s="20">
        <f t="shared" si="6"/>
        <v>0</v>
      </c>
      <c r="B81" s="23"/>
      <c r="C81" s="23"/>
      <c r="D81" s="23"/>
      <c r="E81" s="23"/>
      <c r="F81" s="23"/>
      <c r="G81" s="23"/>
      <c r="H81" s="23"/>
      <c r="I81" s="23"/>
      <c r="J81" s="23"/>
      <c r="K81" s="23"/>
      <c r="L81" s="33"/>
      <c r="M81" s="26"/>
      <c r="N81" s="26"/>
      <c r="O81" s="26"/>
      <c r="P81" s="26"/>
      <c r="Q81" s="26"/>
      <c r="R81" s="26"/>
      <c r="S81" s="26"/>
      <c r="T81" s="26"/>
      <c r="U81" s="26"/>
      <c r="V81" s="26"/>
      <c r="W81" s="26"/>
      <c r="X81" s="26">
        <f>COUNTIF($L$2:L81,"&lt;&gt;"&amp;"")</f>
        <v>5</v>
      </c>
      <c r="Y81" s="27">
        <f t="shared" si="7"/>
        <v>0</v>
      </c>
      <c r="Z81" s="28"/>
      <c r="AA81" s="29"/>
      <c r="AB81" s="30" t="b">
        <f>TRUE()</f>
        <v>1</v>
      </c>
      <c r="AC81" s="31">
        <f t="shared" si="8"/>
        <v>0</v>
      </c>
      <c r="AD81" s="23"/>
      <c r="AE81" s="23"/>
    </row>
    <row r="82" spans="1:31" ht="15" customHeight="1">
      <c r="A82" s="20">
        <f t="shared" si="6"/>
        <v>0</v>
      </c>
      <c r="B82" s="23"/>
      <c r="C82" s="23"/>
      <c r="D82" s="23"/>
      <c r="E82" s="23"/>
      <c r="F82" s="23"/>
      <c r="G82" s="23"/>
      <c r="H82" s="23"/>
      <c r="I82" s="23"/>
      <c r="J82" s="23"/>
      <c r="K82" s="23"/>
      <c r="L82" s="33"/>
      <c r="M82" s="26"/>
      <c r="N82" s="26"/>
      <c r="O82" s="26"/>
      <c r="P82" s="26"/>
      <c r="Q82" s="26"/>
      <c r="R82" s="26"/>
      <c r="S82" s="26"/>
      <c r="T82" s="26"/>
      <c r="U82" s="26"/>
      <c r="V82" s="26"/>
      <c r="W82" s="26"/>
      <c r="X82" s="26">
        <f>COUNTIF($L$2:L82,"&lt;&gt;"&amp;"")</f>
        <v>5</v>
      </c>
      <c r="Y82" s="27">
        <f t="shared" si="7"/>
        <v>0</v>
      </c>
      <c r="Z82" s="28"/>
      <c r="AA82" s="29"/>
      <c r="AB82" s="30" t="b">
        <f>TRUE()</f>
        <v>1</v>
      </c>
      <c r="AC82" s="31">
        <f t="shared" si="8"/>
        <v>0</v>
      </c>
      <c r="AD82" s="23"/>
      <c r="AE82" s="23"/>
    </row>
    <row r="83" spans="1:31" ht="15" customHeight="1">
      <c r="A83" s="20">
        <f t="shared" si="6"/>
        <v>0</v>
      </c>
      <c r="B83" s="23"/>
      <c r="C83" s="23"/>
      <c r="D83" s="23"/>
      <c r="E83" s="23"/>
      <c r="F83" s="23"/>
      <c r="G83" s="23"/>
      <c r="H83" s="23"/>
      <c r="I83" s="23"/>
      <c r="J83" s="23"/>
      <c r="K83" s="23"/>
      <c r="L83" s="33"/>
      <c r="M83" s="26"/>
      <c r="N83" s="26"/>
      <c r="O83" s="26"/>
      <c r="P83" s="26"/>
      <c r="Q83" s="26"/>
      <c r="R83" s="26"/>
      <c r="S83" s="26"/>
      <c r="T83" s="26"/>
      <c r="U83" s="26"/>
      <c r="V83" s="26"/>
      <c r="W83" s="26"/>
      <c r="X83" s="26">
        <f>COUNTIF($L$2:L83,"&lt;&gt;"&amp;"")</f>
        <v>5</v>
      </c>
      <c r="Y83" s="27">
        <f t="shared" si="7"/>
        <v>0</v>
      </c>
      <c r="Z83" s="28"/>
      <c r="AA83" s="29"/>
      <c r="AB83" s="30" t="b">
        <f>TRUE()</f>
        <v>1</v>
      </c>
      <c r="AC83" s="31">
        <f t="shared" si="8"/>
        <v>0</v>
      </c>
      <c r="AD83" s="23"/>
      <c r="AE83" s="23"/>
    </row>
    <row r="84" spans="1:31" ht="15" customHeight="1">
      <c r="A84" s="20">
        <f t="shared" si="6"/>
        <v>0</v>
      </c>
      <c r="B84" s="23"/>
      <c r="C84" s="23"/>
      <c r="D84" s="23"/>
      <c r="E84" s="23"/>
      <c r="F84" s="23"/>
      <c r="G84" s="23"/>
      <c r="H84" s="23"/>
      <c r="I84" s="23"/>
      <c r="J84" s="23"/>
      <c r="K84" s="23"/>
      <c r="L84" s="33"/>
      <c r="M84" s="26"/>
      <c r="N84" s="26"/>
      <c r="O84" s="26"/>
      <c r="P84" s="26"/>
      <c r="Q84" s="26"/>
      <c r="R84" s="26"/>
      <c r="S84" s="26"/>
      <c r="T84" s="26"/>
      <c r="U84" s="26"/>
      <c r="V84" s="26"/>
      <c r="W84" s="26"/>
      <c r="X84" s="26">
        <f>COUNTIF($L$2:L84,"&lt;&gt;"&amp;"")</f>
        <v>5</v>
      </c>
      <c r="Y84" s="27">
        <f t="shared" si="7"/>
        <v>0</v>
      </c>
      <c r="Z84" s="28"/>
      <c r="AA84" s="29"/>
      <c r="AB84" s="30" t="b">
        <f>TRUE()</f>
        <v>1</v>
      </c>
      <c r="AC84" s="31">
        <f t="shared" si="8"/>
        <v>0</v>
      </c>
      <c r="AD84" s="23"/>
      <c r="AE84" s="23"/>
    </row>
    <row r="85" spans="1:31" ht="15" customHeight="1">
      <c r="A85" s="20">
        <f t="shared" si="6"/>
        <v>0</v>
      </c>
      <c r="B85" s="23"/>
      <c r="C85" s="23"/>
      <c r="D85" s="23"/>
      <c r="E85" s="23"/>
      <c r="F85" s="23"/>
      <c r="G85" s="23"/>
      <c r="H85" s="23"/>
      <c r="I85" s="23"/>
      <c r="J85" s="23"/>
      <c r="K85" s="23"/>
      <c r="L85" s="33"/>
      <c r="M85" s="26"/>
      <c r="N85" s="26"/>
      <c r="O85" s="26"/>
      <c r="P85" s="26"/>
      <c r="Q85" s="26"/>
      <c r="R85" s="26"/>
      <c r="S85" s="26"/>
      <c r="T85" s="26"/>
      <c r="U85" s="26"/>
      <c r="V85" s="26"/>
      <c r="W85" s="26"/>
      <c r="X85" s="26">
        <f>COUNTIF($L$2:L85,"&lt;&gt;"&amp;"")</f>
        <v>5</v>
      </c>
      <c r="Y85" s="27">
        <f t="shared" si="7"/>
        <v>0</v>
      </c>
      <c r="Z85" s="28"/>
      <c r="AA85" s="29"/>
      <c r="AB85" s="30" t="b">
        <f>TRUE()</f>
        <v>1</v>
      </c>
      <c r="AC85" s="31">
        <f t="shared" si="8"/>
        <v>0</v>
      </c>
      <c r="AD85" s="42"/>
      <c r="AE85" s="42"/>
    </row>
    <row r="86" spans="1:31" ht="15" customHeight="1">
      <c r="A86" s="20">
        <f t="shared" si="6"/>
        <v>0</v>
      </c>
      <c r="B86" s="23"/>
      <c r="C86" s="23"/>
      <c r="D86" s="23"/>
      <c r="E86" s="23"/>
      <c r="F86" s="23"/>
      <c r="G86" s="23"/>
      <c r="H86" s="23"/>
      <c r="I86" s="23"/>
      <c r="J86" s="23"/>
      <c r="K86" s="23"/>
      <c r="L86" s="33"/>
      <c r="M86" s="26"/>
      <c r="N86" s="26"/>
      <c r="O86" s="26"/>
      <c r="P86" s="26"/>
      <c r="Q86" s="26"/>
      <c r="R86" s="26"/>
      <c r="S86" s="26"/>
      <c r="T86" s="26"/>
      <c r="U86" s="26"/>
      <c r="V86" s="26"/>
      <c r="W86" s="26"/>
      <c r="X86" s="26">
        <f>COUNTIF($L$2:L86,"&lt;&gt;"&amp;"")</f>
        <v>5</v>
      </c>
      <c r="Y86" s="27">
        <f t="shared" si="7"/>
        <v>0</v>
      </c>
      <c r="Z86" s="28"/>
      <c r="AA86" s="29"/>
      <c r="AB86" s="30" t="b">
        <f>TRUE()</f>
        <v>1</v>
      </c>
      <c r="AC86" s="31">
        <f t="shared" si="8"/>
        <v>0</v>
      </c>
      <c r="AD86" s="42"/>
      <c r="AE86" s="42"/>
    </row>
    <row r="87" spans="1:31" ht="15" customHeight="1">
      <c r="A87" s="20">
        <f t="shared" si="6"/>
        <v>0</v>
      </c>
      <c r="B87" s="23"/>
      <c r="C87" s="23"/>
      <c r="D87" s="23"/>
      <c r="E87" s="23"/>
      <c r="F87" s="23"/>
      <c r="G87" s="23"/>
      <c r="H87" s="23"/>
      <c r="I87" s="23"/>
      <c r="J87" s="23"/>
      <c r="K87" s="23"/>
      <c r="L87" s="33"/>
      <c r="M87" s="26"/>
      <c r="N87" s="26"/>
      <c r="O87" s="26"/>
      <c r="P87" s="26"/>
      <c r="Q87" s="26"/>
      <c r="R87" s="26"/>
      <c r="S87" s="26"/>
      <c r="T87" s="26"/>
      <c r="U87" s="26"/>
      <c r="V87" s="26"/>
      <c r="W87" s="26"/>
      <c r="X87" s="26">
        <f>COUNTIF($L$2:L87,"&lt;&gt;"&amp;"")</f>
        <v>5</v>
      </c>
      <c r="Y87" s="27">
        <f t="shared" si="7"/>
        <v>0</v>
      </c>
      <c r="Z87" s="28"/>
      <c r="AA87" s="29"/>
      <c r="AB87" s="30" t="b">
        <f>TRUE()</f>
        <v>1</v>
      </c>
      <c r="AC87" s="31">
        <f t="shared" si="8"/>
        <v>0</v>
      </c>
      <c r="AD87" s="42"/>
      <c r="AE87" s="42"/>
    </row>
    <row r="88" spans="1:31" ht="15" customHeight="1">
      <c r="A88" s="20">
        <f t="shared" si="6"/>
        <v>0</v>
      </c>
      <c r="B88" s="23"/>
      <c r="C88" s="23"/>
      <c r="D88" s="23"/>
      <c r="E88" s="23"/>
      <c r="F88" s="23"/>
      <c r="G88" s="23"/>
      <c r="H88" s="23"/>
      <c r="I88" s="23"/>
      <c r="J88" s="23"/>
      <c r="K88" s="23"/>
      <c r="L88" s="33"/>
      <c r="M88" s="26"/>
      <c r="N88" s="26"/>
      <c r="O88" s="26"/>
      <c r="P88" s="26"/>
      <c r="Q88" s="26"/>
      <c r="R88" s="26"/>
      <c r="S88" s="26"/>
      <c r="T88" s="26"/>
      <c r="U88" s="26"/>
      <c r="V88" s="26"/>
      <c r="W88" s="26"/>
      <c r="X88" s="26">
        <f>COUNTIF($L$2:L88,"&lt;&gt;"&amp;"")</f>
        <v>5</v>
      </c>
      <c r="Y88" s="27">
        <f t="shared" si="7"/>
        <v>0</v>
      </c>
      <c r="Z88" s="28"/>
      <c r="AA88" s="29"/>
      <c r="AB88" s="30" t="b">
        <f>TRUE()</f>
        <v>1</v>
      </c>
      <c r="AC88" s="31">
        <f t="shared" si="8"/>
        <v>0</v>
      </c>
      <c r="AD88" s="42"/>
      <c r="AE88" s="42"/>
    </row>
    <row r="89" spans="1:31" ht="15" customHeight="1">
      <c r="A89" s="20">
        <f t="shared" si="6"/>
        <v>0</v>
      </c>
      <c r="B89" s="23"/>
      <c r="C89" s="23"/>
      <c r="D89" s="23"/>
      <c r="E89" s="23"/>
      <c r="F89" s="23"/>
      <c r="G89" s="23"/>
      <c r="H89" s="23"/>
      <c r="I89" s="23"/>
      <c r="J89" s="23"/>
      <c r="K89" s="23"/>
      <c r="L89" s="33"/>
      <c r="M89" s="26"/>
      <c r="N89" s="26"/>
      <c r="O89" s="26"/>
      <c r="P89" s="26"/>
      <c r="Q89" s="26"/>
      <c r="R89" s="26"/>
      <c r="S89" s="26"/>
      <c r="T89" s="26"/>
      <c r="U89" s="26"/>
      <c r="V89" s="26"/>
      <c r="W89" s="26"/>
      <c r="X89" s="26">
        <f>COUNTIF($L$2:L89,"&lt;&gt;"&amp;"")</f>
        <v>5</v>
      </c>
      <c r="Y89" s="27">
        <f t="shared" si="7"/>
        <v>0</v>
      </c>
      <c r="Z89" s="28"/>
      <c r="AA89" s="29"/>
      <c r="AB89" s="30" t="b">
        <f>TRUE()</f>
        <v>1</v>
      </c>
      <c r="AC89" s="31">
        <f t="shared" si="8"/>
        <v>0</v>
      </c>
      <c r="AD89" s="42"/>
      <c r="AE89" s="42"/>
    </row>
    <row r="90" spans="1:31" ht="15" customHeight="1">
      <c r="A90" s="20">
        <f t="shared" si="6"/>
        <v>0</v>
      </c>
      <c r="B90" s="23"/>
      <c r="C90" s="23"/>
      <c r="D90" s="23"/>
      <c r="E90" s="23"/>
      <c r="F90" s="23"/>
      <c r="G90" s="23"/>
      <c r="H90" s="23"/>
      <c r="I90" s="23"/>
      <c r="J90" s="23"/>
      <c r="K90" s="23"/>
      <c r="L90" s="33"/>
      <c r="M90" s="26"/>
      <c r="N90" s="26"/>
      <c r="O90" s="26"/>
      <c r="P90" s="26"/>
      <c r="Q90" s="26"/>
      <c r="R90" s="26"/>
      <c r="S90" s="26"/>
      <c r="T90" s="26"/>
      <c r="U90" s="26"/>
      <c r="V90" s="26"/>
      <c r="W90" s="26"/>
      <c r="X90" s="26">
        <f>COUNTIF($L$2:L90,"&lt;&gt;"&amp;"")</f>
        <v>5</v>
      </c>
      <c r="Y90" s="27">
        <f t="shared" si="7"/>
        <v>0</v>
      </c>
      <c r="Z90" s="28"/>
      <c r="AA90" s="29"/>
      <c r="AB90" s="30" t="b">
        <f>TRUE()</f>
        <v>1</v>
      </c>
      <c r="AC90" s="31">
        <f t="shared" si="8"/>
        <v>0</v>
      </c>
      <c r="AD90" s="42"/>
      <c r="AE90" s="42"/>
    </row>
    <row r="91" spans="1:31" ht="15" customHeight="1">
      <c r="A91" s="20">
        <f t="shared" si="6"/>
        <v>0</v>
      </c>
      <c r="B91" s="23"/>
      <c r="C91" s="23"/>
      <c r="D91" s="23"/>
      <c r="E91" s="23"/>
      <c r="F91" s="23"/>
      <c r="G91" s="23"/>
      <c r="H91" s="23"/>
      <c r="I91" s="23"/>
      <c r="J91" s="23"/>
      <c r="K91" s="23"/>
      <c r="L91" s="33"/>
      <c r="M91" s="26"/>
      <c r="N91" s="26"/>
      <c r="O91" s="26"/>
      <c r="P91" s="26"/>
      <c r="Q91" s="26"/>
      <c r="R91" s="26"/>
      <c r="S91" s="26"/>
      <c r="T91" s="26"/>
      <c r="U91" s="26"/>
      <c r="V91" s="26"/>
      <c r="W91" s="26"/>
      <c r="X91" s="26">
        <f>COUNTIF($L$2:L91,"&lt;&gt;"&amp;"")</f>
        <v>5</v>
      </c>
      <c r="Y91" s="27">
        <f t="shared" si="7"/>
        <v>0</v>
      </c>
      <c r="Z91" s="28"/>
      <c r="AA91" s="29"/>
      <c r="AB91" s="30" t="b">
        <f>TRUE()</f>
        <v>1</v>
      </c>
      <c r="AC91" s="31">
        <f t="shared" si="8"/>
        <v>0</v>
      </c>
      <c r="AD91" s="42"/>
      <c r="AE91" s="42"/>
    </row>
    <row r="92" spans="1:31" ht="15" customHeight="1">
      <c r="A92" s="20">
        <f t="shared" si="6"/>
        <v>0</v>
      </c>
      <c r="B92" s="23"/>
      <c r="C92" s="23"/>
      <c r="D92" s="23"/>
      <c r="E92" s="23"/>
      <c r="F92" s="23"/>
      <c r="G92" s="23"/>
      <c r="H92" s="23"/>
      <c r="I92" s="23"/>
      <c r="J92" s="23"/>
      <c r="K92" s="23"/>
      <c r="L92" s="33"/>
      <c r="M92" s="26"/>
      <c r="N92" s="26"/>
      <c r="O92" s="26"/>
      <c r="P92" s="26"/>
      <c r="Q92" s="26"/>
      <c r="R92" s="26"/>
      <c r="S92" s="26"/>
      <c r="T92" s="26"/>
      <c r="U92" s="26"/>
      <c r="V92" s="26"/>
      <c r="W92" s="26"/>
      <c r="X92" s="26">
        <f>COUNTIF($L$2:L92,"&lt;&gt;"&amp;"")</f>
        <v>5</v>
      </c>
      <c r="Y92" s="27">
        <f t="shared" si="7"/>
        <v>0</v>
      </c>
      <c r="Z92" s="28"/>
      <c r="AA92" s="29"/>
      <c r="AB92" s="30" t="b">
        <f>TRUE()</f>
        <v>1</v>
      </c>
      <c r="AC92" s="31">
        <f t="shared" si="8"/>
        <v>0</v>
      </c>
      <c r="AD92" s="42"/>
      <c r="AE92" s="42"/>
    </row>
    <row r="93" spans="1:31" ht="15" customHeight="1">
      <c r="A93" s="20">
        <f t="shared" si="6"/>
        <v>0</v>
      </c>
      <c r="B93" s="23"/>
      <c r="C93" s="23"/>
      <c r="D93" s="23"/>
      <c r="E93" s="23"/>
      <c r="F93" s="23"/>
      <c r="G93" s="23"/>
      <c r="H93" s="23"/>
      <c r="I93" s="23"/>
      <c r="J93" s="23"/>
      <c r="K93" s="23"/>
      <c r="L93" s="33"/>
      <c r="M93" s="26"/>
      <c r="N93" s="26"/>
      <c r="O93" s="26"/>
      <c r="P93" s="26"/>
      <c r="Q93" s="26"/>
      <c r="R93" s="26"/>
      <c r="S93" s="26"/>
      <c r="T93" s="26"/>
      <c r="U93" s="26"/>
      <c r="V93" s="26"/>
      <c r="W93" s="26"/>
      <c r="X93" s="26">
        <f>COUNTIF($L$2:L95,"&lt;&gt;"&amp;"")</f>
        <v>5</v>
      </c>
      <c r="Y93" s="27">
        <f t="shared" si="7"/>
        <v>0</v>
      </c>
      <c r="Z93" s="28"/>
      <c r="AA93" s="29"/>
      <c r="AB93" s="30" t="b">
        <f>TRUE()</f>
        <v>1</v>
      </c>
      <c r="AC93" s="31">
        <f t="shared" si="8"/>
        <v>0</v>
      </c>
      <c r="AD93" s="42"/>
      <c r="AE93" s="42"/>
    </row>
    <row r="94" spans="1:31" ht="15" customHeight="1">
      <c r="A94" s="20">
        <f t="shared" si="6"/>
        <v>0</v>
      </c>
      <c r="B94" s="23"/>
      <c r="C94" s="23"/>
      <c r="D94" s="23"/>
      <c r="E94" s="23"/>
      <c r="F94" s="23"/>
      <c r="G94" s="23"/>
      <c r="H94" s="23"/>
      <c r="I94" s="23"/>
      <c r="J94" s="23"/>
      <c r="K94" s="23"/>
      <c r="L94" s="33"/>
      <c r="M94" s="26"/>
      <c r="N94" s="26"/>
      <c r="O94" s="26"/>
      <c r="P94" s="26"/>
      <c r="Q94" s="26"/>
      <c r="R94" s="26"/>
      <c r="S94" s="26"/>
      <c r="T94" s="26"/>
      <c r="U94" s="26"/>
      <c r="V94" s="26"/>
      <c r="W94" s="26"/>
      <c r="X94" s="26">
        <f>COUNTIF($L$2:L94,"&lt;&gt;"&amp;"")</f>
        <v>5</v>
      </c>
      <c r="Y94" s="27">
        <f t="shared" si="7"/>
        <v>0</v>
      </c>
      <c r="Z94" s="28"/>
      <c r="AA94" s="29"/>
      <c r="AB94" s="30" t="b">
        <f>TRUE()</f>
        <v>1</v>
      </c>
      <c r="AC94" s="31">
        <f t="shared" si="8"/>
        <v>0</v>
      </c>
      <c r="AD94" s="42"/>
      <c r="AE94" s="42"/>
    </row>
    <row r="95" spans="1:31" ht="15" customHeight="1">
      <c r="A95" s="20">
        <f t="shared" si="6"/>
        <v>0</v>
      </c>
      <c r="B95" s="23"/>
      <c r="C95" s="23"/>
      <c r="D95" s="23"/>
      <c r="E95" s="23"/>
      <c r="F95" s="23"/>
      <c r="G95" s="23"/>
      <c r="H95" s="23"/>
      <c r="I95" s="23"/>
      <c r="J95" s="23"/>
      <c r="K95" s="23"/>
      <c r="L95" s="33"/>
      <c r="M95" s="26"/>
      <c r="N95" s="26"/>
      <c r="O95" s="26"/>
      <c r="P95" s="26"/>
      <c r="Q95" s="26"/>
      <c r="R95" s="26"/>
      <c r="S95" s="26"/>
      <c r="T95" s="26"/>
      <c r="U95" s="26"/>
      <c r="V95" s="26"/>
      <c r="W95" s="26"/>
      <c r="X95" s="26">
        <f>COUNTIF($L$2:L95,"&lt;&gt;"&amp;"")</f>
        <v>5</v>
      </c>
      <c r="Y95" s="27">
        <f t="shared" si="7"/>
        <v>0</v>
      </c>
      <c r="Z95" s="28"/>
      <c r="AA95" s="29"/>
      <c r="AB95" s="30" t="b">
        <f>TRUE()</f>
        <v>1</v>
      </c>
      <c r="AC95" s="31">
        <f t="shared" si="8"/>
        <v>0</v>
      </c>
      <c r="AD95" s="42"/>
      <c r="AE95" s="42"/>
    </row>
    <row r="96" spans="1:31" ht="15" customHeight="1">
      <c r="A96" s="20">
        <f t="shared" si="6"/>
        <v>0</v>
      </c>
      <c r="B96" s="23"/>
      <c r="C96" s="23"/>
      <c r="D96" s="23"/>
      <c r="E96" s="23"/>
      <c r="F96" s="23"/>
      <c r="G96" s="23"/>
      <c r="H96" s="23"/>
      <c r="I96" s="23"/>
      <c r="J96" s="23"/>
      <c r="K96" s="23"/>
      <c r="L96" s="33"/>
      <c r="M96" s="26"/>
      <c r="N96" s="26"/>
      <c r="O96" s="26"/>
      <c r="P96" s="26"/>
      <c r="Q96" s="26"/>
      <c r="R96" s="26"/>
      <c r="S96" s="26"/>
      <c r="T96" s="26"/>
      <c r="U96" s="26"/>
      <c r="V96" s="26"/>
      <c r="W96" s="26"/>
      <c r="X96" s="26">
        <f>COUNTIF($L$2:L96,"&lt;&gt;"&amp;"")</f>
        <v>5</v>
      </c>
      <c r="Y96" s="27">
        <f t="shared" si="7"/>
        <v>0</v>
      </c>
      <c r="Z96" s="28"/>
      <c r="AA96" s="29"/>
      <c r="AB96" s="30" t="b">
        <f>TRUE()</f>
        <v>1</v>
      </c>
      <c r="AC96" s="31">
        <f t="shared" si="8"/>
        <v>0</v>
      </c>
      <c r="AD96" s="42"/>
      <c r="AE96" s="42"/>
    </row>
    <row r="97" spans="1:31" ht="15" customHeight="1">
      <c r="A97" s="20">
        <f t="shared" si="6"/>
        <v>0</v>
      </c>
      <c r="B97" s="23"/>
      <c r="C97" s="23"/>
      <c r="D97" s="23"/>
      <c r="E97" s="23"/>
      <c r="F97" s="23"/>
      <c r="G97" s="23"/>
      <c r="H97" s="23"/>
      <c r="I97" s="23"/>
      <c r="J97" s="23"/>
      <c r="K97" s="23"/>
      <c r="L97" s="33"/>
      <c r="M97" s="26"/>
      <c r="N97" s="26"/>
      <c r="O97" s="26"/>
      <c r="P97" s="26"/>
      <c r="Q97" s="26"/>
      <c r="R97" s="26"/>
      <c r="S97" s="26"/>
      <c r="T97" s="26"/>
      <c r="U97" s="26"/>
      <c r="V97" s="26"/>
      <c r="W97" s="26"/>
      <c r="X97" s="26">
        <f>COUNTIF($L$2:L97,"&lt;&gt;"&amp;"")</f>
        <v>5</v>
      </c>
      <c r="Y97" s="27">
        <f t="shared" si="7"/>
        <v>0</v>
      </c>
      <c r="Z97" s="28"/>
      <c r="AA97" s="29"/>
      <c r="AB97" s="30" t="b">
        <f>TRUE()</f>
        <v>1</v>
      </c>
      <c r="AC97" s="31">
        <f t="shared" si="8"/>
        <v>0</v>
      </c>
      <c r="AD97" s="42"/>
      <c r="AE97" s="42"/>
    </row>
    <row r="98" spans="1:31" ht="15" customHeight="1">
      <c r="A98" s="20">
        <f t="shared" ref="A98:A129" si="9">(B98*$P$125+C98*$P$126+D98*$P$127+E98*$P$128+F98*$P$129+G98*$P$130+H98*$P$131+I98*$P$132+J98*$P$133+K98*$P$134)*$T$123</f>
        <v>0</v>
      </c>
      <c r="B98" s="23"/>
      <c r="C98" s="23"/>
      <c r="D98" s="23"/>
      <c r="E98" s="23"/>
      <c r="F98" s="23"/>
      <c r="G98" s="23"/>
      <c r="H98" s="23"/>
      <c r="I98" s="23"/>
      <c r="J98" s="23"/>
      <c r="K98" s="23"/>
      <c r="L98" s="33"/>
      <c r="M98" s="26"/>
      <c r="N98" s="26"/>
      <c r="O98" s="26"/>
      <c r="P98" s="26"/>
      <c r="Q98" s="26"/>
      <c r="R98" s="26"/>
      <c r="S98" s="26"/>
      <c r="T98" s="26"/>
      <c r="U98" s="26"/>
      <c r="V98" s="26"/>
      <c r="W98" s="26"/>
      <c r="X98" s="26">
        <f>COUNTIF($L$2:L98,"&lt;&gt;"&amp;"")</f>
        <v>5</v>
      </c>
      <c r="Y98" s="27">
        <f t="shared" ref="Y98:Y129" si="10">SUMIF($X$2:$X$120,X98,$A$2:$A$120)</f>
        <v>0</v>
      </c>
      <c r="Z98" s="28"/>
      <c r="AA98" s="29"/>
      <c r="AB98" s="30" t="b">
        <f>TRUE()</f>
        <v>1</v>
      </c>
      <c r="AC98" s="31">
        <f t="shared" ref="AC98:AC129" si="11">IF(L98="",0,IF(AB98=FALSE(),0,Y98))</f>
        <v>0</v>
      </c>
      <c r="AD98" s="42"/>
      <c r="AE98" s="42"/>
    </row>
    <row r="99" spans="1:31" ht="15" customHeight="1">
      <c r="A99" s="20">
        <f t="shared" si="9"/>
        <v>0</v>
      </c>
      <c r="B99" s="23"/>
      <c r="C99" s="23"/>
      <c r="D99" s="23"/>
      <c r="E99" s="23"/>
      <c r="F99" s="23"/>
      <c r="G99" s="23"/>
      <c r="H99" s="23"/>
      <c r="I99" s="23"/>
      <c r="J99" s="23"/>
      <c r="K99" s="23"/>
      <c r="L99" s="33"/>
      <c r="M99" s="26"/>
      <c r="N99" s="26"/>
      <c r="O99" s="26"/>
      <c r="P99" s="26"/>
      <c r="Q99" s="26"/>
      <c r="R99" s="26"/>
      <c r="S99" s="26"/>
      <c r="T99" s="26"/>
      <c r="U99" s="26"/>
      <c r="V99" s="26"/>
      <c r="W99" s="26"/>
      <c r="X99" s="26">
        <f>COUNTIF($L$2:L99,"&lt;&gt;"&amp;"")</f>
        <v>5</v>
      </c>
      <c r="Y99" s="27">
        <f t="shared" si="10"/>
        <v>0</v>
      </c>
      <c r="Z99" s="28"/>
      <c r="AA99" s="29"/>
      <c r="AB99" s="30" t="b">
        <f>TRUE()</f>
        <v>1</v>
      </c>
      <c r="AC99" s="31">
        <f t="shared" si="11"/>
        <v>0</v>
      </c>
      <c r="AD99" s="42"/>
      <c r="AE99" s="42"/>
    </row>
    <row r="100" spans="1:31" ht="15" customHeight="1">
      <c r="A100" s="20">
        <f t="shared" si="9"/>
        <v>0</v>
      </c>
      <c r="B100" s="23"/>
      <c r="C100" s="23"/>
      <c r="D100" s="23"/>
      <c r="E100" s="23"/>
      <c r="F100" s="23"/>
      <c r="G100" s="23"/>
      <c r="H100" s="23"/>
      <c r="I100" s="23"/>
      <c r="J100" s="23"/>
      <c r="K100" s="23"/>
      <c r="L100" s="33"/>
      <c r="M100" s="26"/>
      <c r="N100" s="26"/>
      <c r="O100" s="26"/>
      <c r="P100" s="26"/>
      <c r="Q100" s="26"/>
      <c r="R100" s="26"/>
      <c r="S100" s="26"/>
      <c r="T100" s="26"/>
      <c r="U100" s="26"/>
      <c r="V100" s="26"/>
      <c r="W100" s="26"/>
      <c r="X100" s="26">
        <f>COUNTIF($L$2:L100,"&lt;&gt;"&amp;"")</f>
        <v>5</v>
      </c>
      <c r="Y100" s="27">
        <f t="shared" si="10"/>
        <v>0</v>
      </c>
      <c r="Z100" s="28"/>
      <c r="AA100" s="29"/>
      <c r="AB100" s="30" t="b">
        <f>TRUE()</f>
        <v>1</v>
      </c>
      <c r="AC100" s="31">
        <f t="shared" si="11"/>
        <v>0</v>
      </c>
      <c r="AD100" s="42"/>
      <c r="AE100" s="42"/>
    </row>
    <row r="101" spans="1:31" ht="15" customHeight="1">
      <c r="A101" s="20">
        <f t="shared" si="9"/>
        <v>0</v>
      </c>
      <c r="B101" s="23"/>
      <c r="C101" s="23"/>
      <c r="D101" s="23"/>
      <c r="E101" s="23"/>
      <c r="F101" s="23"/>
      <c r="G101" s="23"/>
      <c r="H101" s="23"/>
      <c r="I101" s="23"/>
      <c r="J101" s="23"/>
      <c r="K101" s="23"/>
      <c r="L101" s="33"/>
      <c r="M101" s="26"/>
      <c r="N101" s="26"/>
      <c r="O101" s="26"/>
      <c r="P101" s="26"/>
      <c r="Q101" s="26"/>
      <c r="R101" s="26"/>
      <c r="S101" s="26"/>
      <c r="T101" s="26"/>
      <c r="U101" s="26"/>
      <c r="V101" s="26"/>
      <c r="W101" s="26"/>
      <c r="X101" s="26">
        <f>COUNTIF($L$2:L101,"&lt;&gt;"&amp;"")</f>
        <v>5</v>
      </c>
      <c r="Y101" s="27">
        <f t="shared" si="10"/>
        <v>0</v>
      </c>
      <c r="Z101" s="28"/>
      <c r="AA101" s="29"/>
      <c r="AB101" s="30" t="b">
        <f>TRUE()</f>
        <v>1</v>
      </c>
      <c r="AC101" s="31">
        <f t="shared" si="11"/>
        <v>0</v>
      </c>
      <c r="AD101" s="23"/>
      <c r="AE101" s="23"/>
    </row>
    <row r="102" spans="1:31" ht="15" customHeight="1">
      <c r="A102" s="20">
        <f t="shared" si="9"/>
        <v>0</v>
      </c>
      <c r="B102" s="23"/>
      <c r="C102" s="23"/>
      <c r="D102" s="23"/>
      <c r="E102" s="23"/>
      <c r="F102" s="23"/>
      <c r="G102" s="23"/>
      <c r="H102" s="23"/>
      <c r="I102" s="23"/>
      <c r="J102" s="23"/>
      <c r="K102" s="23"/>
      <c r="L102" s="33"/>
      <c r="M102" s="26"/>
      <c r="N102" s="26"/>
      <c r="O102" s="26"/>
      <c r="P102" s="26"/>
      <c r="Q102" s="26"/>
      <c r="R102" s="26"/>
      <c r="S102" s="26"/>
      <c r="T102" s="26"/>
      <c r="U102" s="26"/>
      <c r="V102" s="26"/>
      <c r="W102" s="26"/>
      <c r="X102" s="26">
        <f>COUNTIF($L$2:L106,"&lt;&gt;"&amp;"")</f>
        <v>5</v>
      </c>
      <c r="Y102" s="27">
        <f t="shared" si="10"/>
        <v>0</v>
      </c>
      <c r="Z102" s="28"/>
      <c r="AA102" s="29"/>
      <c r="AB102" s="30" t="b">
        <f>TRUE()</f>
        <v>1</v>
      </c>
      <c r="AC102" s="31">
        <f t="shared" si="11"/>
        <v>0</v>
      </c>
      <c r="AD102" s="23"/>
      <c r="AE102" s="23"/>
    </row>
    <row r="103" spans="1:31" ht="15" customHeight="1">
      <c r="A103" s="20">
        <f t="shared" si="9"/>
        <v>0</v>
      </c>
      <c r="B103" s="23"/>
      <c r="C103" s="23"/>
      <c r="D103" s="23"/>
      <c r="E103" s="23"/>
      <c r="F103" s="23"/>
      <c r="G103" s="23"/>
      <c r="H103" s="23"/>
      <c r="I103" s="23"/>
      <c r="J103" s="23"/>
      <c r="K103" s="23"/>
      <c r="L103" s="33"/>
      <c r="M103" s="26"/>
      <c r="N103" s="26"/>
      <c r="O103" s="26"/>
      <c r="P103" s="26"/>
      <c r="Q103" s="26"/>
      <c r="R103" s="26"/>
      <c r="S103" s="26"/>
      <c r="T103" s="26"/>
      <c r="U103" s="26"/>
      <c r="V103" s="26"/>
      <c r="W103" s="26"/>
      <c r="X103" s="26">
        <f>COUNTIF($L$2:L103,"&lt;&gt;"&amp;"")</f>
        <v>5</v>
      </c>
      <c r="Y103" s="27">
        <f t="shared" si="10"/>
        <v>0</v>
      </c>
      <c r="Z103" s="28"/>
      <c r="AA103" s="29"/>
      <c r="AB103" s="30" t="b">
        <f>TRUE()</f>
        <v>1</v>
      </c>
      <c r="AC103" s="31">
        <f t="shared" si="11"/>
        <v>0</v>
      </c>
      <c r="AD103" s="42"/>
      <c r="AE103" s="42"/>
    </row>
    <row r="104" spans="1:31" ht="15" customHeight="1">
      <c r="A104" s="20">
        <f t="shared" si="9"/>
        <v>0</v>
      </c>
      <c r="B104" s="23"/>
      <c r="C104" s="23"/>
      <c r="D104" s="23"/>
      <c r="E104" s="23"/>
      <c r="F104" s="23"/>
      <c r="G104" s="23"/>
      <c r="H104" s="23"/>
      <c r="I104" s="23"/>
      <c r="J104" s="23"/>
      <c r="K104" s="23"/>
      <c r="L104" s="33"/>
      <c r="M104" s="26"/>
      <c r="N104" s="26"/>
      <c r="O104" s="26"/>
      <c r="P104" s="26"/>
      <c r="Q104" s="26"/>
      <c r="R104" s="26"/>
      <c r="S104" s="26"/>
      <c r="T104" s="26"/>
      <c r="U104" s="26"/>
      <c r="V104" s="26"/>
      <c r="W104" s="26"/>
      <c r="X104" s="26">
        <f>COUNTIF($L$2:L104,"&lt;&gt;"&amp;"")</f>
        <v>5</v>
      </c>
      <c r="Y104" s="27">
        <f t="shared" si="10"/>
        <v>0</v>
      </c>
      <c r="Z104" s="28"/>
      <c r="AA104" s="29"/>
      <c r="AB104" s="30" t="b">
        <f>TRUE()</f>
        <v>1</v>
      </c>
      <c r="AC104" s="31">
        <f t="shared" si="11"/>
        <v>0</v>
      </c>
      <c r="AD104" s="42"/>
      <c r="AE104" s="42"/>
    </row>
    <row r="105" spans="1:31" ht="15" customHeight="1">
      <c r="A105" s="20">
        <f t="shared" si="9"/>
        <v>0</v>
      </c>
      <c r="B105" s="23"/>
      <c r="C105" s="23"/>
      <c r="D105" s="23"/>
      <c r="E105" s="23"/>
      <c r="F105" s="23"/>
      <c r="G105" s="23"/>
      <c r="H105" s="23"/>
      <c r="I105" s="23"/>
      <c r="J105" s="23"/>
      <c r="K105" s="23"/>
      <c r="L105" s="33"/>
      <c r="M105" s="26"/>
      <c r="N105" s="26"/>
      <c r="O105" s="26"/>
      <c r="P105" s="26"/>
      <c r="Q105" s="26"/>
      <c r="R105" s="26"/>
      <c r="S105" s="26"/>
      <c r="T105" s="26"/>
      <c r="U105" s="26"/>
      <c r="V105" s="26"/>
      <c r="W105" s="26"/>
      <c r="X105" s="26">
        <f>COUNTIF($L$2:L105,"&lt;&gt;"&amp;"")</f>
        <v>5</v>
      </c>
      <c r="Y105" s="27">
        <f t="shared" si="10"/>
        <v>0</v>
      </c>
      <c r="Z105" s="28"/>
      <c r="AA105" s="29"/>
      <c r="AB105" s="30" t="b">
        <f>TRUE()</f>
        <v>1</v>
      </c>
      <c r="AC105" s="31">
        <f t="shared" si="11"/>
        <v>0</v>
      </c>
      <c r="AD105" s="42"/>
      <c r="AE105" s="42"/>
    </row>
    <row r="106" spans="1:31" ht="15" customHeight="1">
      <c r="A106" s="20">
        <f t="shared" si="9"/>
        <v>0</v>
      </c>
      <c r="B106" s="23"/>
      <c r="C106" s="23"/>
      <c r="D106" s="23"/>
      <c r="E106" s="23"/>
      <c r="F106" s="23"/>
      <c r="G106" s="23"/>
      <c r="H106" s="23"/>
      <c r="I106" s="23"/>
      <c r="J106" s="23"/>
      <c r="K106" s="23"/>
      <c r="L106" s="33"/>
      <c r="M106" s="26"/>
      <c r="N106" s="26"/>
      <c r="O106" s="26"/>
      <c r="P106" s="26"/>
      <c r="Q106" s="26"/>
      <c r="R106" s="26"/>
      <c r="S106" s="26"/>
      <c r="T106" s="26"/>
      <c r="U106" s="26"/>
      <c r="V106" s="26"/>
      <c r="W106" s="26"/>
      <c r="X106" s="26">
        <f>COUNTIF($L$2:L106,"&lt;&gt;"&amp;"")</f>
        <v>5</v>
      </c>
      <c r="Y106" s="27">
        <f t="shared" si="10"/>
        <v>0</v>
      </c>
      <c r="Z106" s="28"/>
      <c r="AA106" s="29"/>
      <c r="AB106" s="30" t="b">
        <f>TRUE()</f>
        <v>1</v>
      </c>
      <c r="AC106" s="31">
        <f t="shared" si="11"/>
        <v>0</v>
      </c>
      <c r="AD106" s="42"/>
      <c r="AE106" s="42"/>
    </row>
    <row r="107" spans="1:31" ht="15" customHeight="1">
      <c r="A107" s="20">
        <f t="shared" si="9"/>
        <v>0</v>
      </c>
      <c r="B107" s="23"/>
      <c r="C107" s="23"/>
      <c r="D107" s="23"/>
      <c r="E107" s="23"/>
      <c r="F107" s="23"/>
      <c r="G107" s="23"/>
      <c r="H107" s="23"/>
      <c r="I107" s="23"/>
      <c r="J107" s="23"/>
      <c r="K107" s="23"/>
      <c r="L107" s="33"/>
      <c r="M107" s="26"/>
      <c r="N107" s="26"/>
      <c r="O107" s="26"/>
      <c r="P107" s="26"/>
      <c r="Q107" s="26"/>
      <c r="R107" s="26"/>
      <c r="S107" s="26"/>
      <c r="T107" s="26"/>
      <c r="U107" s="26"/>
      <c r="V107" s="26"/>
      <c r="W107" s="26"/>
      <c r="X107" s="26">
        <f>COUNTIF($L$2:L107,"&lt;&gt;"&amp;"")</f>
        <v>5</v>
      </c>
      <c r="Y107" s="27">
        <f t="shared" si="10"/>
        <v>0</v>
      </c>
      <c r="Z107" s="28"/>
      <c r="AA107" s="29"/>
      <c r="AB107" s="30" t="b">
        <f>TRUE()</f>
        <v>1</v>
      </c>
      <c r="AC107" s="31">
        <f t="shared" si="11"/>
        <v>0</v>
      </c>
      <c r="AD107" s="23"/>
      <c r="AE107" s="23"/>
    </row>
    <row r="108" spans="1:31" ht="15" customHeight="1">
      <c r="A108" s="20">
        <f t="shared" si="9"/>
        <v>0</v>
      </c>
      <c r="B108" s="23"/>
      <c r="C108" s="23"/>
      <c r="D108" s="23"/>
      <c r="E108" s="23"/>
      <c r="F108" s="23"/>
      <c r="G108" s="23"/>
      <c r="H108" s="23"/>
      <c r="I108" s="23"/>
      <c r="J108" s="23"/>
      <c r="K108" s="23"/>
      <c r="L108" s="33"/>
      <c r="M108" s="26"/>
      <c r="N108" s="26"/>
      <c r="O108" s="26"/>
      <c r="P108" s="26"/>
      <c r="Q108" s="26"/>
      <c r="R108" s="26"/>
      <c r="S108" s="26"/>
      <c r="T108" s="26"/>
      <c r="U108" s="26"/>
      <c r="V108" s="26"/>
      <c r="W108" s="26"/>
      <c r="X108" s="26">
        <f>COUNTIF($L$2:L108,"&lt;&gt;"&amp;"")</f>
        <v>5</v>
      </c>
      <c r="Y108" s="27">
        <f t="shared" si="10"/>
        <v>0</v>
      </c>
      <c r="Z108" s="28"/>
      <c r="AA108" s="29"/>
      <c r="AB108" s="30" t="b">
        <f>TRUE()</f>
        <v>1</v>
      </c>
      <c r="AC108" s="31">
        <f t="shared" si="11"/>
        <v>0</v>
      </c>
      <c r="AD108" s="23"/>
      <c r="AE108" s="23"/>
    </row>
    <row r="109" spans="1:31" ht="15" customHeight="1">
      <c r="A109" s="20">
        <f t="shared" si="9"/>
        <v>0</v>
      </c>
      <c r="B109" s="23"/>
      <c r="C109" s="23"/>
      <c r="D109" s="23"/>
      <c r="E109" s="23"/>
      <c r="F109" s="23"/>
      <c r="G109" s="23"/>
      <c r="H109" s="23"/>
      <c r="I109" s="23"/>
      <c r="J109" s="23"/>
      <c r="K109" s="23"/>
      <c r="L109" s="33"/>
      <c r="M109" s="26"/>
      <c r="N109" s="26"/>
      <c r="O109" s="26"/>
      <c r="P109" s="26"/>
      <c r="Q109" s="26"/>
      <c r="R109" s="26"/>
      <c r="S109" s="26"/>
      <c r="T109" s="26"/>
      <c r="U109" s="26"/>
      <c r="V109" s="26"/>
      <c r="W109" s="26"/>
      <c r="X109" s="26">
        <f>COUNTIF($L$2:L109,"&lt;&gt;"&amp;"")</f>
        <v>5</v>
      </c>
      <c r="Y109" s="27">
        <f t="shared" si="10"/>
        <v>0</v>
      </c>
      <c r="Z109" s="28"/>
      <c r="AA109" s="29"/>
      <c r="AB109" s="30" t="b">
        <f>TRUE()</f>
        <v>1</v>
      </c>
      <c r="AC109" s="31">
        <f t="shared" si="11"/>
        <v>0</v>
      </c>
      <c r="AD109" s="23"/>
      <c r="AE109" s="23"/>
    </row>
    <row r="110" spans="1:31" ht="15" customHeight="1">
      <c r="A110" s="20">
        <f t="shared" si="9"/>
        <v>0</v>
      </c>
      <c r="B110" s="23"/>
      <c r="C110" s="23"/>
      <c r="D110" s="23"/>
      <c r="E110" s="23"/>
      <c r="F110" s="23"/>
      <c r="G110" s="23"/>
      <c r="H110" s="23"/>
      <c r="I110" s="23"/>
      <c r="J110" s="23"/>
      <c r="K110" s="23"/>
      <c r="L110" s="33"/>
      <c r="M110" s="26"/>
      <c r="N110" s="26"/>
      <c r="O110" s="26"/>
      <c r="P110" s="26"/>
      <c r="Q110" s="26"/>
      <c r="R110" s="26"/>
      <c r="S110" s="26"/>
      <c r="T110" s="26"/>
      <c r="U110" s="26"/>
      <c r="V110" s="26"/>
      <c r="W110" s="26"/>
      <c r="X110" s="26">
        <f>COUNTIF($L$2:L110,"&lt;&gt;"&amp;"")</f>
        <v>5</v>
      </c>
      <c r="Y110" s="27">
        <f t="shared" si="10"/>
        <v>0</v>
      </c>
      <c r="Z110" s="28"/>
      <c r="AA110" s="29"/>
      <c r="AB110" s="30" t="b">
        <f>TRUE()</f>
        <v>1</v>
      </c>
      <c r="AC110" s="31">
        <f t="shared" si="11"/>
        <v>0</v>
      </c>
      <c r="AD110" s="23"/>
      <c r="AE110" s="23"/>
    </row>
    <row r="111" spans="1:31" ht="15" customHeight="1">
      <c r="A111" s="20">
        <f t="shared" si="9"/>
        <v>0</v>
      </c>
      <c r="B111" s="23"/>
      <c r="C111" s="23"/>
      <c r="D111" s="23"/>
      <c r="E111" s="23"/>
      <c r="F111" s="23"/>
      <c r="G111" s="23"/>
      <c r="H111" s="23"/>
      <c r="I111" s="23"/>
      <c r="J111" s="23"/>
      <c r="K111" s="23"/>
      <c r="L111" s="33"/>
      <c r="M111" s="26"/>
      <c r="N111" s="26"/>
      <c r="O111" s="26"/>
      <c r="P111" s="26"/>
      <c r="Q111" s="26"/>
      <c r="R111" s="26"/>
      <c r="S111" s="26"/>
      <c r="T111" s="26"/>
      <c r="U111" s="26"/>
      <c r="V111" s="26"/>
      <c r="W111" s="26"/>
      <c r="X111" s="26">
        <f>COUNTIF($L$2:L111,"&lt;&gt;"&amp;"")</f>
        <v>5</v>
      </c>
      <c r="Y111" s="27">
        <f t="shared" si="10"/>
        <v>0</v>
      </c>
      <c r="Z111" s="28"/>
      <c r="AA111" s="29"/>
      <c r="AB111" s="30" t="b">
        <f>TRUE()</f>
        <v>1</v>
      </c>
      <c r="AC111" s="31">
        <f t="shared" si="11"/>
        <v>0</v>
      </c>
      <c r="AD111" s="23"/>
      <c r="AE111" s="23"/>
    </row>
    <row r="112" spans="1:31" ht="15" customHeight="1">
      <c r="A112" s="20">
        <f t="shared" si="9"/>
        <v>0</v>
      </c>
      <c r="B112" s="23"/>
      <c r="C112" s="23"/>
      <c r="D112" s="23"/>
      <c r="E112" s="23"/>
      <c r="F112" s="23"/>
      <c r="G112" s="23"/>
      <c r="H112" s="23"/>
      <c r="I112" s="23"/>
      <c r="J112" s="23"/>
      <c r="K112" s="23"/>
      <c r="L112" s="33"/>
      <c r="M112" s="26"/>
      <c r="N112" s="26"/>
      <c r="O112" s="26"/>
      <c r="P112" s="26"/>
      <c r="Q112" s="26"/>
      <c r="R112" s="26"/>
      <c r="S112" s="26"/>
      <c r="T112" s="26"/>
      <c r="U112" s="26"/>
      <c r="V112" s="26"/>
      <c r="W112" s="26"/>
      <c r="X112" s="26">
        <f>COUNTIF($L$2:L112,"&lt;&gt;"&amp;"")</f>
        <v>5</v>
      </c>
      <c r="Y112" s="27">
        <f t="shared" si="10"/>
        <v>0</v>
      </c>
      <c r="Z112" s="28"/>
      <c r="AA112" s="29"/>
      <c r="AB112" s="30" t="b">
        <f>TRUE()</f>
        <v>1</v>
      </c>
      <c r="AC112" s="31">
        <f t="shared" si="11"/>
        <v>0</v>
      </c>
      <c r="AD112" s="23"/>
      <c r="AE112" s="23"/>
    </row>
    <row r="113" spans="1:31" ht="15" customHeight="1">
      <c r="A113" s="20">
        <f t="shared" si="9"/>
        <v>0</v>
      </c>
      <c r="B113" s="23"/>
      <c r="C113" s="23"/>
      <c r="D113" s="23"/>
      <c r="E113" s="23"/>
      <c r="F113" s="23"/>
      <c r="G113" s="23"/>
      <c r="H113" s="23"/>
      <c r="I113" s="23"/>
      <c r="J113" s="23"/>
      <c r="K113" s="23"/>
      <c r="L113" s="33"/>
      <c r="M113" s="26"/>
      <c r="N113" s="26"/>
      <c r="O113" s="26"/>
      <c r="P113" s="26"/>
      <c r="Q113" s="26"/>
      <c r="R113" s="26"/>
      <c r="S113" s="26"/>
      <c r="T113" s="26"/>
      <c r="U113" s="26"/>
      <c r="V113" s="26"/>
      <c r="W113" s="26"/>
      <c r="X113" s="26">
        <f>COUNTIF($L$2:L113,"&lt;&gt;"&amp;"")</f>
        <v>5</v>
      </c>
      <c r="Y113" s="27">
        <f t="shared" si="10"/>
        <v>0</v>
      </c>
      <c r="Z113" s="28"/>
      <c r="AA113" s="29"/>
      <c r="AB113" s="30" t="b">
        <f>TRUE()</f>
        <v>1</v>
      </c>
      <c r="AC113" s="31">
        <f t="shared" si="11"/>
        <v>0</v>
      </c>
      <c r="AD113" s="23"/>
      <c r="AE113" s="23"/>
    </row>
    <row r="114" spans="1:31" ht="15" customHeight="1">
      <c r="A114" s="20">
        <f t="shared" si="9"/>
        <v>0</v>
      </c>
      <c r="B114" s="23"/>
      <c r="C114" s="23"/>
      <c r="D114" s="23"/>
      <c r="E114" s="23"/>
      <c r="F114" s="23"/>
      <c r="G114" s="23"/>
      <c r="H114" s="23"/>
      <c r="I114" s="23"/>
      <c r="J114" s="23"/>
      <c r="K114" s="23"/>
      <c r="L114" s="33"/>
      <c r="M114" s="26"/>
      <c r="N114" s="26"/>
      <c r="O114" s="26"/>
      <c r="P114" s="26"/>
      <c r="Q114" s="26"/>
      <c r="R114" s="26"/>
      <c r="S114" s="26"/>
      <c r="T114" s="26"/>
      <c r="U114" s="26"/>
      <c r="V114" s="26"/>
      <c r="W114" s="26"/>
      <c r="X114" s="26">
        <f>COUNTIF($L$2:L114,"&lt;&gt;"&amp;"")</f>
        <v>5</v>
      </c>
      <c r="Y114" s="27">
        <f t="shared" si="10"/>
        <v>0</v>
      </c>
      <c r="Z114" s="28"/>
      <c r="AA114" s="29"/>
      <c r="AB114" s="30" t="b">
        <f>TRUE()</f>
        <v>1</v>
      </c>
      <c r="AC114" s="31">
        <f t="shared" si="11"/>
        <v>0</v>
      </c>
      <c r="AD114" s="23"/>
      <c r="AE114" s="23"/>
    </row>
    <row r="115" spans="1:31" ht="15" customHeight="1">
      <c r="A115" s="20">
        <f t="shared" si="9"/>
        <v>0</v>
      </c>
      <c r="B115" s="23"/>
      <c r="C115" s="23"/>
      <c r="D115" s="23"/>
      <c r="E115" s="23"/>
      <c r="F115" s="23"/>
      <c r="G115" s="23"/>
      <c r="H115" s="23"/>
      <c r="I115" s="23"/>
      <c r="J115" s="23"/>
      <c r="K115" s="23"/>
      <c r="L115" s="33"/>
      <c r="M115" s="26"/>
      <c r="N115" s="26"/>
      <c r="O115" s="26"/>
      <c r="P115" s="26"/>
      <c r="Q115" s="26"/>
      <c r="R115" s="26"/>
      <c r="S115" s="26"/>
      <c r="T115" s="26"/>
      <c r="U115" s="26"/>
      <c r="V115" s="26"/>
      <c r="W115" s="26"/>
      <c r="X115" s="26">
        <f>COUNTIF($L$2:L115,"&lt;&gt;"&amp;"")</f>
        <v>5</v>
      </c>
      <c r="Y115" s="27">
        <f t="shared" si="10"/>
        <v>0</v>
      </c>
      <c r="Z115" s="28"/>
      <c r="AA115" s="29"/>
      <c r="AB115" s="30" t="b">
        <f>TRUE()</f>
        <v>1</v>
      </c>
      <c r="AC115" s="31">
        <f t="shared" si="11"/>
        <v>0</v>
      </c>
      <c r="AD115" s="23"/>
      <c r="AE115" s="23"/>
    </row>
    <row r="116" spans="1:31" ht="15" customHeight="1">
      <c r="A116" s="20">
        <f t="shared" si="9"/>
        <v>0</v>
      </c>
      <c r="B116" s="23"/>
      <c r="C116" s="23"/>
      <c r="D116" s="23"/>
      <c r="E116" s="23"/>
      <c r="F116" s="23"/>
      <c r="G116" s="23"/>
      <c r="H116" s="23"/>
      <c r="I116" s="23"/>
      <c r="J116" s="23"/>
      <c r="K116" s="23"/>
      <c r="L116" s="33"/>
      <c r="M116" s="26"/>
      <c r="N116" s="26"/>
      <c r="O116" s="26"/>
      <c r="P116" s="26"/>
      <c r="Q116" s="26"/>
      <c r="R116" s="26"/>
      <c r="S116" s="26"/>
      <c r="T116" s="26"/>
      <c r="U116" s="26"/>
      <c r="V116" s="26"/>
      <c r="W116" s="26"/>
      <c r="X116" s="26">
        <f>COUNTIF($L$2:L116,"&lt;&gt;"&amp;"")</f>
        <v>5</v>
      </c>
      <c r="Y116" s="27">
        <f t="shared" si="10"/>
        <v>0</v>
      </c>
      <c r="Z116" s="28"/>
      <c r="AA116" s="29"/>
      <c r="AB116" s="30" t="b">
        <f>TRUE()</f>
        <v>1</v>
      </c>
      <c r="AC116" s="31">
        <f t="shared" si="11"/>
        <v>0</v>
      </c>
      <c r="AD116" s="23"/>
      <c r="AE116" s="23"/>
    </row>
    <row r="117" spans="1:31" ht="15" customHeight="1">
      <c r="A117" s="20">
        <f t="shared" si="9"/>
        <v>0</v>
      </c>
      <c r="B117" s="23"/>
      <c r="C117" s="23"/>
      <c r="D117" s="23"/>
      <c r="E117" s="23"/>
      <c r="F117" s="23"/>
      <c r="G117" s="23"/>
      <c r="H117" s="23"/>
      <c r="I117" s="23"/>
      <c r="J117" s="23"/>
      <c r="K117" s="23"/>
      <c r="L117" s="33"/>
      <c r="M117" s="26"/>
      <c r="N117" s="26"/>
      <c r="O117" s="26"/>
      <c r="P117" s="26"/>
      <c r="Q117" s="26"/>
      <c r="R117" s="26"/>
      <c r="S117" s="26"/>
      <c r="T117" s="26"/>
      <c r="U117" s="26"/>
      <c r="V117" s="26"/>
      <c r="W117" s="26"/>
      <c r="X117" s="26">
        <f>COUNTIF($L$2:L117,"&lt;&gt;"&amp;"")</f>
        <v>5</v>
      </c>
      <c r="Y117" s="27">
        <f t="shared" si="10"/>
        <v>0</v>
      </c>
      <c r="Z117" s="28"/>
      <c r="AA117" s="29"/>
      <c r="AB117" s="30" t="b">
        <f>TRUE()</f>
        <v>1</v>
      </c>
      <c r="AC117" s="31">
        <f t="shared" si="11"/>
        <v>0</v>
      </c>
      <c r="AD117" s="23"/>
      <c r="AE117" s="23"/>
    </row>
    <row r="118" spans="1:31" ht="15" customHeight="1">
      <c r="A118" s="20">
        <f t="shared" si="9"/>
        <v>0</v>
      </c>
      <c r="B118" s="23"/>
      <c r="C118" s="23"/>
      <c r="D118" s="23"/>
      <c r="E118" s="23"/>
      <c r="F118" s="23"/>
      <c r="G118" s="23"/>
      <c r="H118" s="23"/>
      <c r="I118" s="23"/>
      <c r="J118" s="23"/>
      <c r="K118" s="23"/>
      <c r="L118" s="33"/>
      <c r="M118" s="26"/>
      <c r="N118" s="26"/>
      <c r="O118" s="26"/>
      <c r="P118" s="26"/>
      <c r="Q118" s="26"/>
      <c r="R118" s="26"/>
      <c r="S118" s="26"/>
      <c r="T118" s="26"/>
      <c r="U118" s="26"/>
      <c r="V118" s="26"/>
      <c r="W118" s="26"/>
      <c r="X118" s="26">
        <f>COUNTIF($L$2:L118,"&lt;&gt;"&amp;"")</f>
        <v>5</v>
      </c>
      <c r="Y118" s="27">
        <f t="shared" si="10"/>
        <v>0</v>
      </c>
      <c r="Z118" s="28"/>
      <c r="AA118" s="29"/>
      <c r="AB118" s="30" t="b">
        <f>TRUE()</f>
        <v>1</v>
      </c>
      <c r="AC118" s="31">
        <f t="shared" si="11"/>
        <v>0</v>
      </c>
      <c r="AD118" s="23"/>
      <c r="AE118" s="23"/>
    </row>
    <row r="119" spans="1:31" ht="15" customHeight="1">
      <c r="A119" s="20">
        <f t="shared" si="9"/>
        <v>0</v>
      </c>
      <c r="B119" s="23"/>
      <c r="C119" s="23"/>
      <c r="D119" s="23"/>
      <c r="E119" s="23"/>
      <c r="F119" s="23"/>
      <c r="G119" s="23"/>
      <c r="H119" s="23"/>
      <c r="I119" s="23"/>
      <c r="J119" s="23"/>
      <c r="K119" s="23"/>
      <c r="L119" s="33"/>
      <c r="M119" s="26"/>
      <c r="N119" s="26"/>
      <c r="O119" s="26"/>
      <c r="P119" s="26"/>
      <c r="Q119" s="26"/>
      <c r="R119" s="26"/>
      <c r="S119" s="26"/>
      <c r="T119" s="26"/>
      <c r="U119" s="26"/>
      <c r="V119" s="26"/>
      <c r="W119" s="26"/>
      <c r="X119" s="26">
        <f>COUNTIF($L$2:L119,"&lt;&gt;"&amp;"")</f>
        <v>5</v>
      </c>
      <c r="Y119" s="27">
        <f t="shared" si="10"/>
        <v>0</v>
      </c>
      <c r="Z119" s="28"/>
      <c r="AA119" s="29"/>
      <c r="AB119" s="30" t="b">
        <f>TRUE()</f>
        <v>1</v>
      </c>
      <c r="AC119" s="31">
        <f t="shared" si="11"/>
        <v>0</v>
      </c>
      <c r="AD119" s="23"/>
      <c r="AE119" s="23"/>
    </row>
    <row r="120" spans="1:31" ht="12.75" customHeight="1">
      <c r="A120" s="43"/>
      <c r="B120" s="43"/>
      <c r="C120" s="43"/>
      <c r="D120" s="43"/>
      <c r="E120" s="43"/>
      <c r="F120" s="43"/>
      <c r="G120" s="43"/>
      <c r="H120" s="43"/>
      <c r="I120" s="43"/>
      <c r="J120" s="43"/>
      <c r="K120" s="43"/>
      <c r="L120" s="44"/>
      <c r="M120" s="44"/>
      <c r="N120" s="45"/>
      <c r="O120" s="45" t="s">
        <v>43</v>
      </c>
      <c r="P120" s="44"/>
      <c r="Q120" s="44"/>
      <c r="R120" s="44"/>
      <c r="S120" s="44"/>
      <c r="T120" s="44"/>
      <c r="U120" s="44"/>
      <c r="V120" s="44"/>
      <c r="W120" s="44"/>
      <c r="X120" s="44"/>
      <c r="Y120" s="44"/>
      <c r="Z120" s="44"/>
      <c r="AA120" s="44"/>
      <c r="AB120" s="44"/>
      <c r="AC120" s="44"/>
      <c r="AD120" s="23"/>
      <c r="AE120" s="23"/>
    </row>
    <row r="121" spans="1:31" ht="15" customHeight="1">
      <c r="A121" s="46">
        <f>ROW()</f>
        <v>121</v>
      </c>
      <c r="B121" s="23">
        <f t="shared" ref="B121:K121" si="12">SUM(B2:B120)</f>
        <v>0</v>
      </c>
      <c r="C121" s="23">
        <f t="shared" si="12"/>
        <v>0</v>
      </c>
      <c r="D121" s="23">
        <f t="shared" si="12"/>
        <v>0</v>
      </c>
      <c r="E121" s="23">
        <f t="shared" si="12"/>
        <v>0</v>
      </c>
      <c r="F121" s="23">
        <f t="shared" si="12"/>
        <v>0</v>
      </c>
      <c r="G121" s="23">
        <f t="shared" si="12"/>
        <v>0</v>
      </c>
      <c r="H121" s="23">
        <f t="shared" si="12"/>
        <v>0</v>
      </c>
      <c r="I121" s="23">
        <f t="shared" si="12"/>
        <v>0</v>
      </c>
      <c r="J121" s="23">
        <f t="shared" si="12"/>
        <v>0</v>
      </c>
      <c r="K121" s="23">
        <f t="shared" si="12"/>
        <v>0</v>
      </c>
      <c r="L121" s="33"/>
      <c r="M121" s="26"/>
      <c r="N121" s="26"/>
      <c r="O121" s="26"/>
      <c r="P121" s="23"/>
      <c r="Q121" s="23"/>
      <c r="R121" s="23"/>
      <c r="S121" s="23"/>
      <c r="T121" s="23"/>
      <c r="U121" s="23"/>
      <c r="V121" s="23"/>
      <c r="W121" s="23"/>
      <c r="X121" s="23"/>
      <c r="Y121" s="23"/>
      <c r="Z121" s="23"/>
      <c r="AA121" s="23"/>
      <c r="AB121" s="23"/>
      <c r="AC121" s="47"/>
      <c r="AD121" s="23"/>
      <c r="AE121" s="23"/>
    </row>
    <row r="122" spans="1:31" ht="12.75" customHeight="1">
      <c r="A122" s="23"/>
      <c r="B122" s="23"/>
      <c r="C122" s="48"/>
      <c r="D122" s="48"/>
      <c r="E122" s="48"/>
      <c r="F122" s="48"/>
      <c r="G122" s="48"/>
      <c r="H122" s="48"/>
      <c r="I122" s="9" t="s">
        <v>44</v>
      </c>
      <c r="J122" s="9"/>
      <c r="K122" s="9"/>
      <c r="L122" s="9"/>
      <c r="M122" s="8">
        <f>400000+120000</f>
        <v>520000</v>
      </c>
      <c r="N122" s="8"/>
      <c r="O122" s="8"/>
      <c r="P122" s="23"/>
      <c r="Q122" s="23"/>
      <c r="R122" s="23"/>
      <c r="S122" s="48"/>
      <c r="T122" s="48"/>
      <c r="U122" s="48"/>
      <c r="V122" s="23"/>
      <c r="W122" s="23"/>
      <c r="X122" s="23"/>
      <c r="Y122" s="23"/>
      <c r="Z122" s="23"/>
      <c r="AA122" s="23"/>
      <c r="AB122" s="23"/>
      <c r="AC122" s="47"/>
      <c r="AD122" s="23"/>
      <c r="AE122" s="23"/>
    </row>
    <row r="123" spans="1:31" ht="15" customHeight="1">
      <c r="A123" s="23"/>
      <c r="B123" s="23"/>
      <c r="C123" s="48"/>
      <c r="D123" s="49" t="s">
        <v>45</v>
      </c>
      <c r="E123" s="50">
        <v>1750905</v>
      </c>
      <c r="F123" s="51" t="s">
        <v>46</v>
      </c>
      <c r="G123" s="52">
        <v>249095</v>
      </c>
      <c r="H123" s="48"/>
      <c r="I123" s="53" t="s">
        <v>47</v>
      </c>
      <c r="J123" s="54">
        <v>0.18</v>
      </c>
      <c r="K123" s="54"/>
      <c r="L123" s="55" t="s">
        <v>48</v>
      </c>
      <c r="M123" s="56">
        <f>2.7/12</f>
        <v>0.22500000000000001</v>
      </c>
      <c r="N123" s="57" t="s">
        <v>49</v>
      </c>
      <c r="O123" s="58">
        <f>40*4.2*((244-2)/260)</f>
        <v>156.36923076923077</v>
      </c>
      <c r="P123" s="48"/>
      <c r="Q123" s="53" t="s">
        <v>50</v>
      </c>
      <c r="R123" s="59">
        <v>0.4</v>
      </c>
      <c r="S123" s="48"/>
      <c r="T123" s="60">
        <v>8</v>
      </c>
      <c r="U123" s="61" t="s">
        <v>51</v>
      </c>
      <c r="V123" s="62"/>
      <c r="W123" s="23"/>
      <c r="X123" s="23"/>
      <c r="Y123" s="23"/>
      <c r="Z123" s="23"/>
      <c r="AA123" s="23"/>
      <c r="AB123" s="23"/>
      <c r="AC123" s="47"/>
      <c r="AD123" s="23"/>
      <c r="AE123" s="23"/>
    </row>
    <row r="124" spans="1:31" ht="12.75" customHeight="1">
      <c r="A124" s="23"/>
      <c r="B124" s="23"/>
      <c r="C124" s="7" t="s">
        <v>52</v>
      </c>
      <c r="D124" s="7"/>
      <c r="E124" s="7"/>
      <c r="F124" s="7" t="s">
        <v>53</v>
      </c>
      <c r="G124" s="7"/>
      <c r="H124" s="7"/>
      <c r="I124" s="7" t="s">
        <v>54</v>
      </c>
      <c r="J124" s="7"/>
      <c r="K124" s="7"/>
      <c r="L124" s="7"/>
      <c r="M124" s="7" t="s">
        <v>55</v>
      </c>
      <c r="N124" s="7"/>
      <c r="O124" s="7"/>
      <c r="P124" s="7" t="s">
        <v>56</v>
      </c>
      <c r="Q124" s="7"/>
      <c r="R124" s="7"/>
      <c r="S124" s="48"/>
      <c r="T124" s="48"/>
      <c r="U124" s="63" t="s">
        <v>49</v>
      </c>
      <c r="V124" s="7" t="s">
        <v>57</v>
      </c>
      <c r="W124" s="7"/>
      <c r="X124" s="7"/>
      <c r="Y124" s="23"/>
      <c r="Z124" s="23"/>
      <c r="AA124" s="23"/>
      <c r="AB124" s="23"/>
      <c r="AC124" s="47"/>
      <c r="AD124" s="23"/>
      <c r="AE124" s="23"/>
    </row>
    <row r="125" spans="1:31" ht="12.75" customHeight="1">
      <c r="A125" s="35" t="s">
        <v>58</v>
      </c>
      <c r="B125" s="63" t="str">
        <f>B1</f>
        <v>DB</v>
      </c>
      <c r="C125" s="6">
        <v>6480000</v>
      </c>
      <c r="D125" s="6"/>
      <c r="E125" s="6"/>
      <c r="F125" s="6">
        <v>1080000</v>
      </c>
      <c r="G125" s="6"/>
      <c r="H125" s="6"/>
      <c r="I125" s="6">
        <v>0</v>
      </c>
      <c r="J125" s="6"/>
      <c r="K125" s="6"/>
      <c r="L125" s="6"/>
      <c r="M125" s="6">
        <f t="shared" ref="M125:M134" si="13">C125*(1+$J$123+$M$123)+F125+I125+$M$122+IF(($E$123*2)&gt;=C125,$G$123,0)</f>
        <v>10704400</v>
      </c>
      <c r="N125" s="6"/>
      <c r="O125" s="6"/>
      <c r="P125" s="5">
        <f t="shared" ref="P125:P134" si="14">M125/$O$123*(1+$R$123)</f>
        <v>95838.292011019294</v>
      </c>
      <c r="Q125" s="5"/>
      <c r="R125" s="5"/>
      <c r="S125" s="48"/>
      <c r="T125" s="48"/>
      <c r="U125" s="23">
        <f t="shared" ref="U125:U134" si="15">HLOOKUP(B125,$B$1:$K$121,$A$121,0)*$T$123</f>
        <v>0</v>
      </c>
      <c r="W125" s="64">
        <f t="shared" ref="W125:W134" si="16">P125*U125</f>
        <v>0</v>
      </c>
      <c r="Y125" s="23"/>
      <c r="Z125" s="23"/>
      <c r="AA125" s="23"/>
      <c r="AB125" s="23"/>
      <c r="AC125" s="47"/>
      <c r="AD125" s="23"/>
      <c r="AE125" s="23"/>
    </row>
    <row r="126" spans="1:31" ht="12.75" customHeight="1">
      <c r="A126" s="35" t="s">
        <v>59</v>
      </c>
      <c r="B126" s="63" t="str">
        <f>C1</f>
        <v>UX</v>
      </c>
      <c r="C126" s="6">
        <v>3240000</v>
      </c>
      <c r="D126" s="6"/>
      <c r="E126" s="6"/>
      <c r="F126" s="6">
        <v>540000</v>
      </c>
      <c r="G126" s="6"/>
      <c r="H126" s="6"/>
      <c r="I126" s="6">
        <v>0</v>
      </c>
      <c r="J126" s="6"/>
      <c r="K126" s="6"/>
      <c r="L126" s="6"/>
      <c r="M126" s="6">
        <f t="shared" si="13"/>
        <v>5861295</v>
      </c>
      <c r="N126" s="6"/>
      <c r="O126" s="6"/>
      <c r="P126" s="5">
        <f t="shared" si="14"/>
        <v>52477.159090909088</v>
      </c>
      <c r="Q126" s="5"/>
      <c r="R126" s="5"/>
      <c r="S126" s="48"/>
      <c r="T126" s="48"/>
      <c r="U126" s="23">
        <f t="shared" si="15"/>
        <v>0</v>
      </c>
      <c r="W126" s="64">
        <f t="shared" si="16"/>
        <v>0</v>
      </c>
      <c r="Y126" s="23"/>
      <c r="Z126" s="23"/>
      <c r="AA126" s="23"/>
      <c r="AB126" s="23"/>
      <c r="AC126" s="47"/>
      <c r="AD126" s="23"/>
      <c r="AE126" s="23"/>
    </row>
    <row r="127" spans="1:31" ht="12.75" customHeight="1">
      <c r="A127" s="35" t="s">
        <v>60</v>
      </c>
      <c r="B127" s="63" t="str">
        <f>D1</f>
        <v>FM</v>
      </c>
      <c r="C127" s="6">
        <v>3240000</v>
      </c>
      <c r="D127" s="6"/>
      <c r="E127" s="6"/>
      <c r="F127" s="6">
        <v>540000</v>
      </c>
      <c r="G127" s="6"/>
      <c r="H127" s="6"/>
      <c r="I127" s="6">
        <v>0</v>
      </c>
      <c r="J127" s="6"/>
      <c r="K127" s="6"/>
      <c r="L127" s="6"/>
      <c r="M127" s="6">
        <f t="shared" si="13"/>
        <v>5861295</v>
      </c>
      <c r="N127" s="6"/>
      <c r="O127" s="6"/>
      <c r="P127" s="5">
        <f t="shared" si="14"/>
        <v>52477.159090909088</v>
      </c>
      <c r="Q127" s="5"/>
      <c r="R127" s="5"/>
      <c r="S127" s="48"/>
      <c r="T127" s="48"/>
      <c r="U127" s="23">
        <f t="shared" si="15"/>
        <v>0</v>
      </c>
      <c r="W127" s="64">
        <f t="shared" si="16"/>
        <v>0</v>
      </c>
      <c r="Y127" s="23"/>
      <c r="Z127" s="23"/>
      <c r="AA127" s="23"/>
      <c r="AB127" s="23"/>
      <c r="AC127" s="47"/>
      <c r="AD127" s="23"/>
      <c r="AE127" s="23"/>
    </row>
    <row r="128" spans="1:31" ht="12.75" customHeight="1">
      <c r="A128" s="35" t="s">
        <v>61</v>
      </c>
      <c r="B128" s="63" t="str">
        <f>E1</f>
        <v>BS</v>
      </c>
      <c r="C128" s="6">
        <v>4320000</v>
      </c>
      <c r="D128" s="6"/>
      <c r="E128" s="6"/>
      <c r="F128" s="6">
        <v>1620000</v>
      </c>
      <c r="G128" s="6"/>
      <c r="H128" s="6"/>
      <c r="I128" s="6">
        <v>0</v>
      </c>
      <c r="J128" s="6"/>
      <c r="K128" s="6"/>
      <c r="L128" s="6"/>
      <c r="M128" s="6">
        <f t="shared" si="13"/>
        <v>8209600</v>
      </c>
      <c r="N128" s="6"/>
      <c r="O128" s="6"/>
      <c r="P128" s="5">
        <f t="shared" si="14"/>
        <v>73501.928374655647</v>
      </c>
      <c r="Q128" s="5"/>
      <c r="R128" s="5"/>
      <c r="S128" s="48"/>
      <c r="T128" s="48"/>
      <c r="U128" s="23">
        <f t="shared" si="15"/>
        <v>0</v>
      </c>
      <c r="W128" s="64">
        <f t="shared" si="16"/>
        <v>0</v>
      </c>
      <c r="Y128" s="23"/>
      <c r="Z128" s="23"/>
      <c r="AA128" s="23"/>
      <c r="AB128" s="23"/>
      <c r="AC128" s="47"/>
      <c r="AD128" s="23"/>
      <c r="AE128" s="23"/>
    </row>
    <row r="129" spans="1:31" ht="12.75" customHeight="1">
      <c r="A129" s="35" t="s">
        <v>62</v>
      </c>
      <c r="B129" s="63" t="str">
        <f>F1</f>
        <v>BM</v>
      </c>
      <c r="C129" s="6">
        <v>3780000</v>
      </c>
      <c r="D129" s="6"/>
      <c r="E129" s="6"/>
      <c r="F129" s="6">
        <v>1080000</v>
      </c>
      <c r="G129" s="6"/>
      <c r="H129" s="6"/>
      <c r="I129" s="6">
        <v>0</v>
      </c>
      <c r="J129" s="6"/>
      <c r="K129" s="6"/>
      <c r="L129" s="6"/>
      <c r="M129" s="6">
        <f t="shared" si="13"/>
        <v>6910900</v>
      </c>
      <c r="N129" s="6"/>
      <c r="O129" s="6"/>
      <c r="P129" s="5">
        <f t="shared" si="14"/>
        <v>61874.449035812671</v>
      </c>
      <c r="Q129" s="5"/>
      <c r="R129" s="5"/>
      <c r="S129" s="48"/>
      <c r="T129" s="48"/>
      <c r="U129" s="23">
        <f t="shared" si="15"/>
        <v>0</v>
      </c>
      <c r="W129" s="64">
        <f t="shared" si="16"/>
        <v>0</v>
      </c>
      <c r="Y129" s="23"/>
      <c r="Z129" s="23"/>
      <c r="AA129" s="23"/>
      <c r="AB129" s="23"/>
      <c r="AC129" s="47"/>
      <c r="AD129" s="23"/>
      <c r="AE129" s="23"/>
    </row>
    <row r="130" spans="1:31" ht="12.75" customHeight="1">
      <c r="A130" s="35" t="s">
        <v>63</v>
      </c>
      <c r="B130" s="63" t="str">
        <f>G1</f>
        <v>QA</v>
      </c>
      <c r="C130" s="6">
        <v>2700000</v>
      </c>
      <c r="D130" s="6"/>
      <c r="E130" s="6"/>
      <c r="F130" s="6">
        <v>1080000</v>
      </c>
      <c r="G130" s="6"/>
      <c r="H130" s="6"/>
      <c r="I130" s="6">
        <v>54000</v>
      </c>
      <c r="J130" s="6"/>
      <c r="K130" s="6"/>
      <c r="L130" s="6"/>
      <c r="M130" s="6">
        <f t="shared" si="13"/>
        <v>5696595</v>
      </c>
      <c r="N130" s="6"/>
      <c r="O130" s="6"/>
      <c r="P130" s="5">
        <f t="shared" si="14"/>
        <v>51002.572314049583</v>
      </c>
      <c r="Q130" s="5"/>
      <c r="R130" s="5"/>
      <c r="S130" s="48"/>
      <c r="T130" s="48"/>
      <c r="U130" s="23">
        <f t="shared" si="15"/>
        <v>0</v>
      </c>
      <c r="W130" s="64">
        <f t="shared" si="16"/>
        <v>0</v>
      </c>
      <c r="Y130" s="23"/>
      <c r="Z130" s="23"/>
      <c r="AA130" s="23"/>
      <c r="AB130" s="23"/>
      <c r="AC130" s="47"/>
      <c r="AD130" s="23"/>
      <c r="AE130" s="23"/>
    </row>
    <row r="131" spans="1:31" ht="12.75" customHeight="1">
      <c r="A131" s="35" t="s">
        <v>64</v>
      </c>
      <c r="B131" s="63" t="str">
        <f>H1</f>
        <v>IM</v>
      </c>
      <c r="C131" s="6">
        <v>2700000</v>
      </c>
      <c r="D131" s="6"/>
      <c r="E131" s="6"/>
      <c r="F131" s="6">
        <v>1080000</v>
      </c>
      <c r="G131" s="6"/>
      <c r="H131" s="6"/>
      <c r="I131" s="6">
        <v>0</v>
      </c>
      <c r="J131" s="6"/>
      <c r="K131" s="6"/>
      <c r="L131" s="6"/>
      <c r="M131" s="6">
        <f t="shared" si="13"/>
        <v>5642595</v>
      </c>
      <c r="N131" s="6"/>
      <c r="O131" s="6"/>
      <c r="P131" s="5">
        <f t="shared" si="14"/>
        <v>50519.10123966942</v>
      </c>
      <c r="Q131" s="5"/>
      <c r="R131" s="5"/>
      <c r="S131" s="48"/>
      <c r="T131" s="48"/>
      <c r="U131" s="23">
        <f t="shared" si="15"/>
        <v>0</v>
      </c>
      <c r="W131" s="64">
        <f t="shared" si="16"/>
        <v>0</v>
      </c>
      <c r="Y131" s="23"/>
      <c r="Z131" s="23"/>
      <c r="AA131" s="23"/>
      <c r="AB131" s="23"/>
      <c r="AC131" s="47"/>
      <c r="AD131" s="23"/>
      <c r="AE131" s="23"/>
    </row>
    <row r="132" spans="1:31" ht="12.75" customHeight="1">
      <c r="A132" s="35" t="s">
        <v>65</v>
      </c>
      <c r="B132" s="63" t="str">
        <f>I1</f>
        <v>MS</v>
      </c>
      <c r="C132" s="6">
        <v>8100000</v>
      </c>
      <c r="D132" s="6"/>
      <c r="E132" s="6"/>
      <c r="F132" s="6">
        <v>2160000</v>
      </c>
      <c r="G132" s="6"/>
      <c r="H132" s="6"/>
      <c r="I132" s="6">
        <v>132000</v>
      </c>
      <c r="J132" s="6"/>
      <c r="K132" s="6"/>
      <c r="L132" s="6"/>
      <c r="M132" s="6">
        <f t="shared" si="13"/>
        <v>14192500</v>
      </c>
      <c r="N132" s="6"/>
      <c r="O132" s="6"/>
      <c r="P132" s="5">
        <f t="shared" si="14"/>
        <v>127067.83746556473</v>
      </c>
      <c r="Q132" s="5"/>
      <c r="R132" s="5"/>
      <c r="S132" s="48"/>
      <c r="T132" s="48"/>
      <c r="U132" s="23">
        <f t="shared" si="15"/>
        <v>0</v>
      </c>
      <c r="W132" s="64">
        <f t="shared" si="16"/>
        <v>0</v>
      </c>
      <c r="Y132" s="23"/>
      <c r="Z132" s="23"/>
      <c r="AA132" s="23"/>
      <c r="AB132" s="23"/>
      <c r="AC132" s="47"/>
      <c r="AD132" s="23"/>
      <c r="AE132" s="23"/>
    </row>
    <row r="133" spans="1:31" ht="12.75" customHeight="1">
      <c r="A133" s="35" t="s">
        <v>66</v>
      </c>
      <c r="B133" s="63" t="str">
        <f>J1</f>
        <v>MM</v>
      </c>
      <c r="C133" s="6">
        <v>3240000</v>
      </c>
      <c r="D133" s="6"/>
      <c r="E133" s="6"/>
      <c r="F133" s="6">
        <v>1080000</v>
      </c>
      <c r="G133" s="6"/>
      <c r="H133" s="6"/>
      <c r="I133" s="6">
        <v>132000</v>
      </c>
      <c r="J133" s="6"/>
      <c r="K133" s="6"/>
      <c r="L133" s="6"/>
      <c r="M133" s="6">
        <f t="shared" si="13"/>
        <v>6533295</v>
      </c>
      <c r="N133" s="6"/>
      <c r="O133" s="6"/>
      <c r="P133" s="5">
        <f t="shared" si="14"/>
        <v>58493.688016528926</v>
      </c>
      <c r="Q133" s="5"/>
      <c r="R133" s="5"/>
      <c r="S133" s="48"/>
      <c r="T133" s="48"/>
      <c r="U133" s="23">
        <f t="shared" si="15"/>
        <v>0</v>
      </c>
      <c r="W133" s="64">
        <f t="shared" si="16"/>
        <v>0</v>
      </c>
      <c r="Y133" s="23"/>
      <c r="Z133" s="23"/>
      <c r="AA133" s="23"/>
      <c r="AB133" s="23"/>
      <c r="AC133" s="47"/>
      <c r="AD133" s="23"/>
      <c r="AE133" s="23"/>
    </row>
    <row r="134" spans="1:31" ht="12.75" customHeight="1">
      <c r="A134" s="35" t="s">
        <v>67</v>
      </c>
      <c r="B134" s="63" t="s">
        <v>10</v>
      </c>
      <c r="C134" s="6">
        <v>3240000</v>
      </c>
      <c r="D134" s="6"/>
      <c r="E134" s="6"/>
      <c r="F134" s="6">
        <v>1080000</v>
      </c>
      <c r="G134" s="6"/>
      <c r="H134" s="6"/>
      <c r="I134" s="6"/>
      <c r="J134" s="6"/>
      <c r="K134" s="6"/>
      <c r="L134" s="6"/>
      <c r="M134" s="6">
        <f t="shared" si="13"/>
        <v>6401295</v>
      </c>
      <c r="N134" s="6"/>
      <c r="O134" s="6"/>
      <c r="P134" s="5">
        <f t="shared" si="14"/>
        <v>57311.869834710742</v>
      </c>
      <c r="Q134" s="5"/>
      <c r="R134" s="5"/>
      <c r="S134" s="48"/>
      <c r="T134" s="48"/>
      <c r="U134" s="23">
        <f t="shared" si="15"/>
        <v>0</v>
      </c>
      <c r="W134" s="64">
        <f t="shared" si="16"/>
        <v>0</v>
      </c>
      <c r="Y134" s="23"/>
      <c r="Z134" s="23"/>
      <c r="AA134" s="23"/>
      <c r="AB134" s="23"/>
      <c r="AC134" s="47"/>
      <c r="AD134" s="23"/>
      <c r="AE134" s="23"/>
    </row>
    <row r="135" spans="1:31" ht="12.75" customHeight="1">
      <c r="A135" s="35"/>
      <c r="B135" s="63"/>
      <c r="C135" s="48"/>
      <c r="D135" s="48"/>
      <c r="E135" s="48"/>
      <c r="F135" s="48"/>
      <c r="G135" s="48"/>
      <c r="H135" s="48"/>
      <c r="I135" s="23"/>
      <c r="J135" s="23"/>
      <c r="K135" s="23"/>
      <c r="L135" s="23"/>
      <c r="M135" s="23"/>
      <c r="N135" s="23"/>
      <c r="O135" s="23"/>
      <c r="P135" s="4">
        <f>SUM(P125:P134)</f>
        <v>680564.0564738292</v>
      </c>
      <c r="Q135" s="4"/>
      <c r="R135" s="4"/>
      <c r="S135" s="48"/>
      <c r="T135" s="48"/>
      <c r="U135" s="48"/>
      <c r="W135" s="65">
        <f>SUM(W125:W134)</f>
        <v>0</v>
      </c>
      <c r="Y135" s="23"/>
      <c r="Z135" s="23"/>
      <c r="AA135" s="23"/>
      <c r="AB135" s="23"/>
      <c r="AC135" s="47"/>
      <c r="AD135" s="23"/>
      <c r="AE135" s="23"/>
    </row>
    <row r="136" spans="1:31" ht="12.75" customHeight="1">
      <c r="A136" s="23"/>
      <c r="B136" s="23"/>
      <c r="C136" s="66"/>
      <c r="D136" s="66"/>
      <c r="E136" s="23"/>
      <c r="F136" s="23"/>
      <c r="G136" s="23"/>
      <c r="H136" s="48"/>
      <c r="I136" s="23"/>
      <c r="J136" s="23"/>
      <c r="K136" s="23"/>
      <c r="L136" s="48"/>
      <c r="M136" s="23"/>
      <c r="N136" s="23"/>
      <c r="O136" s="23"/>
      <c r="P136" s="23"/>
      <c r="Q136" s="23"/>
      <c r="R136" s="23"/>
      <c r="S136" s="23"/>
      <c r="T136" s="23"/>
      <c r="U136" s="23"/>
      <c r="V136" s="23"/>
      <c r="W136" s="23"/>
      <c r="X136" s="23"/>
      <c r="Y136" s="23"/>
      <c r="Z136" s="23"/>
      <c r="AA136" s="23"/>
      <c r="AB136" s="23"/>
      <c r="AC136" s="47"/>
      <c r="AD136" s="23"/>
      <c r="AE136" s="23"/>
    </row>
    <row r="137" spans="1:31" ht="12.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47"/>
      <c r="AD137" s="23"/>
      <c r="AE137" s="23"/>
    </row>
    <row r="138" spans="1:31" ht="12.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8"/>
      <c r="AD138" s="67"/>
      <c r="AE138" s="67"/>
    </row>
    <row r="139" spans="1:31" ht="15" customHeight="1">
      <c r="A139" s="67"/>
      <c r="B139" s="67"/>
      <c r="C139" s="3"/>
      <c r="D139" s="3"/>
      <c r="E139" s="3"/>
      <c r="F139" s="3"/>
      <c r="G139" s="2"/>
      <c r="H139" s="2"/>
      <c r="I139" s="2"/>
      <c r="J139" s="2"/>
      <c r="K139" s="69"/>
      <c r="L139" s="1"/>
      <c r="M139" s="1"/>
      <c r="N139" s="1"/>
      <c r="O139" s="1"/>
      <c r="P139" s="2"/>
      <c r="Q139" s="2"/>
      <c r="R139" s="2"/>
      <c r="S139" s="2"/>
      <c r="T139" s="1"/>
      <c r="U139" s="1"/>
      <c r="V139" s="1"/>
      <c r="W139" s="1"/>
      <c r="X139" s="2"/>
      <c r="Y139" s="2"/>
      <c r="Z139" s="2"/>
      <c r="AA139" s="1"/>
      <c r="AB139" s="1"/>
      <c r="AC139" s="1"/>
      <c r="AD139" s="70"/>
      <c r="AE139" s="67"/>
    </row>
    <row r="140" spans="1:31" ht="12.75" customHeight="1">
      <c r="A140" s="71" t="e">
        <f t="array" aca="1" ref="A140:A144" ca="1">unique(L1:L120)</f>
        <v>#NAME?</v>
      </c>
      <c r="B140" s="72"/>
      <c r="C140" s="73"/>
      <c r="D140" s="73"/>
      <c r="E140" s="73"/>
      <c r="F140" s="74"/>
      <c r="G140" s="75" t="s">
        <v>68</v>
      </c>
      <c r="H140" s="75" t="s">
        <v>69</v>
      </c>
      <c r="I140" s="75" t="s">
        <v>70</v>
      </c>
      <c r="J140" s="75" t="s">
        <v>71</v>
      </c>
      <c r="K140" s="75" t="s">
        <v>72</v>
      </c>
      <c r="L140" s="76" t="s">
        <v>73</v>
      </c>
      <c r="M140" s="76" t="s">
        <v>74</v>
      </c>
      <c r="N140" s="76" t="s">
        <v>75</v>
      </c>
      <c r="O140" s="76" t="s">
        <v>76</v>
      </c>
      <c r="P140" s="75" t="s">
        <v>77</v>
      </c>
      <c r="Q140" s="75"/>
      <c r="R140" s="75"/>
      <c r="S140" s="75"/>
      <c r="T140" s="76"/>
      <c r="U140" s="76"/>
      <c r="V140" s="76"/>
      <c r="W140" s="76"/>
      <c r="X140" s="75"/>
      <c r="Y140" s="75"/>
      <c r="Z140" s="75"/>
      <c r="AA140" s="76"/>
      <c r="AB140" s="76"/>
      <c r="AC140" s="77"/>
      <c r="AD140" s="76"/>
      <c r="AE140" s="67"/>
    </row>
    <row r="141" spans="1:31" ht="12.75" customHeight="1">
      <c r="A141" s="78" t="e">
        <f ca="1"/>
        <v>#NAME?</v>
      </c>
      <c r="B141" s="79"/>
      <c r="C141" s="79"/>
      <c r="D141" s="79" t="s">
        <v>78</v>
      </c>
      <c r="E141" s="79"/>
      <c r="F141" s="80"/>
      <c r="G141" s="81"/>
      <c r="H141" s="81"/>
      <c r="I141" s="81"/>
      <c r="J141" s="81"/>
      <c r="K141" s="81"/>
      <c r="L141" s="82"/>
      <c r="M141" s="82"/>
      <c r="N141" s="82"/>
      <c r="O141" s="82"/>
      <c r="P141" s="81"/>
      <c r="Q141" s="81"/>
      <c r="R141" s="81"/>
      <c r="S141" s="81"/>
      <c r="T141" s="82"/>
      <c r="U141" s="82"/>
      <c r="V141" s="82"/>
      <c r="W141" s="82"/>
      <c r="X141" s="81"/>
      <c r="Y141" s="81"/>
      <c r="Z141" s="81"/>
      <c r="AA141" s="82"/>
      <c r="AB141" s="82"/>
      <c r="AC141" s="83"/>
      <c r="AD141" s="82"/>
      <c r="AE141" s="67"/>
    </row>
    <row r="142" spans="1:31" ht="12.75" customHeight="1">
      <c r="A142" s="78" t="e">
        <f ca="1"/>
        <v>#NAME?</v>
      </c>
      <c r="B142" s="79"/>
      <c r="C142" s="79"/>
      <c r="D142" s="79"/>
      <c r="E142" s="79"/>
      <c r="F142" s="80"/>
      <c r="G142" s="81"/>
      <c r="H142" s="81"/>
      <c r="I142" s="81"/>
      <c r="J142" s="81"/>
      <c r="K142" s="81"/>
      <c r="L142" s="82"/>
      <c r="M142" s="82"/>
      <c r="N142" s="82"/>
      <c r="O142" s="82"/>
      <c r="P142" s="81"/>
      <c r="Q142" s="81"/>
      <c r="R142" s="81"/>
      <c r="S142" s="81"/>
      <c r="T142" s="82"/>
      <c r="U142" s="82"/>
      <c r="V142" s="82"/>
      <c r="W142" s="82"/>
      <c r="X142" s="81"/>
      <c r="Y142" s="81"/>
      <c r="Z142" s="81"/>
      <c r="AA142" s="82"/>
      <c r="AB142" s="82"/>
      <c r="AC142" s="83"/>
      <c r="AD142" s="82"/>
      <c r="AE142" s="67"/>
    </row>
    <row r="143" spans="1:31" ht="12.75" customHeight="1">
      <c r="A143" s="78" t="e">
        <f ca="1"/>
        <v>#NAME?</v>
      </c>
      <c r="B143" s="79"/>
      <c r="C143" s="79"/>
      <c r="D143" s="79"/>
      <c r="E143" s="79"/>
      <c r="F143" s="80"/>
      <c r="G143" s="81"/>
      <c r="H143" s="81"/>
      <c r="I143" s="81"/>
      <c r="J143" s="81"/>
      <c r="K143" s="81"/>
      <c r="L143" s="82"/>
      <c r="M143" s="82"/>
      <c r="N143" s="82"/>
      <c r="O143" s="82"/>
      <c r="P143" s="81"/>
      <c r="Q143" s="81"/>
      <c r="R143" s="81"/>
      <c r="S143" s="81"/>
      <c r="T143" s="82"/>
      <c r="U143" s="82"/>
      <c r="V143" s="82"/>
      <c r="W143" s="82"/>
      <c r="X143" s="81"/>
      <c r="Y143" s="81"/>
      <c r="Z143" s="81"/>
      <c r="AA143" s="82"/>
      <c r="AB143" s="82"/>
      <c r="AC143" s="83"/>
      <c r="AD143" s="82"/>
      <c r="AE143" s="67"/>
    </row>
    <row r="144" spans="1:31" ht="12.75" customHeight="1">
      <c r="A144" s="78" t="e">
        <f ca="1"/>
        <v>#NAME?</v>
      </c>
      <c r="B144" s="79"/>
      <c r="C144" s="79"/>
      <c r="D144" s="79"/>
      <c r="E144" s="79"/>
      <c r="F144" s="80"/>
      <c r="G144" s="81"/>
      <c r="H144" s="81"/>
      <c r="I144" s="81"/>
      <c r="J144" s="81"/>
      <c r="K144" s="81"/>
      <c r="L144" s="82"/>
      <c r="M144" s="82"/>
      <c r="N144" s="82"/>
      <c r="O144" s="82"/>
      <c r="P144" s="81"/>
      <c r="Q144" s="81"/>
      <c r="R144" s="81"/>
      <c r="S144" s="81"/>
      <c r="T144" s="82"/>
      <c r="U144" s="82"/>
      <c r="V144" s="82"/>
      <c r="W144" s="82"/>
      <c r="X144" s="81"/>
      <c r="Y144" s="81"/>
      <c r="Z144" s="81"/>
      <c r="AA144" s="82"/>
      <c r="AB144" s="82"/>
      <c r="AC144" s="83"/>
      <c r="AD144" s="82"/>
      <c r="AE144" s="67"/>
    </row>
    <row r="145" spans="1:31" ht="12.75" customHeight="1">
      <c r="A145" s="78"/>
      <c r="B145" s="79"/>
      <c r="C145" s="79"/>
      <c r="D145" s="79"/>
      <c r="E145" s="79"/>
      <c r="F145" s="80"/>
      <c r="G145" s="81"/>
      <c r="H145" s="81"/>
      <c r="I145" s="81"/>
      <c r="J145" s="81"/>
      <c r="K145" s="81"/>
      <c r="L145" s="82"/>
      <c r="M145" s="82"/>
      <c r="N145" s="82"/>
      <c r="O145" s="82"/>
      <c r="P145" s="81"/>
      <c r="Q145" s="81"/>
      <c r="R145" s="81"/>
      <c r="S145" s="81"/>
      <c r="T145" s="82"/>
      <c r="U145" s="82"/>
      <c r="V145" s="82"/>
      <c r="W145" s="82"/>
      <c r="X145" s="81"/>
      <c r="Y145" s="81"/>
      <c r="Z145" s="81"/>
      <c r="AA145" s="82"/>
      <c r="AB145" s="82"/>
      <c r="AC145" s="83"/>
      <c r="AD145" s="82"/>
      <c r="AE145" s="67"/>
    </row>
    <row r="146" spans="1:31" ht="12.75" customHeight="1">
      <c r="A146" s="78"/>
      <c r="B146" s="79"/>
      <c r="C146" s="79"/>
      <c r="D146" s="79"/>
      <c r="E146" s="79"/>
      <c r="F146" s="80"/>
      <c r="G146" s="81"/>
      <c r="H146" s="81"/>
      <c r="I146" s="81"/>
      <c r="J146" s="81"/>
      <c r="K146" s="81"/>
      <c r="L146" s="82"/>
      <c r="M146" s="82"/>
      <c r="N146" s="82"/>
      <c r="O146" s="82"/>
      <c r="P146" s="81"/>
      <c r="Q146" s="81"/>
      <c r="R146" s="81"/>
      <c r="S146" s="81"/>
      <c r="T146" s="82"/>
      <c r="U146" s="82"/>
      <c r="V146" s="82"/>
      <c r="W146" s="82"/>
      <c r="X146" s="81"/>
      <c r="Y146" s="81"/>
      <c r="Z146" s="81"/>
      <c r="AA146" s="82"/>
      <c r="AB146" s="82"/>
      <c r="AC146" s="83"/>
      <c r="AD146" s="82"/>
      <c r="AE146" s="67"/>
    </row>
    <row r="147" spans="1:31" ht="12.75" customHeight="1">
      <c r="A147" s="78"/>
      <c r="B147" s="79"/>
      <c r="C147" s="79"/>
      <c r="D147" s="79"/>
      <c r="E147" s="79"/>
      <c r="F147" s="80"/>
      <c r="G147" s="81"/>
      <c r="H147" s="81"/>
      <c r="I147" s="81"/>
      <c r="J147" s="81"/>
      <c r="K147" s="81"/>
      <c r="L147" s="82"/>
      <c r="M147" s="82"/>
      <c r="N147" s="82"/>
      <c r="O147" s="82"/>
      <c r="P147" s="81"/>
      <c r="Q147" s="81"/>
      <c r="R147" s="81"/>
      <c r="S147" s="81"/>
      <c r="T147" s="82"/>
      <c r="U147" s="82"/>
      <c r="V147" s="82"/>
      <c r="W147" s="82"/>
      <c r="X147" s="81"/>
      <c r="Y147" s="81"/>
      <c r="Z147" s="81"/>
      <c r="AA147" s="82"/>
      <c r="AB147" s="82"/>
      <c r="AC147" s="83"/>
      <c r="AD147" s="82"/>
      <c r="AE147" s="67"/>
    </row>
    <row r="148" spans="1:31" ht="12.75" customHeight="1">
      <c r="A148" s="78"/>
      <c r="B148" s="79"/>
      <c r="C148" s="79"/>
      <c r="D148" s="79"/>
      <c r="E148" s="79"/>
      <c r="F148" s="80"/>
      <c r="G148" s="81"/>
      <c r="H148" s="81"/>
      <c r="I148" s="81"/>
      <c r="J148" s="81"/>
      <c r="K148" s="81"/>
      <c r="L148" s="82"/>
      <c r="M148" s="82"/>
      <c r="N148" s="82"/>
      <c r="O148" s="82"/>
      <c r="P148" s="81"/>
      <c r="Q148" s="81"/>
      <c r="R148" s="81"/>
      <c r="S148" s="81"/>
      <c r="T148" s="82"/>
      <c r="U148" s="82"/>
      <c r="V148" s="82"/>
      <c r="W148" s="82"/>
      <c r="X148" s="81"/>
      <c r="Y148" s="81"/>
      <c r="Z148" s="81"/>
      <c r="AA148" s="82"/>
      <c r="AB148" s="82"/>
      <c r="AC148" s="83"/>
      <c r="AD148" s="82"/>
      <c r="AE148" s="67"/>
    </row>
    <row r="149" spans="1:31" ht="12.75" customHeight="1">
      <c r="A149" s="78"/>
      <c r="B149" s="79"/>
      <c r="C149" s="79"/>
      <c r="D149" s="79"/>
      <c r="E149" s="79"/>
      <c r="F149" s="80"/>
      <c r="G149" s="81"/>
      <c r="H149" s="81"/>
      <c r="I149" s="81"/>
      <c r="J149" s="81"/>
      <c r="K149" s="81"/>
      <c r="L149" s="82"/>
      <c r="M149" s="82"/>
      <c r="N149" s="82"/>
      <c r="O149" s="82"/>
      <c r="P149" s="81"/>
      <c r="Q149" s="81"/>
      <c r="R149" s="81"/>
      <c r="S149" s="81"/>
      <c r="T149" s="82"/>
      <c r="U149" s="82"/>
      <c r="V149" s="82"/>
      <c r="W149" s="82"/>
      <c r="X149" s="81"/>
      <c r="Y149" s="81"/>
      <c r="Z149" s="81"/>
      <c r="AA149" s="82"/>
      <c r="AB149" s="82"/>
      <c r="AC149" s="83"/>
      <c r="AD149" s="82"/>
      <c r="AE149" s="67"/>
    </row>
    <row r="150" spans="1:31" ht="12.75" customHeight="1">
      <c r="A150" s="78"/>
      <c r="B150" s="79"/>
      <c r="C150" s="79"/>
      <c r="D150" s="79"/>
      <c r="E150" s="79"/>
      <c r="F150" s="80"/>
      <c r="G150" s="81"/>
      <c r="H150" s="81"/>
      <c r="I150" s="81"/>
      <c r="J150" s="81"/>
      <c r="K150" s="81"/>
      <c r="L150" s="82"/>
      <c r="M150" s="82"/>
      <c r="N150" s="82"/>
      <c r="O150" s="82"/>
      <c r="P150" s="81"/>
      <c r="Q150" s="81"/>
      <c r="R150" s="81"/>
      <c r="S150" s="81"/>
      <c r="T150" s="82"/>
      <c r="U150" s="82"/>
      <c r="V150" s="82"/>
      <c r="W150" s="82"/>
      <c r="X150" s="81"/>
      <c r="Y150" s="81"/>
      <c r="Z150" s="81"/>
      <c r="AA150" s="82"/>
      <c r="AB150" s="82"/>
      <c r="AC150" s="83"/>
      <c r="AD150" s="82"/>
      <c r="AE150" s="67"/>
    </row>
    <row r="151" spans="1:31" ht="12.75" customHeight="1">
      <c r="A151" s="78"/>
      <c r="B151" s="79"/>
      <c r="C151" s="79"/>
      <c r="D151" s="79"/>
      <c r="E151" s="79"/>
      <c r="F151" s="80"/>
      <c r="G151" s="81"/>
      <c r="H151" s="81"/>
      <c r="I151" s="81"/>
      <c r="J151" s="81"/>
      <c r="K151" s="81"/>
      <c r="L151" s="82"/>
      <c r="M151" s="82"/>
      <c r="N151" s="82"/>
      <c r="O151" s="82"/>
      <c r="P151" s="81"/>
      <c r="Q151" s="81"/>
      <c r="R151" s="81"/>
      <c r="S151" s="81"/>
      <c r="T151" s="82"/>
      <c r="U151" s="82"/>
      <c r="V151" s="82"/>
      <c r="W151" s="82"/>
      <c r="X151" s="81"/>
      <c r="Y151" s="81"/>
      <c r="Z151" s="81"/>
      <c r="AA151" s="82"/>
      <c r="AB151" s="82"/>
      <c r="AC151" s="83"/>
      <c r="AD151" s="82"/>
      <c r="AE151" s="67"/>
    </row>
    <row r="152" spans="1:31" ht="12.75" customHeight="1">
      <c r="A152" s="78"/>
      <c r="B152" s="79"/>
      <c r="C152" s="79"/>
      <c r="D152" s="79"/>
      <c r="E152" s="79"/>
      <c r="F152" s="80"/>
      <c r="G152" s="81"/>
      <c r="H152" s="81"/>
      <c r="I152" s="81"/>
      <c r="J152" s="81"/>
      <c r="K152" s="81"/>
      <c r="L152" s="82"/>
      <c r="M152" s="82"/>
      <c r="N152" s="82"/>
      <c r="O152" s="82"/>
      <c r="P152" s="81"/>
      <c r="Q152" s="81"/>
      <c r="R152" s="81"/>
      <c r="S152" s="81"/>
      <c r="T152" s="82"/>
      <c r="U152" s="82"/>
      <c r="V152" s="82"/>
      <c r="W152" s="82"/>
      <c r="X152" s="81"/>
      <c r="Y152" s="81"/>
      <c r="Z152" s="81"/>
      <c r="AA152" s="82"/>
      <c r="AB152" s="82"/>
      <c r="AC152" s="83"/>
      <c r="AD152" s="82"/>
      <c r="AE152" s="67"/>
    </row>
    <row r="153" spans="1:31" ht="12.75" customHeight="1">
      <c r="A153" s="78"/>
      <c r="B153" s="79"/>
      <c r="C153" s="79"/>
      <c r="D153" s="79"/>
      <c r="E153" s="79"/>
      <c r="F153" s="80"/>
      <c r="G153" s="81"/>
      <c r="H153" s="81"/>
      <c r="I153" s="81"/>
      <c r="J153" s="81"/>
      <c r="K153" s="81"/>
      <c r="L153" s="82"/>
      <c r="M153" s="82"/>
      <c r="N153" s="82"/>
      <c r="O153" s="82"/>
      <c r="P153" s="81"/>
      <c r="Q153" s="81"/>
      <c r="R153" s="81"/>
      <c r="S153" s="81"/>
      <c r="T153" s="82"/>
      <c r="U153" s="82"/>
      <c r="V153" s="82"/>
      <c r="W153" s="82"/>
      <c r="X153" s="81"/>
      <c r="Y153" s="81"/>
      <c r="Z153" s="81"/>
      <c r="AA153" s="82"/>
      <c r="AB153" s="82"/>
      <c r="AC153" s="83"/>
      <c r="AD153" s="82"/>
      <c r="AE153" s="67"/>
    </row>
    <row r="154" spans="1:31" ht="12.75" customHeight="1">
      <c r="A154" s="78"/>
      <c r="B154" s="79"/>
      <c r="C154" s="79"/>
      <c r="D154" s="79"/>
      <c r="E154" s="79"/>
      <c r="F154" s="80"/>
      <c r="G154" s="81"/>
      <c r="H154" s="81"/>
      <c r="I154" s="81"/>
      <c r="J154" s="81"/>
      <c r="K154" s="81"/>
      <c r="L154" s="82"/>
      <c r="M154" s="82"/>
      <c r="N154" s="82"/>
      <c r="O154" s="82"/>
      <c r="P154" s="81"/>
      <c r="Q154" s="81"/>
      <c r="R154" s="81"/>
      <c r="S154" s="81"/>
      <c r="T154" s="82"/>
      <c r="U154" s="82"/>
      <c r="V154" s="82"/>
      <c r="W154" s="82"/>
      <c r="X154" s="81"/>
      <c r="Y154" s="81"/>
      <c r="Z154" s="81"/>
      <c r="AA154" s="82"/>
      <c r="AB154" s="82"/>
      <c r="AC154" s="83"/>
      <c r="AD154" s="82"/>
      <c r="AE154" s="67"/>
    </row>
    <row r="155" spans="1:31" ht="12.75" customHeight="1">
      <c r="A155" s="78"/>
      <c r="B155" s="79"/>
      <c r="C155" s="79"/>
      <c r="D155" s="79"/>
      <c r="E155" s="79"/>
      <c r="F155" s="80"/>
      <c r="G155" s="81"/>
      <c r="H155" s="81"/>
      <c r="I155" s="81"/>
      <c r="J155" s="81"/>
      <c r="K155" s="81"/>
      <c r="L155" s="82"/>
      <c r="M155" s="82"/>
      <c r="N155" s="82"/>
      <c r="O155" s="82"/>
      <c r="P155" s="81"/>
      <c r="Q155" s="81"/>
      <c r="R155" s="81"/>
      <c r="S155" s="81"/>
      <c r="T155" s="82"/>
      <c r="U155" s="82"/>
      <c r="V155" s="82"/>
      <c r="W155" s="82"/>
      <c r="X155" s="81"/>
      <c r="Y155" s="81"/>
      <c r="Z155" s="81"/>
      <c r="AA155" s="82"/>
      <c r="AB155" s="82"/>
      <c r="AC155" s="83"/>
      <c r="AD155" s="82"/>
      <c r="AE155" s="67"/>
    </row>
    <row r="156" spans="1:31" ht="12.75" customHeight="1">
      <c r="A156" s="78"/>
      <c r="B156" s="79"/>
      <c r="C156" s="79"/>
      <c r="D156" s="79"/>
      <c r="E156" s="79"/>
      <c r="F156" s="80"/>
      <c r="G156" s="81"/>
      <c r="H156" s="81"/>
      <c r="I156" s="81"/>
      <c r="J156" s="81"/>
      <c r="K156" s="81"/>
      <c r="L156" s="82"/>
      <c r="M156" s="82"/>
      <c r="N156" s="82"/>
      <c r="O156" s="82"/>
      <c r="P156" s="81"/>
      <c r="Q156" s="81"/>
      <c r="R156" s="81"/>
      <c r="S156" s="81"/>
      <c r="T156" s="82"/>
      <c r="U156" s="82"/>
      <c r="V156" s="82"/>
      <c r="W156" s="82"/>
      <c r="X156" s="81"/>
      <c r="Y156" s="81"/>
      <c r="Z156" s="81"/>
      <c r="AA156" s="82"/>
      <c r="AB156" s="82"/>
      <c r="AC156" s="83"/>
      <c r="AD156" s="82"/>
      <c r="AE156" s="67"/>
    </row>
    <row r="157" spans="1:31" ht="12.75" customHeight="1">
      <c r="A157" s="78"/>
      <c r="B157" s="79"/>
      <c r="C157" s="79"/>
      <c r="D157" s="79"/>
      <c r="E157" s="79"/>
      <c r="F157" s="80"/>
      <c r="G157" s="81"/>
      <c r="H157" s="81"/>
      <c r="I157" s="81"/>
      <c r="J157" s="81"/>
      <c r="K157" s="81"/>
      <c r="L157" s="82"/>
      <c r="M157" s="82"/>
      <c r="N157" s="82"/>
      <c r="O157" s="82"/>
      <c r="P157" s="81"/>
      <c r="Q157" s="81"/>
      <c r="R157" s="81"/>
      <c r="S157" s="81"/>
      <c r="T157" s="82"/>
      <c r="U157" s="82"/>
      <c r="V157" s="82"/>
      <c r="W157" s="82"/>
      <c r="X157" s="81"/>
      <c r="Y157" s="81"/>
      <c r="Z157" s="81"/>
      <c r="AA157" s="82"/>
      <c r="AB157" s="82"/>
      <c r="AC157" s="83"/>
      <c r="AD157" s="82"/>
      <c r="AE157" s="67"/>
    </row>
    <row r="158" spans="1:31" ht="12.75" customHeight="1">
      <c r="A158" s="78"/>
      <c r="B158" s="79"/>
      <c r="C158" s="79"/>
      <c r="D158" s="79"/>
      <c r="E158" s="79"/>
      <c r="F158" s="80"/>
      <c r="G158" s="81"/>
      <c r="H158" s="81"/>
      <c r="I158" s="81"/>
      <c r="J158" s="81"/>
      <c r="K158" s="81"/>
      <c r="L158" s="82"/>
      <c r="M158" s="82"/>
      <c r="N158" s="82"/>
      <c r="O158" s="82"/>
      <c r="P158" s="81"/>
      <c r="Q158" s="81"/>
      <c r="R158" s="81"/>
      <c r="S158" s="81"/>
      <c r="T158" s="82"/>
      <c r="U158" s="82"/>
      <c r="V158" s="82"/>
      <c r="W158" s="82"/>
      <c r="X158" s="81"/>
      <c r="Y158" s="81"/>
      <c r="Z158" s="81"/>
      <c r="AA158" s="82"/>
      <c r="AB158" s="82"/>
      <c r="AC158" s="83"/>
      <c r="AD158" s="82"/>
      <c r="AE158" s="67"/>
    </row>
    <row r="159" spans="1:31" ht="12.75" customHeight="1">
      <c r="A159" s="78"/>
      <c r="B159" s="79"/>
      <c r="C159" s="79"/>
      <c r="D159" s="79"/>
      <c r="E159" s="79"/>
      <c r="F159" s="80"/>
      <c r="G159" s="81"/>
      <c r="H159" s="81"/>
      <c r="I159" s="81"/>
      <c r="J159" s="81"/>
      <c r="K159" s="81"/>
      <c r="L159" s="82"/>
      <c r="M159" s="82"/>
      <c r="N159" s="82"/>
      <c r="O159" s="82"/>
      <c r="P159" s="81"/>
      <c r="Q159" s="81"/>
      <c r="R159" s="81"/>
      <c r="S159" s="81"/>
      <c r="T159" s="82"/>
      <c r="U159" s="82"/>
      <c r="V159" s="82"/>
      <c r="W159" s="82"/>
      <c r="X159" s="81"/>
      <c r="Y159" s="81"/>
      <c r="Z159" s="81"/>
      <c r="AA159" s="82"/>
      <c r="AB159" s="82"/>
      <c r="AC159" s="83"/>
      <c r="AD159" s="82"/>
      <c r="AE159" s="67"/>
    </row>
    <row r="160" spans="1:31" ht="12.75" customHeight="1">
      <c r="A160" s="78"/>
      <c r="B160" s="79"/>
      <c r="C160" s="79"/>
      <c r="D160" s="79"/>
      <c r="E160" s="79"/>
      <c r="F160" s="80"/>
      <c r="G160" s="81"/>
      <c r="H160" s="81"/>
      <c r="I160" s="81"/>
      <c r="J160" s="81"/>
      <c r="K160" s="81"/>
      <c r="L160" s="82"/>
      <c r="M160" s="82"/>
      <c r="N160" s="82"/>
      <c r="O160" s="82"/>
      <c r="P160" s="81"/>
      <c r="Q160" s="81"/>
      <c r="R160" s="81"/>
      <c r="S160" s="81"/>
      <c r="T160" s="82"/>
      <c r="U160" s="82"/>
      <c r="V160" s="82"/>
      <c r="W160" s="82"/>
      <c r="X160" s="81"/>
      <c r="Y160" s="81"/>
      <c r="Z160" s="81"/>
      <c r="AA160" s="82"/>
      <c r="AB160" s="82"/>
      <c r="AC160" s="83"/>
      <c r="AD160" s="82"/>
      <c r="AE160" s="67"/>
    </row>
    <row r="161" spans="1:31" ht="12.75" customHeight="1">
      <c r="A161" s="78"/>
      <c r="B161" s="79"/>
      <c r="C161" s="79"/>
      <c r="D161" s="79"/>
      <c r="E161" s="79"/>
      <c r="F161" s="80"/>
      <c r="G161" s="81"/>
      <c r="H161" s="81"/>
      <c r="I161" s="81"/>
      <c r="J161" s="81"/>
      <c r="K161" s="81"/>
      <c r="L161" s="82"/>
      <c r="M161" s="82"/>
      <c r="N161" s="82"/>
      <c r="O161" s="82"/>
      <c r="P161" s="81"/>
      <c r="Q161" s="81"/>
      <c r="R161" s="81"/>
      <c r="S161" s="81"/>
      <c r="T161" s="82"/>
      <c r="U161" s="82"/>
      <c r="V161" s="82"/>
      <c r="W161" s="82"/>
      <c r="X161" s="81"/>
      <c r="Y161" s="81"/>
      <c r="Z161" s="81"/>
      <c r="AA161" s="82"/>
      <c r="AB161" s="82"/>
      <c r="AC161" s="83"/>
      <c r="AD161" s="82"/>
      <c r="AE161" s="67"/>
    </row>
    <row r="162" spans="1:31" ht="12.75" customHeight="1">
      <c r="A162" s="78"/>
      <c r="B162" s="79"/>
      <c r="C162" s="79"/>
      <c r="D162" s="79"/>
      <c r="E162" s="79"/>
      <c r="F162" s="80"/>
      <c r="G162" s="81"/>
      <c r="H162" s="81"/>
      <c r="I162" s="81"/>
      <c r="J162" s="81"/>
      <c r="K162" s="81"/>
      <c r="L162" s="82"/>
      <c r="M162" s="82"/>
      <c r="N162" s="82"/>
      <c r="O162" s="82"/>
      <c r="P162" s="81"/>
      <c r="Q162" s="81"/>
      <c r="R162" s="81"/>
      <c r="S162" s="81"/>
      <c r="T162" s="82"/>
      <c r="U162" s="82"/>
      <c r="V162" s="82"/>
      <c r="W162" s="82"/>
      <c r="X162" s="81"/>
      <c r="Y162" s="81"/>
      <c r="Z162" s="81"/>
      <c r="AA162" s="82"/>
      <c r="AB162" s="82"/>
      <c r="AC162" s="83"/>
      <c r="AD162" s="82"/>
      <c r="AE162" s="67"/>
    </row>
    <row r="163" spans="1:31" ht="12.75" customHeight="1">
      <c r="A163" s="78"/>
      <c r="B163" s="79"/>
      <c r="C163" s="79"/>
      <c r="D163" s="79"/>
      <c r="E163" s="79"/>
      <c r="F163" s="80"/>
      <c r="G163" s="81"/>
      <c r="H163" s="81"/>
      <c r="I163" s="81"/>
      <c r="J163" s="81"/>
      <c r="K163" s="81"/>
      <c r="L163" s="82"/>
      <c r="M163" s="82"/>
      <c r="N163" s="82"/>
      <c r="O163" s="82"/>
      <c r="P163" s="81"/>
      <c r="Q163" s="81"/>
      <c r="R163" s="81"/>
      <c r="S163" s="81"/>
      <c r="T163" s="82"/>
      <c r="U163" s="82"/>
      <c r="V163" s="82"/>
      <c r="W163" s="82"/>
      <c r="X163" s="81"/>
      <c r="Y163" s="81"/>
      <c r="Z163" s="81"/>
      <c r="AA163" s="82"/>
      <c r="AB163" s="82"/>
      <c r="AC163" s="83"/>
      <c r="AD163" s="82"/>
      <c r="AE163" s="67"/>
    </row>
    <row r="164" spans="1:31" ht="12.75" customHeight="1">
      <c r="A164" s="78"/>
      <c r="B164" s="79"/>
      <c r="C164" s="79"/>
      <c r="D164" s="79"/>
      <c r="E164" s="79"/>
      <c r="F164" s="80"/>
      <c r="G164" s="81"/>
      <c r="H164" s="81"/>
      <c r="I164" s="81"/>
      <c r="J164" s="81"/>
      <c r="K164" s="81"/>
      <c r="L164" s="82"/>
      <c r="M164" s="82"/>
      <c r="N164" s="82"/>
      <c r="O164" s="82"/>
      <c r="P164" s="81"/>
      <c r="Q164" s="81"/>
      <c r="R164" s="81"/>
      <c r="S164" s="81"/>
      <c r="T164" s="82"/>
      <c r="U164" s="82"/>
      <c r="V164" s="82"/>
      <c r="W164" s="82"/>
      <c r="X164" s="81"/>
      <c r="Y164" s="81"/>
      <c r="Z164" s="81"/>
      <c r="AA164" s="82"/>
      <c r="AB164" s="82"/>
      <c r="AC164" s="83"/>
      <c r="AD164" s="82"/>
      <c r="AE164" s="67"/>
    </row>
    <row r="165" spans="1:31" ht="12.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47"/>
      <c r="AD165" s="23"/>
      <c r="AE165" s="67"/>
    </row>
    <row r="166" spans="1:31" ht="12.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47"/>
      <c r="AD166" s="23"/>
      <c r="AE166" s="23"/>
    </row>
    <row r="167" spans="1:31" ht="12.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47"/>
      <c r="AD167" s="23"/>
      <c r="AE167" s="23"/>
    </row>
  </sheetData>
  <mergeCells count="68">
    <mergeCell ref="T139:W139"/>
    <mergeCell ref="X139:Z139"/>
    <mergeCell ref="AA139:AC139"/>
    <mergeCell ref="P135:R135"/>
    <mergeCell ref="C139:F139"/>
    <mergeCell ref="G139:J139"/>
    <mergeCell ref="L139:O139"/>
    <mergeCell ref="P139:S139"/>
    <mergeCell ref="C134:E134"/>
    <mergeCell ref="F134:H134"/>
    <mergeCell ref="I134:L134"/>
    <mergeCell ref="M134:O134"/>
    <mergeCell ref="P134:R134"/>
    <mergeCell ref="C133:E133"/>
    <mergeCell ref="F133:H133"/>
    <mergeCell ref="I133:L133"/>
    <mergeCell ref="M133:O133"/>
    <mergeCell ref="P133:R133"/>
    <mergeCell ref="C132:E132"/>
    <mergeCell ref="F132:H132"/>
    <mergeCell ref="I132:L132"/>
    <mergeCell ref="M132:O132"/>
    <mergeCell ref="P132:R132"/>
    <mergeCell ref="C131:E131"/>
    <mergeCell ref="F131:H131"/>
    <mergeCell ref="I131:L131"/>
    <mergeCell ref="M131:O131"/>
    <mergeCell ref="P131:R131"/>
    <mergeCell ref="C130:E130"/>
    <mergeCell ref="F130:H130"/>
    <mergeCell ref="I130:L130"/>
    <mergeCell ref="M130:O130"/>
    <mergeCell ref="P130:R130"/>
    <mergeCell ref="C129:E129"/>
    <mergeCell ref="F129:H129"/>
    <mergeCell ref="I129:L129"/>
    <mergeCell ref="M129:O129"/>
    <mergeCell ref="P129:R129"/>
    <mergeCell ref="C128:E128"/>
    <mergeCell ref="F128:H128"/>
    <mergeCell ref="I128:L128"/>
    <mergeCell ref="M128:O128"/>
    <mergeCell ref="P128:R128"/>
    <mergeCell ref="C127:E127"/>
    <mergeCell ref="F127:H127"/>
    <mergeCell ref="I127:L127"/>
    <mergeCell ref="M127:O127"/>
    <mergeCell ref="P127:R127"/>
    <mergeCell ref="C126:E126"/>
    <mergeCell ref="F126:H126"/>
    <mergeCell ref="I126:L126"/>
    <mergeCell ref="M126:O126"/>
    <mergeCell ref="P126:R126"/>
    <mergeCell ref="V124:X124"/>
    <mergeCell ref="C125:E125"/>
    <mergeCell ref="F125:H125"/>
    <mergeCell ref="I125:L125"/>
    <mergeCell ref="M125:O125"/>
    <mergeCell ref="P125:R125"/>
    <mergeCell ref="M1:N1"/>
    <mergeCell ref="O1:U1"/>
    <mergeCell ref="I122:L122"/>
    <mergeCell ref="M122:O122"/>
    <mergeCell ref="C124:E124"/>
    <mergeCell ref="F124:H124"/>
    <mergeCell ref="I124:L124"/>
    <mergeCell ref="M124:O124"/>
    <mergeCell ref="P124:R124"/>
  </mergeCells>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heetPr>
  <dimension ref="A1:AE167"/>
  <sheetViews>
    <sheetView zoomScaleNormal="100" workbookViewId="0"/>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ustomHeight="1">
      <c r="A1" s="12" t="s">
        <v>0</v>
      </c>
      <c r="B1" s="13" t="s">
        <v>1</v>
      </c>
      <c r="C1" s="13" t="s">
        <v>2</v>
      </c>
      <c r="D1" s="13" t="s">
        <v>3</v>
      </c>
      <c r="E1" s="13" t="s">
        <v>4</v>
      </c>
      <c r="F1" s="13" t="s">
        <v>5</v>
      </c>
      <c r="G1" s="13" t="s">
        <v>6</v>
      </c>
      <c r="H1" s="13" t="s">
        <v>7</v>
      </c>
      <c r="I1" s="13" t="s">
        <v>8</v>
      </c>
      <c r="J1" s="13" t="s">
        <v>9</v>
      </c>
      <c r="K1" s="13" t="s">
        <v>10</v>
      </c>
      <c r="L1" s="14"/>
      <c r="M1" s="11" t="s">
        <v>11</v>
      </c>
      <c r="N1" s="11"/>
      <c r="O1" s="10" t="s">
        <v>12</v>
      </c>
      <c r="P1" s="10"/>
      <c r="Q1" s="10"/>
      <c r="R1" s="10"/>
      <c r="S1" s="10"/>
      <c r="T1" s="10"/>
      <c r="U1" s="10"/>
      <c r="V1" s="14"/>
      <c r="W1" s="15">
        <v>46049</v>
      </c>
      <c r="X1" s="14"/>
      <c r="Y1" s="16">
        <f>SUMIFS(Y2:Y120,L2:L120,"&lt;&gt;"&amp;"")</f>
        <v>0</v>
      </c>
      <c r="Z1" s="14" t="s">
        <v>13</v>
      </c>
      <c r="AA1" s="17" t="s">
        <v>14</v>
      </c>
      <c r="AB1" s="18" t="s">
        <v>15</v>
      </c>
      <c r="AC1" s="19">
        <f>SUM(AC2:AC120)</f>
        <v>0</v>
      </c>
      <c r="AD1" s="14"/>
      <c r="AE1" s="14"/>
    </row>
    <row r="2" spans="1:31" ht="15.75" customHeight="1">
      <c r="A2" s="20">
        <f t="shared" ref="A2:A33" si="0">(B2*$P$125+C2*$P$126+D2*$P$127+E2*$P$128+F2*$P$129+G2*$P$130+H2*$P$131+I2*$P$132+J2*$P$133+K2*$P$134)*$T$123</f>
        <v>0</v>
      </c>
      <c r="B2" s="21"/>
      <c r="C2" s="22"/>
      <c r="D2" s="22"/>
      <c r="E2" s="22"/>
      <c r="F2" s="22"/>
      <c r="G2" s="22"/>
      <c r="H2" s="22"/>
      <c r="I2" s="22"/>
      <c r="J2" s="23"/>
      <c r="K2" s="23"/>
      <c r="L2" s="24" t="s">
        <v>16</v>
      </c>
      <c r="M2" s="25"/>
      <c r="N2" s="26"/>
      <c r="O2" s="26"/>
      <c r="P2" s="26"/>
      <c r="Q2" s="26"/>
      <c r="R2" s="26"/>
      <c r="S2" s="26"/>
      <c r="T2" s="26"/>
      <c r="U2" s="26"/>
      <c r="V2" s="26"/>
      <c r="W2" s="26"/>
      <c r="X2" s="26">
        <f>COUNTIF($L$2:L2,"&lt;&gt;"&amp;"")</f>
        <v>1</v>
      </c>
      <c r="Y2" s="27">
        <f t="shared" ref="Y2:Y33" si="1">SUMIF($X$2:$X$120,X2,$A$2:$A$120)</f>
        <v>0</v>
      </c>
      <c r="Z2" s="28"/>
      <c r="AA2" s="29"/>
      <c r="AB2" s="30" t="b">
        <f>TRUE()</f>
        <v>1</v>
      </c>
      <c r="AC2" s="31">
        <f t="shared" ref="AC2:AC33" si="2">IF(L2="",0,IF(AB2=FALSE(),0,Y2))</f>
        <v>0</v>
      </c>
      <c r="AD2" s="23"/>
      <c r="AE2" s="23"/>
    </row>
    <row r="3" spans="1:31" ht="15.75" customHeight="1">
      <c r="A3" s="20">
        <f t="shared" si="0"/>
        <v>0</v>
      </c>
      <c r="B3" s="22"/>
      <c r="C3" s="21"/>
      <c r="D3" s="21"/>
      <c r="E3" s="22"/>
      <c r="F3" s="22"/>
      <c r="G3" s="22"/>
      <c r="H3" s="22"/>
      <c r="I3" s="22"/>
      <c r="J3" s="23"/>
      <c r="K3" s="23"/>
      <c r="L3" s="24" t="s">
        <v>17</v>
      </c>
      <c r="M3" s="26"/>
      <c r="N3" s="26"/>
      <c r="O3" s="26"/>
      <c r="P3" s="26"/>
      <c r="Q3" s="26"/>
      <c r="R3" s="26"/>
      <c r="S3" s="26"/>
      <c r="T3" s="26"/>
      <c r="U3" s="26"/>
      <c r="V3" s="26"/>
      <c r="W3" s="26"/>
      <c r="X3" s="26">
        <f>COUNTIF($L$2:L3,"&lt;&gt;"&amp;"")</f>
        <v>2</v>
      </c>
      <c r="Y3" s="27">
        <f t="shared" si="1"/>
        <v>0</v>
      </c>
      <c r="Z3" s="28"/>
      <c r="AA3" s="29"/>
      <c r="AB3" s="30" t="b">
        <f>TRUE()</f>
        <v>1</v>
      </c>
      <c r="AC3" s="31">
        <f t="shared" si="2"/>
        <v>0</v>
      </c>
      <c r="AD3" s="23"/>
      <c r="AE3" s="23"/>
    </row>
    <row r="4" spans="1:31" ht="15.75" customHeight="1">
      <c r="A4" s="20">
        <f t="shared" si="0"/>
        <v>0</v>
      </c>
      <c r="B4" s="22"/>
      <c r="C4" s="22"/>
      <c r="D4" s="22"/>
      <c r="E4" s="22"/>
      <c r="F4" s="22"/>
      <c r="G4" s="22"/>
      <c r="H4" s="21"/>
      <c r="I4" s="22"/>
      <c r="J4" s="23"/>
      <c r="K4" s="23"/>
      <c r="L4" s="24" t="s">
        <v>18</v>
      </c>
      <c r="M4" s="26"/>
      <c r="N4" s="26"/>
      <c r="O4" s="26"/>
      <c r="P4" s="26"/>
      <c r="Q4" s="26"/>
      <c r="R4" s="26"/>
      <c r="S4" s="26"/>
      <c r="T4" s="26"/>
      <c r="U4" s="26"/>
      <c r="V4" s="26"/>
      <c r="W4" s="26"/>
      <c r="X4" s="26">
        <f>COUNTIF($L$2:L4,"&lt;&gt;"&amp;"")</f>
        <v>3</v>
      </c>
      <c r="Y4" s="27">
        <f t="shared" si="1"/>
        <v>0</v>
      </c>
      <c r="Z4" s="28"/>
      <c r="AA4" s="32"/>
      <c r="AB4" s="30" t="b">
        <f>TRUE()</f>
        <v>1</v>
      </c>
      <c r="AC4" s="31">
        <f t="shared" si="2"/>
        <v>0</v>
      </c>
      <c r="AD4" s="23"/>
      <c r="AE4" s="23"/>
    </row>
    <row r="5" spans="1:31" ht="15.75" customHeight="1">
      <c r="A5" s="20">
        <f t="shared" si="0"/>
        <v>0</v>
      </c>
      <c r="B5" s="23"/>
      <c r="C5" s="23"/>
      <c r="D5" s="23"/>
      <c r="E5" s="23"/>
      <c r="F5" s="23"/>
      <c r="G5" s="23"/>
      <c r="H5" s="23"/>
      <c r="I5" s="23"/>
      <c r="J5" s="23"/>
      <c r="K5" s="23"/>
      <c r="L5" s="24" t="s">
        <v>19</v>
      </c>
      <c r="M5" s="26"/>
      <c r="N5" s="26"/>
      <c r="O5" s="26"/>
      <c r="P5" s="26"/>
      <c r="Q5" s="26"/>
      <c r="R5" s="26"/>
      <c r="S5" s="26"/>
      <c r="T5" s="26"/>
      <c r="U5" s="26"/>
      <c r="V5" s="26"/>
      <c r="W5" s="26"/>
      <c r="X5" s="26">
        <f>COUNTIF($L$2:L5,"&lt;&gt;"&amp;"")</f>
        <v>4</v>
      </c>
      <c r="Y5" s="27">
        <f t="shared" si="1"/>
        <v>0</v>
      </c>
      <c r="Z5" s="28"/>
      <c r="AA5" s="32"/>
      <c r="AB5" s="30" t="b">
        <f>TRUE()</f>
        <v>1</v>
      </c>
      <c r="AC5" s="31">
        <f t="shared" si="2"/>
        <v>0</v>
      </c>
      <c r="AD5" s="23"/>
      <c r="AE5" s="23"/>
    </row>
    <row r="6" spans="1:31" ht="15" customHeight="1">
      <c r="A6" s="20">
        <f t="shared" si="0"/>
        <v>0</v>
      </c>
      <c r="B6" s="23"/>
      <c r="C6" s="23"/>
      <c r="D6" s="23"/>
      <c r="E6" s="23"/>
      <c r="F6" s="23"/>
      <c r="G6" s="23"/>
      <c r="H6" s="23"/>
      <c r="I6" s="23"/>
      <c r="J6" s="23"/>
      <c r="K6" s="23"/>
      <c r="L6" s="33"/>
      <c r="M6" s="26"/>
      <c r="N6" s="26"/>
      <c r="O6" s="26"/>
      <c r="P6" s="26"/>
      <c r="Q6" s="26"/>
      <c r="R6" s="26"/>
      <c r="S6" s="26"/>
      <c r="T6" s="26"/>
      <c r="U6" s="26"/>
      <c r="V6" s="26"/>
      <c r="W6" s="26"/>
      <c r="X6" s="26">
        <f>COUNTIF($L$2:L6,"&lt;&gt;"&amp;"")</f>
        <v>4</v>
      </c>
      <c r="Y6" s="27">
        <f t="shared" si="1"/>
        <v>0</v>
      </c>
      <c r="Z6" s="28"/>
      <c r="AA6" s="29"/>
      <c r="AB6" s="30" t="b">
        <f>TRUE()</f>
        <v>1</v>
      </c>
      <c r="AC6" s="31">
        <f t="shared" si="2"/>
        <v>0</v>
      </c>
      <c r="AD6" s="23"/>
      <c r="AE6" s="23"/>
    </row>
    <row r="7" spans="1:31" ht="15" customHeight="1">
      <c r="A7" s="20">
        <f t="shared" si="0"/>
        <v>0</v>
      </c>
      <c r="B7" s="23"/>
      <c r="C7" s="23"/>
      <c r="D7" s="23"/>
      <c r="E7" s="23"/>
      <c r="F7" s="23"/>
      <c r="G7" s="23"/>
      <c r="H7" s="23"/>
      <c r="I7" s="23"/>
      <c r="J7" s="23"/>
      <c r="K7" s="23"/>
      <c r="L7" s="33"/>
      <c r="M7" s="26"/>
      <c r="N7" s="26"/>
      <c r="O7" s="26"/>
      <c r="P7" s="26"/>
      <c r="Q7" s="26"/>
      <c r="R7" s="26"/>
      <c r="S7" s="26"/>
      <c r="T7" s="26"/>
      <c r="U7" s="26"/>
      <c r="V7" s="26"/>
      <c r="W7" s="26"/>
      <c r="X7" s="26">
        <f>COUNTIF($L$2:L7,"&lt;&gt;"&amp;"")</f>
        <v>4</v>
      </c>
      <c r="Y7" s="27">
        <f t="shared" si="1"/>
        <v>0</v>
      </c>
      <c r="Z7" s="28"/>
      <c r="AA7" s="32"/>
      <c r="AB7" s="30" t="b">
        <f>TRUE()</f>
        <v>1</v>
      </c>
      <c r="AC7" s="31">
        <f t="shared" si="2"/>
        <v>0</v>
      </c>
      <c r="AD7" s="23"/>
      <c r="AE7" s="23"/>
    </row>
    <row r="8" spans="1:31" ht="15.75" customHeight="1">
      <c r="A8" s="20">
        <f t="shared" si="0"/>
        <v>0</v>
      </c>
      <c r="B8" s="23"/>
      <c r="C8" s="23"/>
      <c r="D8" s="23"/>
      <c r="E8" s="23"/>
      <c r="F8" s="23"/>
      <c r="G8" s="23"/>
      <c r="H8" s="23"/>
      <c r="I8" s="23"/>
      <c r="J8" s="23"/>
      <c r="K8" s="23"/>
      <c r="L8" s="34" t="s">
        <v>96</v>
      </c>
      <c r="M8" s="26"/>
      <c r="N8" s="26"/>
      <c r="O8" s="26"/>
      <c r="P8" s="26"/>
      <c r="Q8" s="26"/>
      <c r="R8" s="26"/>
      <c r="S8" s="26"/>
      <c r="T8" s="26"/>
      <c r="U8" s="26"/>
      <c r="V8" s="26"/>
      <c r="W8" s="26"/>
      <c r="X8" s="26">
        <f>COUNTIF($L$2:L8,"&lt;&gt;"&amp;"")</f>
        <v>5</v>
      </c>
      <c r="Y8" s="27">
        <f t="shared" si="1"/>
        <v>0</v>
      </c>
      <c r="Z8" s="28"/>
      <c r="AA8" s="29"/>
      <c r="AB8" s="30" t="b">
        <f>TRUE()</f>
        <v>1</v>
      </c>
      <c r="AC8" s="31">
        <f t="shared" si="2"/>
        <v>0</v>
      </c>
      <c r="AD8" s="35"/>
      <c r="AE8" s="35"/>
    </row>
    <row r="9" spans="1:31" ht="12.75" customHeight="1">
      <c r="A9" s="20">
        <f t="shared" si="0"/>
        <v>0</v>
      </c>
      <c r="B9" s="23"/>
      <c r="C9" s="23"/>
      <c r="D9" s="23"/>
      <c r="E9" s="23"/>
      <c r="F9" s="23"/>
      <c r="G9" s="23"/>
      <c r="H9" s="23"/>
      <c r="I9" s="23"/>
      <c r="J9" s="23"/>
      <c r="K9" s="23"/>
      <c r="L9" s="26"/>
      <c r="M9" s="36" t="s">
        <v>97</v>
      </c>
      <c r="N9" s="26"/>
      <c r="O9" s="26"/>
      <c r="P9" s="26"/>
      <c r="Q9" s="26"/>
      <c r="R9" s="26"/>
      <c r="S9" s="26"/>
      <c r="T9" s="26"/>
      <c r="U9" s="26"/>
      <c r="V9" s="26"/>
      <c r="W9" s="26"/>
      <c r="X9" s="26">
        <f>COUNTIF($L$2:L9,"&lt;&gt;"&amp;"")</f>
        <v>5</v>
      </c>
      <c r="Y9" s="27">
        <f t="shared" si="1"/>
        <v>0</v>
      </c>
      <c r="Z9" s="28"/>
      <c r="AA9" s="29"/>
      <c r="AB9" s="30" t="b">
        <f>TRUE()</f>
        <v>1</v>
      </c>
      <c r="AC9" s="31">
        <f t="shared" si="2"/>
        <v>0</v>
      </c>
      <c r="AD9" s="35"/>
      <c r="AE9" s="35"/>
    </row>
    <row r="10" spans="1:31" ht="12.75" customHeight="1">
      <c r="A10" s="20">
        <f t="shared" si="0"/>
        <v>0</v>
      </c>
      <c r="B10" s="23"/>
      <c r="C10" s="23"/>
      <c r="D10" s="23"/>
      <c r="E10" s="23"/>
      <c r="F10" s="23"/>
      <c r="G10" s="23"/>
      <c r="H10" s="23"/>
      <c r="I10" s="23"/>
      <c r="J10" s="23"/>
      <c r="K10" s="23"/>
      <c r="L10" s="26"/>
      <c r="M10" s="26"/>
      <c r="N10" s="37" t="s">
        <v>98</v>
      </c>
      <c r="O10" s="26"/>
      <c r="P10" s="26"/>
      <c r="Q10" s="26"/>
      <c r="R10" s="26"/>
      <c r="S10" s="26"/>
      <c r="T10" s="26"/>
      <c r="U10" s="26"/>
      <c r="V10" s="26"/>
      <c r="W10" s="26"/>
      <c r="X10" s="26">
        <f>COUNTIF($L$2:L10,"&lt;&gt;"&amp;"")</f>
        <v>5</v>
      </c>
      <c r="Y10" s="27">
        <f t="shared" si="1"/>
        <v>0</v>
      </c>
      <c r="Z10" s="28"/>
      <c r="AA10" s="29"/>
      <c r="AB10" s="30" t="b">
        <f>TRUE()</f>
        <v>1</v>
      </c>
      <c r="AC10" s="31">
        <f t="shared" si="2"/>
        <v>0</v>
      </c>
      <c r="AD10" s="35"/>
      <c r="AE10" s="35"/>
    </row>
    <row r="11" spans="1:31" ht="12.75" customHeight="1">
      <c r="A11" s="20">
        <f t="shared" si="0"/>
        <v>0</v>
      </c>
      <c r="B11" s="23"/>
      <c r="C11" s="23"/>
      <c r="D11" s="23"/>
      <c r="E11" s="23"/>
      <c r="F11" s="23"/>
      <c r="G11" s="23"/>
      <c r="H11" s="23"/>
      <c r="I11" s="23"/>
      <c r="J11" s="23"/>
      <c r="K11" s="23"/>
      <c r="L11" s="26"/>
      <c r="M11" s="36" t="s">
        <v>99</v>
      </c>
      <c r="N11" s="38"/>
      <c r="O11" s="26"/>
      <c r="P11" s="26"/>
      <c r="Q11" s="26"/>
      <c r="R11" s="26"/>
      <c r="S11" s="26"/>
      <c r="T11" s="26"/>
      <c r="U11" s="26"/>
      <c r="V11" s="26"/>
      <c r="W11" s="26"/>
      <c r="X11" s="26">
        <f>COUNTIF($L$2:L11,"&lt;&gt;"&amp;"")</f>
        <v>5</v>
      </c>
      <c r="Y11" s="27">
        <f t="shared" si="1"/>
        <v>0</v>
      </c>
      <c r="Z11" s="28"/>
      <c r="AA11" s="29"/>
      <c r="AB11" s="30" t="b">
        <f>TRUE()</f>
        <v>1</v>
      </c>
      <c r="AC11" s="31">
        <f t="shared" si="2"/>
        <v>0</v>
      </c>
      <c r="AD11" s="35"/>
      <c r="AE11" s="35"/>
    </row>
    <row r="12" spans="1:31" ht="12.75" customHeight="1">
      <c r="A12" s="20">
        <f t="shared" si="0"/>
        <v>0</v>
      </c>
      <c r="B12" s="23"/>
      <c r="C12" s="23"/>
      <c r="D12" s="23"/>
      <c r="E12" s="23"/>
      <c r="F12" s="23"/>
      <c r="G12" s="23"/>
      <c r="H12" s="23"/>
      <c r="I12" s="23"/>
      <c r="J12" s="23"/>
      <c r="K12" s="23"/>
      <c r="L12" s="26"/>
      <c r="M12" s="39"/>
      <c r="N12" s="37" t="s">
        <v>100</v>
      </c>
      <c r="O12" s="26"/>
      <c r="P12" s="26"/>
      <c r="Q12" s="26"/>
      <c r="R12" s="26"/>
      <c r="S12" s="26"/>
      <c r="T12" s="26"/>
      <c r="U12" s="26"/>
      <c r="V12" s="26"/>
      <c r="W12" s="26"/>
      <c r="X12" s="26">
        <f>COUNTIF($L$2:L12,"&lt;&gt;"&amp;"")</f>
        <v>5</v>
      </c>
      <c r="Y12" s="27">
        <f t="shared" si="1"/>
        <v>0</v>
      </c>
      <c r="Z12" s="28"/>
      <c r="AA12" s="29"/>
      <c r="AB12" s="30" t="b">
        <f>TRUE()</f>
        <v>1</v>
      </c>
      <c r="AC12" s="31">
        <f t="shared" si="2"/>
        <v>0</v>
      </c>
      <c r="AD12" s="35"/>
      <c r="AE12" s="35"/>
    </row>
    <row r="13" spans="1:31" ht="12.75" customHeight="1">
      <c r="A13" s="20">
        <f t="shared" si="0"/>
        <v>0</v>
      </c>
      <c r="B13" s="23"/>
      <c r="C13" s="23"/>
      <c r="D13" s="23"/>
      <c r="E13" s="23"/>
      <c r="F13" s="23"/>
      <c r="G13" s="23"/>
      <c r="H13" s="23"/>
      <c r="I13" s="23"/>
      <c r="J13" s="23"/>
      <c r="K13" s="23"/>
      <c r="L13" s="26"/>
      <c r="M13" s="36" t="s">
        <v>101</v>
      </c>
      <c r="N13" s="38"/>
      <c r="O13" s="26"/>
      <c r="P13" s="26"/>
      <c r="Q13" s="26"/>
      <c r="R13" s="26"/>
      <c r="S13" s="26"/>
      <c r="T13" s="26"/>
      <c r="U13" s="26"/>
      <c r="V13" s="26"/>
      <c r="W13" s="26"/>
      <c r="X13" s="26">
        <f>COUNTIF($L$2:L13,"&lt;&gt;"&amp;"")</f>
        <v>5</v>
      </c>
      <c r="Y13" s="27">
        <f t="shared" si="1"/>
        <v>0</v>
      </c>
      <c r="Z13" s="28"/>
      <c r="AA13" s="29"/>
      <c r="AB13" s="30" t="b">
        <f>TRUE()</f>
        <v>1</v>
      </c>
      <c r="AC13" s="31">
        <f t="shared" si="2"/>
        <v>0</v>
      </c>
      <c r="AD13" s="35"/>
      <c r="AE13" s="35"/>
    </row>
    <row r="14" spans="1:31" ht="15" customHeight="1">
      <c r="A14" s="20">
        <f t="shared" si="0"/>
        <v>0</v>
      </c>
      <c r="B14" s="23"/>
      <c r="C14" s="23"/>
      <c r="D14" s="23"/>
      <c r="E14" s="23"/>
      <c r="F14" s="23"/>
      <c r="G14" s="23"/>
      <c r="H14" s="23"/>
      <c r="I14" s="23"/>
      <c r="J14" s="23"/>
      <c r="K14" s="23"/>
      <c r="L14" s="33"/>
      <c r="M14" s="26"/>
      <c r="N14" s="37" t="s">
        <v>102</v>
      </c>
      <c r="O14" s="26"/>
      <c r="P14" s="26"/>
      <c r="Q14" s="26"/>
      <c r="R14" s="26"/>
      <c r="S14" s="26"/>
      <c r="T14" s="26"/>
      <c r="U14" s="26"/>
      <c r="V14" s="26"/>
      <c r="W14" s="26"/>
      <c r="X14" s="26">
        <f>COUNTIF($L$2:L14,"&lt;&gt;"&amp;"")</f>
        <v>5</v>
      </c>
      <c r="Y14" s="27">
        <f t="shared" si="1"/>
        <v>0</v>
      </c>
      <c r="Z14" s="28"/>
      <c r="AA14" s="29"/>
      <c r="AB14" s="30" t="b">
        <f>TRUE()</f>
        <v>1</v>
      </c>
      <c r="AC14" s="31">
        <f t="shared" si="2"/>
        <v>0</v>
      </c>
      <c r="AD14" s="35"/>
      <c r="AE14" s="35"/>
    </row>
    <row r="15" spans="1:31" ht="12.75" customHeight="1">
      <c r="A15" s="20">
        <f t="shared" si="0"/>
        <v>0</v>
      </c>
      <c r="B15" s="23"/>
      <c r="C15" s="23"/>
      <c r="D15" s="23"/>
      <c r="E15" s="23"/>
      <c r="F15" s="23"/>
      <c r="G15" s="23"/>
      <c r="H15" s="23"/>
      <c r="I15" s="23"/>
      <c r="J15" s="23"/>
      <c r="K15" s="23"/>
      <c r="L15" s="26"/>
      <c r="M15" s="36" t="s">
        <v>103</v>
      </c>
      <c r="N15" s="26"/>
      <c r="O15" s="26"/>
      <c r="P15" s="26"/>
      <c r="Q15" s="26"/>
      <c r="R15" s="26"/>
      <c r="S15" s="26"/>
      <c r="T15" s="26"/>
      <c r="U15" s="26"/>
      <c r="V15" s="26"/>
      <c r="W15" s="26"/>
      <c r="X15" s="26">
        <f>COUNTIF($L$2:L15,"&lt;&gt;"&amp;"")</f>
        <v>5</v>
      </c>
      <c r="Y15" s="27">
        <f t="shared" si="1"/>
        <v>0</v>
      </c>
      <c r="Z15" s="28"/>
      <c r="AA15" s="29"/>
      <c r="AB15" s="30" t="b">
        <f>TRUE()</f>
        <v>1</v>
      </c>
      <c r="AC15" s="31">
        <f t="shared" si="2"/>
        <v>0</v>
      </c>
      <c r="AD15" s="35"/>
      <c r="AE15" s="35"/>
    </row>
    <row r="16" spans="1:31" ht="12.75" customHeight="1">
      <c r="A16" s="20">
        <f t="shared" si="0"/>
        <v>0</v>
      </c>
      <c r="B16" s="23"/>
      <c r="C16" s="23"/>
      <c r="D16" s="23"/>
      <c r="E16" s="23"/>
      <c r="F16" s="23"/>
      <c r="G16" s="23"/>
      <c r="H16" s="23"/>
      <c r="I16" s="23"/>
      <c r="J16" s="23"/>
      <c r="K16" s="23"/>
      <c r="L16" s="26"/>
      <c r="M16" s="26"/>
      <c r="N16" s="37" t="s">
        <v>104</v>
      </c>
      <c r="O16" s="26"/>
      <c r="P16" s="26"/>
      <c r="Q16" s="26"/>
      <c r="R16" s="26"/>
      <c r="S16" s="26"/>
      <c r="T16" s="26"/>
      <c r="U16" s="26"/>
      <c r="V16" s="26"/>
      <c r="W16" s="26"/>
      <c r="X16" s="26">
        <f>COUNTIF($L$2:L16,"&lt;&gt;"&amp;"")</f>
        <v>5</v>
      </c>
      <c r="Y16" s="27">
        <f t="shared" si="1"/>
        <v>0</v>
      </c>
      <c r="Z16" s="28"/>
      <c r="AA16" s="29"/>
      <c r="AB16" s="30" t="b">
        <f>TRUE()</f>
        <v>1</v>
      </c>
      <c r="AC16" s="31">
        <f t="shared" si="2"/>
        <v>0</v>
      </c>
      <c r="AD16" s="35"/>
      <c r="AE16" s="35"/>
    </row>
    <row r="17" spans="1:31" ht="12.75" customHeight="1">
      <c r="A17" s="20">
        <f t="shared" si="0"/>
        <v>0</v>
      </c>
      <c r="B17" s="23"/>
      <c r="C17" s="23"/>
      <c r="D17" s="23"/>
      <c r="E17" s="23"/>
      <c r="F17" s="23"/>
      <c r="G17" s="23"/>
      <c r="H17" s="23"/>
      <c r="I17" s="23"/>
      <c r="J17" s="23"/>
      <c r="K17" s="23"/>
      <c r="L17" s="26"/>
      <c r="M17" s="26"/>
      <c r="N17" s="26"/>
      <c r="O17" s="26"/>
      <c r="P17" s="26"/>
      <c r="Q17" s="26"/>
      <c r="R17" s="26"/>
      <c r="S17" s="26"/>
      <c r="T17" s="26"/>
      <c r="U17" s="26"/>
      <c r="V17" s="26"/>
      <c r="W17" s="26"/>
      <c r="X17" s="26">
        <f>COUNTIF($L$2:L17,"&lt;&gt;"&amp;"")</f>
        <v>5</v>
      </c>
      <c r="Y17" s="27">
        <f t="shared" si="1"/>
        <v>0</v>
      </c>
      <c r="Z17" s="28"/>
      <c r="AA17" s="29"/>
      <c r="AB17" s="30" t="b">
        <f>TRUE()</f>
        <v>1</v>
      </c>
      <c r="AC17" s="31">
        <f t="shared" si="2"/>
        <v>0</v>
      </c>
      <c r="AD17" s="35"/>
      <c r="AE17" s="35"/>
    </row>
    <row r="18" spans="1:31" ht="12.75" customHeight="1">
      <c r="A18" s="20">
        <f t="shared" si="0"/>
        <v>0</v>
      </c>
      <c r="B18" s="23"/>
      <c r="C18" s="23"/>
      <c r="D18" s="23"/>
      <c r="E18" s="23"/>
      <c r="F18" s="23"/>
      <c r="G18" s="23"/>
      <c r="H18" s="23"/>
      <c r="I18" s="23"/>
      <c r="J18" s="23"/>
      <c r="K18" s="23"/>
      <c r="L18" s="26"/>
      <c r="M18" s="26"/>
      <c r="N18" s="26"/>
      <c r="O18" s="26"/>
      <c r="P18" s="26"/>
      <c r="Q18" s="26"/>
      <c r="R18" s="26"/>
      <c r="S18" s="26"/>
      <c r="T18" s="26"/>
      <c r="U18" s="26"/>
      <c r="V18" s="26"/>
      <c r="W18" s="26"/>
      <c r="X18" s="26">
        <f>COUNTIF($L$2:L18,"&lt;&gt;"&amp;"")</f>
        <v>5</v>
      </c>
      <c r="Y18" s="27">
        <f t="shared" si="1"/>
        <v>0</v>
      </c>
      <c r="Z18" s="28"/>
      <c r="AA18" s="29"/>
      <c r="AB18" s="30" t="b">
        <f>TRUE()</f>
        <v>1</v>
      </c>
      <c r="AC18" s="31">
        <f t="shared" si="2"/>
        <v>0</v>
      </c>
      <c r="AD18" s="35"/>
      <c r="AE18" s="35"/>
    </row>
    <row r="19" spans="1:31" ht="15" customHeight="1">
      <c r="A19" s="20">
        <f t="shared" si="0"/>
        <v>0</v>
      </c>
      <c r="B19" s="23"/>
      <c r="C19" s="23"/>
      <c r="D19" s="23"/>
      <c r="E19" s="23"/>
      <c r="F19" s="23"/>
      <c r="G19" s="23"/>
      <c r="H19" s="23"/>
      <c r="I19" s="23"/>
      <c r="J19" s="23"/>
      <c r="K19" s="23"/>
      <c r="L19" s="33"/>
      <c r="M19" s="26"/>
      <c r="N19" s="26"/>
      <c r="O19" s="26"/>
      <c r="P19" s="26"/>
      <c r="Q19" s="26"/>
      <c r="R19" s="26"/>
      <c r="S19" s="26"/>
      <c r="T19" s="26"/>
      <c r="U19" s="26"/>
      <c r="V19" s="26"/>
      <c r="W19" s="26"/>
      <c r="X19" s="26">
        <f>COUNTIF($L$2:L19,"&lt;&gt;"&amp;"")</f>
        <v>5</v>
      </c>
      <c r="Y19" s="27">
        <f t="shared" si="1"/>
        <v>0</v>
      </c>
      <c r="Z19" s="28"/>
      <c r="AA19" s="29"/>
      <c r="AB19" s="30" t="b">
        <f>TRUE()</f>
        <v>1</v>
      </c>
      <c r="AC19" s="31">
        <f t="shared" si="2"/>
        <v>0</v>
      </c>
      <c r="AD19" s="35"/>
      <c r="AE19" s="35"/>
    </row>
    <row r="20" spans="1:31" ht="12.75" customHeight="1">
      <c r="A20" s="20">
        <f t="shared" si="0"/>
        <v>0</v>
      </c>
      <c r="B20" s="23"/>
      <c r="C20" s="23"/>
      <c r="D20" s="23"/>
      <c r="E20" s="23"/>
      <c r="F20" s="23"/>
      <c r="G20" s="23"/>
      <c r="H20" s="23"/>
      <c r="I20" s="23"/>
      <c r="J20" s="23"/>
      <c r="K20" s="23"/>
      <c r="L20" s="26"/>
      <c r="M20" s="26"/>
      <c r="N20" s="26"/>
      <c r="O20" s="26"/>
      <c r="P20" s="26"/>
      <c r="Q20" s="26"/>
      <c r="R20" s="26"/>
      <c r="S20" s="26"/>
      <c r="T20" s="26"/>
      <c r="U20" s="26"/>
      <c r="V20" s="26"/>
      <c r="W20" s="26"/>
      <c r="X20" s="26">
        <f>COUNTIF($L$2:L20,"&lt;&gt;"&amp;"")</f>
        <v>5</v>
      </c>
      <c r="Y20" s="27">
        <f t="shared" si="1"/>
        <v>0</v>
      </c>
      <c r="Z20" s="28"/>
      <c r="AA20" s="29"/>
      <c r="AB20" s="30" t="b">
        <f>TRUE()</f>
        <v>1</v>
      </c>
      <c r="AC20" s="31">
        <f t="shared" si="2"/>
        <v>0</v>
      </c>
      <c r="AD20" s="35"/>
      <c r="AE20" s="35"/>
    </row>
    <row r="21" spans="1:31" ht="12.75" customHeight="1">
      <c r="A21" s="20">
        <f t="shared" si="0"/>
        <v>0</v>
      </c>
      <c r="B21" s="23"/>
      <c r="C21" s="23"/>
      <c r="D21" s="23"/>
      <c r="E21" s="23"/>
      <c r="F21" s="23"/>
      <c r="G21" s="23"/>
      <c r="H21" s="23"/>
      <c r="I21" s="23"/>
      <c r="J21" s="23"/>
      <c r="K21" s="23"/>
      <c r="L21" s="26"/>
      <c r="M21" s="26"/>
      <c r="N21" s="26"/>
      <c r="O21" s="26"/>
      <c r="P21" s="26"/>
      <c r="Q21" s="26"/>
      <c r="R21" s="26"/>
      <c r="S21" s="26"/>
      <c r="T21" s="26"/>
      <c r="U21" s="26"/>
      <c r="V21" s="26"/>
      <c r="W21" s="26"/>
      <c r="X21" s="26">
        <f>COUNTIF($L$2:L21,"&lt;&gt;"&amp;"")</f>
        <v>5</v>
      </c>
      <c r="Y21" s="27">
        <f t="shared" si="1"/>
        <v>0</v>
      </c>
      <c r="Z21" s="28"/>
      <c r="AA21" s="29"/>
      <c r="AB21" s="30" t="b">
        <f>TRUE()</f>
        <v>1</v>
      </c>
      <c r="AC21" s="31">
        <f t="shared" si="2"/>
        <v>0</v>
      </c>
      <c r="AD21" s="35"/>
      <c r="AE21" s="35"/>
    </row>
    <row r="22" spans="1:31" ht="12.75" customHeight="1">
      <c r="A22" s="20">
        <f t="shared" si="0"/>
        <v>0</v>
      </c>
      <c r="B22" s="23"/>
      <c r="C22" s="23"/>
      <c r="D22" s="23"/>
      <c r="E22" s="23"/>
      <c r="F22" s="23"/>
      <c r="G22" s="23"/>
      <c r="H22" s="23"/>
      <c r="I22" s="23"/>
      <c r="J22" s="23"/>
      <c r="K22" s="23"/>
      <c r="L22" s="26"/>
      <c r="M22" s="26"/>
      <c r="N22" s="26"/>
      <c r="O22" s="26"/>
      <c r="P22" s="26"/>
      <c r="Q22" s="26"/>
      <c r="R22" s="26"/>
      <c r="S22" s="26"/>
      <c r="T22" s="26"/>
      <c r="U22" s="26"/>
      <c r="V22" s="26"/>
      <c r="W22" s="26"/>
      <c r="X22" s="26">
        <f>COUNTIF($L$2:L22,"&lt;&gt;"&amp;"")</f>
        <v>5</v>
      </c>
      <c r="Y22" s="27">
        <f t="shared" si="1"/>
        <v>0</v>
      </c>
      <c r="Z22" s="28"/>
      <c r="AA22" s="29"/>
      <c r="AB22" s="30" t="b">
        <f>TRUE()</f>
        <v>1</v>
      </c>
      <c r="AC22" s="31">
        <f t="shared" si="2"/>
        <v>0</v>
      </c>
      <c r="AD22" s="35"/>
      <c r="AE22" s="35"/>
    </row>
    <row r="23" spans="1:31" ht="12.75" customHeight="1">
      <c r="A23" s="20">
        <f t="shared" si="0"/>
        <v>0</v>
      </c>
      <c r="B23" s="23"/>
      <c r="C23" s="23"/>
      <c r="D23" s="23"/>
      <c r="E23" s="23"/>
      <c r="F23" s="23"/>
      <c r="G23" s="23"/>
      <c r="H23" s="23"/>
      <c r="I23" s="23"/>
      <c r="J23" s="23"/>
      <c r="K23" s="23"/>
      <c r="L23" s="26"/>
      <c r="M23" s="26"/>
      <c r="N23" s="26"/>
      <c r="O23" s="26"/>
      <c r="P23" s="26"/>
      <c r="Q23" s="26"/>
      <c r="R23" s="26"/>
      <c r="S23" s="26"/>
      <c r="T23" s="26"/>
      <c r="U23" s="26"/>
      <c r="V23" s="26"/>
      <c r="W23" s="26"/>
      <c r="X23" s="26">
        <f>COUNTIF($L$2:L23,"&lt;&gt;"&amp;"")</f>
        <v>5</v>
      </c>
      <c r="Y23" s="27">
        <f t="shared" si="1"/>
        <v>0</v>
      </c>
      <c r="Z23" s="28"/>
      <c r="AA23" s="29"/>
      <c r="AB23" s="30" t="b">
        <f>TRUE()</f>
        <v>1</v>
      </c>
      <c r="AC23" s="31">
        <f t="shared" si="2"/>
        <v>0</v>
      </c>
      <c r="AD23" s="35"/>
      <c r="AE23" s="35"/>
    </row>
    <row r="24" spans="1:31" ht="12.75" customHeight="1">
      <c r="A24" s="20">
        <f t="shared" si="0"/>
        <v>0</v>
      </c>
      <c r="B24" s="23"/>
      <c r="C24" s="23"/>
      <c r="D24" s="23"/>
      <c r="E24" s="23"/>
      <c r="F24" s="23"/>
      <c r="G24" s="23"/>
      <c r="H24" s="23"/>
      <c r="I24" s="23"/>
      <c r="J24" s="23"/>
      <c r="K24" s="23"/>
      <c r="L24" s="26"/>
      <c r="M24" s="40"/>
      <c r="N24" s="26"/>
      <c r="O24" s="26"/>
      <c r="P24" s="26"/>
      <c r="Q24" s="26"/>
      <c r="R24" s="26"/>
      <c r="S24" s="26"/>
      <c r="T24" s="26"/>
      <c r="U24" s="26"/>
      <c r="V24" s="26"/>
      <c r="W24" s="26"/>
      <c r="X24" s="26">
        <f>COUNTIF($L$2:L24,"&lt;&gt;"&amp;"")</f>
        <v>5</v>
      </c>
      <c r="Y24" s="27">
        <f t="shared" si="1"/>
        <v>0</v>
      </c>
      <c r="Z24" s="28"/>
      <c r="AA24" s="29"/>
      <c r="AB24" s="30" t="b">
        <f>TRUE()</f>
        <v>1</v>
      </c>
      <c r="AC24" s="31">
        <f t="shared" si="2"/>
        <v>0</v>
      </c>
      <c r="AD24" s="35"/>
      <c r="AE24" s="35"/>
    </row>
    <row r="25" spans="1:31" ht="15" customHeight="1">
      <c r="A25" s="20">
        <f t="shared" si="0"/>
        <v>0</v>
      </c>
      <c r="B25" s="23"/>
      <c r="C25" s="23"/>
      <c r="D25" s="23"/>
      <c r="E25" s="23"/>
      <c r="F25" s="23"/>
      <c r="G25" s="23"/>
      <c r="H25" s="23"/>
      <c r="I25" s="23"/>
      <c r="J25" s="23"/>
      <c r="K25" s="23"/>
      <c r="L25" s="33"/>
      <c r="M25" s="26"/>
      <c r="N25" s="26"/>
      <c r="O25" s="26"/>
      <c r="P25" s="26"/>
      <c r="Q25" s="26"/>
      <c r="R25" s="26"/>
      <c r="S25" s="26"/>
      <c r="T25" s="26"/>
      <c r="U25" s="26"/>
      <c r="V25" s="26"/>
      <c r="W25" s="26"/>
      <c r="X25" s="26">
        <f>COUNTIF($L$2:L25,"&lt;&gt;"&amp;"")</f>
        <v>5</v>
      </c>
      <c r="Y25" s="27">
        <f t="shared" si="1"/>
        <v>0</v>
      </c>
      <c r="Z25" s="28"/>
      <c r="AA25" s="29"/>
      <c r="AB25" s="30" t="b">
        <f>TRUE()</f>
        <v>1</v>
      </c>
      <c r="AC25" s="31">
        <f t="shared" si="2"/>
        <v>0</v>
      </c>
      <c r="AD25" s="35"/>
      <c r="AE25" s="35"/>
    </row>
    <row r="26" spans="1:31" ht="15" customHeight="1">
      <c r="A26" s="20">
        <f t="shared" si="0"/>
        <v>0</v>
      </c>
      <c r="B26" s="23"/>
      <c r="C26" s="23"/>
      <c r="D26" s="23"/>
      <c r="E26" s="23"/>
      <c r="F26" s="23"/>
      <c r="G26" s="23"/>
      <c r="H26" s="23"/>
      <c r="I26" s="23"/>
      <c r="J26" s="23"/>
      <c r="K26" s="23"/>
      <c r="L26" s="33"/>
      <c r="M26" s="26"/>
      <c r="N26" s="26"/>
      <c r="O26" s="26"/>
      <c r="P26" s="26"/>
      <c r="Q26" s="26"/>
      <c r="R26" s="26"/>
      <c r="S26" s="26"/>
      <c r="T26" s="26"/>
      <c r="U26" s="26"/>
      <c r="V26" s="26"/>
      <c r="W26" s="26"/>
      <c r="X26" s="26">
        <f>COUNTIF($L$2:L26,"&lt;&gt;"&amp;"")</f>
        <v>5</v>
      </c>
      <c r="Y26" s="27">
        <f t="shared" si="1"/>
        <v>0</v>
      </c>
      <c r="Z26" s="28"/>
      <c r="AA26" s="29"/>
      <c r="AB26" s="30" t="b">
        <f>TRUE()</f>
        <v>1</v>
      </c>
      <c r="AC26" s="31">
        <f t="shared" si="2"/>
        <v>0</v>
      </c>
      <c r="AD26" s="35"/>
      <c r="AE26" s="35"/>
    </row>
    <row r="27" spans="1:31" ht="15" customHeight="1">
      <c r="A27" s="20">
        <f t="shared" si="0"/>
        <v>0</v>
      </c>
      <c r="B27" s="23"/>
      <c r="C27" s="23"/>
      <c r="D27" s="23"/>
      <c r="E27" s="23"/>
      <c r="F27" s="23"/>
      <c r="G27" s="23"/>
      <c r="H27" s="23"/>
      <c r="I27" s="23"/>
      <c r="J27" s="23"/>
      <c r="K27" s="23"/>
      <c r="L27" s="33"/>
      <c r="M27" s="26"/>
      <c r="N27" s="26"/>
      <c r="O27" s="26"/>
      <c r="P27" s="26"/>
      <c r="Q27" s="26"/>
      <c r="R27" s="26"/>
      <c r="S27" s="26"/>
      <c r="T27" s="26"/>
      <c r="U27" s="26"/>
      <c r="V27" s="26"/>
      <c r="W27" s="26"/>
      <c r="X27" s="26">
        <f>COUNTIF($L$2:L27,"&lt;&gt;"&amp;"")</f>
        <v>5</v>
      </c>
      <c r="Y27" s="27">
        <f t="shared" si="1"/>
        <v>0</v>
      </c>
      <c r="Z27" s="28"/>
      <c r="AA27" s="29"/>
      <c r="AB27" s="30" t="b">
        <f>TRUE()</f>
        <v>1</v>
      </c>
      <c r="AC27" s="31">
        <f t="shared" si="2"/>
        <v>0</v>
      </c>
      <c r="AD27" s="35"/>
      <c r="AE27" s="35"/>
    </row>
    <row r="28" spans="1:31" ht="15" customHeight="1">
      <c r="A28" s="20">
        <f t="shared" si="0"/>
        <v>0</v>
      </c>
      <c r="B28" s="23"/>
      <c r="C28" s="23"/>
      <c r="D28" s="23"/>
      <c r="E28" s="23"/>
      <c r="F28" s="23"/>
      <c r="G28" s="23"/>
      <c r="H28" s="23"/>
      <c r="I28" s="23"/>
      <c r="J28" s="23"/>
      <c r="K28" s="23"/>
      <c r="L28" s="33"/>
      <c r="M28" s="26"/>
      <c r="N28" s="26"/>
      <c r="O28" s="26"/>
      <c r="P28" s="26"/>
      <c r="Q28" s="26"/>
      <c r="R28" s="26"/>
      <c r="S28" s="26"/>
      <c r="T28" s="26"/>
      <c r="U28" s="26"/>
      <c r="V28" s="26"/>
      <c r="W28" s="26"/>
      <c r="X28" s="26">
        <f>COUNTIF($L$2:L28,"&lt;&gt;"&amp;"")</f>
        <v>5</v>
      </c>
      <c r="Y28" s="27">
        <f t="shared" si="1"/>
        <v>0</v>
      </c>
      <c r="Z28" s="28"/>
      <c r="AA28" s="29"/>
      <c r="AB28" s="30" t="b">
        <f>TRUE()</f>
        <v>1</v>
      </c>
      <c r="AC28" s="31">
        <f t="shared" si="2"/>
        <v>0</v>
      </c>
      <c r="AD28" s="35"/>
      <c r="AE28" s="35"/>
    </row>
    <row r="29" spans="1:31" ht="15" customHeight="1">
      <c r="A29" s="20">
        <f t="shared" si="0"/>
        <v>0</v>
      </c>
      <c r="B29" s="23"/>
      <c r="C29" s="23"/>
      <c r="D29" s="23"/>
      <c r="E29" s="23"/>
      <c r="F29" s="23"/>
      <c r="G29" s="23"/>
      <c r="H29" s="23"/>
      <c r="I29" s="23"/>
      <c r="J29" s="23"/>
      <c r="K29" s="23"/>
      <c r="L29" s="33"/>
      <c r="M29" s="26"/>
      <c r="N29" s="26"/>
      <c r="O29" s="26"/>
      <c r="P29" s="26"/>
      <c r="Q29" s="26"/>
      <c r="R29" s="26"/>
      <c r="S29" s="26"/>
      <c r="T29" s="26"/>
      <c r="U29" s="26"/>
      <c r="V29" s="26"/>
      <c r="W29" s="26"/>
      <c r="X29" s="26">
        <f>COUNTIF($L$2:L29,"&lt;&gt;"&amp;"")</f>
        <v>5</v>
      </c>
      <c r="Y29" s="27">
        <f t="shared" si="1"/>
        <v>0</v>
      </c>
      <c r="Z29" s="28"/>
      <c r="AA29" s="29"/>
      <c r="AB29" s="30" t="b">
        <f>TRUE()</f>
        <v>1</v>
      </c>
      <c r="AC29" s="31">
        <f t="shared" si="2"/>
        <v>0</v>
      </c>
      <c r="AD29" s="35"/>
      <c r="AE29" s="35"/>
    </row>
    <row r="30" spans="1:31" ht="15" customHeight="1">
      <c r="A30" s="20">
        <f t="shared" si="0"/>
        <v>0</v>
      </c>
      <c r="B30" s="23"/>
      <c r="C30" s="23"/>
      <c r="D30" s="23"/>
      <c r="E30" s="23"/>
      <c r="F30" s="23"/>
      <c r="G30" s="23"/>
      <c r="H30" s="23"/>
      <c r="I30" s="23"/>
      <c r="J30" s="23"/>
      <c r="K30" s="23"/>
      <c r="L30" s="33"/>
      <c r="M30" s="26"/>
      <c r="N30" s="26"/>
      <c r="O30" s="26"/>
      <c r="P30" s="26"/>
      <c r="Q30" s="26"/>
      <c r="R30" s="26"/>
      <c r="S30" s="26"/>
      <c r="T30" s="26"/>
      <c r="U30" s="26"/>
      <c r="V30" s="26"/>
      <c r="W30" s="26"/>
      <c r="X30" s="26">
        <f>COUNTIF($L$2:L30,"&lt;&gt;"&amp;"")</f>
        <v>5</v>
      </c>
      <c r="Y30" s="27">
        <f t="shared" si="1"/>
        <v>0</v>
      </c>
      <c r="Z30" s="28"/>
      <c r="AA30" s="29"/>
      <c r="AB30" s="30" t="b">
        <f>TRUE()</f>
        <v>1</v>
      </c>
      <c r="AC30" s="31">
        <f t="shared" si="2"/>
        <v>0</v>
      </c>
      <c r="AD30" s="35"/>
      <c r="AE30" s="35"/>
    </row>
    <row r="31" spans="1:31" ht="15" customHeight="1">
      <c r="A31" s="20">
        <f t="shared" si="0"/>
        <v>0</v>
      </c>
      <c r="B31" s="23"/>
      <c r="C31" s="23"/>
      <c r="D31" s="23"/>
      <c r="E31" s="23"/>
      <c r="F31" s="23"/>
      <c r="G31" s="23"/>
      <c r="H31" s="23"/>
      <c r="I31" s="23"/>
      <c r="J31" s="23"/>
      <c r="K31" s="23"/>
      <c r="L31" s="33"/>
      <c r="M31" s="26"/>
      <c r="N31" s="26"/>
      <c r="O31" s="26"/>
      <c r="P31" s="26"/>
      <c r="Q31" s="26"/>
      <c r="R31" s="26"/>
      <c r="S31" s="26"/>
      <c r="T31" s="26"/>
      <c r="U31" s="26"/>
      <c r="V31" s="26"/>
      <c r="W31" s="26"/>
      <c r="X31" s="26">
        <f>COUNTIF($L$2:L31,"&lt;&gt;"&amp;"")</f>
        <v>5</v>
      </c>
      <c r="Y31" s="27">
        <f t="shared" si="1"/>
        <v>0</v>
      </c>
      <c r="Z31" s="28"/>
      <c r="AA31" s="29"/>
      <c r="AB31" s="30" t="b">
        <f>TRUE()</f>
        <v>1</v>
      </c>
      <c r="AC31" s="31">
        <f t="shared" si="2"/>
        <v>0</v>
      </c>
      <c r="AD31" s="35"/>
      <c r="AE31" s="35"/>
    </row>
    <row r="32" spans="1:31" ht="15" customHeight="1">
      <c r="A32" s="20">
        <f t="shared" si="0"/>
        <v>0</v>
      </c>
      <c r="B32" s="23"/>
      <c r="C32" s="23"/>
      <c r="D32" s="23"/>
      <c r="E32" s="23"/>
      <c r="F32" s="23"/>
      <c r="G32" s="23"/>
      <c r="H32" s="23"/>
      <c r="I32" s="23"/>
      <c r="J32" s="23"/>
      <c r="K32" s="23"/>
      <c r="L32" s="33"/>
      <c r="M32" s="26"/>
      <c r="N32" s="26"/>
      <c r="O32" s="26"/>
      <c r="P32" s="26"/>
      <c r="Q32" s="26"/>
      <c r="R32" s="26"/>
      <c r="S32" s="26"/>
      <c r="T32" s="26"/>
      <c r="U32" s="26"/>
      <c r="V32" s="26"/>
      <c r="W32" s="26"/>
      <c r="X32" s="26">
        <f>COUNTIF($L$2:L32,"&lt;&gt;"&amp;"")</f>
        <v>5</v>
      </c>
      <c r="Y32" s="27">
        <f t="shared" si="1"/>
        <v>0</v>
      </c>
      <c r="Z32" s="28"/>
      <c r="AA32" s="29"/>
      <c r="AB32" s="30" t="b">
        <f>TRUE()</f>
        <v>1</v>
      </c>
      <c r="AC32" s="31">
        <f t="shared" si="2"/>
        <v>0</v>
      </c>
      <c r="AD32" s="35"/>
      <c r="AE32" s="35"/>
    </row>
    <row r="33" spans="1:31" ht="15" customHeight="1">
      <c r="A33" s="20">
        <f t="shared" si="0"/>
        <v>0</v>
      </c>
      <c r="B33" s="23"/>
      <c r="C33" s="23"/>
      <c r="D33" s="23"/>
      <c r="E33" s="23"/>
      <c r="F33" s="23"/>
      <c r="G33" s="23"/>
      <c r="H33" s="23"/>
      <c r="I33" s="23"/>
      <c r="J33" s="23"/>
      <c r="K33" s="23"/>
      <c r="L33" s="33"/>
      <c r="M33" s="26"/>
      <c r="N33" s="26"/>
      <c r="O33" s="26"/>
      <c r="P33" s="26"/>
      <c r="Q33" s="26"/>
      <c r="R33" s="26"/>
      <c r="S33" s="26"/>
      <c r="T33" s="26"/>
      <c r="U33" s="26"/>
      <c r="V33" s="26"/>
      <c r="W33" s="26"/>
      <c r="X33" s="26">
        <f>COUNTIF($L$2:L33,"&lt;&gt;"&amp;"")</f>
        <v>5</v>
      </c>
      <c r="Y33" s="27">
        <f t="shared" si="1"/>
        <v>0</v>
      </c>
      <c r="Z33" s="28"/>
      <c r="AA33" s="29"/>
      <c r="AB33" s="30" t="b">
        <f>TRUE()</f>
        <v>1</v>
      </c>
      <c r="AC33" s="31">
        <f t="shared" si="2"/>
        <v>0</v>
      </c>
      <c r="AD33" s="35"/>
      <c r="AE33" s="35"/>
    </row>
    <row r="34" spans="1:31" ht="15" customHeight="1">
      <c r="A34" s="20">
        <f t="shared" ref="A34:A65" si="3">(B34*$P$125+C34*$P$126+D34*$P$127+E34*$P$128+F34*$P$129+G34*$P$130+H34*$P$131+I34*$P$132+J34*$P$133+K34*$P$134)*$T$123</f>
        <v>0</v>
      </c>
      <c r="B34" s="23"/>
      <c r="C34" s="23"/>
      <c r="D34" s="23"/>
      <c r="E34" s="23"/>
      <c r="F34" s="23"/>
      <c r="G34" s="23"/>
      <c r="H34" s="23"/>
      <c r="I34" s="23"/>
      <c r="J34" s="23"/>
      <c r="K34" s="23"/>
      <c r="L34" s="33"/>
      <c r="M34" s="33"/>
      <c r="N34" s="26"/>
      <c r="O34" s="26"/>
      <c r="P34" s="26"/>
      <c r="Q34" s="26"/>
      <c r="R34" s="26"/>
      <c r="S34" s="26"/>
      <c r="T34" s="26"/>
      <c r="U34" s="26"/>
      <c r="V34" s="26"/>
      <c r="W34" s="26"/>
      <c r="X34" s="26">
        <f>COUNTIF($L$2:L34,"&lt;&gt;"&amp;"")</f>
        <v>5</v>
      </c>
      <c r="Y34" s="27">
        <f t="shared" ref="Y34:Y65" si="4">SUMIF($X$2:$X$120,X34,$A$2:$A$120)</f>
        <v>0</v>
      </c>
      <c r="Z34" s="28"/>
      <c r="AA34" s="29"/>
      <c r="AB34" s="30" t="b">
        <f>TRUE()</f>
        <v>1</v>
      </c>
      <c r="AC34" s="31">
        <f t="shared" ref="AC34:AC65" si="5">IF(L34="",0,IF(AB34=FALSE(),0,Y34))</f>
        <v>0</v>
      </c>
      <c r="AD34" s="35"/>
      <c r="AE34" s="35"/>
    </row>
    <row r="35" spans="1:31" ht="15" customHeight="1">
      <c r="A35" s="20">
        <f t="shared" si="3"/>
        <v>0</v>
      </c>
      <c r="B35" s="23"/>
      <c r="C35" s="23"/>
      <c r="D35" s="23"/>
      <c r="E35" s="23"/>
      <c r="F35" s="23"/>
      <c r="G35" s="23"/>
      <c r="H35" s="23"/>
      <c r="I35" s="23"/>
      <c r="J35" s="23"/>
      <c r="K35" s="23"/>
      <c r="L35" s="33"/>
      <c r="M35" s="26"/>
      <c r="N35" s="41"/>
      <c r="O35" s="26"/>
      <c r="P35" s="26"/>
      <c r="Q35" s="26"/>
      <c r="R35" s="26"/>
      <c r="S35" s="26"/>
      <c r="T35" s="26"/>
      <c r="U35" s="26"/>
      <c r="V35" s="26"/>
      <c r="W35" s="26"/>
      <c r="X35" s="26">
        <f>COUNTIF($L$2:L35,"&lt;&gt;"&amp;"")</f>
        <v>5</v>
      </c>
      <c r="Y35" s="27">
        <f t="shared" si="4"/>
        <v>0</v>
      </c>
      <c r="Z35" s="28"/>
      <c r="AA35" s="29"/>
      <c r="AB35" s="30" t="b">
        <f>TRUE()</f>
        <v>1</v>
      </c>
      <c r="AC35" s="31">
        <f t="shared" si="5"/>
        <v>0</v>
      </c>
      <c r="AD35" s="35"/>
      <c r="AE35" s="35"/>
    </row>
    <row r="36" spans="1:31" ht="15" customHeight="1">
      <c r="A36" s="20">
        <f t="shared" si="3"/>
        <v>0</v>
      </c>
      <c r="B36" s="23"/>
      <c r="C36" s="23"/>
      <c r="D36" s="23"/>
      <c r="E36" s="23"/>
      <c r="F36" s="23"/>
      <c r="G36" s="23"/>
      <c r="H36" s="23"/>
      <c r="I36" s="23"/>
      <c r="J36" s="23"/>
      <c r="K36" s="23"/>
      <c r="L36" s="33"/>
      <c r="M36" s="26"/>
      <c r="N36" s="26"/>
      <c r="O36" s="26"/>
      <c r="P36" s="26"/>
      <c r="Q36" s="26"/>
      <c r="R36" s="26"/>
      <c r="S36" s="26"/>
      <c r="T36" s="26"/>
      <c r="U36" s="26"/>
      <c r="V36" s="26"/>
      <c r="W36" s="26"/>
      <c r="X36" s="26">
        <f>COUNTIF($L$2:L36,"&lt;&gt;"&amp;"")</f>
        <v>5</v>
      </c>
      <c r="Y36" s="27">
        <f t="shared" si="4"/>
        <v>0</v>
      </c>
      <c r="Z36" s="28"/>
      <c r="AA36" s="29"/>
      <c r="AB36" s="30" t="b">
        <f>TRUE()</f>
        <v>1</v>
      </c>
      <c r="AC36" s="31">
        <f t="shared" si="5"/>
        <v>0</v>
      </c>
      <c r="AD36" s="35"/>
      <c r="AE36" s="35"/>
    </row>
    <row r="37" spans="1:31" ht="15" customHeight="1">
      <c r="A37" s="20">
        <f t="shared" si="3"/>
        <v>0</v>
      </c>
      <c r="B37" s="23"/>
      <c r="C37" s="23"/>
      <c r="D37" s="23"/>
      <c r="E37" s="23"/>
      <c r="F37" s="23"/>
      <c r="G37" s="23"/>
      <c r="H37" s="23"/>
      <c r="I37" s="23"/>
      <c r="J37" s="23"/>
      <c r="K37" s="23"/>
      <c r="L37" s="33"/>
      <c r="M37" s="26"/>
      <c r="N37" s="26"/>
      <c r="O37" s="26"/>
      <c r="P37" s="26"/>
      <c r="Q37" s="26"/>
      <c r="R37" s="26"/>
      <c r="S37" s="26"/>
      <c r="T37" s="26"/>
      <c r="U37" s="26"/>
      <c r="V37" s="26"/>
      <c r="W37" s="26"/>
      <c r="X37" s="26">
        <f>COUNTIF($L$2:L37,"&lt;&gt;"&amp;"")</f>
        <v>5</v>
      </c>
      <c r="Y37" s="27">
        <f t="shared" si="4"/>
        <v>0</v>
      </c>
      <c r="Z37" s="28"/>
      <c r="AA37" s="29"/>
      <c r="AB37" s="30" t="b">
        <f>TRUE()</f>
        <v>1</v>
      </c>
      <c r="AC37" s="31">
        <f t="shared" si="5"/>
        <v>0</v>
      </c>
      <c r="AD37" s="35"/>
      <c r="AE37" s="35"/>
    </row>
    <row r="38" spans="1:31" ht="15" customHeight="1">
      <c r="A38" s="20">
        <f t="shared" si="3"/>
        <v>0</v>
      </c>
      <c r="B38" s="23"/>
      <c r="C38" s="23"/>
      <c r="D38" s="23"/>
      <c r="E38" s="23"/>
      <c r="F38" s="23"/>
      <c r="G38" s="23"/>
      <c r="H38" s="23"/>
      <c r="I38" s="23"/>
      <c r="J38" s="23"/>
      <c r="K38" s="23"/>
      <c r="L38" s="33"/>
      <c r="M38" s="26"/>
      <c r="N38" s="26"/>
      <c r="O38" s="26"/>
      <c r="P38" s="26"/>
      <c r="Q38" s="26"/>
      <c r="R38" s="26"/>
      <c r="S38" s="26"/>
      <c r="T38" s="26"/>
      <c r="U38" s="26"/>
      <c r="V38" s="26"/>
      <c r="W38" s="26"/>
      <c r="X38" s="26">
        <f>COUNTIF($L$2:L38,"&lt;&gt;"&amp;"")</f>
        <v>5</v>
      </c>
      <c r="Y38" s="27">
        <f t="shared" si="4"/>
        <v>0</v>
      </c>
      <c r="Z38" s="28"/>
      <c r="AA38" s="29"/>
      <c r="AB38" s="30" t="b">
        <f>TRUE()</f>
        <v>1</v>
      </c>
      <c r="AC38" s="31">
        <f t="shared" si="5"/>
        <v>0</v>
      </c>
      <c r="AD38" s="42"/>
      <c r="AE38" s="42"/>
    </row>
    <row r="39" spans="1:31" ht="15" customHeight="1">
      <c r="A39" s="20">
        <f t="shared" si="3"/>
        <v>0</v>
      </c>
      <c r="B39" s="23"/>
      <c r="C39" s="23"/>
      <c r="D39" s="23"/>
      <c r="E39" s="23"/>
      <c r="F39" s="23"/>
      <c r="G39" s="23"/>
      <c r="H39" s="23"/>
      <c r="I39" s="23"/>
      <c r="J39" s="23"/>
      <c r="K39" s="23"/>
      <c r="L39" s="33"/>
      <c r="M39" s="26"/>
      <c r="N39" s="26"/>
      <c r="O39" s="26"/>
      <c r="P39" s="26"/>
      <c r="Q39" s="26"/>
      <c r="R39" s="26"/>
      <c r="S39" s="26"/>
      <c r="T39" s="26"/>
      <c r="U39" s="26"/>
      <c r="V39" s="26"/>
      <c r="W39" s="26"/>
      <c r="X39" s="26">
        <f>COUNTIF($L$2:L39,"&lt;&gt;"&amp;"")</f>
        <v>5</v>
      </c>
      <c r="Y39" s="27">
        <f t="shared" si="4"/>
        <v>0</v>
      </c>
      <c r="Z39" s="28"/>
      <c r="AA39" s="29"/>
      <c r="AB39" s="30" t="b">
        <f>TRUE()</f>
        <v>1</v>
      </c>
      <c r="AC39" s="31">
        <f t="shared" si="5"/>
        <v>0</v>
      </c>
      <c r="AD39" s="35"/>
      <c r="AE39" s="35"/>
    </row>
    <row r="40" spans="1:31" ht="15" customHeight="1">
      <c r="A40" s="20">
        <f t="shared" si="3"/>
        <v>0</v>
      </c>
      <c r="B40" s="23"/>
      <c r="C40" s="23"/>
      <c r="D40" s="23"/>
      <c r="E40" s="23"/>
      <c r="F40" s="23"/>
      <c r="G40" s="23"/>
      <c r="H40" s="23"/>
      <c r="I40" s="23"/>
      <c r="J40" s="23"/>
      <c r="K40" s="23"/>
      <c r="L40" s="33"/>
      <c r="M40" s="26"/>
      <c r="N40" s="26"/>
      <c r="O40" s="26"/>
      <c r="P40" s="26"/>
      <c r="Q40" s="26"/>
      <c r="R40" s="26"/>
      <c r="S40" s="26"/>
      <c r="T40" s="26"/>
      <c r="U40" s="26"/>
      <c r="V40" s="26"/>
      <c r="W40" s="26"/>
      <c r="X40" s="26">
        <f>COUNTIF($L$2:L40,"&lt;&gt;"&amp;"")</f>
        <v>5</v>
      </c>
      <c r="Y40" s="27">
        <f t="shared" si="4"/>
        <v>0</v>
      </c>
      <c r="Z40" s="28"/>
      <c r="AA40" s="29"/>
      <c r="AB40" s="30" t="b">
        <f>TRUE()</f>
        <v>1</v>
      </c>
      <c r="AC40" s="31">
        <f t="shared" si="5"/>
        <v>0</v>
      </c>
      <c r="AD40" s="42"/>
      <c r="AE40" s="42"/>
    </row>
    <row r="41" spans="1:31" ht="15" customHeight="1">
      <c r="A41" s="20">
        <f t="shared" si="3"/>
        <v>0</v>
      </c>
      <c r="B41" s="23"/>
      <c r="C41" s="23"/>
      <c r="D41" s="23"/>
      <c r="E41" s="23"/>
      <c r="F41" s="23"/>
      <c r="G41" s="23"/>
      <c r="H41" s="23"/>
      <c r="I41" s="23"/>
      <c r="J41" s="23"/>
      <c r="K41" s="23"/>
      <c r="L41" s="33"/>
      <c r="M41" s="26"/>
      <c r="N41" s="26"/>
      <c r="O41" s="26"/>
      <c r="P41" s="26"/>
      <c r="Q41" s="26"/>
      <c r="R41" s="26"/>
      <c r="S41" s="26"/>
      <c r="T41" s="26"/>
      <c r="U41" s="26"/>
      <c r="V41" s="26"/>
      <c r="W41" s="26"/>
      <c r="X41" s="26">
        <f>COUNTIF($L$2:L41,"&lt;&gt;"&amp;"")</f>
        <v>5</v>
      </c>
      <c r="Y41" s="27">
        <f t="shared" si="4"/>
        <v>0</v>
      </c>
      <c r="Z41" s="28"/>
      <c r="AA41" s="29"/>
      <c r="AB41" s="30" t="b">
        <f>TRUE()</f>
        <v>1</v>
      </c>
      <c r="AC41" s="31">
        <f t="shared" si="5"/>
        <v>0</v>
      </c>
      <c r="AD41" s="42"/>
      <c r="AE41" s="42"/>
    </row>
    <row r="42" spans="1:31" ht="15" customHeight="1">
      <c r="A42" s="20">
        <f t="shared" si="3"/>
        <v>0</v>
      </c>
      <c r="B42" s="23"/>
      <c r="C42" s="23"/>
      <c r="D42" s="23"/>
      <c r="E42" s="23"/>
      <c r="F42" s="23"/>
      <c r="G42" s="23"/>
      <c r="H42" s="23"/>
      <c r="I42" s="23"/>
      <c r="J42" s="23"/>
      <c r="K42" s="23"/>
      <c r="L42" s="33"/>
      <c r="M42" s="26"/>
      <c r="N42" s="40"/>
      <c r="O42" s="26"/>
      <c r="P42" s="26"/>
      <c r="Q42" s="26"/>
      <c r="R42" s="26"/>
      <c r="S42" s="26"/>
      <c r="T42" s="26"/>
      <c r="U42" s="26"/>
      <c r="V42" s="26"/>
      <c r="W42" s="26"/>
      <c r="X42" s="26">
        <f>COUNTIF($L$2:L42,"&lt;&gt;"&amp;"")</f>
        <v>5</v>
      </c>
      <c r="Y42" s="27">
        <f t="shared" si="4"/>
        <v>0</v>
      </c>
      <c r="Z42" s="28"/>
      <c r="AA42" s="29"/>
      <c r="AB42" s="30" t="b">
        <f>TRUE()</f>
        <v>1</v>
      </c>
      <c r="AC42" s="31">
        <f t="shared" si="5"/>
        <v>0</v>
      </c>
      <c r="AD42" s="35"/>
      <c r="AE42" s="35"/>
    </row>
    <row r="43" spans="1:31" ht="15" customHeight="1">
      <c r="A43" s="20">
        <f t="shared" si="3"/>
        <v>0</v>
      </c>
      <c r="B43" s="23"/>
      <c r="C43" s="23"/>
      <c r="D43" s="23"/>
      <c r="E43" s="23"/>
      <c r="F43" s="23"/>
      <c r="G43" s="23"/>
      <c r="H43" s="23"/>
      <c r="I43" s="23"/>
      <c r="J43" s="23"/>
      <c r="K43" s="23"/>
      <c r="L43" s="33"/>
      <c r="M43" s="33"/>
      <c r="N43" s="26"/>
      <c r="O43" s="26"/>
      <c r="P43" s="26"/>
      <c r="Q43" s="26"/>
      <c r="R43" s="26"/>
      <c r="S43" s="26"/>
      <c r="T43" s="26"/>
      <c r="U43" s="26"/>
      <c r="V43" s="26"/>
      <c r="W43" s="26"/>
      <c r="X43" s="26">
        <f>COUNTIF($L$2:L43,"&lt;&gt;"&amp;"")</f>
        <v>5</v>
      </c>
      <c r="Y43" s="27">
        <f t="shared" si="4"/>
        <v>0</v>
      </c>
      <c r="Z43" s="28"/>
      <c r="AA43" s="29"/>
      <c r="AB43" s="30" t="b">
        <f>TRUE()</f>
        <v>1</v>
      </c>
      <c r="AC43" s="31">
        <f t="shared" si="5"/>
        <v>0</v>
      </c>
      <c r="AD43" s="35"/>
      <c r="AE43" s="35"/>
    </row>
    <row r="44" spans="1:31" ht="15" customHeight="1">
      <c r="A44" s="20">
        <f t="shared" si="3"/>
        <v>0</v>
      </c>
      <c r="B44" s="23"/>
      <c r="C44" s="23"/>
      <c r="D44" s="23"/>
      <c r="E44" s="23"/>
      <c r="F44" s="23"/>
      <c r="G44" s="23"/>
      <c r="H44" s="23"/>
      <c r="I44" s="23"/>
      <c r="J44" s="23"/>
      <c r="K44" s="23"/>
      <c r="L44" s="33"/>
      <c r="M44" s="26"/>
      <c r="N44" s="26"/>
      <c r="O44" s="26"/>
      <c r="P44" s="26"/>
      <c r="Q44" s="26"/>
      <c r="R44" s="26"/>
      <c r="S44" s="26"/>
      <c r="T44" s="26"/>
      <c r="U44" s="26"/>
      <c r="V44" s="26"/>
      <c r="W44" s="26"/>
      <c r="X44" s="26">
        <f>COUNTIF($L$2:L44,"&lt;&gt;"&amp;"")</f>
        <v>5</v>
      </c>
      <c r="Y44" s="27">
        <f t="shared" si="4"/>
        <v>0</v>
      </c>
      <c r="Z44" s="28"/>
      <c r="AA44" s="29"/>
      <c r="AB44" s="30" t="b">
        <f>TRUE()</f>
        <v>1</v>
      </c>
      <c r="AC44" s="31">
        <f t="shared" si="5"/>
        <v>0</v>
      </c>
      <c r="AD44" s="35"/>
      <c r="AE44" s="35"/>
    </row>
    <row r="45" spans="1:31" ht="15" customHeight="1">
      <c r="A45" s="20">
        <f t="shared" si="3"/>
        <v>0</v>
      </c>
      <c r="B45" s="23"/>
      <c r="C45" s="23"/>
      <c r="D45" s="23"/>
      <c r="E45" s="23"/>
      <c r="F45" s="23"/>
      <c r="G45" s="23"/>
      <c r="H45" s="23"/>
      <c r="I45" s="23"/>
      <c r="J45" s="23"/>
      <c r="K45" s="23"/>
      <c r="L45" s="33"/>
      <c r="M45" s="26"/>
      <c r="N45" s="26"/>
      <c r="O45" s="26"/>
      <c r="P45" s="26"/>
      <c r="Q45" s="26"/>
      <c r="R45" s="26"/>
      <c r="S45" s="26"/>
      <c r="T45" s="26"/>
      <c r="U45" s="26"/>
      <c r="V45" s="26"/>
      <c r="W45" s="26"/>
      <c r="X45" s="26">
        <f>COUNTIF($L$2:L45,"&lt;&gt;"&amp;"")</f>
        <v>5</v>
      </c>
      <c r="Y45" s="27">
        <f t="shared" si="4"/>
        <v>0</v>
      </c>
      <c r="Z45" s="28"/>
      <c r="AA45" s="29"/>
      <c r="AB45" s="30" t="b">
        <f>TRUE()</f>
        <v>1</v>
      </c>
      <c r="AC45" s="31">
        <f t="shared" si="5"/>
        <v>0</v>
      </c>
      <c r="AD45" s="35"/>
      <c r="AE45" s="35"/>
    </row>
    <row r="46" spans="1:31" ht="15" customHeight="1">
      <c r="A46" s="20">
        <f t="shared" si="3"/>
        <v>0</v>
      </c>
      <c r="B46" s="23"/>
      <c r="C46" s="23"/>
      <c r="D46" s="23"/>
      <c r="E46" s="23"/>
      <c r="F46" s="23"/>
      <c r="G46" s="23"/>
      <c r="H46" s="23"/>
      <c r="I46" s="23"/>
      <c r="J46" s="23"/>
      <c r="K46" s="23"/>
      <c r="L46" s="33"/>
      <c r="M46" s="26"/>
      <c r="N46" s="26"/>
      <c r="O46" s="26"/>
      <c r="P46" s="26"/>
      <c r="Q46" s="26"/>
      <c r="R46" s="26"/>
      <c r="S46" s="26"/>
      <c r="T46" s="26"/>
      <c r="U46" s="26"/>
      <c r="V46" s="26"/>
      <c r="W46" s="26"/>
      <c r="X46" s="26">
        <f>COUNTIF($L$2:L46,"&lt;&gt;"&amp;"")</f>
        <v>5</v>
      </c>
      <c r="Y46" s="27">
        <f t="shared" si="4"/>
        <v>0</v>
      </c>
      <c r="Z46" s="28"/>
      <c r="AA46" s="29"/>
      <c r="AB46" s="30" t="b">
        <f>TRUE()</f>
        <v>1</v>
      </c>
      <c r="AC46" s="31">
        <f t="shared" si="5"/>
        <v>0</v>
      </c>
      <c r="AD46" s="35"/>
      <c r="AE46" s="35"/>
    </row>
    <row r="47" spans="1:31" ht="15" customHeight="1">
      <c r="A47" s="20">
        <f t="shared" si="3"/>
        <v>0</v>
      </c>
      <c r="B47" s="23"/>
      <c r="C47" s="23"/>
      <c r="D47" s="23"/>
      <c r="E47" s="23"/>
      <c r="F47" s="23"/>
      <c r="G47" s="23"/>
      <c r="H47" s="23"/>
      <c r="I47" s="23"/>
      <c r="J47" s="23"/>
      <c r="K47" s="23"/>
      <c r="L47" s="33"/>
      <c r="M47" s="26"/>
      <c r="N47" s="26"/>
      <c r="O47" s="26"/>
      <c r="P47" s="26"/>
      <c r="Q47" s="26"/>
      <c r="R47" s="26"/>
      <c r="S47" s="26"/>
      <c r="T47" s="26"/>
      <c r="U47" s="26"/>
      <c r="V47" s="26"/>
      <c r="W47" s="26"/>
      <c r="X47" s="26">
        <f>COUNTIF($L$2:L47,"&lt;&gt;"&amp;"")</f>
        <v>5</v>
      </c>
      <c r="Y47" s="27">
        <f t="shared" si="4"/>
        <v>0</v>
      </c>
      <c r="Z47" s="28"/>
      <c r="AA47" s="29"/>
      <c r="AB47" s="30" t="b">
        <f>TRUE()</f>
        <v>1</v>
      </c>
      <c r="AC47" s="31">
        <f t="shared" si="5"/>
        <v>0</v>
      </c>
      <c r="AD47" s="35"/>
      <c r="AE47" s="35"/>
    </row>
    <row r="48" spans="1:31" ht="15" customHeight="1">
      <c r="A48" s="20">
        <f t="shared" si="3"/>
        <v>0</v>
      </c>
      <c r="B48" s="23"/>
      <c r="C48" s="23"/>
      <c r="D48" s="23"/>
      <c r="E48" s="23"/>
      <c r="F48" s="23"/>
      <c r="G48" s="23"/>
      <c r="H48" s="23"/>
      <c r="I48" s="23"/>
      <c r="J48" s="23"/>
      <c r="K48" s="23"/>
      <c r="L48" s="33"/>
      <c r="M48" s="26"/>
      <c r="N48" s="26"/>
      <c r="O48" s="26"/>
      <c r="P48" s="26"/>
      <c r="Q48" s="26"/>
      <c r="R48" s="26"/>
      <c r="S48" s="26"/>
      <c r="T48" s="26"/>
      <c r="U48" s="26"/>
      <c r="V48" s="26"/>
      <c r="W48" s="26"/>
      <c r="X48" s="26">
        <f>COUNTIF($L$2:L48,"&lt;&gt;"&amp;"")</f>
        <v>5</v>
      </c>
      <c r="Y48" s="27">
        <f t="shared" si="4"/>
        <v>0</v>
      </c>
      <c r="Z48" s="28"/>
      <c r="AA48" s="29"/>
      <c r="AB48" s="30" t="b">
        <f>TRUE()</f>
        <v>1</v>
      </c>
      <c r="AC48" s="31">
        <f t="shared" si="5"/>
        <v>0</v>
      </c>
      <c r="AD48" s="42"/>
      <c r="AE48" s="42"/>
    </row>
    <row r="49" spans="1:31" ht="15" customHeight="1">
      <c r="A49" s="20">
        <f t="shared" si="3"/>
        <v>0</v>
      </c>
      <c r="B49" s="23"/>
      <c r="C49" s="23"/>
      <c r="D49" s="23"/>
      <c r="E49" s="23"/>
      <c r="F49" s="23"/>
      <c r="G49" s="23"/>
      <c r="H49" s="23"/>
      <c r="I49" s="23"/>
      <c r="J49" s="23"/>
      <c r="K49" s="23"/>
      <c r="L49" s="33"/>
      <c r="M49" s="26"/>
      <c r="N49" s="26"/>
      <c r="O49" s="26"/>
      <c r="P49" s="26"/>
      <c r="Q49" s="26"/>
      <c r="R49" s="26"/>
      <c r="S49" s="26"/>
      <c r="T49" s="26"/>
      <c r="U49" s="26"/>
      <c r="V49" s="26"/>
      <c r="W49" s="26"/>
      <c r="X49" s="26">
        <f>COUNTIF($L$2:L49,"&lt;&gt;"&amp;"")</f>
        <v>5</v>
      </c>
      <c r="Y49" s="27">
        <f t="shared" si="4"/>
        <v>0</v>
      </c>
      <c r="Z49" s="28"/>
      <c r="AA49" s="29"/>
      <c r="AB49" s="30" t="b">
        <f>TRUE()</f>
        <v>1</v>
      </c>
      <c r="AC49" s="31">
        <f t="shared" si="5"/>
        <v>0</v>
      </c>
      <c r="AD49" s="42"/>
      <c r="AE49" s="42"/>
    </row>
    <row r="50" spans="1:31" ht="15" customHeight="1">
      <c r="A50" s="20">
        <f t="shared" si="3"/>
        <v>0</v>
      </c>
      <c r="B50" s="23"/>
      <c r="C50" s="23"/>
      <c r="D50" s="23"/>
      <c r="E50" s="23"/>
      <c r="F50" s="23"/>
      <c r="G50" s="23"/>
      <c r="H50" s="23"/>
      <c r="I50" s="23"/>
      <c r="J50" s="23"/>
      <c r="K50" s="23"/>
      <c r="L50" s="33"/>
      <c r="M50" s="33"/>
      <c r="N50" s="26"/>
      <c r="O50" s="26"/>
      <c r="P50" s="26"/>
      <c r="Q50" s="26"/>
      <c r="R50" s="26"/>
      <c r="S50" s="26"/>
      <c r="T50" s="26"/>
      <c r="U50" s="26"/>
      <c r="V50" s="26"/>
      <c r="W50" s="26"/>
      <c r="X50" s="26">
        <f>COUNTIF($L$2:L50,"&lt;&gt;"&amp;"")</f>
        <v>5</v>
      </c>
      <c r="Y50" s="27">
        <f t="shared" si="4"/>
        <v>0</v>
      </c>
      <c r="Z50" s="28"/>
      <c r="AA50" s="29"/>
      <c r="AB50" s="30" t="b">
        <f>TRUE()</f>
        <v>1</v>
      </c>
      <c r="AC50" s="31">
        <f t="shared" si="5"/>
        <v>0</v>
      </c>
      <c r="AD50" s="42"/>
      <c r="AE50" s="42"/>
    </row>
    <row r="51" spans="1:31" ht="15" customHeight="1">
      <c r="A51" s="20">
        <f t="shared" si="3"/>
        <v>0</v>
      </c>
      <c r="B51" s="23"/>
      <c r="C51" s="23"/>
      <c r="D51" s="23"/>
      <c r="E51" s="23"/>
      <c r="F51" s="23"/>
      <c r="G51" s="23"/>
      <c r="H51" s="23"/>
      <c r="I51" s="23"/>
      <c r="J51" s="23"/>
      <c r="K51" s="23"/>
      <c r="L51" s="33"/>
      <c r="M51" s="26"/>
      <c r="N51" s="26"/>
      <c r="O51" s="26"/>
      <c r="P51" s="26"/>
      <c r="Q51" s="26"/>
      <c r="R51" s="26"/>
      <c r="S51" s="26"/>
      <c r="T51" s="26"/>
      <c r="U51" s="26"/>
      <c r="V51" s="26"/>
      <c r="W51" s="26"/>
      <c r="X51" s="26">
        <f>COUNTIF($L$2:L51,"&lt;&gt;"&amp;"")</f>
        <v>5</v>
      </c>
      <c r="Y51" s="27">
        <f t="shared" si="4"/>
        <v>0</v>
      </c>
      <c r="Z51" s="28"/>
      <c r="AA51" s="29"/>
      <c r="AB51" s="30" t="b">
        <f>TRUE()</f>
        <v>1</v>
      </c>
      <c r="AC51" s="31">
        <f t="shared" si="5"/>
        <v>0</v>
      </c>
      <c r="AD51" s="42"/>
      <c r="AE51" s="42"/>
    </row>
    <row r="52" spans="1:31" ht="15" customHeight="1">
      <c r="A52" s="20">
        <f t="shared" si="3"/>
        <v>0</v>
      </c>
      <c r="B52" s="23"/>
      <c r="C52" s="23"/>
      <c r="D52" s="23"/>
      <c r="E52" s="23"/>
      <c r="F52" s="23"/>
      <c r="G52" s="23"/>
      <c r="H52" s="23"/>
      <c r="I52" s="23"/>
      <c r="J52" s="23"/>
      <c r="K52" s="23"/>
      <c r="L52" s="33"/>
      <c r="M52" s="26"/>
      <c r="N52" s="26"/>
      <c r="O52" s="26"/>
      <c r="P52" s="26"/>
      <c r="Q52" s="26"/>
      <c r="R52" s="26"/>
      <c r="S52" s="26"/>
      <c r="T52" s="26"/>
      <c r="U52" s="26"/>
      <c r="V52" s="26"/>
      <c r="W52" s="26"/>
      <c r="X52" s="26">
        <f>COUNTIF($L$2:L52,"&lt;&gt;"&amp;"")</f>
        <v>5</v>
      </c>
      <c r="Y52" s="27">
        <f t="shared" si="4"/>
        <v>0</v>
      </c>
      <c r="Z52" s="28"/>
      <c r="AA52" s="29"/>
      <c r="AB52" s="30" t="b">
        <f>TRUE()</f>
        <v>1</v>
      </c>
      <c r="AC52" s="31">
        <f t="shared" si="5"/>
        <v>0</v>
      </c>
      <c r="AD52" s="42"/>
      <c r="AE52" s="42"/>
    </row>
    <row r="53" spans="1:31" ht="15" customHeight="1">
      <c r="A53" s="20">
        <f t="shared" si="3"/>
        <v>0</v>
      </c>
      <c r="B53" s="23"/>
      <c r="C53" s="23"/>
      <c r="D53" s="23"/>
      <c r="E53" s="23"/>
      <c r="F53" s="23"/>
      <c r="G53" s="23"/>
      <c r="H53" s="23"/>
      <c r="I53" s="23"/>
      <c r="J53" s="23"/>
      <c r="K53" s="23"/>
      <c r="L53" s="33"/>
      <c r="M53" s="33"/>
      <c r="N53" s="26"/>
      <c r="O53" s="26"/>
      <c r="P53" s="26"/>
      <c r="Q53" s="26"/>
      <c r="R53" s="26"/>
      <c r="S53" s="26"/>
      <c r="T53" s="26"/>
      <c r="U53" s="26"/>
      <c r="V53" s="26"/>
      <c r="W53" s="26"/>
      <c r="X53" s="26">
        <f>COUNTIF($L$2:L53,"&lt;&gt;"&amp;"")</f>
        <v>5</v>
      </c>
      <c r="Y53" s="27">
        <f t="shared" si="4"/>
        <v>0</v>
      </c>
      <c r="Z53" s="28"/>
      <c r="AA53" s="29"/>
      <c r="AB53" s="30" t="b">
        <f>TRUE()</f>
        <v>1</v>
      </c>
      <c r="AC53" s="31">
        <f t="shared" si="5"/>
        <v>0</v>
      </c>
      <c r="AD53" s="42"/>
      <c r="AE53" s="42"/>
    </row>
    <row r="54" spans="1:31" ht="15" customHeight="1">
      <c r="A54" s="20">
        <f t="shared" si="3"/>
        <v>0</v>
      </c>
      <c r="B54" s="23"/>
      <c r="C54" s="23"/>
      <c r="D54" s="23"/>
      <c r="E54" s="23"/>
      <c r="F54" s="23"/>
      <c r="G54" s="23"/>
      <c r="H54" s="23"/>
      <c r="I54" s="23"/>
      <c r="J54" s="23"/>
      <c r="K54" s="23"/>
      <c r="L54" s="33"/>
      <c r="M54" s="26"/>
      <c r="N54" s="26"/>
      <c r="O54" s="26"/>
      <c r="P54" s="26"/>
      <c r="Q54" s="26"/>
      <c r="R54" s="26"/>
      <c r="S54" s="26"/>
      <c r="T54" s="26"/>
      <c r="U54" s="26"/>
      <c r="V54" s="26"/>
      <c r="W54" s="26"/>
      <c r="X54" s="26">
        <f>COUNTIF($L$2:L54,"&lt;&gt;"&amp;"")</f>
        <v>5</v>
      </c>
      <c r="Y54" s="27">
        <f t="shared" si="4"/>
        <v>0</v>
      </c>
      <c r="Z54" s="28"/>
      <c r="AA54" s="29"/>
      <c r="AB54" s="30" t="b">
        <f>TRUE()</f>
        <v>1</v>
      </c>
      <c r="AC54" s="31">
        <f t="shared" si="5"/>
        <v>0</v>
      </c>
      <c r="AD54" s="42"/>
      <c r="AE54" s="42"/>
    </row>
    <row r="55" spans="1:31" ht="15" customHeight="1">
      <c r="A55" s="20">
        <f t="shared" si="3"/>
        <v>0</v>
      </c>
      <c r="B55" s="23"/>
      <c r="C55" s="23"/>
      <c r="D55" s="23"/>
      <c r="E55" s="23"/>
      <c r="F55" s="23"/>
      <c r="G55" s="23"/>
      <c r="H55" s="23"/>
      <c r="I55" s="23"/>
      <c r="J55" s="23"/>
      <c r="K55" s="23"/>
      <c r="L55" s="33"/>
      <c r="M55" s="26"/>
      <c r="N55" s="26"/>
      <c r="O55" s="26"/>
      <c r="P55" s="26"/>
      <c r="Q55" s="26"/>
      <c r="R55" s="26"/>
      <c r="S55" s="26"/>
      <c r="T55" s="26"/>
      <c r="U55" s="26"/>
      <c r="V55" s="26"/>
      <c r="W55" s="26"/>
      <c r="X55" s="26">
        <f>COUNTIF($L$2:L55,"&lt;&gt;"&amp;"")</f>
        <v>5</v>
      </c>
      <c r="Y55" s="27">
        <f t="shared" si="4"/>
        <v>0</v>
      </c>
      <c r="Z55" s="28"/>
      <c r="AA55" s="29"/>
      <c r="AB55" s="30" t="b">
        <f>TRUE()</f>
        <v>1</v>
      </c>
      <c r="AC55" s="31">
        <f t="shared" si="5"/>
        <v>0</v>
      </c>
      <c r="AD55" s="42"/>
      <c r="AE55" s="42"/>
    </row>
    <row r="56" spans="1:31" ht="15" customHeight="1">
      <c r="A56" s="20">
        <f t="shared" si="3"/>
        <v>0</v>
      </c>
      <c r="B56" s="23"/>
      <c r="C56" s="23"/>
      <c r="D56" s="23"/>
      <c r="E56" s="23"/>
      <c r="F56" s="23"/>
      <c r="G56" s="23"/>
      <c r="H56" s="23"/>
      <c r="I56" s="23"/>
      <c r="J56" s="23"/>
      <c r="K56" s="23"/>
      <c r="L56" s="33"/>
      <c r="M56" s="26"/>
      <c r="N56" s="26"/>
      <c r="O56" s="26"/>
      <c r="P56" s="26"/>
      <c r="Q56" s="26"/>
      <c r="R56" s="26"/>
      <c r="S56" s="26"/>
      <c r="T56" s="26"/>
      <c r="U56" s="26"/>
      <c r="V56" s="26"/>
      <c r="W56" s="26"/>
      <c r="X56" s="26">
        <f>COUNTIF($L$2:L56,"&lt;&gt;"&amp;"")</f>
        <v>5</v>
      </c>
      <c r="Y56" s="27">
        <f t="shared" si="4"/>
        <v>0</v>
      </c>
      <c r="Z56" s="28"/>
      <c r="AA56" s="29"/>
      <c r="AB56" s="30" t="b">
        <f>TRUE()</f>
        <v>1</v>
      </c>
      <c r="AC56" s="31">
        <f t="shared" si="5"/>
        <v>0</v>
      </c>
      <c r="AD56" s="42"/>
      <c r="AE56" s="42"/>
    </row>
    <row r="57" spans="1:31" ht="15" customHeight="1">
      <c r="A57" s="20">
        <f t="shared" si="3"/>
        <v>0</v>
      </c>
      <c r="B57" s="23"/>
      <c r="C57" s="23"/>
      <c r="D57" s="23"/>
      <c r="E57" s="23"/>
      <c r="F57" s="23"/>
      <c r="G57" s="23"/>
      <c r="H57" s="23"/>
      <c r="I57" s="23"/>
      <c r="J57" s="23"/>
      <c r="K57" s="23"/>
      <c r="L57" s="33"/>
      <c r="M57" s="26"/>
      <c r="N57" s="26"/>
      <c r="O57" s="26"/>
      <c r="P57" s="26"/>
      <c r="Q57" s="26"/>
      <c r="R57" s="26"/>
      <c r="S57" s="26"/>
      <c r="T57" s="26"/>
      <c r="U57" s="26"/>
      <c r="V57" s="26"/>
      <c r="W57" s="26"/>
      <c r="X57" s="26">
        <f>COUNTIF($L$2:L57,"&lt;&gt;"&amp;"")</f>
        <v>5</v>
      </c>
      <c r="Y57" s="27">
        <f t="shared" si="4"/>
        <v>0</v>
      </c>
      <c r="Z57" s="28"/>
      <c r="AA57" s="29"/>
      <c r="AB57" s="30" t="b">
        <f>TRUE()</f>
        <v>1</v>
      </c>
      <c r="AC57" s="31">
        <f t="shared" si="5"/>
        <v>0</v>
      </c>
      <c r="AD57" s="42"/>
      <c r="AE57" s="42"/>
    </row>
    <row r="58" spans="1:31" ht="15" customHeight="1">
      <c r="A58" s="20">
        <f t="shared" si="3"/>
        <v>0</v>
      </c>
      <c r="B58" s="23"/>
      <c r="C58" s="23"/>
      <c r="D58" s="23"/>
      <c r="E58" s="23"/>
      <c r="F58" s="23"/>
      <c r="G58" s="23"/>
      <c r="H58" s="23"/>
      <c r="I58" s="23"/>
      <c r="J58" s="23"/>
      <c r="K58" s="23"/>
      <c r="L58" s="33"/>
      <c r="M58" s="26"/>
      <c r="N58" s="26"/>
      <c r="O58" s="26"/>
      <c r="P58" s="26"/>
      <c r="Q58" s="26"/>
      <c r="R58" s="26"/>
      <c r="S58" s="26"/>
      <c r="T58" s="26"/>
      <c r="U58" s="26"/>
      <c r="V58" s="26"/>
      <c r="W58" s="26"/>
      <c r="X58" s="26">
        <f>COUNTIF($L$2:L58,"&lt;&gt;"&amp;"")</f>
        <v>5</v>
      </c>
      <c r="Y58" s="27">
        <f t="shared" si="4"/>
        <v>0</v>
      </c>
      <c r="Z58" s="28"/>
      <c r="AA58" s="29"/>
      <c r="AB58" s="30" t="b">
        <f>TRUE()</f>
        <v>1</v>
      </c>
      <c r="AC58" s="31">
        <f t="shared" si="5"/>
        <v>0</v>
      </c>
      <c r="AD58" s="42"/>
      <c r="AE58" s="42"/>
    </row>
    <row r="59" spans="1:31" ht="15" customHeight="1">
      <c r="A59" s="20">
        <f t="shared" si="3"/>
        <v>0</v>
      </c>
      <c r="B59" s="23"/>
      <c r="C59" s="23"/>
      <c r="D59" s="23"/>
      <c r="E59" s="23"/>
      <c r="F59" s="23"/>
      <c r="G59" s="23"/>
      <c r="H59" s="23"/>
      <c r="I59" s="23"/>
      <c r="J59" s="23"/>
      <c r="K59" s="23"/>
      <c r="L59" s="33"/>
      <c r="M59" s="26"/>
      <c r="N59" s="26"/>
      <c r="O59" s="26"/>
      <c r="P59" s="26"/>
      <c r="Q59" s="26"/>
      <c r="R59" s="26"/>
      <c r="S59" s="26"/>
      <c r="T59" s="26"/>
      <c r="U59" s="26"/>
      <c r="V59" s="26"/>
      <c r="W59" s="26"/>
      <c r="X59" s="26">
        <f>COUNTIF($L$2:L59,"&lt;&gt;"&amp;"")</f>
        <v>5</v>
      </c>
      <c r="Y59" s="27">
        <f t="shared" si="4"/>
        <v>0</v>
      </c>
      <c r="Z59" s="28"/>
      <c r="AA59" s="29"/>
      <c r="AB59" s="30" t="b">
        <f>TRUE()</f>
        <v>1</v>
      </c>
      <c r="AC59" s="31">
        <f t="shared" si="5"/>
        <v>0</v>
      </c>
      <c r="AD59" s="42"/>
      <c r="AE59" s="42"/>
    </row>
    <row r="60" spans="1:31" ht="15" customHeight="1">
      <c r="A60" s="20">
        <f t="shared" si="3"/>
        <v>0</v>
      </c>
      <c r="B60" s="23"/>
      <c r="C60" s="23"/>
      <c r="D60" s="23"/>
      <c r="E60" s="23"/>
      <c r="F60" s="23"/>
      <c r="G60" s="23"/>
      <c r="H60" s="23"/>
      <c r="I60" s="23"/>
      <c r="J60" s="23"/>
      <c r="K60" s="23"/>
      <c r="L60" s="33"/>
      <c r="M60" s="26"/>
      <c r="N60" s="26"/>
      <c r="O60" s="26"/>
      <c r="P60" s="26"/>
      <c r="Q60" s="26"/>
      <c r="R60" s="26"/>
      <c r="S60" s="26"/>
      <c r="T60" s="26"/>
      <c r="U60" s="26"/>
      <c r="V60" s="26"/>
      <c r="W60" s="26"/>
      <c r="X60" s="26">
        <f>COUNTIF($L$2:L60,"&lt;&gt;"&amp;"")</f>
        <v>5</v>
      </c>
      <c r="Y60" s="27">
        <f t="shared" si="4"/>
        <v>0</v>
      </c>
      <c r="Z60" s="28"/>
      <c r="AA60" s="29"/>
      <c r="AB60" s="30" t="b">
        <f>TRUE()</f>
        <v>1</v>
      </c>
      <c r="AC60" s="31">
        <f t="shared" si="5"/>
        <v>0</v>
      </c>
      <c r="AD60" s="42"/>
      <c r="AE60" s="42"/>
    </row>
    <row r="61" spans="1:31" ht="15" customHeight="1">
      <c r="A61" s="20">
        <f t="shared" si="3"/>
        <v>0</v>
      </c>
      <c r="B61" s="23"/>
      <c r="C61" s="23"/>
      <c r="D61" s="23"/>
      <c r="E61" s="23"/>
      <c r="F61" s="23"/>
      <c r="G61" s="23"/>
      <c r="H61" s="23"/>
      <c r="I61" s="23"/>
      <c r="J61" s="23"/>
      <c r="K61" s="23"/>
      <c r="L61" s="33"/>
      <c r="M61" s="26"/>
      <c r="N61" s="26"/>
      <c r="O61" s="26"/>
      <c r="P61" s="26"/>
      <c r="Q61" s="26"/>
      <c r="R61" s="26"/>
      <c r="S61" s="26"/>
      <c r="T61" s="26"/>
      <c r="U61" s="26"/>
      <c r="V61" s="26"/>
      <c r="W61" s="26"/>
      <c r="X61" s="26">
        <f>COUNTIF($L$2:L61,"&lt;&gt;"&amp;"")</f>
        <v>5</v>
      </c>
      <c r="Y61" s="27">
        <f t="shared" si="4"/>
        <v>0</v>
      </c>
      <c r="Z61" s="28"/>
      <c r="AA61" s="29"/>
      <c r="AB61" s="30" t="b">
        <f>TRUE()</f>
        <v>1</v>
      </c>
      <c r="AC61" s="31">
        <f t="shared" si="5"/>
        <v>0</v>
      </c>
      <c r="AD61" s="42"/>
      <c r="AE61" s="42"/>
    </row>
    <row r="62" spans="1:31" ht="15" customHeight="1">
      <c r="A62" s="20">
        <f t="shared" si="3"/>
        <v>0</v>
      </c>
      <c r="B62" s="23"/>
      <c r="C62" s="23"/>
      <c r="D62" s="23"/>
      <c r="E62" s="23"/>
      <c r="F62" s="23"/>
      <c r="G62" s="23"/>
      <c r="H62" s="23"/>
      <c r="I62" s="23"/>
      <c r="J62" s="23"/>
      <c r="K62" s="23"/>
      <c r="L62" s="33"/>
      <c r="M62" s="26"/>
      <c r="N62" s="26"/>
      <c r="O62" s="26"/>
      <c r="P62" s="26"/>
      <c r="Q62" s="26"/>
      <c r="R62" s="26"/>
      <c r="S62" s="26"/>
      <c r="T62" s="26"/>
      <c r="U62" s="26"/>
      <c r="V62" s="26"/>
      <c r="W62" s="26"/>
      <c r="X62" s="26">
        <f>COUNTIF($L$2:L62,"&lt;&gt;"&amp;"")</f>
        <v>5</v>
      </c>
      <c r="Y62" s="27">
        <f t="shared" si="4"/>
        <v>0</v>
      </c>
      <c r="Z62" s="28"/>
      <c r="AA62" s="29"/>
      <c r="AB62" s="30" t="b">
        <f>TRUE()</f>
        <v>1</v>
      </c>
      <c r="AC62" s="31">
        <f t="shared" si="5"/>
        <v>0</v>
      </c>
      <c r="AD62" s="42"/>
      <c r="AE62" s="42"/>
    </row>
    <row r="63" spans="1:31" ht="15" customHeight="1">
      <c r="A63" s="20">
        <f t="shared" si="3"/>
        <v>0</v>
      </c>
      <c r="B63" s="23"/>
      <c r="C63" s="23"/>
      <c r="D63" s="23"/>
      <c r="E63" s="23"/>
      <c r="F63" s="23"/>
      <c r="G63" s="23"/>
      <c r="H63" s="23"/>
      <c r="I63" s="23"/>
      <c r="J63" s="23"/>
      <c r="K63" s="23"/>
      <c r="L63" s="33"/>
      <c r="M63" s="26"/>
      <c r="N63" s="26"/>
      <c r="O63" s="26"/>
      <c r="P63" s="26"/>
      <c r="Q63" s="26"/>
      <c r="R63" s="26"/>
      <c r="S63" s="26"/>
      <c r="T63" s="26"/>
      <c r="U63" s="26"/>
      <c r="V63" s="26"/>
      <c r="W63" s="26"/>
      <c r="X63" s="26">
        <f>COUNTIF($L$2:L63,"&lt;&gt;"&amp;"")</f>
        <v>5</v>
      </c>
      <c r="Y63" s="27">
        <f t="shared" si="4"/>
        <v>0</v>
      </c>
      <c r="Z63" s="28"/>
      <c r="AA63" s="29"/>
      <c r="AB63" s="30" t="b">
        <f>TRUE()</f>
        <v>1</v>
      </c>
      <c r="AC63" s="31">
        <f t="shared" si="5"/>
        <v>0</v>
      </c>
      <c r="AD63" s="42"/>
      <c r="AE63" s="42"/>
    </row>
    <row r="64" spans="1:31" ht="15" customHeight="1">
      <c r="A64" s="20">
        <f t="shared" si="3"/>
        <v>0</v>
      </c>
      <c r="B64" s="23"/>
      <c r="C64" s="23"/>
      <c r="D64" s="23"/>
      <c r="E64" s="23"/>
      <c r="F64" s="23"/>
      <c r="G64" s="23"/>
      <c r="H64" s="23"/>
      <c r="I64" s="23"/>
      <c r="J64" s="23"/>
      <c r="K64" s="23"/>
      <c r="L64" s="33"/>
      <c r="M64" s="26"/>
      <c r="N64" s="26"/>
      <c r="O64" s="26"/>
      <c r="P64" s="26"/>
      <c r="Q64" s="26"/>
      <c r="R64" s="26"/>
      <c r="S64" s="26"/>
      <c r="T64" s="26"/>
      <c r="U64" s="26"/>
      <c r="V64" s="26"/>
      <c r="W64" s="26"/>
      <c r="X64" s="26">
        <f>COUNTIF($L$2:L64,"&lt;&gt;"&amp;"")</f>
        <v>5</v>
      </c>
      <c r="Y64" s="27">
        <f t="shared" si="4"/>
        <v>0</v>
      </c>
      <c r="Z64" s="28"/>
      <c r="AA64" s="29"/>
      <c r="AB64" s="30" t="b">
        <f>TRUE()</f>
        <v>1</v>
      </c>
      <c r="AC64" s="31">
        <f t="shared" si="5"/>
        <v>0</v>
      </c>
      <c r="AD64" s="35"/>
      <c r="AE64" s="35"/>
    </row>
    <row r="65" spans="1:31" ht="15" customHeight="1">
      <c r="A65" s="20">
        <f t="shared" si="3"/>
        <v>0</v>
      </c>
      <c r="B65" s="23"/>
      <c r="C65" s="23"/>
      <c r="D65" s="23"/>
      <c r="E65" s="23"/>
      <c r="F65" s="23"/>
      <c r="G65" s="23"/>
      <c r="H65" s="23"/>
      <c r="I65" s="23"/>
      <c r="J65" s="23"/>
      <c r="K65" s="23"/>
      <c r="L65" s="33"/>
      <c r="M65" s="26"/>
      <c r="N65" s="26"/>
      <c r="O65" s="26"/>
      <c r="P65" s="26"/>
      <c r="Q65" s="26"/>
      <c r="R65" s="26"/>
      <c r="S65" s="26"/>
      <c r="T65" s="26"/>
      <c r="U65" s="26"/>
      <c r="V65" s="26"/>
      <c r="W65" s="26"/>
      <c r="X65" s="26">
        <f>COUNTIF($L$2:L65,"&lt;&gt;"&amp;"")</f>
        <v>5</v>
      </c>
      <c r="Y65" s="27">
        <f t="shared" si="4"/>
        <v>0</v>
      </c>
      <c r="Z65" s="28"/>
      <c r="AA65" s="29"/>
      <c r="AB65" s="30" t="b">
        <f>TRUE()</f>
        <v>1</v>
      </c>
      <c r="AC65" s="31">
        <f t="shared" si="5"/>
        <v>0</v>
      </c>
      <c r="AD65" s="42"/>
      <c r="AE65" s="42"/>
    </row>
    <row r="66" spans="1:31" ht="15" customHeight="1">
      <c r="A66" s="20">
        <f t="shared" ref="A66:A97" si="6">(B66*$P$125+C66*$P$126+D66*$P$127+E66*$P$128+F66*$P$129+G66*$P$130+H66*$P$131+I66*$P$132+J66*$P$133+K66*$P$134)*$T$123</f>
        <v>0</v>
      </c>
      <c r="B66" s="23"/>
      <c r="C66" s="23"/>
      <c r="D66" s="23"/>
      <c r="E66" s="23"/>
      <c r="F66" s="23"/>
      <c r="G66" s="23"/>
      <c r="H66" s="23"/>
      <c r="I66" s="23"/>
      <c r="J66" s="23"/>
      <c r="K66" s="23"/>
      <c r="L66" s="33"/>
      <c r="M66" s="33"/>
      <c r="N66" s="26"/>
      <c r="O66" s="26"/>
      <c r="P66" s="26"/>
      <c r="Q66" s="26"/>
      <c r="R66" s="26"/>
      <c r="S66" s="26"/>
      <c r="T66" s="26"/>
      <c r="U66" s="26"/>
      <c r="V66" s="26"/>
      <c r="W66" s="26"/>
      <c r="X66" s="26">
        <f>COUNTIF($L$2:L66,"&lt;&gt;"&amp;"")</f>
        <v>5</v>
      </c>
      <c r="Y66" s="27">
        <f t="shared" ref="Y66:Y97" si="7">SUMIF($X$2:$X$120,X66,$A$2:$A$120)</f>
        <v>0</v>
      </c>
      <c r="Z66" s="28"/>
      <c r="AA66" s="29"/>
      <c r="AB66" s="30" t="b">
        <f>TRUE()</f>
        <v>1</v>
      </c>
      <c r="AC66" s="31">
        <f t="shared" ref="AC66:AC97" si="8">IF(L66="",0,IF(AB66=FALSE(),0,Y66))</f>
        <v>0</v>
      </c>
      <c r="AD66" s="42"/>
      <c r="AE66" s="42"/>
    </row>
    <row r="67" spans="1:31" ht="15" customHeight="1">
      <c r="A67" s="20">
        <f t="shared" si="6"/>
        <v>0</v>
      </c>
      <c r="B67" s="23"/>
      <c r="C67" s="23"/>
      <c r="D67" s="23"/>
      <c r="E67" s="23"/>
      <c r="F67" s="23"/>
      <c r="G67" s="23"/>
      <c r="H67" s="23"/>
      <c r="I67" s="23"/>
      <c r="J67" s="23"/>
      <c r="K67" s="23"/>
      <c r="L67" s="33"/>
      <c r="M67" s="26"/>
      <c r="N67" s="33"/>
      <c r="O67" s="26"/>
      <c r="P67" s="26"/>
      <c r="Q67" s="26"/>
      <c r="R67" s="26"/>
      <c r="S67" s="26"/>
      <c r="T67" s="26"/>
      <c r="U67" s="26"/>
      <c r="V67" s="26"/>
      <c r="W67" s="26"/>
      <c r="X67" s="26">
        <f>COUNTIF($L$2:L67,"&lt;&gt;"&amp;"")</f>
        <v>5</v>
      </c>
      <c r="Y67" s="27">
        <f t="shared" si="7"/>
        <v>0</v>
      </c>
      <c r="Z67" s="28"/>
      <c r="AA67" s="29"/>
      <c r="AB67" s="30" t="b">
        <f>TRUE()</f>
        <v>1</v>
      </c>
      <c r="AC67" s="31">
        <f t="shared" si="8"/>
        <v>0</v>
      </c>
      <c r="AD67" s="42"/>
      <c r="AE67" s="42"/>
    </row>
    <row r="68" spans="1:31" ht="15" customHeight="1">
      <c r="A68" s="20">
        <f t="shared" si="6"/>
        <v>0</v>
      </c>
      <c r="B68" s="23"/>
      <c r="C68" s="23"/>
      <c r="D68" s="23"/>
      <c r="E68" s="23"/>
      <c r="F68" s="23"/>
      <c r="G68" s="23"/>
      <c r="H68" s="23"/>
      <c r="I68" s="23"/>
      <c r="J68" s="23"/>
      <c r="K68" s="23"/>
      <c r="L68" s="33"/>
      <c r="M68" s="26"/>
      <c r="N68" s="26"/>
      <c r="O68" s="26"/>
      <c r="P68" s="26"/>
      <c r="Q68" s="26"/>
      <c r="R68" s="26"/>
      <c r="S68" s="26"/>
      <c r="T68" s="26"/>
      <c r="U68" s="26"/>
      <c r="V68" s="26"/>
      <c r="W68" s="26"/>
      <c r="X68" s="26">
        <f>COUNTIF($L$2:L68,"&lt;&gt;"&amp;"")</f>
        <v>5</v>
      </c>
      <c r="Y68" s="27">
        <f t="shared" si="7"/>
        <v>0</v>
      </c>
      <c r="Z68" s="28"/>
      <c r="AA68" s="29"/>
      <c r="AB68" s="30" t="b">
        <f>TRUE()</f>
        <v>1</v>
      </c>
      <c r="AC68" s="31">
        <f t="shared" si="8"/>
        <v>0</v>
      </c>
      <c r="AD68" s="42"/>
      <c r="AE68" s="42"/>
    </row>
    <row r="69" spans="1:31" ht="15" customHeight="1">
      <c r="A69" s="20">
        <f t="shared" si="6"/>
        <v>0</v>
      </c>
      <c r="B69" s="23"/>
      <c r="C69" s="23"/>
      <c r="D69" s="23"/>
      <c r="E69" s="23"/>
      <c r="F69" s="23"/>
      <c r="G69" s="23"/>
      <c r="H69" s="23"/>
      <c r="I69" s="23"/>
      <c r="J69" s="23"/>
      <c r="K69" s="23"/>
      <c r="L69" s="33"/>
      <c r="M69" s="26"/>
      <c r="N69" s="26"/>
      <c r="O69" s="26"/>
      <c r="P69" s="26"/>
      <c r="Q69" s="26"/>
      <c r="R69" s="26"/>
      <c r="S69" s="26"/>
      <c r="T69" s="26"/>
      <c r="U69" s="26"/>
      <c r="V69" s="26"/>
      <c r="W69" s="26"/>
      <c r="X69" s="26">
        <f>COUNTIF($L$2:L69,"&lt;&gt;"&amp;"")</f>
        <v>5</v>
      </c>
      <c r="Y69" s="27">
        <f t="shared" si="7"/>
        <v>0</v>
      </c>
      <c r="Z69" s="28"/>
      <c r="AA69" s="29"/>
      <c r="AB69" s="30" t="b">
        <f>TRUE()</f>
        <v>1</v>
      </c>
      <c r="AC69" s="31">
        <f t="shared" si="8"/>
        <v>0</v>
      </c>
      <c r="AD69" s="42"/>
      <c r="AE69" s="42"/>
    </row>
    <row r="70" spans="1:31" ht="15" customHeight="1">
      <c r="A70" s="20">
        <f t="shared" si="6"/>
        <v>0</v>
      </c>
      <c r="B70" s="23"/>
      <c r="C70" s="23"/>
      <c r="D70" s="23"/>
      <c r="E70" s="23"/>
      <c r="F70" s="23"/>
      <c r="G70" s="23"/>
      <c r="H70" s="23"/>
      <c r="I70" s="23"/>
      <c r="J70" s="23"/>
      <c r="K70" s="23"/>
      <c r="L70" s="33"/>
      <c r="M70" s="26"/>
      <c r="N70" s="26"/>
      <c r="O70" s="26"/>
      <c r="P70" s="26"/>
      <c r="Q70" s="26"/>
      <c r="R70" s="26"/>
      <c r="S70" s="26"/>
      <c r="T70" s="26"/>
      <c r="U70" s="26"/>
      <c r="V70" s="26"/>
      <c r="W70" s="26"/>
      <c r="X70" s="26">
        <f>COUNTIF($L$2:L70,"&lt;&gt;"&amp;"")</f>
        <v>5</v>
      </c>
      <c r="Y70" s="27">
        <f t="shared" si="7"/>
        <v>0</v>
      </c>
      <c r="Z70" s="28"/>
      <c r="AA70" s="29"/>
      <c r="AB70" s="30" t="b">
        <f>TRUE()</f>
        <v>1</v>
      </c>
      <c r="AC70" s="31">
        <f t="shared" si="8"/>
        <v>0</v>
      </c>
      <c r="AD70" s="42"/>
      <c r="AE70" s="42"/>
    </row>
    <row r="71" spans="1:31" ht="15" customHeight="1">
      <c r="A71" s="20">
        <f t="shared" si="6"/>
        <v>0</v>
      </c>
      <c r="B71" s="23"/>
      <c r="C71" s="23"/>
      <c r="D71" s="23"/>
      <c r="E71" s="23"/>
      <c r="F71" s="23"/>
      <c r="G71" s="23"/>
      <c r="H71" s="23"/>
      <c r="I71" s="23"/>
      <c r="J71" s="23"/>
      <c r="K71" s="23"/>
      <c r="L71" s="33"/>
      <c r="M71" s="26"/>
      <c r="N71" s="26"/>
      <c r="O71" s="26"/>
      <c r="P71" s="26"/>
      <c r="Q71" s="26"/>
      <c r="R71" s="26"/>
      <c r="S71" s="26"/>
      <c r="T71" s="26"/>
      <c r="U71" s="26"/>
      <c r="V71" s="26"/>
      <c r="W71" s="26"/>
      <c r="X71" s="26">
        <f>COUNTIF($L$2:L71,"&lt;&gt;"&amp;"")</f>
        <v>5</v>
      </c>
      <c r="Y71" s="27">
        <f t="shared" si="7"/>
        <v>0</v>
      </c>
      <c r="Z71" s="28"/>
      <c r="AA71" s="29"/>
      <c r="AB71" s="30" t="b">
        <f>TRUE()</f>
        <v>1</v>
      </c>
      <c r="AC71" s="31">
        <f t="shared" si="8"/>
        <v>0</v>
      </c>
      <c r="AD71" s="42"/>
      <c r="AE71" s="42"/>
    </row>
    <row r="72" spans="1:31" ht="15" customHeight="1">
      <c r="A72" s="20">
        <f t="shared" si="6"/>
        <v>0</v>
      </c>
      <c r="B72" s="23"/>
      <c r="C72" s="23"/>
      <c r="D72" s="23"/>
      <c r="E72" s="23"/>
      <c r="F72" s="23"/>
      <c r="G72" s="23"/>
      <c r="H72" s="23"/>
      <c r="I72" s="23"/>
      <c r="J72" s="23"/>
      <c r="K72" s="23"/>
      <c r="L72" s="33"/>
      <c r="M72" s="26"/>
      <c r="N72" s="26"/>
      <c r="O72" s="26"/>
      <c r="P72" s="26"/>
      <c r="Q72" s="26"/>
      <c r="R72" s="26"/>
      <c r="S72" s="26"/>
      <c r="T72" s="26"/>
      <c r="U72" s="26"/>
      <c r="V72" s="26"/>
      <c r="W72" s="26"/>
      <c r="X72" s="26">
        <f>COUNTIF($L$2:L72,"&lt;&gt;"&amp;"")</f>
        <v>5</v>
      </c>
      <c r="Y72" s="27">
        <f t="shared" si="7"/>
        <v>0</v>
      </c>
      <c r="Z72" s="28"/>
      <c r="AA72" s="29"/>
      <c r="AB72" s="30" t="b">
        <f>TRUE()</f>
        <v>1</v>
      </c>
      <c r="AC72" s="31">
        <f t="shared" si="8"/>
        <v>0</v>
      </c>
      <c r="AD72" s="42"/>
      <c r="AE72" s="42"/>
    </row>
    <row r="73" spans="1:31" ht="15" customHeight="1">
      <c r="A73" s="20">
        <f t="shared" si="6"/>
        <v>0</v>
      </c>
      <c r="B73" s="23"/>
      <c r="C73" s="23"/>
      <c r="D73" s="23"/>
      <c r="E73" s="23"/>
      <c r="F73" s="23"/>
      <c r="G73" s="23"/>
      <c r="H73" s="23"/>
      <c r="I73" s="23"/>
      <c r="J73" s="23"/>
      <c r="K73" s="23"/>
      <c r="L73" s="33"/>
      <c r="M73" s="26"/>
      <c r="N73" s="26"/>
      <c r="O73" s="26"/>
      <c r="P73" s="26"/>
      <c r="Q73" s="26"/>
      <c r="R73" s="26"/>
      <c r="S73" s="26"/>
      <c r="T73" s="26"/>
      <c r="U73" s="26"/>
      <c r="V73" s="26"/>
      <c r="W73" s="26"/>
      <c r="X73" s="26">
        <f>COUNTIF($L$2:L73,"&lt;&gt;"&amp;"")</f>
        <v>5</v>
      </c>
      <c r="Y73" s="27">
        <f t="shared" si="7"/>
        <v>0</v>
      </c>
      <c r="Z73" s="28"/>
      <c r="AA73" s="29"/>
      <c r="AB73" s="30" t="b">
        <f>TRUE()</f>
        <v>1</v>
      </c>
      <c r="AC73" s="31">
        <f t="shared" si="8"/>
        <v>0</v>
      </c>
      <c r="AD73" s="42"/>
      <c r="AE73" s="42"/>
    </row>
    <row r="74" spans="1:31" ht="15" customHeight="1">
      <c r="A74" s="20">
        <f t="shared" si="6"/>
        <v>0</v>
      </c>
      <c r="B74" s="23"/>
      <c r="C74" s="23"/>
      <c r="D74" s="23"/>
      <c r="E74" s="23"/>
      <c r="F74" s="23"/>
      <c r="G74" s="23"/>
      <c r="H74" s="23"/>
      <c r="I74" s="23"/>
      <c r="J74" s="23"/>
      <c r="K74" s="23"/>
      <c r="L74" s="33"/>
      <c r="M74" s="33"/>
      <c r="N74" s="26"/>
      <c r="O74" s="26"/>
      <c r="P74" s="26"/>
      <c r="Q74" s="26"/>
      <c r="R74" s="26"/>
      <c r="S74" s="26"/>
      <c r="T74" s="26"/>
      <c r="U74" s="26"/>
      <c r="V74" s="26"/>
      <c r="W74" s="26"/>
      <c r="X74" s="26">
        <f>COUNTIF($L$2:L74,"&lt;&gt;"&amp;"")</f>
        <v>5</v>
      </c>
      <c r="Y74" s="27">
        <f t="shared" si="7"/>
        <v>0</v>
      </c>
      <c r="Z74" s="28"/>
      <c r="AA74" s="29"/>
      <c r="AB74" s="30" t="b">
        <f>TRUE()</f>
        <v>1</v>
      </c>
      <c r="AC74" s="31">
        <f t="shared" si="8"/>
        <v>0</v>
      </c>
      <c r="AD74" s="42"/>
      <c r="AE74" s="42"/>
    </row>
    <row r="75" spans="1:31" ht="15" customHeight="1">
      <c r="A75" s="20">
        <f t="shared" si="6"/>
        <v>0</v>
      </c>
      <c r="B75" s="23"/>
      <c r="C75" s="23"/>
      <c r="D75" s="23"/>
      <c r="E75" s="23"/>
      <c r="F75" s="23"/>
      <c r="G75" s="23"/>
      <c r="H75" s="23"/>
      <c r="I75" s="23"/>
      <c r="J75" s="23"/>
      <c r="K75" s="23"/>
      <c r="L75" s="33"/>
      <c r="M75" s="26"/>
      <c r="N75" s="26"/>
      <c r="O75" s="26"/>
      <c r="P75" s="26"/>
      <c r="Q75" s="26"/>
      <c r="R75" s="26"/>
      <c r="S75" s="26"/>
      <c r="T75" s="26"/>
      <c r="U75" s="26"/>
      <c r="V75" s="26"/>
      <c r="W75" s="26"/>
      <c r="X75" s="26">
        <f>COUNTIF($L$2:L75,"&lt;&gt;"&amp;"")</f>
        <v>5</v>
      </c>
      <c r="Y75" s="27">
        <f t="shared" si="7"/>
        <v>0</v>
      </c>
      <c r="Z75" s="28"/>
      <c r="AA75" s="29"/>
      <c r="AB75" s="30" t="b">
        <f>TRUE()</f>
        <v>1</v>
      </c>
      <c r="AC75" s="31">
        <f t="shared" si="8"/>
        <v>0</v>
      </c>
      <c r="AD75" s="35"/>
      <c r="AE75" s="35"/>
    </row>
    <row r="76" spans="1:31" ht="15" customHeight="1">
      <c r="A76" s="20">
        <f t="shared" si="6"/>
        <v>0</v>
      </c>
      <c r="B76" s="23"/>
      <c r="C76" s="23"/>
      <c r="D76" s="23"/>
      <c r="E76" s="23"/>
      <c r="F76" s="23"/>
      <c r="G76" s="23"/>
      <c r="H76" s="23"/>
      <c r="I76" s="23"/>
      <c r="J76" s="23"/>
      <c r="K76" s="23"/>
      <c r="L76" s="33"/>
      <c r="M76" s="26"/>
      <c r="N76" s="26"/>
      <c r="O76" s="26"/>
      <c r="P76" s="26"/>
      <c r="Q76" s="26"/>
      <c r="R76" s="26"/>
      <c r="S76" s="26"/>
      <c r="T76" s="26"/>
      <c r="U76" s="26"/>
      <c r="V76" s="26"/>
      <c r="W76" s="26"/>
      <c r="X76" s="26">
        <f>COUNTIF($L$2:L76,"&lt;&gt;"&amp;"")</f>
        <v>5</v>
      </c>
      <c r="Y76" s="27">
        <f t="shared" si="7"/>
        <v>0</v>
      </c>
      <c r="Z76" s="28"/>
      <c r="AA76" s="29"/>
      <c r="AB76" s="30" t="b">
        <f>TRUE()</f>
        <v>1</v>
      </c>
      <c r="AC76" s="31">
        <f t="shared" si="8"/>
        <v>0</v>
      </c>
      <c r="AD76" s="35"/>
      <c r="AE76" s="35"/>
    </row>
    <row r="77" spans="1:31" ht="15" customHeight="1">
      <c r="A77" s="20">
        <f t="shared" si="6"/>
        <v>0</v>
      </c>
      <c r="B77" s="23"/>
      <c r="C77" s="23"/>
      <c r="D77" s="23"/>
      <c r="E77" s="23"/>
      <c r="F77" s="23"/>
      <c r="G77" s="23"/>
      <c r="H77" s="23"/>
      <c r="I77" s="23"/>
      <c r="J77" s="23"/>
      <c r="K77" s="23"/>
      <c r="L77" s="33"/>
      <c r="M77" s="26"/>
      <c r="N77" s="26"/>
      <c r="O77" s="26"/>
      <c r="P77" s="26"/>
      <c r="Q77" s="26"/>
      <c r="R77" s="26"/>
      <c r="S77" s="26"/>
      <c r="T77" s="26"/>
      <c r="U77" s="26"/>
      <c r="V77" s="26"/>
      <c r="W77" s="26"/>
      <c r="X77" s="26">
        <f>COUNTIF($L$2:L77,"&lt;&gt;"&amp;"")</f>
        <v>5</v>
      </c>
      <c r="Y77" s="27">
        <f t="shared" si="7"/>
        <v>0</v>
      </c>
      <c r="Z77" s="28"/>
      <c r="AA77" s="29"/>
      <c r="AB77" s="30" t="b">
        <f>TRUE()</f>
        <v>1</v>
      </c>
      <c r="AC77" s="31">
        <f t="shared" si="8"/>
        <v>0</v>
      </c>
      <c r="AD77" s="35"/>
      <c r="AE77" s="35"/>
    </row>
    <row r="78" spans="1:31" ht="15" customHeight="1">
      <c r="A78" s="20">
        <f t="shared" si="6"/>
        <v>0</v>
      </c>
      <c r="B78" s="23"/>
      <c r="C78" s="23"/>
      <c r="D78" s="23"/>
      <c r="E78" s="23"/>
      <c r="F78" s="23"/>
      <c r="G78" s="23"/>
      <c r="H78" s="23"/>
      <c r="I78" s="23"/>
      <c r="J78" s="23"/>
      <c r="K78" s="23"/>
      <c r="L78" s="33"/>
      <c r="M78" s="26"/>
      <c r="N78" s="26"/>
      <c r="O78" s="26"/>
      <c r="P78" s="26"/>
      <c r="Q78" s="26"/>
      <c r="R78" s="26"/>
      <c r="S78" s="26"/>
      <c r="T78" s="26"/>
      <c r="U78" s="26"/>
      <c r="V78" s="26"/>
      <c r="W78" s="26"/>
      <c r="X78" s="26">
        <f>COUNTIF($L$2:L78,"&lt;&gt;"&amp;"")</f>
        <v>5</v>
      </c>
      <c r="Y78" s="27">
        <f t="shared" si="7"/>
        <v>0</v>
      </c>
      <c r="Z78" s="28"/>
      <c r="AA78" s="29"/>
      <c r="AB78" s="30" t="b">
        <f>TRUE()</f>
        <v>1</v>
      </c>
      <c r="AC78" s="31">
        <f t="shared" si="8"/>
        <v>0</v>
      </c>
      <c r="AD78" s="35"/>
      <c r="AE78" s="35"/>
    </row>
    <row r="79" spans="1:31" ht="15" customHeight="1">
      <c r="A79" s="20">
        <f t="shared" si="6"/>
        <v>0</v>
      </c>
      <c r="B79" s="23"/>
      <c r="C79" s="23"/>
      <c r="D79" s="23"/>
      <c r="E79" s="23"/>
      <c r="F79" s="23"/>
      <c r="G79" s="23"/>
      <c r="H79" s="23"/>
      <c r="I79" s="23"/>
      <c r="J79" s="23"/>
      <c r="K79" s="23"/>
      <c r="L79" s="33"/>
      <c r="M79" s="26"/>
      <c r="N79" s="26"/>
      <c r="O79" s="26"/>
      <c r="P79" s="26"/>
      <c r="Q79" s="26"/>
      <c r="R79" s="26"/>
      <c r="S79" s="26"/>
      <c r="T79" s="26"/>
      <c r="U79" s="26"/>
      <c r="V79" s="26"/>
      <c r="W79" s="26"/>
      <c r="X79" s="26">
        <f>COUNTIF($L$2:L79,"&lt;&gt;"&amp;"")</f>
        <v>5</v>
      </c>
      <c r="Y79" s="27">
        <f t="shared" si="7"/>
        <v>0</v>
      </c>
      <c r="Z79" s="28"/>
      <c r="AA79" s="29"/>
      <c r="AB79" s="30" t="b">
        <f>TRUE()</f>
        <v>1</v>
      </c>
      <c r="AC79" s="31">
        <f t="shared" si="8"/>
        <v>0</v>
      </c>
      <c r="AD79" s="35"/>
      <c r="AE79" s="35"/>
    </row>
    <row r="80" spans="1:31" ht="15" customHeight="1">
      <c r="A80" s="20">
        <f t="shared" si="6"/>
        <v>0</v>
      </c>
      <c r="B80" s="23"/>
      <c r="C80" s="23"/>
      <c r="D80" s="23"/>
      <c r="E80" s="23"/>
      <c r="F80" s="23"/>
      <c r="G80" s="23"/>
      <c r="H80" s="23"/>
      <c r="I80" s="23"/>
      <c r="J80" s="23"/>
      <c r="K80" s="23"/>
      <c r="L80" s="33"/>
      <c r="M80" s="26"/>
      <c r="N80" s="26"/>
      <c r="O80" s="26"/>
      <c r="P80" s="26"/>
      <c r="Q80" s="26"/>
      <c r="R80" s="26"/>
      <c r="S80" s="26"/>
      <c r="T80" s="26"/>
      <c r="U80" s="26"/>
      <c r="V80" s="26"/>
      <c r="W80" s="26"/>
      <c r="X80" s="26">
        <f>COUNTIF($L$2:L80,"&lt;&gt;"&amp;"")</f>
        <v>5</v>
      </c>
      <c r="Y80" s="27">
        <f t="shared" si="7"/>
        <v>0</v>
      </c>
      <c r="Z80" s="28"/>
      <c r="AA80" s="29"/>
      <c r="AB80" s="30" t="b">
        <f>TRUE()</f>
        <v>1</v>
      </c>
      <c r="AC80" s="31">
        <f t="shared" si="8"/>
        <v>0</v>
      </c>
      <c r="AD80" s="23"/>
      <c r="AE80" s="23"/>
    </row>
    <row r="81" spans="1:31" ht="15" customHeight="1">
      <c r="A81" s="20">
        <f t="shared" si="6"/>
        <v>0</v>
      </c>
      <c r="B81" s="23"/>
      <c r="C81" s="23"/>
      <c r="D81" s="23"/>
      <c r="E81" s="23"/>
      <c r="F81" s="23"/>
      <c r="G81" s="23"/>
      <c r="H81" s="23"/>
      <c r="I81" s="23"/>
      <c r="J81" s="23"/>
      <c r="K81" s="23"/>
      <c r="L81" s="33"/>
      <c r="M81" s="26"/>
      <c r="N81" s="26"/>
      <c r="O81" s="26"/>
      <c r="P81" s="26"/>
      <c r="Q81" s="26"/>
      <c r="R81" s="26"/>
      <c r="S81" s="26"/>
      <c r="T81" s="26"/>
      <c r="U81" s="26"/>
      <c r="V81" s="26"/>
      <c r="W81" s="26"/>
      <c r="X81" s="26">
        <f>COUNTIF($L$2:L81,"&lt;&gt;"&amp;"")</f>
        <v>5</v>
      </c>
      <c r="Y81" s="27">
        <f t="shared" si="7"/>
        <v>0</v>
      </c>
      <c r="Z81" s="28"/>
      <c r="AA81" s="29"/>
      <c r="AB81" s="30" t="b">
        <f>TRUE()</f>
        <v>1</v>
      </c>
      <c r="AC81" s="31">
        <f t="shared" si="8"/>
        <v>0</v>
      </c>
      <c r="AD81" s="23"/>
      <c r="AE81" s="23"/>
    </row>
    <row r="82" spans="1:31" ht="15" customHeight="1">
      <c r="A82" s="20">
        <f t="shared" si="6"/>
        <v>0</v>
      </c>
      <c r="B82" s="23"/>
      <c r="C82" s="23"/>
      <c r="D82" s="23"/>
      <c r="E82" s="23"/>
      <c r="F82" s="23"/>
      <c r="G82" s="23"/>
      <c r="H82" s="23"/>
      <c r="I82" s="23"/>
      <c r="J82" s="23"/>
      <c r="K82" s="23"/>
      <c r="L82" s="33"/>
      <c r="M82" s="26"/>
      <c r="N82" s="26"/>
      <c r="O82" s="26"/>
      <c r="P82" s="26"/>
      <c r="Q82" s="26"/>
      <c r="R82" s="26"/>
      <c r="S82" s="26"/>
      <c r="T82" s="26"/>
      <c r="U82" s="26"/>
      <c r="V82" s="26"/>
      <c r="W82" s="26"/>
      <c r="X82" s="26">
        <f>COUNTIF($L$2:L82,"&lt;&gt;"&amp;"")</f>
        <v>5</v>
      </c>
      <c r="Y82" s="27">
        <f t="shared" si="7"/>
        <v>0</v>
      </c>
      <c r="Z82" s="28"/>
      <c r="AA82" s="29"/>
      <c r="AB82" s="30" t="b">
        <f>TRUE()</f>
        <v>1</v>
      </c>
      <c r="AC82" s="31">
        <f t="shared" si="8"/>
        <v>0</v>
      </c>
      <c r="AD82" s="23"/>
      <c r="AE82" s="23"/>
    </row>
    <row r="83" spans="1:31" ht="15" customHeight="1">
      <c r="A83" s="20">
        <f t="shared" si="6"/>
        <v>0</v>
      </c>
      <c r="B83" s="23"/>
      <c r="C83" s="23"/>
      <c r="D83" s="23"/>
      <c r="E83" s="23"/>
      <c r="F83" s="23"/>
      <c r="G83" s="23"/>
      <c r="H83" s="23"/>
      <c r="I83" s="23"/>
      <c r="J83" s="23"/>
      <c r="K83" s="23"/>
      <c r="L83" s="33"/>
      <c r="M83" s="26"/>
      <c r="N83" s="26"/>
      <c r="O83" s="26"/>
      <c r="P83" s="26"/>
      <c r="Q83" s="26"/>
      <c r="R83" s="26"/>
      <c r="S83" s="26"/>
      <c r="T83" s="26"/>
      <c r="U83" s="26"/>
      <c r="V83" s="26"/>
      <c r="W83" s="26"/>
      <c r="X83" s="26">
        <f>COUNTIF($L$2:L83,"&lt;&gt;"&amp;"")</f>
        <v>5</v>
      </c>
      <c r="Y83" s="27">
        <f t="shared" si="7"/>
        <v>0</v>
      </c>
      <c r="Z83" s="28"/>
      <c r="AA83" s="29"/>
      <c r="AB83" s="30" t="b">
        <f>TRUE()</f>
        <v>1</v>
      </c>
      <c r="AC83" s="31">
        <f t="shared" si="8"/>
        <v>0</v>
      </c>
      <c r="AD83" s="23"/>
      <c r="AE83" s="23"/>
    </row>
    <row r="84" spans="1:31" ht="15" customHeight="1">
      <c r="A84" s="20">
        <f t="shared" si="6"/>
        <v>0</v>
      </c>
      <c r="B84" s="23"/>
      <c r="C84" s="23"/>
      <c r="D84" s="23"/>
      <c r="E84" s="23"/>
      <c r="F84" s="23"/>
      <c r="G84" s="23"/>
      <c r="H84" s="23"/>
      <c r="I84" s="23"/>
      <c r="J84" s="23"/>
      <c r="K84" s="23"/>
      <c r="L84" s="33"/>
      <c r="M84" s="26"/>
      <c r="N84" s="26"/>
      <c r="O84" s="26"/>
      <c r="P84" s="26"/>
      <c r="Q84" s="26"/>
      <c r="R84" s="26"/>
      <c r="S84" s="26"/>
      <c r="T84" s="26"/>
      <c r="U84" s="26"/>
      <c r="V84" s="26"/>
      <c r="W84" s="26"/>
      <c r="X84" s="26">
        <f>COUNTIF($L$2:L84,"&lt;&gt;"&amp;"")</f>
        <v>5</v>
      </c>
      <c r="Y84" s="27">
        <f t="shared" si="7"/>
        <v>0</v>
      </c>
      <c r="Z84" s="28"/>
      <c r="AA84" s="29"/>
      <c r="AB84" s="30" t="b">
        <f>TRUE()</f>
        <v>1</v>
      </c>
      <c r="AC84" s="31">
        <f t="shared" si="8"/>
        <v>0</v>
      </c>
      <c r="AD84" s="23"/>
      <c r="AE84" s="23"/>
    </row>
    <row r="85" spans="1:31" ht="15" customHeight="1">
      <c r="A85" s="20">
        <f t="shared" si="6"/>
        <v>0</v>
      </c>
      <c r="B85" s="23"/>
      <c r="C85" s="23"/>
      <c r="D85" s="23"/>
      <c r="E85" s="23"/>
      <c r="F85" s="23"/>
      <c r="G85" s="23"/>
      <c r="H85" s="23"/>
      <c r="I85" s="23"/>
      <c r="J85" s="23"/>
      <c r="K85" s="23"/>
      <c r="L85" s="33"/>
      <c r="M85" s="26"/>
      <c r="N85" s="26"/>
      <c r="O85" s="26"/>
      <c r="P85" s="26"/>
      <c r="Q85" s="26"/>
      <c r="R85" s="26"/>
      <c r="S85" s="26"/>
      <c r="T85" s="26"/>
      <c r="U85" s="26"/>
      <c r="V85" s="26"/>
      <c r="W85" s="26"/>
      <c r="X85" s="26">
        <f>COUNTIF($L$2:L85,"&lt;&gt;"&amp;"")</f>
        <v>5</v>
      </c>
      <c r="Y85" s="27">
        <f t="shared" si="7"/>
        <v>0</v>
      </c>
      <c r="Z85" s="28"/>
      <c r="AA85" s="29"/>
      <c r="AB85" s="30" t="b">
        <f>TRUE()</f>
        <v>1</v>
      </c>
      <c r="AC85" s="31">
        <f t="shared" si="8"/>
        <v>0</v>
      </c>
      <c r="AD85" s="42"/>
      <c r="AE85" s="42"/>
    </row>
    <row r="86" spans="1:31" ht="15" customHeight="1">
      <c r="A86" s="20">
        <f t="shared" si="6"/>
        <v>0</v>
      </c>
      <c r="B86" s="23"/>
      <c r="C86" s="23"/>
      <c r="D86" s="23"/>
      <c r="E86" s="23"/>
      <c r="F86" s="23"/>
      <c r="G86" s="23"/>
      <c r="H86" s="23"/>
      <c r="I86" s="23"/>
      <c r="J86" s="23"/>
      <c r="K86" s="23"/>
      <c r="L86" s="33"/>
      <c r="M86" s="26"/>
      <c r="N86" s="26"/>
      <c r="O86" s="26"/>
      <c r="P86" s="26"/>
      <c r="Q86" s="26"/>
      <c r="R86" s="26"/>
      <c r="S86" s="26"/>
      <c r="T86" s="26"/>
      <c r="U86" s="26"/>
      <c r="V86" s="26"/>
      <c r="W86" s="26"/>
      <c r="X86" s="26">
        <f>COUNTIF($L$2:L86,"&lt;&gt;"&amp;"")</f>
        <v>5</v>
      </c>
      <c r="Y86" s="27">
        <f t="shared" si="7"/>
        <v>0</v>
      </c>
      <c r="Z86" s="28"/>
      <c r="AA86" s="29"/>
      <c r="AB86" s="30" t="b">
        <f>TRUE()</f>
        <v>1</v>
      </c>
      <c r="AC86" s="31">
        <f t="shared" si="8"/>
        <v>0</v>
      </c>
      <c r="AD86" s="42"/>
      <c r="AE86" s="42"/>
    </row>
    <row r="87" spans="1:31" ht="15" customHeight="1">
      <c r="A87" s="20">
        <f t="shared" si="6"/>
        <v>0</v>
      </c>
      <c r="B87" s="23"/>
      <c r="C87" s="23"/>
      <c r="D87" s="23"/>
      <c r="E87" s="23"/>
      <c r="F87" s="23"/>
      <c r="G87" s="23"/>
      <c r="H87" s="23"/>
      <c r="I87" s="23"/>
      <c r="J87" s="23"/>
      <c r="K87" s="23"/>
      <c r="L87" s="33"/>
      <c r="M87" s="26"/>
      <c r="N87" s="26"/>
      <c r="O87" s="26"/>
      <c r="P87" s="26"/>
      <c r="Q87" s="26"/>
      <c r="R87" s="26"/>
      <c r="S87" s="26"/>
      <c r="T87" s="26"/>
      <c r="U87" s="26"/>
      <c r="V87" s="26"/>
      <c r="W87" s="26"/>
      <c r="X87" s="26">
        <f>COUNTIF($L$2:L87,"&lt;&gt;"&amp;"")</f>
        <v>5</v>
      </c>
      <c r="Y87" s="27">
        <f t="shared" si="7"/>
        <v>0</v>
      </c>
      <c r="Z87" s="28"/>
      <c r="AA87" s="29"/>
      <c r="AB87" s="30" t="b">
        <f>TRUE()</f>
        <v>1</v>
      </c>
      <c r="AC87" s="31">
        <f t="shared" si="8"/>
        <v>0</v>
      </c>
      <c r="AD87" s="42"/>
      <c r="AE87" s="42"/>
    </row>
    <row r="88" spans="1:31" ht="15" customHeight="1">
      <c r="A88" s="20">
        <f t="shared" si="6"/>
        <v>0</v>
      </c>
      <c r="B88" s="23"/>
      <c r="C88" s="23"/>
      <c r="D88" s="23"/>
      <c r="E88" s="23"/>
      <c r="F88" s="23"/>
      <c r="G88" s="23"/>
      <c r="H88" s="23"/>
      <c r="I88" s="23"/>
      <c r="J88" s="23"/>
      <c r="K88" s="23"/>
      <c r="L88" s="33"/>
      <c r="M88" s="26"/>
      <c r="N88" s="26"/>
      <c r="O88" s="26"/>
      <c r="P88" s="26"/>
      <c r="Q88" s="26"/>
      <c r="R88" s="26"/>
      <c r="S88" s="26"/>
      <c r="T88" s="26"/>
      <c r="U88" s="26"/>
      <c r="V88" s="26"/>
      <c r="W88" s="26"/>
      <c r="X88" s="26">
        <f>COUNTIF($L$2:L88,"&lt;&gt;"&amp;"")</f>
        <v>5</v>
      </c>
      <c r="Y88" s="27">
        <f t="shared" si="7"/>
        <v>0</v>
      </c>
      <c r="Z88" s="28"/>
      <c r="AA88" s="29"/>
      <c r="AB88" s="30" t="b">
        <f>TRUE()</f>
        <v>1</v>
      </c>
      <c r="AC88" s="31">
        <f t="shared" si="8"/>
        <v>0</v>
      </c>
      <c r="AD88" s="42"/>
      <c r="AE88" s="42"/>
    </row>
    <row r="89" spans="1:31" ht="15" customHeight="1">
      <c r="A89" s="20">
        <f t="shared" si="6"/>
        <v>0</v>
      </c>
      <c r="B89" s="23"/>
      <c r="C89" s="23"/>
      <c r="D89" s="23"/>
      <c r="E89" s="23"/>
      <c r="F89" s="23"/>
      <c r="G89" s="23"/>
      <c r="H89" s="23"/>
      <c r="I89" s="23"/>
      <c r="J89" s="23"/>
      <c r="K89" s="23"/>
      <c r="L89" s="33"/>
      <c r="M89" s="26"/>
      <c r="N89" s="26"/>
      <c r="O89" s="26"/>
      <c r="P89" s="26"/>
      <c r="Q89" s="26"/>
      <c r="R89" s="26"/>
      <c r="S89" s="26"/>
      <c r="T89" s="26"/>
      <c r="U89" s="26"/>
      <c r="V89" s="26"/>
      <c r="W89" s="26"/>
      <c r="X89" s="26">
        <f>COUNTIF($L$2:L89,"&lt;&gt;"&amp;"")</f>
        <v>5</v>
      </c>
      <c r="Y89" s="27">
        <f t="shared" si="7"/>
        <v>0</v>
      </c>
      <c r="Z89" s="28"/>
      <c r="AA89" s="29"/>
      <c r="AB89" s="30" t="b">
        <f>TRUE()</f>
        <v>1</v>
      </c>
      <c r="AC89" s="31">
        <f t="shared" si="8"/>
        <v>0</v>
      </c>
      <c r="AD89" s="42"/>
      <c r="AE89" s="42"/>
    </row>
    <row r="90" spans="1:31" ht="15" customHeight="1">
      <c r="A90" s="20">
        <f t="shared" si="6"/>
        <v>0</v>
      </c>
      <c r="B90" s="23"/>
      <c r="C90" s="23"/>
      <c r="D90" s="23"/>
      <c r="E90" s="23"/>
      <c r="F90" s="23"/>
      <c r="G90" s="23"/>
      <c r="H90" s="23"/>
      <c r="I90" s="23"/>
      <c r="J90" s="23"/>
      <c r="K90" s="23"/>
      <c r="L90" s="33"/>
      <c r="M90" s="26"/>
      <c r="N90" s="26"/>
      <c r="O90" s="26"/>
      <c r="P90" s="26"/>
      <c r="Q90" s="26"/>
      <c r="R90" s="26"/>
      <c r="S90" s="26"/>
      <c r="T90" s="26"/>
      <c r="U90" s="26"/>
      <c r="V90" s="26"/>
      <c r="W90" s="26"/>
      <c r="X90" s="26">
        <f>COUNTIF($L$2:L90,"&lt;&gt;"&amp;"")</f>
        <v>5</v>
      </c>
      <c r="Y90" s="27">
        <f t="shared" si="7"/>
        <v>0</v>
      </c>
      <c r="Z90" s="28"/>
      <c r="AA90" s="29"/>
      <c r="AB90" s="30" t="b">
        <f>TRUE()</f>
        <v>1</v>
      </c>
      <c r="AC90" s="31">
        <f t="shared" si="8"/>
        <v>0</v>
      </c>
      <c r="AD90" s="42"/>
      <c r="AE90" s="42"/>
    </row>
    <row r="91" spans="1:31" ht="15" customHeight="1">
      <c r="A91" s="20">
        <f t="shared" si="6"/>
        <v>0</v>
      </c>
      <c r="B91" s="23"/>
      <c r="C91" s="23"/>
      <c r="D91" s="23"/>
      <c r="E91" s="23"/>
      <c r="F91" s="23"/>
      <c r="G91" s="23"/>
      <c r="H91" s="23"/>
      <c r="I91" s="23"/>
      <c r="J91" s="23"/>
      <c r="K91" s="23"/>
      <c r="L91" s="33"/>
      <c r="M91" s="26"/>
      <c r="N91" s="26"/>
      <c r="O91" s="26"/>
      <c r="P91" s="26"/>
      <c r="Q91" s="26"/>
      <c r="R91" s="26"/>
      <c r="S91" s="26"/>
      <c r="T91" s="26"/>
      <c r="U91" s="26"/>
      <c r="V91" s="26"/>
      <c r="W91" s="26"/>
      <c r="X91" s="26">
        <f>COUNTIF($L$2:L91,"&lt;&gt;"&amp;"")</f>
        <v>5</v>
      </c>
      <c r="Y91" s="27">
        <f t="shared" si="7"/>
        <v>0</v>
      </c>
      <c r="Z91" s="28"/>
      <c r="AA91" s="29"/>
      <c r="AB91" s="30" t="b">
        <f>TRUE()</f>
        <v>1</v>
      </c>
      <c r="AC91" s="31">
        <f t="shared" si="8"/>
        <v>0</v>
      </c>
      <c r="AD91" s="42"/>
      <c r="AE91" s="42"/>
    </row>
    <row r="92" spans="1:31" ht="15" customHeight="1">
      <c r="A92" s="20">
        <f t="shared" si="6"/>
        <v>0</v>
      </c>
      <c r="B92" s="23"/>
      <c r="C92" s="23"/>
      <c r="D92" s="23"/>
      <c r="E92" s="23"/>
      <c r="F92" s="23"/>
      <c r="G92" s="23"/>
      <c r="H92" s="23"/>
      <c r="I92" s="23"/>
      <c r="J92" s="23"/>
      <c r="K92" s="23"/>
      <c r="L92" s="33"/>
      <c r="M92" s="26"/>
      <c r="N92" s="26"/>
      <c r="O92" s="26"/>
      <c r="P92" s="26"/>
      <c r="Q92" s="26"/>
      <c r="R92" s="26"/>
      <c r="S92" s="26"/>
      <c r="T92" s="26"/>
      <c r="U92" s="26"/>
      <c r="V92" s="26"/>
      <c r="W92" s="26"/>
      <c r="X92" s="26">
        <f>COUNTIF($L$2:L92,"&lt;&gt;"&amp;"")</f>
        <v>5</v>
      </c>
      <c r="Y92" s="27">
        <f t="shared" si="7"/>
        <v>0</v>
      </c>
      <c r="Z92" s="28"/>
      <c r="AA92" s="29"/>
      <c r="AB92" s="30" t="b">
        <f>TRUE()</f>
        <v>1</v>
      </c>
      <c r="AC92" s="31">
        <f t="shared" si="8"/>
        <v>0</v>
      </c>
      <c r="AD92" s="42"/>
      <c r="AE92" s="42"/>
    </row>
    <row r="93" spans="1:31" ht="15" customHeight="1">
      <c r="A93" s="20">
        <f t="shared" si="6"/>
        <v>0</v>
      </c>
      <c r="B93" s="23"/>
      <c r="C93" s="23"/>
      <c r="D93" s="23"/>
      <c r="E93" s="23"/>
      <c r="F93" s="23"/>
      <c r="G93" s="23"/>
      <c r="H93" s="23"/>
      <c r="I93" s="23"/>
      <c r="J93" s="23"/>
      <c r="K93" s="23"/>
      <c r="L93" s="33"/>
      <c r="M93" s="26"/>
      <c r="N93" s="26"/>
      <c r="O93" s="26"/>
      <c r="P93" s="26"/>
      <c r="Q93" s="26"/>
      <c r="R93" s="26"/>
      <c r="S93" s="26"/>
      <c r="T93" s="26"/>
      <c r="U93" s="26"/>
      <c r="V93" s="26"/>
      <c r="W93" s="26"/>
      <c r="X93" s="26">
        <f>COUNTIF($L$2:L95,"&lt;&gt;"&amp;"")</f>
        <v>5</v>
      </c>
      <c r="Y93" s="27">
        <f t="shared" si="7"/>
        <v>0</v>
      </c>
      <c r="Z93" s="28"/>
      <c r="AA93" s="29"/>
      <c r="AB93" s="30" t="b">
        <f>TRUE()</f>
        <v>1</v>
      </c>
      <c r="AC93" s="31">
        <f t="shared" si="8"/>
        <v>0</v>
      </c>
      <c r="AD93" s="42"/>
      <c r="AE93" s="42"/>
    </row>
    <row r="94" spans="1:31" ht="15" customHeight="1">
      <c r="A94" s="20">
        <f t="shared" si="6"/>
        <v>0</v>
      </c>
      <c r="B94" s="23"/>
      <c r="C94" s="23"/>
      <c r="D94" s="23"/>
      <c r="E94" s="23"/>
      <c r="F94" s="23"/>
      <c r="G94" s="23"/>
      <c r="H94" s="23"/>
      <c r="I94" s="23"/>
      <c r="J94" s="23"/>
      <c r="K94" s="23"/>
      <c r="L94" s="33"/>
      <c r="M94" s="26"/>
      <c r="N94" s="26"/>
      <c r="O94" s="26"/>
      <c r="P94" s="26"/>
      <c r="Q94" s="26"/>
      <c r="R94" s="26"/>
      <c r="S94" s="26"/>
      <c r="T94" s="26"/>
      <c r="U94" s="26"/>
      <c r="V94" s="26"/>
      <c r="W94" s="26"/>
      <c r="X94" s="26">
        <f>COUNTIF($L$2:L94,"&lt;&gt;"&amp;"")</f>
        <v>5</v>
      </c>
      <c r="Y94" s="27">
        <f t="shared" si="7"/>
        <v>0</v>
      </c>
      <c r="Z94" s="28"/>
      <c r="AA94" s="29"/>
      <c r="AB94" s="30" t="b">
        <f>TRUE()</f>
        <v>1</v>
      </c>
      <c r="AC94" s="31">
        <f t="shared" si="8"/>
        <v>0</v>
      </c>
      <c r="AD94" s="42"/>
      <c r="AE94" s="42"/>
    </row>
    <row r="95" spans="1:31" ht="15" customHeight="1">
      <c r="A95" s="20">
        <f t="shared" si="6"/>
        <v>0</v>
      </c>
      <c r="B95" s="23"/>
      <c r="C95" s="23"/>
      <c r="D95" s="23"/>
      <c r="E95" s="23"/>
      <c r="F95" s="23"/>
      <c r="G95" s="23"/>
      <c r="H95" s="23"/>
      <c r="I95" s="23"/>
      <c r="J95" s="23"/>
      <c r="K95" s="23"/>
      <c r="L95" s="33"/>
      <c r="M95" s="26"/>
      <c r="N95" s="26"/>
      <c r="O95" s="26"/>
      <c r="P95" s="26"/>
      <c r="Q95" s="26"/>
      <c r="R95" s="26"/>
      <c r="S95" s="26"/>
      <c r="T95" s="26"/>
      <c r="U95" s="26"/>
      <c r="V95" s="26"/>
      <c r="W95" s="26"/>
      <c r="X95" s="26">
        <f>COUNTIF($L$2:L95,"&lt;&gt;"&amp;"")</f>
        <v>5</v>
      </c>
      <c r="Y95" s="27">
        <f t="shared" si="7"/>
        <v>0</v>
      </c>
      <c r="Z95" s="28"/>
      <c r="AA95" s="29"/>
      <c r="AB95" s="30" t="b">
        <f>TRUE()</f>
        <v>1</v>
      </c>
      <c r="AC95" s="31">
        <f t="shared" si="8"/>
        <v>0</v>
      </c>
      <c r="AD95" s="42"/>
      <c r="AE95" s="42"/>
    </row>
    <row r="96" spans="1:31" ht="15" customHeight="1">
      <c r="A96" s="20">
        <f t="shared" si="6"/>
        <v>0</v>
      </c>
      <c r="B96" s="23"/>
      <c r="C96" s="23"/>
      <c r="D96" s="23"/>
      <c r="E96" s="23"/>
      <c r="F96" s="23"/>
      <c r="G96" s="23"/>
      <c r="H96" s="23"/>
      <c r="I96" s="23"/>
      <c r="J96" s="23"/>
      <c r="K96" s="23"/>
      <c r="L96" s="33"/>
      <c r="M96" s="26"/>
      <c r="N96" s="26"/>
      <c r="O96" s="26"/>
      <c r="P96" s="26"/>
      <c r="Q96" s="26"/>
      <c r="R96" s="26"/>
      <c r="S96" s="26"/>
      <c r="T96" s="26"/>
      <c r="U96" s="26"/>
      <c r="V96" s="26"/>
      <c r="W96" s="26"/>
      <c r="X96" s="26">
        <f>COUNTIF($L$2:L96,"&lt;&gt;"&amp;"")</f>
        <v>5</v>
      </c>
      <c r="Y96" s="27">
        <f t="shared" si="7"/>
        <v>0</v>
      </c>
      <c r="Z96" s="28"/>
      <c r="AA96" s="29"/>
      <c r="AB96" s="30" t="b">
        <f>TRUE()</f>
        <v>1</v>
      </c>
      <c r="AC96" s="31">
        <f t="shared" si="8"/>
        <v>0</v>
      </c>
      <c r="AD96" s="42"/>
      <c r="AE96" s="42"/>
    </row>
    <row r="97" spans="1:31" ht="15" customHeight="1">
      <c r="A97" s="20">
        <f t="shared" si="6"/>
        <v>0</v>
      </c>
      <c r="B97" s="23"/>
      <c r="C97" s="23"/>
      <c r="D97" s="23"/>
      <c r="E97" s="23"/>
      <c r="F97" s="23"/>
      <c r="G97" s="23"/>
      <c r="H97" s="23"/>
      <c r="I97" s="23"/>
      <c r="J97" s="23"/>
      <c r="K97" s="23"/>
      <c r="L97" s="33"/>
      <c r="M97" s="26"/>
      <c r="N97" s="26"/>
      <c r="O97" s="26"/>
      <c r="P97" s="26"/>
      <c r="Q97" s="26"/>
      <c r="R97" s="26"/>
      <c r="S97" s="26"/>
      <c r="T97" s="26"/>
      <c r="U97" s="26"/>
      <c r="V97" s="26"/>
      <c r="W97" s="26"/>
      <c r="X97" s="26">
        <f>COUNTIF($L$2:L97,"&lt;&gt;"&amp;"")</f>
        <v>5</v>
      </c>
      <c r="Y97" s="27">
        <f t="shared" si="7"/>
        <v>0</v>
      </c>
      <c r="Z97" s="28"/>
      <c r="AA97" s="29"/>
      <c r="AB97" s="30" t="b">
        <f>TRUE()</f>
        <v>1</v>
      </c>
      <c r="AC97" s="31">
        <f t="shared" si="8"/>
        <v>0</v>
      </c>
      <c r="AD97" s="42"/>
      <c r="AE97" s="42"/>
    </row>
    <row r="98" spans="1:31" ht="15" customHeight="1">
      <c r="A98" s="20">
        <f t="shared" ref="A98:A129" si="9">(B98*$P$125+C98*$P$126+D98*$P$127+E98*$P$128+F98*$P$129+G98*$P$130+H98*$P$131+I98*$P$132+J98*$P$133+K98*$P$134)*$T$123</f>
        <v>0</v>
      </c>
      <c r="B98" s="23"/>
      <c r="C98" s="23"/>
      <c r="D98" s="23"/>
      <c r="E98" s="23"/>
      <c r="F98" s="23"/>
      <c r="G98" s="23"/>
      <c r="H98" s="23"/>
      <c r="I98" s="23"/>
      <c r="J98" s="23"/>
      <c r="K98" s="23"/>
      <c r="L98" s="33"/>
      <c r="M98" s="26"/>
      <c r="N98" s="26"/>
      <c r="O98" s="26"/>
      <c r="P98" s="26"/>
      <c r="Q98" s="26"/>
      <c r="R98" s="26"/>
      <c r="S98" s="26"/>
      <c r="T98" s="26"/>
      <c r="U98" s="26"/>
      <c r="V98" s="26"/>
      <c r="W98" s="26"/>
      <c r="X98" s="26">
        <f>COUNTIF($L$2:L98,"&lt;&gt;"&amp;"")</f>
        <v>5</v>
      </c>
      <c r="Y98" s="27">
        <f t="shared" ref="Y98:Y129" si="10">SUMIF($X$2:$X$120,X98,$A$2:$A$120)</f>
        <v>0</v>
      </c>
      <c r="Z98" s="28"/>
      <c r="AA98" s="29"/>
      <c r="AB98" s="30" t="b">
        <f>TRUE()</f>
        <v>1</v>
      </c>
      <c r="AC98" s="31">
        <f t="shared" ref="AC98:AC129" si="11">IF(L98="",0,IF(AB98=FALSE(),0,Y98))</f>
        <v>0</v>
      </c>
      <c r="AD98" s="42"/>
      <c r="AE98" s="42"/>
    </row>
    <row r="99" spans="1:31" ht="15" customHeight="1">
      <c r="A99" s="20">
        <f t="shared" si="9"/>
        <v>0</v>
      </c>
      <c r="B99" s="23"/>
      <c r="C99" s="23"/>
      <c r="D99" s="23"/>
      <c r="E99" s="23"/>
      <c r="F99" s="23"/>
      <c r="G99" s="23"/>
      <c r="H99" s="23"/>
      <c r="I99" s="23"/>
      <c r="J99" s="23"/>
      <c r="K99" s="23"/>
      <c r="L99" s="33"/>
      <c r="M99" s="26"/>
      <c r="N99" s="26"/>
      <c r="O99" s="26"/>
      <c r="P99" s="26"/>
      <c r="Q99" s="26"/>
      <c r="R99" s="26"/>
      <c r="S99" s="26"/>
      <c r="T99" s="26"/>
      <c r="U99" s="26"/>
      <c r="V99" s="26"/>
      <c r="W99" s="26"/>
      <c r="X99" s="26">
        <f>COUNTIF($L$2:L99,"&lt;&gt;"&amp;"")</f>
        <v>5</v>
      </c>
      <c r="Y99" s="27">
        <f t="shared" si="10"/>
        <v>0</v>
      </c>
      <c r="Z99" s="28"/>
      <c r="AA99" s="29"/>
      <c r="AB99" s="30" t="b">
        <f>TRUE()</f>
        <v>1</v>
      </c>
      <c r="AC99" s="31">
        <f t="shared" si="11"/>
        <v>0</v>
      </c>
      <c r="AD99" s="42"/>
      <c r="AE99" s="42"/>
    </row>
    <row r="100" spans="1:31" ht="15" customHeight="1">
      <c r="A100" s="20">
        <f t="shared" si="9"/>
        <v>0</v>
      </c>
      <c r="B100" s="23"/>
      <c r="C100" s="23"/>
      <c r="D100" s="23"/>
      <c r="E100" s="23"/>
      <c r="F100" s="23"/>
      <c r="G100" s="23"/>
      <c r="H100" s="23"/>
      <c r="I100" s="23"/>
      <c r="J100" s="23"/>
      <c r="K100" s="23"/>
      <c r="L100" s="33"/>
      <c r="M100" s="26"/>
      <c r="N100" s="26"/>
      <c r="O100" s="26"/>
      <c r="P100" s="26"/>
      <c r="Q100" s="26"/>
      <c r="R100" s="26"/>
      <c r="S100" s="26"/>
      <c r="T100" s="26"/>
      <c r="U100" s="26"/>
      <c r="V100" s="26"/>
      <c r="W100" s="26"/>
      <c r="X100" s="26">
        <f>COUNTIF($L$2:L100,"&lt;&gt;"&amp;"")</f>
        <v>5</v>
      </c>
      <c r="Y100" s="27">
        <f t="shared" si="10"/>
        <v>0</v>
      </c>
      <c r="Z100" s="28"/>
      <c r="AA100" s="29"/>
      <c r="AB100" s="30" t="b">
        <f>TRUE()</f>
        <v>1</v>
      </c>
      <c r="AC100" s="31">
        <f t="shared" si="11"/>
        <v>0</v>
      </c>
      <c r="AD100" s="42"/>
      <c r="AE100" s="42"/>
    </row>
    <row r="101" spans="1:31" ht="15" customHeight="1">
      <c r="A101" s="20">
        <f t="shared" si="9"/>
        <v>0</v>
      </c>
      <c r="B101" s="23"/>
      <c r="C101" s="23"/>
      <c r="D101" s="23"/>
      <c r="E101" s="23"/>
      <c r="F101" s="23"/>
      <c r="G101" s="23"/>
      <c r="H101" s="23"/>
      <c r="I101" s="23"/>
      <c r="J101" s="23"/>
      <c r="K101" s="23"/>
      <c r="L101" s="33"/>
      <c r="M101" s="26"/>
      <c r="N101" s="26"/>
      <c r="O101" s="26"/>
      <c r="P101" s="26"/>
      <c r="Q101" s="26"/>
      <c r="R101" s="26"/>
      <c r="S101" s="26"/>
      <c r="T101" s="26"/>
      <c r="U101" s="26"/>
      <c r="V101" s="26"/>
      <c r="W101" s="26"/>
      <c r="X101" s="26">
        <f>COUNTIF($L$2:L101,"&lt;&gt;"&amp;"")</f>
        <v>5</v>
      </c>
      <c r="Y101" s="27">
        <f t="shared" si="10"/>
        <v>0</v>
      </c>
      <c r="Z101" s="28"/>
      <c r="AA101" s="29"/>
      <c r="AB101" s="30" t="b">
        <f>TRUE()</f>
        <v>1</v>
      </c>
      <c r="AC101" s="31">
        <f t="shared" si="11"/>
        <v>0</v>
      </c>
      <c r="AD101" s="23"/>
      <c r="AE101" s="23"/>
    </row>
    <row r="102" spans="1:31" ht="15" customHeight="1">
      <c r="A102" s="20">
        <f t="shared" si="9"/>
        <v>0</v>
      </c>
      <c r="B102" s="23"/>
      <c r="C102" s="23"/>
      <c r="D102" s="23"/>
      <c r="E102" s="23"/>
      <c r="F102" s="23"/>
      <c r="G102" s="23"/>
      <c r="H102" s="23"/>
      <c r="I102" s="23"/>
      <c r="J102" s="23"/>
      <c r="K102" s="23"/>
      <c r="L102" s="33"/>
      <c r="M102" s="26"/>
      <c r="N102" s="26"/>
      <c r="O102" s="26"/>
      <c r="P102" s="26"/>
      <c r="Q102" s="26"/>
      <c r="R102" s="26"/>
      <c r="S102" s="26"/>
      <c r="T102" s="26"/>
      <c r="U102" s="26"/>
      <c r="V102" s="26"/>
      <c r="W102" s="26"/>
      <c r="X102" s="26">
        <f>COUNTIF($L$2:L106,"&lt;&gt;"&amp;"")</f>
        <v>5</v>
      </c>
      <c r="Y102" s="27">
        <f t="shared" si="10"/>
        <v>0</v>
      </c>
      <c r="Z102" s="28"/>
      <c r="AA102" s="29"/>
      <c r="AB102" s="30" t="b">
        <f>TRUE()</f>
        <v>1</v>
      </c>
      <c r="AC102" s="31">
        <f t="shared" si="11"/>
        <v>0</v>
      </c>
      <c r="AD102" s="23"/>
      <c r="AE102" s="23"/>
    </row>
    <row r="103" spans="1:31" ht="15" customHeight="1">
      <c r="A103" s="20">
        <f t="shared" si="9"/>
        <v>0</v>
      </c>
      <c r="B103" s="23"/>
      <c r="C103" s="23"/>
      <c r="D103" s="23"/>
      <c r="E103" s="23"/>
      <c r="F103" s="23"/>
      <c r="G103" s="23"/>
      <c r="H103" s="23"/>
      <c r="I103" s="23"/>
      <c r="J103" s="23"/>
      <c r="K103" s="23"/>
      <c r="L103" s="33"/>
      <c r="M103" s="26"/>
      <c r="N103" s="26"/>
      <c r="O103" s="26"/>
      <c r="P103" s="26"/>
      <c r="Q103" s="26"/>
      <c r="R103" s="26"/>
      <c r="S103" s="26"/>
      <c r="T103" s="26"/>
      <c r="U103" s="26"/>
      <c r="V103" s="26"/>
      <c r="W103" s="26"/>
      <c r="X103" s="26">
        <f>COUNTIF($L$2:L103,"&lt;&gt;"&amp;"")</f>
        <v>5</v>
      </c>
      <c r="Y103" s="27">
        <f t="shared" si="10"/>
        <v>0</v>
      </c>
      <c r="Z103" s="28"/>
      <c r="AA103" s="29"/>
      <c r="AB103" s="30" t="b">
        <f>TRUE()</f>
        <v>1</v>
      </c>
      <c r="AC103" s="31">
        <f t="shared" si="11"/>
        <v>0</v>
      </c>
      <c r="AD103" s="42"/>
      <c r="AE103" s="42"/>
    </row>
    <row r="104" spans="1:31" ht="15" customHeight="1">
      <c r="A104" s="20">
        <f t="shared" si="9"/>
        <v>0</v>
      </c>
      <c r="B104" s="23"/>
      <c r="C104" s="23"/>
      <c r="D104" s="23"/>
      <c r="E104" s="23"/>
      <c r="F104" s="23"/>
      <c r="G104" s="23"/>
      <c r="H104" s="23"/>
      <c r="I104" s="23"/>
      <c r="J104" s="23"/>
      <c r="K104" s="23"/>
      <c r="L104" s="33"/>
      <c r="M104" s="26"/>
      <c r="N104" s="26"/>
      <c r="O104" s="26"/>
      <c r="P104" s="26"/>
      <c r="Q104" s="26"/>
      <c r="R104" s="26"/>
      <c r="S104" s="26"/>
      <c r="T104" s="26"/>
      <c r="U104" s="26"/>
      <c r="V104" s="26"/>
      <c r="W104" s="26"/>
      <c r="X104" s="26">
        <f>COUNTIF($L$2:L104,"&lt;&gt;"&amp;"")</f>
        <v>5</v>
      </c>
      <c r="Y104" s="27">
        <f t="shared" si="10"/>
        <v>0</v>
      </c>
      <c r="Z104" s="28"/>
      <c r="AA104" s="29"/>
      <c r="AB104" s="30" t="b">
        <f>TRUE()</f>
        <v>1</v>
      </c>
      <c r="AC104" s="31">
        <f t="shared" si="11"/>
        <v>0</v>
      </c>
      <c r="AD104" s="42"/>
      <c r="AE104" s="42"/>
    </row>
    <row r="105" spans="1:31" ht="15" customHeight="1">
      <c r="A105" s="20">
        <f t="shared" si="9"/>
        <v>0</v>
      </c>
      <c r="B105" s="23"/>
      <c r="C105" s="23"/>
      <c r="D105" s="23"/>
      <c r="E105" s="23"/>
      <c r="F105" s="23"/>
      <c r="G105" s="23"/>
      <c r="H105" s="23"/>
      <c r="I105" s="23"/>
      <c r="J105" s="23"/>
      <c r="K105" s="23"/>
      <c r="L105" s="33"/>
      <c r="M105" s="26"/>
      <c r="N105" s="26"/>
      <c r="O105" s="26"/>
      <c r="P105" s="26"/>
      <c r="Q105" s="26"/>
      <c r="R105" s="26"/>
      <c r="S105" s="26"/>
      <c r="T105" s="26"/>
      <c r="U105" s="26"/>
      <c r="V105" s="26"/>
      <c r="W105" s="26"/>
      <c r="X105" s="26">
        <f>COUNTIF($L$2:L105,"&lt;&gt;"&amp;"")</f>
        <v>5</v>
      </c>
      <c r="Y105" s="27">
        <f t="shared" si="10"/>
        <v>0</v>
      </c>
      <c r="Z105" s="28"/>
      <c r="AA105" s="29"/>
      <c r="AB105" s="30" t="b">
        <f>TRUE()</f>
        <v>1</v>
      </c>
      <c r="AC105" s="31">
        <f t="shared" si="11"/>
        <v>0</v>
      </c>
      <c r="AD105" s="42"/>
      <c r="AE105" s="42"/>
    </row>
    <row r="106" spans="1:31" ht="15" customHeight="1">
      <c r="A106" s="20">
        <f t="shared" si="9"/>
        <v>0</v>
      </c>
      <c r="B106" s="23"/>
      <c r="C106" s="23"/>
      <c r="D106" s="23"/>
      <c r="E106" s="23"/>
      <c r="F106" s="23"/>
      <c r="G106" s="23"/>
      <c r="H106" s="23"/>
      <c r="I106" s="23"/>
      <c r="J106" s="23"/>
      <c r="K106" s="23"/>
      <c r="L106" s="33"/>
      <c r="M106" s="26"/>
      <c r="N106" s="26"/>
      <c r="O106" s="26"/>
      <c r="P106" s="26"/>
      <c r="Q106" s="26"/>
      <c r="R106" s="26"/>
      <c r="S106" s="26"/>
      <c r="T106" s="26"/>
      <c r="U106" s="26"/>
      <c r="V106" s="26"/>
      <c r="W106" s="26"/>
      <c r="X106" s="26">
        <f>COUNTIF($L$2:L106,"&lt;&gt;"&amp;"")</f>
        <v>5</v>
      </c>
      <c r="Y106" s="27">
        <f t="shared" si="10"/>
        <v>0</v>
      </c>
      <c r="Z106" s="28"/>
      <c r="AA106" s="29"/>
      <c r="AB106" s="30" t="b">
        <f>TRUE()</f>
        <v>1</v>
      </c>
      <c r="AC106" s="31">
        <f t="shared" si="11"/>
        <v>0</v>
      </c>
      <c r="AD106" s="42"/>
      <c r="AE106" s="42"/>
    </row>
    <row r="107" spans="1:31" ht="15" customHeight="1">
      <c r="A107" s="20">
        <f t="shared" si="9"/>
        <v>0</v>
      </c>
      <c r="B107" s="23"/>
      <c r="C107" s="23"/>
      <c r="D107" s="23"/>
      <c r="E107" s="23"/>
      <c r="F107" s="23"/>
      <c r="G107" s="23"/>
      <c r="H107" s="23"/>
      <c r="I107" s="23"/>
      <c r="J107" s="23"/>
      <c r="K107" s="23"/>
      <c r="L107" s="33"/>
      <c r="M107" s="26"/>
      <c r="N107" s="26"/>
      <c r="O107" s="26"/>
      <c r="P107" s="26"/>
      <c r="Q107" s="26"/>
      <c r="R107" s="26"/>
      <c r="S107" s="26"/>
      <c r="T107" s="26"/>
      <c r="U107" s="26"/>
      <c r="V107" s="26"/>
      <c r="W107" s="26"/>
      <c r="X107" s="26">
        <f>COUNTIF($L$2:L107,"&lt;&gt;"&amp;"")</f>
        <v>5</v>
      </c>
      <c r="Y107" s="27">
        <f t="shared" si="10"/>
        <v>0</v>
      </c>
      <c r="Z107" s="28"/>
      <c r="AA107" s="29"/>
      <c r="AB107" s="30" t="b">
        <f>TRUE()</f>
        <v>1</v>
      </c>
      <c r="AC107" s="31">
        <f t="shared" si="11"/>
        <v>0</v>
      </c>
      <c r="AD107" s="23"/>
      <c r="AE107" s="23"/>
    </row>
    <row r="108" spans="1:31" ht="15" customHeight="1">
      <c r="A108" s="20">
        <f t="shared" si="9"/>
        <v>0</v>
      </c>
      <c r="B108" s="23"/>
      <c r="C108" s="23"/>
      <c r="D108" s="23"/>
      <c r="E108" s="23"/>
      <c r="F108" s="23"/>
      <c r="G108" s="23"/>
      <c r="H108" s="23"/>
      <c r="I108" s="23"/>
      <c r="J108" s="23"/>
      <c r="K108" s="23"/>
      <c r="L108" s="33"/>
      <c r="M108" s="26"/>
      <c r="N108" s="26"/>
      <c r="O108" s="26"/>
      <c r="P108" s="26"/>
      <c r="Q108" s="26"/>
      <c r="R108" s="26"/>
      <c r="S108" s="26"/>
      <c r="T108" s="26"/>
      <c r="U108" s="26"/>
      <c r="V108" s="26"/>
      <c r="W108" s="26"/>
      <c r="X108" s="26">
        <f>COUNTIF($L$2:L108,"&lt;&gt;"&amp;"")</f>
        <v>5</v>
      </c>
      <c r="Y108" s="27">
        <f t="shared" si="10"/>
        <v>0</v>
      </c>
      <c r="Z108" s="28"/>
      <c r="AA108" s="29"/>
      <c r="AB108" s="30" t="b">
        <f>TRUE()</f>
        <v>1</v>
      </c>
      <c r="AC108" s="31">
        <f t="shared" si="11"/>
        <v>0</v>
      </c>
      <c r="AD108" s="23"/>
      <c r="AE108" s="23"/>
    </row>
    <row r="109" spans="1:31" ht="15" customHeight="1">
      <c r="A109" s="20">
        <f t="shared" si="9"/>
        <v>0</v>
      </c>
      <c r="B109" s="23"/>
      <c r="C109" s="23"/>
      <c r="D109" s="23"/>
      <c r="E109" s="23"/>
      <c r="F109" s="23"/>
      <c r="G109" s="23"/>
      <c r="H109" s="23"/>
      <c r="I109" s="23"/>
      <c r="J109" s="23"/>
      <c r="K109" s="23"/>
      <c r="L109" s="33"/>
      <c r="M109" s="26"/>
      <c r="N109" s="26"/>
      <c r="O109" s="26"/>
      <c r="P109" s="26"/>
      <c r="Q109" s="26"/>
      <c r="R109" s="26"/>
      <c r="S109" s="26"/>
      <c r="T109" s="26"/>
      <c r="U109" s="26"/>
      <c r="V109" s="26"/>
      <c r="W109" s="26"/>
      <c r="X109" s="26">
        <f>COUNTIF($L$2:L109,"&lt;&gt;"&amp;"")</f>
        <v>5</v>
      </c>
      <c r="Y109" s="27">
        <f t="shared" si="10"/>
        <v>0</v>
      </c>
      <c r="Z109" s="28"/>
      <c r="AA109" s="29"/>
      <c r="AB109" s="30" t="b">
        <f>TRUE()</f>
        <v>1</v>
      </c>
      <c r="AC109" s="31">
        <f t="shared" si="11"/>
        <v>0</v>
      </c>
      <c r="AD109" s="23"/>
      <c r="AE109" s="23"/>
    </row>
    <row r="110" spans="1:31" ht="15" customHeight="1">
      <c r="A110" s="20">
        <f t="shared" si="9"/>
        <v>0</v>
      </c>
      <c r="B110" s="23"/>
      <c r="C110" s="23"/>
      <c r="D110" s="23"/>
      <c r="E110" s="23"/>
      <c r="F110" s="23"/>
      <c r="G110" s="23"/>
      <c r="H110" s="23"/>
      <c r="I110" s="23"/>
      <c r="J110" s="23"/>
      <c r="K110" s="23"/>
      <c r="L110" s="33"/>
      <c r="M110" s="26"/>
      <c r="N110" s="26"/>
      <c r="O110" s="26"/>
      <c r="P110" s="26"/>
      <c r="Q110" s="26"/>
      <c r="R110" s="26"/>
      <c r="S110" s="26"/>
      <c r="T110" s="26"/>
      <c r="U110" s="26"/>
      <c r="V110" s="26"/>
      <c r="W110" s="26"/>
      <c r="X110" s="26">
        <f>COUNTIF($L$2:L110,"&lt;&gt;"&amp;"")</f>
        <v>5</v>
      </c>
      <c r="Y110" s="27">
        <f t="shared" si="10"/>
        <v>0</v>
      </c>
      <c r="Z110" s="28"/>
      <c r="AA110" s="29"/>
      <c r="AB110" s="30" t="b">
        <f>TRUE()</f>
        <v>1</v>
      </c>
      <c r="AC110" s="31">
        <f t="shared" si="11"/>
        <v>0</v>
      </c>
      <c r="AD110" s="23"/>
      <c r="AE110" s="23"/>
    </row>
    <row r="111" spans="1:31" ht="15" customHeight="1">
      <c r="A111" s="20">
        <f t="shared" si="9"/>
        <v>0</v>
      </c>
      <c r="B111" s="23"/>
      <c r="C111" s="23"/>
      <c r="D111" s="23"/>
      <c r="E111" s="23"/>
      <c r="F111" s="23"/>
      <c r="G111" s="23"/>
      <c r="H111" s="23"/>
      <c r="I111" s="23"/>
      <c r="J111" s="23"/>
      <c r="K111" s="23"/>
      <c r="L111" s="33"/>
      <c r="M111" s="26"/>
      <c r="N111" s="26"/>
      <c r="O111" s="26"/>
      <c r="P111" s="26"/>
      <c r="Q111" s="26"/>
      <c r="R111" s="26"/>
      <c r="S111" s="26"/>
      <c r="T111" s="26"/>
      <c r="U111" s="26"/>
      <c r="V111" s="26"/>
      <c r="W111" s="26"/>
      <c r="X111" s="26">
        <f>COUNTIF($L$2:L111,"&lt;&gt;"&amp;"")</f>
        <v>5</v>
      </c>
      <c r="Y111" s="27">
        <f t="shared" si="10"/>
        <v>0</v>
      </c>
      <c r="Z111" s="28"/>
      <c r="AA111" s="29"/>
      <c r="AB111" s="30" t="b">
        <f>TRUE()</f>
        <v>1</v>
      </c>
      <c r="AC111" s="31">
        <f t="shared" si="11"/>
        <v>0</v>
      </c>
      <c r="AD111" s="23"/>
      <c r="AE111" s="23"/>
    </row>
    <row r="112" spans="1:31" ht="15" customHeight="1">
      <c r="A112" s="20">
        <f t="shared" si="9"/>
        <v>0</v>
      </c>
      <c r="B112" s="23"/>
      <c r="C112" s="23"/>
      <c r="D112" s="23"/>
      <c r="E112" s="23"/>
      <c r="F112" s="23"/>
      <c r="G112" s="23"/>
      <c r="H112" s="23"/>
      <c r="I112" s="23"/>
      <c r="J112" s="23"/>
      <c r="K112" s="23"/>
      <c r="L112" s="33"/>
      <c r="M112" s="26"/>
      <c r="N112" s="26"/>
      <c r="O112" s="26"/>
      <c r="P112" s="26"/>
      <c r="Q112" s="26"/>
      <c r="R112" s="26"/>
      <c r="S112" s="26"/>
      <c r="T112" s="26"/>
      <c r="U112" s="26"/>
      <c r="V112" s="26"/>
      <c r="W112" s="26"/>
      <c r="X112" s="26">
        <f>COUNTIF($L$2:L112,"&lt;&gt;"&amp;"")</f>
        <v>5</v>
      </c>
      <c r="Y112" s="27">
        <f t="shared" si="10"/>
        <v>0</v>
      </c>
      <c r="Z112" s="28"/>
      <c r="AA112" s="29"/>
      <c r="AB112" s="30" t="b">
        <f>TRUE()</f>
        <v>1</v>
      </c>
      <c r="AC112" s="31">
        <f t="shared" si="11"/>
        <v>0</v>
      </c>
      <c r="AD112" s="23"/>
      <c r="AE112" s="23"/>
    </row>
    <row r="113" spans="1:31" ht="15" customHeight="1">
      <c r="A113" s="20">
        <f t="shared" si="9"/>
        <v>0</v>
      </c>
      <c r="B113" s="23"/>
      <c r="C113" s="23"/>
      <c r="D113" s="23"/>
      <c r="E113" s="23"/>
      <c r="F113" s="23"/>
      <c r="G113" s="23"/>
      <c r="H113" s="23"/>
      <c r="I113" s="23"/>
      <c r="J113" s="23"/>
      <c r="K113" s="23"/>
      <c r="L113" s="33"/>
      <c r="M113" s="26"/>
      <c r="N113" s="26"/>
      <c r="O113" s="26"/>
      <c r="P113" s="26"/>
      <c r="Q113" s="26"/>
      <c r="R113" s="26"/>
      <c r="S113" s="26"/>
      <c r="T113" s="26"/>
      <c r="U113" s="26"/>
      <c r="V113" s="26"/>
      <c r="W113" s="26"/>
      <c r="X113" s="26">
        <f>COUNTIF($L$2:L113,"&lt;&gt;"&amp;"")</f>
        <v>5</v>
      </c>
      <c r="Y113" s="27">
        <f t="shared" si="10"/>
        <v>0</v>
      </c>
      <c r="Z113" s="28"/>
      <c r="AA113" s="29"/>
      <c r="AB113" s="30" t="b">
        <f>TRUE()</f>
        <v>1</v>
      </c>
      <c r="AC113" s="31">
        <f t="shared" si="11"/>
        <v>0</v>
      </c>
      <c r="AD113" s="23"/>
      <c r="AE113" s="23"/>
    </row>
    <row r="114" spans="1:31" ht="15" customHeight="1">
      <c r="A114" s="20">
        <f t="shared" si="9"/>
        <v>0</v>
      </c>
      <c r="B114" s="23"/>
      <c r="C114" s="23"/>
      <c r="D114" s="23"/>
      <c r="E114" s="23"/>
      <c r="F114" s="23"/>
      <c r="G114" s="23"/>
      <c r="H114" s="23"/>
      <c r="I114" s="23"/>
      <c r="J114" s="23"/>
      <c r="K114" s="23"/>
      <c r="L114" s="33"/>
      <c r="M114" s="26"/>
      <c r="N114" s="26"/>
      <c r="O114" s="26"/>
      <c r="P114" s="26"/>
      <c r="Q114" s="26"/>
      <c r="R114" s="26"/>
      <c r="S114" s="26"/>
      <c r="T114" s="26"/>
      <c r="U114" s="26"/>
      <c r="V114" s="26"/>
      <c r="W114" s="26"/>
      <c r="X114" s="26">
        <f>COUNTIF($L$2:L114,"&lt;&gt;"&amp;"")</f>
        <v>5</v>
      </c>
      <c r="Y114" s="27">
        <f t="shared" si="10"/>
        <v>0</v>
      </c>
      <c r="Z114" s="28"/>
      <c r="AA114" s="29"/>
      <c r="AB114" s="30" t="b">
        <f>TRUE()</f>
        <v>1</v>
      </c>
      <c r="AC114" s="31">
        <f t="shared" si="11"/>
        <v>0</v>
      </c>
      <c r="AD114" s="23"/>
      <c r="AE114" s="23"/>
    </row>
    <row r="115" spans="1:31" ht="15" customHeight="1">
      <c r="A115" s="20">
        <f t="shared" si="9"/>
        <v>0</v>
      </c>
      <c r="B115" s="23"/>
      <c r="C115" s="23"/>
      <c r="D115" s="23"/>
      <c r="E115" s="23"/>
      <c r="F115" s="23"/>
      <c r="G115" s="23"/>
      <c r="H115" s="23"/>
      <c r="I115" s="23"/>
      <c r="J115" s="23"/>
      <c r="K115" s="23"/>
      <c r="L115" s="33"/>
      <c r="M115" s="26"/>
      <c r="N115" s="26"/>
      <c r="O115" s="26"/>
      <c r="P115" s="26"/>
      <c r="Q115" s="26"/>
      <c r="R115" s="26"/>
      <c r="S115" s="26"/>
      <c r="T115" s="26"/>
      <c r="U115" s="26"/>
      <c r="V115" s="26"/>
      <c r="W115" s="26"/>
      <c r="X115" s="26">
        <f>COUNTIF($L$2:L115,"&lt;&gt;"&amp;"")</f>
        <v>5</v>
      </c>
      <c r="Y115" s="27">
        <f t="shared" si="10"/>
        <v>0</v>
      </c>
      <c r="Z115" s="28"/>
      <c r="AA115" s="29"/>
      <c r="AB115" s="30" t="b">
        <f>TRUE()</f>
        <v>1</v>
      </c>
      <c r="AC115" s="31">
        <f t="shared" si="11"/>
        <v>0</v>
      </c>
      <c r="AD115" s="23"/>
      <c r="AE115" s="23"/>
    </row>
    <row r="116" spans="1:31" ht="15" customHeight="1">
      <c r="A116" s="20">
        <f t="shared" si="9"/>
        <v>0</v>
      </c>
      <c r="B116" s="23"/>
      <c r="C116" s="23"/>
      <c r="D116" s="23"/>
      <c r="E116" s="23"/>
      <c r="F116" s="23"/>
      <c r="G116" s="23"/>
      <c r="H116" s="23"/>
      <c r="I116" s="23"/>
      <c r="J116" s="23"/>
      <c r="K116" s="23"/>
      <c r="L116" s="33"/>
      <c r="M116" s="26"/>
      <c r="N116" s="26"/>
      <c r="O116" s="26"/>
      <c r="P116" s="26"/>
      <c r="Q116" s="26"/>
      <c r="R116" s="26"/>
      <c r="S116" s="26"/>
      <c r="T116" s="26"/>
      <c r="U116" s="26"/>
      <c r="V116" s="26"/>
      <c r="W116" s="26"/>
      <c r="X116" s="26">
        <f>COUNTIF($L$2:L116,"&lt;&gt;"&amp;"")</f>
        <v>5</v>
      </c>
      <c r="Y116" s="27">
        <f t="shared" si="10"/>
        <v>0</v>
      </c>
      <c r="Z116" s="28"/>
      <c r="AA116" s="29"/>
      <c r="AB116" s="30" t="b">
        <f>TRUE()</f>
        <v>1</v>
      </c>
      <c r="AC116" s="31">
        <f t="shared" si="11"/>
        <v>0</v>
      </c>
      <c r="AD116" s="23"/>
      <c r="AE116" s="23"/>
    </row>
    <row r="117" spans="1:31" ht="15" customHeight="1">
      <c r="A117" s="20">
        <f t="shared" si="9"/>
        <v>0</v>
      </c>
      <c r="B117" s="23"/>
      <c r="C117" s="23"/>
      <c r="D117" s="23"/>
      <c r="E117" s="23"/>
      <c r="F117" s="23"/>
      <c r="G117" s="23"/>
      <c r="H117" s="23"/>
      <c r="I117" s="23"/>
      <c r="J117" s="23"/>
      <c r="K117" s="23"/>
      <c r="L117" s="33"/>
      <c r="M117" s="26"/>
      <c r="N117" s="26"/>
      <c r="O117" s="26"/>
      <c r="P117" s="26"/>
      <c r="Q117" s="26"/>
      <c r="R117" s="26"/>
      <c r="S117" s="26"/>
      <c r="T117" s="26"/>
      <c r="U117" s="26"/>
      <c r="V117" s="26"/>
      <c r="W117" s="26"/>
      <c r="X117" s="26">
        <f>COUNTIF($L$2:L117,"&lt;&gt;"&amp;"")</f>
        <v>5</v>
      </c>
      <c r="Y117" s="27">
        <f t="shared" si="10"/>
        <v>0</v>
      </c>
      <c r="Z117" s="28"/>
      <c r="AA117" s="29"/>
      <c r="AB117" s="30" t="b">
        <f>TRUE()</f>
        <v>1</v>
      </c>
      <c r="AC117" s="31">
        <f t="shared" si="11"/>
        <v>0</v>
      </c>
      <c r="AD117" s="23"/>
      <c r="AE117" s="23"/>
    </row>
    <row r="118" spans="1:31" ht="15" customHeight="1">
      <c r="A118" s="20">
        <f t="shared" si="9"/>
        <v>0</v>
      </c>
      <c r="B118" s="23"/>
      <c r="C118" s="23"/>
      <c r="D118" s="23"/>
      <c r="E118" s="23"/>
      <c r="F118" s="23"/>
      <c r="G118" s="23"/>
      <c r="H118" s="23"/>
      <c r="I118" s="23"/>
      <c r="J118" s="23"/>
      <c r="K118" s="23"/>
      <c r="L118" s="33"/>
      <c r="M118" s="26"/>
      <c r="N118" s="26"/>
      <c r="O118" s="26"/>
      <c r="P118" s="26"/>
      <c r="Q118" s="26"/>
      <c r="R118" s="26"/>
      <c r="S118" s="26"/>
      <c r="T118" s="26"/>
      <c r="U118" s="26"/>
      <c r="V118" s="26"/>
      <c r="W118" s="26"/>
      <c r="X118" s="26">
        <f>COUNTIF($L$2:L118,"&lt;&gt;"&amp;"")</f>
        <v>5</v>
      </c>
      <c r="Y118" s="27">
        <f t="shared" si="10"/>
        <v>0</v>
      </c>
      <c r="Z118" s="28"/>
      <c r="AA118" s="29"/>
      <c r="AB118" s="30" t="b">
        <f>TRUE()</f>
        <v>1</v>
      </c>
      <c r="AC118" s="31">
        <f t="shared" si="11"/>
        <v>0</v>
      </c>
      <c r="AD118" s="23"/>
      <c r="AE118" s="23"/>
    </row>
    <row r="119" spans="1:31" ht="15" customHeight="1">
      <c r="A119" s="20">
        <f t="shared" si="9"/>
        <v>0</v>
      </c>
      <c r="B119" s="23"/>
      <c r="C119" s="23"/>
      <c r="D119" s="23"/>
      <c r="E119" s="23"/>
      <c r="F119" s="23"/>
      <c r="G119" s="23"/>
      <c r="H119" s="23"/>
      <c r="I119" s="23"/>
      <c r="J119" s="23"/>
      <c r="K119" s="23"/>
      <c r="L119" s="33"/>
      <c r="M119" s="26"/>
      <c r="N119" s="26"/>
      <c r="O119" s="26"/>
      <c r="P119" s="26"/>
      <c r="Q119" s="26"/>
      <c r="R119" s="26"/>
      <c r="S119" s="26"/>
      <c r="T119" s="26"/>
      <c r="U119" s="26"/>
      <c r="V119" s="26"/>
      <c r="W119" s="26"/>
      <c r="X119" s="26">
        <f>COUNTIF($L$2:L119,"&lt;&gt;"&amp;"")</f>
        <v>5</v>
      </c>
      <c r="Y119" s="27">
        <f t="shared" si="10"/>
        <v>0</v>
      </c>
      <c r="Z119" s="28"/>
      <c r="AA119" s="29"/>
      <c r="AB119" s="30" t="b">
        <f>TRUE()</f>
        <v>1</v>
      </c>
      <c r="AC119" s="31">
        <f t="shared" si="11"/>
        <v>0</v>
      </c>
      <c r="AD119" s="23"/>
      <c r="AE119" s="23"/>
    </row>
    <row r="120" spans="1:31" ht="12.75" customHeight="1">
      <c r="A120" s="43"/>
      <c r="B120" s="43"/>
      <c r="C120" s="43"/>
      <c r="D120" s="43"/>
      <c r="E120" s="43"/>
      <c r="F120" s="43"/>
      <c r="G120" s="43"/>
      <c r="H120" s="43"/>
      <c r="I120" s="43"/>
      <c r="J120" s="43"/>
      <c r="K120" s="43"/>
      <c r="L120" s="44"/>
      <c r="M120" s="44"/>
      <c r="N120" s="45"/>
      <c r="O120" s="45" t="s">
        <v>43</v>
      </c>
      <c r="P120" s="44"/>
      <c r="Q120" s="44"/>
      <c r="R120" s="44"/>
      <c r="S120" s="44"/>
      <c r="T120" s="44"/>
      <c r="U120" s="44"/>
      <c r="V120" s="44"/>
      <c r="W120" s="44"/>
      <c r="X120" s="44"/>
      <c r="Y120" s="44"/>
      <c r="Z120" s="44"/>
      <c r="AA120" s="44"/>
      <c r="AB120" s="44"/>
      <c r="AC120" s="44"/>
      <c r="AD120" s="23"/>
      <c r="AE120" s="23"/>
    </row>
    <row r="121" spans="1:31" ht="15" customHeight="1">
      <c r="A121" s="46">
        <f>ROW()</f>
        <v>121</v>
      </c>
      <c r="B121" s="23">
        <f t="shared" ref="B121:K121" si="12">SUM(B2:B120)</f>
        <v>0</v>
      </c>
      <c r="C121" s="23">
        <f t="shared" si="12"/>
        <v>0</v>
      </c>
      <c r="D121" s="23">
        <f t="shared" si="12"/>
        <v>0</v>
      </c>
      <c r="E121" s="23">
        <f t="shared" si="12"/>
        <v>0</v>
      </c>
      <c r="F121" s="23">
        <f t="shared" si="12"/>
        <v>0</v>
      </c>
      <c r="G121" s="23">
        <f t="shared" si="12"/>
        <v>0</v>
      </c>
      <c r="H121" s="23">
        <f t="shared" si="12"/>
        <v>0</v>
      </c>
      <c r="I121" s="23">
        <f t="shared" si="12"/>
        <v>0</v>
      </c>
      <c r="J121" s="23">
        <f t="shared" si="12"/>
        <v>0</v>
      </c>
      <c r="K121" s="23">
        <f t="shared" si="12"/>
        <v>0</v>
      </c>
      <c r="L121" s="33"/>
      <c r="M121" s="26"/>
      <c r="N121" s="26"/>
      <c r="O121" s="26"/>
      <c r="P121" s="23"/>
      <c r="Q121" s="23"/>
      <c r="R121" s="23"/>
      <c r="S121" s="23"/>
      <c r="T121" s="23"/>
      <c r="U121" s="23"/>
      <c r="V121" s="23"/>
      <c r="W121" s="23"/>
      <c r="X121" s="23"/>
      <c r="Y121" s="23"/>
      <c r="Z121" s="23"/>
      <c r="AA121" s="23"/>
      <c r="AB121" s="23"/>
      <c r="AC121" s="47"/>
      <c r="AD121" s="23"/>
      <c r="AE121" s="23"/>
    </row>
    <row r="122" spans="1:31" ht="12.75" customHeight="1">
      <c r="A122" s="23"/>
      <c r="B122" s="23"/>
      <c r="C122" s="48"/>
      <c r="D122" s="48"/>
      <c r="E122" s="48"/>
      <c r="F122" s="48"/>
      <c r="G122" s="48"/>
      <c r="H122" s="48"/>
      <c r="I122" s="9" t="s">
        <v>44</v>
      </c>
      <c r="J122" s="9"/>
      <c r="K122" s="9"/>
      <c r="L122" s="9"/>
      <c r="M122" s="8">
        <f>400000+120000</f>
        <v>520000</v>
      </c>
      <c r="N122" s="8"/>
      <c r="O122" s="8"/>
      <c r="P122" s="23"/>
      <c r="Q122" s="23"/>
      <c r="R122" s="23"/>
      <c r="S122" s="48"/>
      <c r="T122" s="48"/>
      <c r="U122" s="48"/>
      <c r="V122" s="23"/>
      <c r="W122" s="23"/>
      <c r="X122" s="23"/>
      <c r="Y122" s="23"/>
      <c r="Z122" s="23"/>
      <c r="AA122" s="23"/>
      <c r="AB122" s="23"/>
      <c r="AC122" s="47"/>
      <c r="AD122" s="23"/>
      <c r="AE122" s="23"/>
    </row>
    <row r="123" spans="1:31" ht="15" customHeight="1">
      <c r="A123" s="23"/>
      <c r="B123" s="23"/>
      <c r="C123" s="48"/>
      <c r="D123" s="49" t="s">
        <v>45</v>
      </c>
      <c r="E123" s="50">
        <v>1750905</v>
      </c>
      <c r="F123" s="51" t="s">
        <v>46</v>
      </c>
      <c r="G123" s="52">
        <v>249095</v>
      </c>
      <c r="H123" s="48"/>
      <c r="I123" s="53" t="s">
        <v>47</v>
      </c>
      <c r="J123" s="54">
        <v>0.18</v>
      </c>
      <c r="K123" s="54"/>
      <c r="L123" s="55" t="s">
        <v>48</v>
      </c>
      <c r="M123" s="56">
        <f>2.7/12</f>
        <v>0.22500000000000001</v>
      </c>
      <c r="N123" s="57" t="s">
        <v>49</v>
      </c>
      <c r="O123" s="58">
        <f>40*4.2*((244-2)/260)</f>
        <v>156.36923076923077</v>
      </c>
      <c r="P123" s="48"/>
      <c r="Q123" s="53" t="s">
        <v>50</v>
      </c>
      <c r="R123" s="59">
        <v>0.4</v>
      </c>
      <c r="S123" s="48"/>
      <c r="T123" s="60">
        <v>8</v>
      </c>
      <c r="U123" s="61" t="s">
        <v>51</v>
      </c>
      <c r="V123" s="62"/>
      <c r="W123" s="23"/>
      <c r="X123" s="23"/>
      <c r="Y123" s="23"/>
      <c r="Z123" s="23"/>
      <c r="AA123" s="23"/>
      <c r="AB123" s="23"/>
      <c r="AC123" s="47"/>
      <c r="AD123" s="23"/>
      <c r="AE123" s="23"/>
    </row>
    <row r="124" spans="1:31" ht="12.75" customHeight="1">
      <c r="A124" s="23"/>
      <c r="B124" s="23"/>
      <c r="C124" s="7" t="s">
        <v>52</v>
      </c>
      <c r="D124" s="7"/>
      <c r="E124" s="7"/>
      <c r="F124" s="7" t="s">
        <v>53</v>
      </c>
      <c r="G124" s="7"/>
      <c r="H124" s="7"/>
      <c r="I124" s="7" t="s">
        <v>54</v>
      </c>
      <c r="J124" s="7"/>
      <c r="K124" s="7"/>
      <c r="L124" s="7"/>
      <c r="M124" s="7" t="s">
        <v>55</v>
      </c>
      <c r="N124" s="7"/>
      <c r="O124" s="7"/>
      <c r="P124" s="7" t="s">
        <v>56</v>
      </c>
      <c r="Q124" s="7"/>
      <c r="R124" s="7"/>
      <c r="S124" s="48"/>
      <c r="T124" s="48"/>
      <c r="U124" s="63" t="s">
        <v>49</v>
      </c>
      <c r="V124" s="7" t="s">
        <v>57</v>
      </c>
      <c r="W124" s="7"/>
      <c r="X124" s="7"/>
      <c r="Y124" s="23"/>
      <c r="Z124" s="23"/>
      <c r="AA124" s="23"/>
      <c r="AB124" s="23"/>
      <c r="AC124" s="47"/>
      <c r="AD124" s="23"/>
      <c r="AE124" s="23"/>
    </row>
    <row r="125" spans="1:31" ht="12.75" customHeight="1">
      <c r="A125" s="35" t="s">
        <v>58</v>
      </c>
      <c r="B125" s="63" t="str">
        <f>B1</f>
        <v>DB</v>
      </c>
      <c r="C125" s="6">
        <v>6480000</v>
      </c>
      <c r="D125" s="6"/>
      <c r="E125" s="6"/>
      <c r="F125" s="6">
        <v>1080000</v>
      </c>
      <c r="G125" s="6"/>
      <c r="H125" s="6"/>
      <c r="I125" s="6">
        <v>0</v>
      </c>
      <c r="J125" s="6"/>
      <c r="K125" s="6"/>
      <c r="L125" s="6"/>
      <c r="M125" s="6">
        <f t="shared" ref="M125:M134" si="13">C125*(1+$J$123+$M$123)+F125+I125+$M$122+IF(($E$123*2)&gt;=C125,$G$123,0)</f>
        <v>10704400</v>
      </c>
      <c r="N125" s="6"/>
      <c r="O125" s="6"/>
      <c r="P125" s="5">
        <f t="shared" ref="P125:P134" si="14">M125/$O$123*(1+$R$123)</f>
        <v>95838.292011019294</v>
      </c>
      <c r="Q125" s="5"/>
      <c r="R125" s="5"/>
      <c r="S125" s="48"/>
      <c r="T125" s="48"/>
      <c r="U125" s="23">
        <f t="shared" ref="U125:U134" si="15">HLOOKUP(B125,$B$1:$K$121,$A$121,0)*$T$123</f>
        <v>0</v>
      </c>
      <c r="W125" s="64">
        <f t="shared" ref="W125:W134" si="16">P125*U125</f>
        <v>0</v>
      </c>
      <c r="Y125" s="23"/>
      <c r="Z125" s="23"/>
      <c r="AA125" s="23"/>
      <c r="AB125" s="23"/>
      <c r="AC125" s="47"/>
      <c r="AD125" s="23"/>
      <c r="AE125" s="23"/>
    </row>
    <row r="126" spans="1:31" ht="12.75" customHeight="1">
      <c r="A126" s="35" t="s">
        <v>59</v>
      </c>
      <c r="B126" s="63" t="str">
        <f>C1</f>
        <v>UX</v>
      </c>
      <c r="C126" s="6">
        <v>3240000</v>
      </c>
      <c r="D126" s="6"/>
      <c r="E126" s="6"/>
      <c r="F126" s="6">
        <v>540000</v>
      </c>
      <c r="G126" s="6"/>
      <c r="H126" s="6"/>
      <c r="I126" s="6">
        <v>0</v>
      </c>
      <c r="J126" s="6"/>
      <c r="K126" s="6"/>
      <c r="L126" s="6"/>
      <c r="M126" s="6">
        <f t="shared" si="13"/>
        <v>5861295</v>
      </c>
      <c r="N126" s="6"/>
      <c r="O126" s="6"/>
      <c r="P126" s="5">
        <f t="shared" si="14"/>
        <v>52477.159090909088</v>
      </c>
      <c r="Q126" s="5"/>
      <c r="R126" s="5"/>
      <c r="S126" s="48"/>
      <c r="T126" s="48"/>
      <c r="U126" s="23">
        <f t="shared" si="15"/>
        <v>0</v>
      </c>
      <c r="W126" s="64">
        <f t="shared" si="16"/>
        <v>0</v>
      </c>
      <c r="Y126" s="23"/>
      <c r="Z126" s="23"/>
      <c r="AA126" s="23"/>
      <c r="AB126" s="23"/>
      <c r="AC126" s="47"/>
      <c r="AD126" s="23"/>
      <c r="AE126" s="23"/>
    </row>
    <row r="127" spans="1:31" ht="12.75" customHeight="1">
      <c r="A127" s="35" t="s">
        <v>60</v>
      </c>
      <c r="B127" s="63" t="str">
        <f>D1</f>
        <v>FM</v>
      </c>
      <c r="C127" s="6">
        <v>3240000</v>
      </c>
      <c r="D127" s="6"/>
      <c r="E127" s="6"/>
      <c r="F127" s="6">
        <v>540000</v>
      </c>
      <c r="G127" s="6"/>
      <c r="H127" s="6"/>
      <c r="I127" s="6">
        <v>0</v>
      </c>
      <c r="J127" s="6"/>
      <c r="K127" s="6"/>
      <c r="L127" s="6"/>
      <c r="M127" s="6">
        <f t="shared" si="13"/>
        <v>5861295</v>
      </c>
      <c r="N127" s="6"/>
      <c r="O127" s="6"/>
      <c r="P127" s="5">
        <f t="shared" si="14"/>
        <v>52477.159090909088</v>
      </c>
      <c r="Q127" s="5"/>
      <c r="R127" s="5"/>
      <c r="S127" s="48"/>
      <c r="T127" s="48"/>
      <c r="U127" s="23">
        <f t="shared" si="15"/>
        <v>0</v>
      </c>
      <c r="W127" s="64">
        <f t="shared" si="16"/>
        <v>0</v>
      </c>
      <c r="Y127" s="23"/>
      <c r="Z127" s="23"/>
      <c r="AA127" s="23"/>
      <c r="AB127" s="23"/>
      <c r="AC127" s="47"/>
      <c r="AD127" s="23"/>
      <c r="AE127" s="23"/>
    </row>
    <row r="128" spans="1:31" ht="12.75" customHeight="1">
      <c r="A128" s="35" t="s">
        <v>61</v>
      </c>
      <c r="B128" s="63" t="str">
        <f>E1</f>
        <v>BS</v>
      </c>
      <c r="C128" s="6">
        <v>4320000</v>
      </c>
      <c r="D128" s="6"/>
      <c r="E128" s="6"/>
      <c r="F128" s="6">
        <v>1620000</v>
      </c>
      <c r="G128" s="6"/>
      <c r="H128" s="6"/>
      <c r="I128" s="6">
        <v>0</v>
      </c>
      <c r="J128" s="6"/>
      <c r="K128" s="6"/>
      <c r="L128" s="6"/>
      <c r="M128" s="6">
        <f t="shared" si="13"/>
        <v>8209600</v>
      </c>
      <c r="N128" s="6"/>
      <c r="O128" s="6"/>
      <c r="P128" s="5">
        <f t="shared" si="14"/>
        <v>73501.928374655647</v>
      </c>
      <c r="Q128" s="5"/>
      <c r="R128" s="5"/>
      <c r="S128" s="48"/>
      <c r="T128" s="48"/>
      <c r="U128" s="23">
        <f t="shared" si="15"/>
        <v>0</v>
      </c>
      <c r="W128" s="64">
        <f t="shared" si="16"/>
        <v>0</v>
      </c>
      <c r="Y128" s="23"/>
      <c r="Z128" s="23"/>
      <c r="AA128" s="23"/>
      <c r="AB128" s="23"/>
      <c r="AC128" s="47"/>
      <c r="AD128" s="23"/>
      <c r="AE128" s="23"/>
    </row>
    <row r="129" spans="1:31" ht="12.75" customHeight="1">
      <c r="A129" s="35" t="s">
        <v>62</v>
      </c>
      <c r="B129" s="63" t="str">
        <f>F1</f>
        <v>BM</v>
      </c>
      <c r="C129" s="6">
        <v>3780000</v>
      </c>
      <c r="D129" s="6"/>
      <c r="E129" s="6"/>
      <c r="F129" s="6">
        <v>1080000</v>
      </c>
      <c r="G129" s="6"/>
      <c r="H129" s="6"/>
      <c r="I129" s="6">
        <v>0</v>
      </c>
      <c r="J129" s="6"/>
      <c r="K129" s="6"/>
      <c r="L129" s="6"/>
      <c r="M129" s="6">
        <f t="shared" si="13"/>
        <v>6910900</v>
      </c>
      <c r="N129" s="6"/>
      <c r="O129" s="6"/>
      <c r="P129" s="5">
        <f t="shared" si="14"/>
        <v>61874.449035812671</v>
      </c>
      <c r="Q129" s="5"/>
      <c r="R129" s="5"/>
      <c r="S129" s="48"/>
      <c r="T129" s="48"/>
      <c r="U129" s="23">
        <f t="shared" si="15"/>
        <v>0</v>
      </c>
      <c r="W129" s="64">
        <f t="shared" si="16"/>
        <v>0</v>
      </c>
      <c r="Y129" s="23"/>
      <c r="Z129" s="23"/>
      <c r="AA129" s="23"/>
      <c r="AB129" s="23"/>
      <c r="AC129" s="47"/>
      <c r="AD129" s="23"/>
      <c r="AE129" s="23"/>
    </row>
    <row r="130" spans="1:31" ht="12.75" customHeight="1">
      <c r="A130" s="35" t="s">
        <v>63</v>
      </c>
      <c r="B130" s="63" t="str">
        <f>G1</f>
        <v>QA</v>
      </c>
      <c r="C130" s="6">
        <v>2700000</v>
      </c>
      <c r="D130" s="6"/>
      <c r="E130" s="6"/>
      <c r="F130" s="6">
        <v>1080000</v>
      </c>
      <c r="G130" s="6"/>
      <c r="H130" s="6"/>
      <c r="I130" s="6">
        <v>54000</v>
      </c>
      <c r="J130" s="6"/>
      <c r="K130" s="6"/>
      <c r="L130" s="6"/>
      <c r="M130" s="6">
        <f t="shared" si="13"/>
        <v>5696595</v>
      </c>
      <c r="N130" s="6"/>
      <c r="O130" s="6"/>
      <c r="P130" s="5">
        <f t="shared" si="14"/>
        <v>51002.572314049583</v>
      </c>
      <c r="Q130" s="5"/>
      <c r="R130" s="5"/>
      <c r="S130" s="48"/>
      <c r="T130" s="48"/>
      <c r="U130" s="23">
        <f t="shared" si="15"/>
        <v>0</v>
      </c>
      <c r="W130" s="64">
        <f t="shared" si="16"/>
        <v>0</v>
      </c>
      <c r="Y130" s="23"/>
      <c r="Z130" s="23"/>
      <c r="AA130" s="23"/>
      <c r="AB130" s="23"/>
      <c r="AC130" s="47"/>
      <c r="AD130" s="23"/>
      <c r="AE130" s="23"/>
    </row>
    <row r="131" spans="1:31" ht="12.75" customHeight="1">
      <c r="A131" s="35" t="s">
        <v>64</v>
      </c>
      <c r="B131" s="63" t="str">
        <f>H1</f>
        <v>IM</v>
      </c>
      <c r="C131" s="6">
        <v>2700000</v>
      </c>
      <c r="D131" s="6"/>
      <c r="E131" s="6"/>
      <c r="F131" s="6">
        <v>1080000</v>
      </c>
      <c r="G131" s="6"/>
      <c r="H131" s="6"/>
      <c r="I131" s="6">
        <v>0</v>
      </c>
      <c r="J131" s="6"/>
      <c r="K131" s="6"/>
      <c r="L131" s="6"/>
      <c r="M131" s="6">
        <f t="shared" si="13"/>
        <v>5642595</v>
      </c>
      <c r="N131" s="6"/>
      <c r="O131" s="6"/>
      <c r="P131" s="5">
        <f t="shared" si="14"/>
        <v>50519.10123966942</v>
      </c>
      <c r="Q131" s="5"/>
      <c r="R131" s="5"/>
      <c r="S131" s="48"/>
      <c r="T131" s="48"/>
      <c r="U131" s="23">
        <f t="shared" si="15"/>
        <v>0</v>
      </c>
      <c r="W131" s="64">
        <f t="shared" si="16"/>
        <v>0</v>
      </c>
      <c r="Y131" s="23"/>
      <c r="Z131" s="23"/>
      <c r="AA131" s="23"/>
      <c r="AB131" s="23"/>
      <c r="AC131" s="47"/>
      <c r="AD131" s="23"/>
      <c r="AE131" s="23"/>
    </row>
    <row r="132" spans="1:31" ht="12.75" customHeight="1">
      <c r="A132" s="35" t="s">
        <v>65</v>
      </c>
      <c r="B132" s="63" t="str">
        <f>I1</f>
        <v>MS</v>
      </c>
      <c r="C132" s="6">
        <v>8100000</v>
      </c>
      <c r="D132" s="6"/>
      <c r="E132" s="6"/>
      <c r="F132" s="6">
        <v>2160000</v>
      </c>
      <c r="G132" s="6"/>
      <c r="H132" s="6"/>
      <c r="I132" s="6">
        <v>132000</v>
      </c>
      <c r="J132" s="6"/>
      <c r="K132" s="6"/>
      <c r="L132" s="6"/>
      <c r="M132" s="6">
        <f t="shared" si="13"/>
        <v>14192500</v>
      </c>
      <c r="N132" s="6"/>
      <c r="O132" s="6"/>
      <c r="P132" s="5">
        <f t="shared" si="14"/>
        <v>127067.83746556473</v>
      </c>
      <c r="Q132" s="5"/>
      <c r="R132" s="5"/>
      <c r="S132" s="48"/>
      <c r="T132" s="48"/>
      <c r="U132" s="23">
        <f t="shared" si="15"/>
        <v>0</v>
      </c>
      <c r="W132" s="64">
        <f t="shared" si="16"/>
        <v>0</v>
      </c>
      <c r="Y132" s="23"/>
      <c r="Z132" s="23"/>
      <c r="AA132" s="23"/>
      <c r="AB132" s="23"/>
      <c r="AC132" s="47"/>
      <c r="AD132" s="23"/>
      <c r="AE132" s="23"/>
    </row>
    <row r="133" spans="1:31" ht="12.75" customHeight="1">
      <c r="A133" s="35" t="s">
        <v>66</v>
      </c>
      <c r="B133" s="63" t="str">
        <f>J1</f>
        <v>MM</v>
      </c>
      <c r="C133" s="6">
        <v>3240000</v>
      </c>
      <c r="D133" s="6"/>
      <c r="E133" s="6"/>
      <c r="F133" s="6">
        <v>1080000</v>
      </c>
      <c r="G133" s="6"/>
      <c r="H133" s="6"/>
      <c r="I133" s="6">
        <v>132000</v>
      </c>
      <c r="J133" s="6"/>
      <c r="K133" s="6"/>
      <c r="L133" s="6"/>
      <c r="M133" s="6">
        <f t="shared" si="13"/>
        <v>6533295</v>
      </c>
      <c r="N133" s="6"/>
      <c r="O133" s="6"/>
      <c r="P133" s="5">
        <f t="shared" si="14"/>
        <v>58493.688016528926</v>
      </c>
      <c r="Q133" s="5"/>
      <c r="R133" s="5"/>
      <c r="S133" s="48"/>
      <c r="T133" s="48"/>
      <c r="U133" s="23">
        <f t="shared" si="15"/>
        <v>0</v>
      </c>
      <c r="W133" s="64">
        <f t="shared" si="16"/>
        <v>0</v>
      </c>
      <c r="Y133" s="23"/>
      <c r="Z133" s="23"/>
      <c r="AA133" s="23"/>
      <c r="AB133" s="23"/>
      <c r="AC133" s="47"/>
      <c r="AD133" s="23"/>
      <c r="AE133" s="23"/>
    </row>
    <row r="134" spans="1:31" ht="12.75" customHeight="1">
      <c r="A134" s="35" t="s">
        <v>67</v>
      </c>
      <c r="B134" s="63" t="s">
        <v>10</v>
      </c>
      <c r="C134" s="6">
        <v>3240000</v>
      </c>
      <c r="D134" s="6"/>
      <c r="E134" s="6"/>
      <c r="F134" s="6">
        <v>1080000</v>
      </c>
      <c r="G134" s="6"/>
      <c r="H134" s="6"/>
      <c r="I134" s="6"/>
      <c r="J134" s="6"/>
      <c r="K134" s="6"/>
      <c r="L134" s="6"/>
      <c r="M134" s="6">
        <f t="shared" si="13"/>
        <v>6401295</v>
      </c>
      <c r="N134" s="6"/>
      <c r="O134" s="6"/>
      <c r="P134" s="5">
        <f t="shared" si="14"/>
        <v>57311.869834710742</v>
      </c>
      <c r="Q134" s="5"/>
      <c r="R134" s="5"/>
      <c r="S134" s="48"/>
      <c r="T134" s="48"/>
      <c r="U134" s="23">
        <f t="shared" si="15"/>
        <v>0</v>
      </c>
      <c r="W134" s="64">
        <f t="shared" si="16"/>
        <v>0</v>
      </c>
      <c r="Y134" s="23"/>
      <c r="Z134" s="23"/>
      <c r="AA134" s="23"/>
      <c r="AB134" s="23"/>
      <c r="AC134" s="47"/>
      <c r="AD134" s="23"/>
      <c r="AE134" s="23"/>
    </row>
    <row r="135" spans="1:31" ht="12.75" customHeight="1">
      <c r="A135" s="35"/>
      <c r="B135" s="63"/>
      <c r="C135" s="48"/>
      <c r="D135" s="48"/>
      <c r="E135" s="48"/>
      <c r="F135" s="48"/>
      <c r="G135" s="48"/>
      <c r="H135" s="48"/>
      <c r="I135" s="23"/>
      <c r="J135" s="23"/>
      <c r="K135" s="23"/>
      <c r="L135" s="23"/>
      <c r="M135" s="23"/>
      <c r="N135" s="23"/>
      <c r="O135" s="23"/>
      <c r="P135" s="4">
        <f>SUM(P125:P134)</f>
        <v>680564.0564738292</v>
      </c>
      <c r="Q135" s="4"/>
      <c r="R135" s="4"/>
      <c r="S135" s="48"/>
      <c r="T135" s="48"/>
      <c r="U135" s="48"/>
      <c r="W135" s="65">
        <f>SUM(W125:W134)</f>
        <v>0</v>
      </c>
      <c r="Y135" s="23"/>
      <c r="Z135" s="23"/>
      <c r="AA135" s="23"/>
      <c r="AB135" s="23"/>
      <c r="AC135" s="47"/>
      <c r="AD135" s="23"/>
      <c r="AE135" s="23"/>
    </row>
    <row r="136" spans="1:31" ht="12.75" customHeight="1">
      <c r="A136" s="23"/>
      <c r="B136" s="23"/>
      <c r="C136" s="66"/>
      <c r="D136" s="66"/>
      <c r="E136" s="23"/>
      <c r="F136" s="23"/>
      <c r="G136" s="23"/>
      <c r="H136" s="48"/>
      <c r="I136" s="23"/>
      <c r="J136" s="23"/>
      <c r="K136" s="23"/>
      <c r="L136" s="48"/>
      <c r="M136" s="23"/>
      <c r="N136" s="23"/>
      <c r="O136" s="23"/>
      <c r="P136" s="23"/>
      <c r="Q136" s="23"/>
      <c r="R136" s="23"/>
      <c r="S136" s="23"/>
      <c r="T136" s="23"/>
      <c r="U136" s="23"/>
      <c r="V136" s="23"/>
      <c r="W136" s="23"/>
      <c r="X136" s="23"/>
      <c r="Y136" s="23"/>
      <c r="Z136" s="23"/>
      <c r="AA136" s="23"/>
      <c r="AB136" s="23"/>
      <c r="AC136" s="47"/>
      <c r="AD136" s="23"/>
      <c r="AE136" s="23"/>
    </row>
    <row r="137" spans="1:31" ht="12.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47"/>
      <c r="AD137" s="23"/>
      <c r="AE137" s="23"/>
    </row>
    <row r="138" spans="1:31" ht="12.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8"/>
      <c r="AD138" s="67"/>
      <c r="AE138" s="67"/>
    </row>
    <row r="139" spans="1:31" ht="15" customHeight="1">
      <c r="A139" s="67"/>
      <c r="B139" s="67"/>
      <c r="C139" s="3"/>
      <c r="D139" s="3"/>
      <c r="E139" s="3"/>
      <c r="F139" s="3"/>
      <c r="G139" s="2"/>
      <c r="H139" s="2"/>
      <c r="I139" s="2"/>
      <c r="J139" s="2"/>
      <c r="K139" s="69"/>
      <c r="L139" s="1"/>
      <c r="M139" s="1"/>
      <c r="N139" s="1"/>
      <c r="O139" s="1"/>
      <c r="P139" s="2"/>
      <c r="Q139" s="2"/>
      <c r="R139" s="2"/>
      <c r="S139" s="2"/>
      <c r="T139" s="1"/>
      <c r="U139" s="1"/>
      <c r="V139" s="1"/>
      <c r="W139" s="1"/>
      <c r="X139" s="2"/>
      <c r="Y139" s="2"/>
      <c r="Z139" s="2"/>
      <c r="AA139" s="1"/>
      <c r="AB139" s="1"/>
      <c r="AC139" s="1"/>
      <c r="AD139" s="70"/>
      <c r="AE139" s="67"/>
    </row>
    <row r="140" spans="1:31" ht="12.75" customHeight="1">
      <c r="A140" s="71" t="e">
        <f t="array" aca="1" ref="A140:A144" ca="1">unique(L1:L120)</f>
        <v>#NAME?</v>
      </c>
      <c r="B140" s="72"/>
      <c r="C140" s="73"/>
      <c r="D140" s="73"/>
      <c r="E140" s="73"/>
      <c r="F140" s="74"/>
      <c r="G140" s="75" t="s">
        <v>68</v>
      </c>
      <c r="H140" s="75" t="s">
        <v>69</v>
      </c>
      <c r="I140" s="75" t="s">
        <v>70</v>
      </c>
      <c r="J140" s="75" t="s">
        <v>71</v>
      </c>
      <c r="K140" s="75" t="s">
        <v>72</v>
      </c>
      <c r="L140" s="76" t="s">
        <v>73</v>
      </c>
      <c r="M140" s="76" t="s">
        <v>74</v>
      </c>
      <c r="N140" s="76" t="s">
        <v>75</v>
      </c>
      <c r="O140" s="76" t="s">
        <v>76</v>
      </c>
      <c r="P140" s="75" t="s">
        <v>77</v>
      </c>
      <c r="Q140" s="75"/>
      <c r="R140" s="75"/>
      <c r="S140" s="75"/>
      <c r="T140" s="76"/>
      <c r="U140" s="76"/>
      <c r="V140" s="76"/>
      <c r="W140" s="76"/>
      <c r="X140" s="75"/>
      <c r="Y140" s="75"/>
      <c r="Z140" s="75"/>
      <c r="AA140" s="76"/>
      <c r="AB140" s="76"/>
      <c r="AC140" s="77"/>
      <c r="AD140" s="76"/>
      <c r="AE140" s="67"/>
    </row>
    <row r="141" spans="1:31" ht="12.75" customHeight="1">
      <c r="A141" s="78" t="e">
        <f ca="1"/>
        <v>#NAME?</v>
      </c>
      <c r="B141" s="79"/>
      <c r="C141" s="79"/>
      <c r="D141" s="79" t="s">
        <v>78</v>
      </c>
      <c r="E141" s="79"/>
      <c r="F141" s="80"/>
      <c r="G141" s="81"/>
      <c r="H141" s="81"/>
      <c r="I141" s="81"/>
      <c r="J141" s="81"/>
      <c r="K141" s="81"/>
      <c r="L141" s="82"/>
      <c r="M141" s="82"/>
      <c r="N141" s="82"/>
      <c r="O141" s="82"/>
      <c r="P141" s="81"/>
      <c r="Q141" s="81"/>
      <c r="R141" s="81"/>
      <c r="S141" s="81"/>
      <c r="T141" s="82"/>
      <c r="U141" s="82"/>
      <c r="V141" s="82"/>
      <c r="W141" s="82"/>
      <c r="X141" s="81"/>
      <c r="Y141" s="81"/>
      <c r="Z141" s="81"/>
      <c r="AA141" s="82"/>
      <c r="AB141" s="82"/>
      <c r="AC141" s="83"/>
      <c r="AD141" s="82"/>
      <c r="AE141" s="67"/>
    </row>
    <row r="142" spans="1:31" ht="12.75" customHeight="1">
      <c r="A142" s="78" t="e">
        <f ca="1"/>
        <v>#NAME?</v>
      </c>
      <c r="B142" s="79"/>
      <c r="C142" s="79"/>
      <c r="D142" s="79"/>
      <c r="E142" s="79"/>
      <c r="F142" s="80"/>
      <c r="G142" s="81"/>
      <c r="H142" s="81"/>
      <c r="I142" s="81"/>
      <c r="J142" s="81"/>
      <c r="K142" s="81"/>
      <c r="L142" s="82"/>
      <c r="M142" s="82"/>
      <c r="N142" s="82"/>
      <c r="O142" s="82"/>
      <c r="P142" s="81"/>
      <c r="Q142" s="81"/>
      <c r="R142" s="81"/>
      <c r="S142" s="81"/>
      <c r="T142" s="82"/>
      <c r="U142" s="82"/>
      <c r="V142" s="82"/>
      <c r="W142" s="82"/>
      <c r="X142" s="81"/>
      <c r="Y142" s="81"/>
      <c r="Z142" s="81"/>
      <c r="AA142" s="82"/>
      <c r="AB142" s="82"/>
      <c r="AC142" s="83"/>
      <c r="AD142" s="82"/>
      <c r="AE142" s="67"/>
    </row>
    <row r="143" spans="1:31" ht="12.75" customHeight="1">
      <c r="A143" s="78" t="e">
        <f ca="1"/>
        <v>#NAME?</v>
      </c>
      <c r="B143" s="79"/>
      <c r="C143" s="79"/>
      <c r="D143" s="79"/>
      <c r="E143" s="79"/>
      <c r="F143" s="80"/>
      <c r="G143" s="81"/>
      <c r="H143" s="81"/>
      <c r="I143" s="81"/>
      <c r="J143" s="81"/>
      <c r="K143" s="81"/>
      <c r="L143" s="82"/>
      <c r="M143" s="82"/>
      <c r="N143" s="82"/>
      <c r="O143" s="82"/>
      <c r="P143" s="81"/>
      <c r="Q143" s="81"/>
      <c r="R143" s="81"/>
      <c r="S143" s="81"/>
      <c r="T143" s="82"/>
      <c r="U143" s="82"/>
      <c r="V143" s="82"/>
      <c r="W143" s="82"/>
      <c r="X143" s="81"/>
      <c r="Y143" s="81"/>
      <c r="Z143" s="81"/>
      <c r="AA143" s="82"/>
      <c r="AB143" s="82"/>
      <c r="AC143" s="83"/>
      <c r="AD143" s="82"/>
      <c r="AE143" s="67"/>
    </row>
    <row r="144" spans="1:31" ht="12.75" customHeight="1">
      <c r="A144" s="78" t="e">
        <f ca="1"/>
        <v>#NAME?</v>
      </c>
      <c r="B144" s="79"/>
      <c r="C144" s="79"/>
      <c r="D144" s="79"/>
      <c r="E144" s="79"/>
      <c r="F144" s="80"/>
      <c r="G144" s="81"/>
      <c r="H144" s="81"/>
      <c r="I144" s="81"/>
      <c r="J144" s="81"/>
      <c r="K144" s="81"/>
      <c r="L144" s="82"/>
      <c r="M144" s="82"/>
      <c r="N144" s="82"/>
      <c r="O144" s="82"/>
      <c r="P144" s="81"/>
      <c r="Q144" s="81"/>
      <c r="R144" s="81"/>
      <c r="S144" s="81"/>
      <c r="T144" s="82"/>
      <c r="U144" s="82"/>
      <c r="V144" s="82"/>
      <c r="W144" s="82"/>
      <c r="X144" s="81"/>
      <c r="Y144" s="81"/>
      <c r="Z144" s="81"/>
      <c r="AA144" s="82"/>
      <c r="AB144" s="82"/>
      <c r="AC144" s="83"/>
      <c r="AD144" s="82"/>
      <c r="AE144" s="67"/>
    </row>
    <row r="145" spans="1:31" ht="12.75" customHeight="1">
      <c r="A145" s="78"/>
      <c r="B145" s="79"/>
      <c r="C145" s="79"/>
      <c r="D145" s="79"/>
      <c r="E145" s="79"/>
      <c r="F145" s="80"/>
      <c r="G145" s="81"/>
      <c r="H145" s="81"/>
      <c r="I145" s="81"/>
      <c r="J145" s="81"/>
      <c r="K145" s="81"/>
      <c r="L145" s="82"/>
      <c r="M145" s="82"/>
      <c r="N145" s="82"/>
      <c r="O145" s="82"/>
      <c r="P145" s="81"/>
      <c r="Q145" s="81"/>
      <c r="R145" s="81"/>
      <c r="S145" s="81"/>
      <c r="T145" s="82"/>
      <c r="U145" s="82"/>
      <c r="V145" s="82"/>
      <c r="W145" s="82"/>
      <c r="X145" s="81"/>
      <c r="Y145" s="81"/>
      <c r="Z145" s="81"/>
      <c r="AA145" s="82"/>
      <c r="AB145" s="82"/>
      <c r="AC145" s="83"/>
      <c r="AD145" s="82"/>
      <c r="AE145" s="67"/>
    </row>
    <row r="146" spans="1:31" ht="12.75" customHeight="1">
      <c r="A146" s="78"/>
      <c r="B146" s="79"/>
      <c r="C146" s="79"/>
      <c r="D146" s="79"/>
      <c r="E146" s="79"/>
      <c r="F146" s="80"/>
      <c r="G146" s="81"/>
      <c r="H146" s="81"/>
      <c r="I146" s="81"/>
      <c r="J146" s="81"/>
      <c r="K146" s="81"/>
      <c r="L146" s="82"/>
      <c r="M146" s="82"/>
      <c r="N146" s="82"/>
      <c r="O146" s="82"/>
      <c r="P146" s="81"/>
      <c r="Q146" s="81"/>
      <c r="R146" s="81"/>
      <c r="S146" s="81"/>
      <c r="T146" s="82"/>
      <c r="U146" s="82"/>
      <c r="V146" s="82"/>
      <c r="W146" s="82"/>
      <c r="X146" s="81"/>
      <c r="Y146" s="81"/>
      <c r="Z146" s="81"/>
      <c r="AA146" s="82"/>
      <c r="AB146" s="82"/>
      <c r="AC146" s="83"/>
      <c r="AD146" s="82"/>
      <c r="AE146" s="67"/>
    </row>
    <row r="147" spans="1:31" ht="12.75" customHeight="1">
      <c r="A147" s="78"/>
      <c r="B147" s="79"/>
      <c r="C147" s="79"/>
      <c r="D147" s="79"/>
      <c r="E147" s="79"/>
      <c r="F147" s="80"/>
      <c r="G147" s="81"/>
      <c r="H147" s="81"/>
      <c r="I147" s="81"/>
      <c r="J147" s="81"/>
      <c r="K147" s="81"/>
      <c r="L147" s="82"/>
      <c r="M147" s="82"/>
      <c r="N147" s="82"/>
      <c r="O147" s="82"/>
      <c r="P147" s="81"/>
      <c r="Q147" s="81"/>
      <c r="R147" s="81"/>
      <c r="S147" s="81"/>
      <c r="T147" s="82"/>
      <c r="U147" s="82"/>
      <c r="V147" s="82"/>
      <c r="W147" s="82"/>
      <c r="X147" s="81"/>
      <c r="Y147" s="81"/>
      <c r="Z147" s="81"/>
      <c r="AA147" s="82"/>
      <c r="AB147" s="82"/>
      <c r="AC147" s="83"/>
      <c r="AD147" s="82"/>
      <c r="AE147" s="67"/>
    </row>
    <row r="148" spans="1:31" ht="12.75" customHeight="1">
      <c r="A148" s="78"/>
      <c r="B148" s="79"/>
      <c r="C148" s="79"/>
      <c r="D148" s="79"/>
      <c r="E148" s="79"/>
      <c r="F148" s="80"/>
      <c r="G148" s="81"/>
      <c r="H148" s="81"/>
      <c r="I148" s="81"/>
      <c r="J148" s="81"/>
      <c r="K148" s="81"/>
      <c r="L148" s="82"/>
      <c r="M148" s="82"/>
      <c r="N148" s="82"/>
      <c r="O148" s="82"/>
      <c r="P148" s="81"/>
      <c r="Q148" s="81"/>
      <c r="R148" s="81"/>
      <c r="S148" s="81"/>
      <c r="T148" s="82"/>
      <c r="U148" s="82"/>
      <c r="V148" s="82"/>
      <c r="W148" s="82"/>
      <c r="X148" s="81"/>
      <c r="Y148" s="81"/>
      <c r="Z148" s="81"/>
      <c r="AA148" s="82"/>
      <c r="AB148" s="82"/>
      <c r="AC148" s="83"/>
      <c r="AD148" s="82"/>
      <c r="AE148" s="67"/>
    </row>
    <row r="149" spans="1:31" ht="12.75" customHeight="1">
      <c r="A149" s="78"/>
      <c r="B149" s="79"/>
      <c r="C149" s="79"/>
      <c r="D149" s="79"/>
      <c r="E149" s="79"/>
      <c r="F149" s="80"/>
      <c r="G149" s="81"/>
      <c r="H149" s="81"/>
      <c r="I149" s="81"/>
      <c r="J149" s="81"/>
      <c r="K149" s="81"/>
      <c r="L149" s="82"/>
      <c r="M149" s="82"/>
      <c r="N149" s="82"/>
      <c r="O149" s="82"/>
      <c r="P149" s="81"/>
      <c r="Q149" s="81"/>
      <c r="R149" s="81"/>
      <c r="S149" s="81"/>
      <c r="T149" s="82"/>
      <c r="U149" s="82"/>
      <c r="V149" s="82"/>
      <c r="W149" s="82"/>
      <c r="X149" s="81"/>
      <c r="Y149" s="81"/>
      <c r="Z149" s="81"/>
      <c r="AA149" s="82"/>
      <c r="AB149" s="82"/>
      <c r="AC149" s="83"/>
      <c r="AD149" s="82"/>
      <c r="AE149" s="67"/>
    </row>
    <row r="150" spans="1:31" ht="12.75" customHeight="1">
      <c r="A150" s="78"/>
      <c r="B150" s="79"/>
      <c r="C150" s="79"/>
      <c r="D150" s="79"/>
      <c r="E150" s="79"/>
      <c r="F150" s="80"/>
      <c r="G150" s="81"/>
      <c r="H150" s="81"/>
      <c r="I150" s="81"/>
      <c r="J150" s="81"/>
      <c r="K150" s="81"/>
      <c r="L150" s="82"/>
      <c r="M150" s="82"/>
      <c r="N150" s="82"/>
      <c r="O150" s="82"/>
      <c r="P150" s="81"/>
      <c r="Q150" s="81"/>
      <c r="R150" s="81"/>
      <c r="S150" s="81"/>
      <c r="T150" s="82"/>
      <c r="U150" s="82"/>
      <c r="V150" s="82"/>
      <c r="W150" s="82"/>
      <c r="X150" s="81"/>
      <c r="Y150" s="81"/>
      <c r="Z150" s="81"/>
      <c r="AA150" s="82"/>
      <c r="AB150" s="82"/>
      <c r="AC150" s="83"/>
      <c r="AD150" s="82"/>
      <c r="AE150" s="67"/>
    </row>
    <row r="151" spans="1:31" ht="12.75" customHeight="1">
      <c r="A151" s="78"/>
      <c r="B151" s="79"/>
      <c r="C151" s="79"/>
      <c r="D151" s="79"/>
      <c r="E151" s="79"/>
      <c r="F151" s="80"/>
      <c r="G151" s="81"/>
      <c r="H151" s="81"/>
      <c r="I151" s="81"/>
      <c r="J151" s="81"/>
      <c r="K151" s="81"/>
      <c r="L151" s="82"/>
      <c r="M151" s="82"/>
      <c r="N151" s="82"/>
      <c r="O151" s="82"/>
      <c r="P151" s="81"/>
      <c r="Q151" s="81"/>
      <c r="R151" s="81"/>
      <c r="S151" s="81"/>
      <c r="T151" s="82"/>
      <c r="U151" s="82"/>
      <c r="V151" s="82"/>
      <c r="W151" s="82"/>
      <c r="X151" s="81"/>
      <c r="Y151" s="81"/>
      <c r="Z151" s="81"/>
      <c r="AA151" s="82"/>
      <c r="AB151" s="82"/>
      <c r="AC151" s="83"/>
      <c r="AD151" s="82"/>
      <c r="AE151" s="67"/>
    </row>
    <row r="152" spans="1:31" ht="12.75" customHeight="1">
      <c r="A152" s="78"/>
      <c r="B152" s="79"/>
      <c r="C152" s="79"/>
      <c r="D152" s="79"/>
      <c r="E152" s="79"/>
      <c r="F152" s="80"/>
      <c r="G152" s="81"/>
      <c r="H152" s="81"/>
      <c r="I152" s="81"/>
      <c r="J152" s="81"/>
      <c r="K152" s="81"/>
      <c r="L152" s="82"/>
      <c r="M152" s="82"/>
      <c r="N152" s="82"/>
      <c r="O152" s="82"/>
      <c r="P152" s="81"/>
      <c r="Q152" s="81"/>
      <c r="R152" s="81"/>
      <c r="S152" s="81"/>
      <c r="T152" s="82"/>
      <c r="U152" s="82"/>
      <c r="V152" s="82"/>
      <c r="W152" s="82"/>
      <c r="X152" s="81"/>
      <c r="Y152" s="81"/>
      <c r="Z152" s="81"/>
      <c r="AA152" s="82"/>
      <c r="AB152" s="82"/>
      <c r="AC152" s="83"/>
      <c r="AD152" s="82"/>
      <c r="AE152" s="67"/>
    </row>
    <row r="153" spans="1:31" ht="12.75" customHeight="1">
      <c r="A153" s="78"/>
      <c r="B153" s="79"/>
      <c r="C153" s="79"/>
      <c r="D153" s="79"/>
      <c r="E153" s="79"/>
      <c r="F153" s="80"/>
      <c r="G153" s="81"/>
      <c r="H153" s="81"/>
      <c r="I153" s="81"/>
      <c r="J153" s="81"/>
      <c r="K153" s="81"/>
      <c r="L153" s="82"/>
      <c r="M153" s="82"/>
      <c r="N153" s="82"/>
      <c r="O153" s="82"/>
      <c r="P153" s="81"/>
      <c r="Q153" s="81"/>
      <c r="R153" s="81"/>
      <c r="S153" s="81"/>
      <c r="T153" s="82"/>
      <c r="U153" s="82"/>
      <c r="V153" s="82"/>
      <c r="W153" s="82"/>
      <c r="X153" s="81"/>
      <c r="Y153" s="81"/>
      <c r="Z153" s="81"/>
      <c r="AA153" s="82"/>
      <c r="AB153" s="82"/>
      <c r="AC153" s="83"/>
      <c r="AD153" s="82"/>
      <c r="AE153" s="67"/>
    </row>
    <row r="154" spans="1:31" ht="12.75" customHeight="1">
      <c r="A154" s="78"/>
      <c r="B154" s="79"/>
      <c r="C154" s="79"/>
      <c r="D154" s="79"/>
      <c r="E154" s="79"/>
      <c r="F154" s="80"/>
      <c r="G154" s="81"/>
      <c r="H154" s="81"/>
      <c r="I154" s="81"/>
      <c r="J154" s="81"/>
      <c r="K154" s="81"/>
      <c r="L154" s="82"/>
      <c r="M154" s="82"/>
      <c r="N154" s="82"/>
      <c r="O154" s="82"/>
      <c r="P154" s="81"/>
      <c r="Q154" s="81"/>
      <c r="R154" s="81"/>
      <c r="S154" s="81"/>
      <c r="T154" s="82"/>
      <c r="U154" s="82"/>
      <c r="V154" s="82"/>
      <c r="W154" s="82"/>
      <c r="X154" s="81"/>
      <c r="Y154" s="81"/>
      <c r="Z154" s="81"/>
      <c r="AA154" s="82"/>
      <c r="AB154" s="82"/>
      <c r="AC154" s="83"/>
      <c r="AD154" s="82"/>
      <c r="AE154" s="67"/>
    </row>
    <row r="155" spans="1:31" ht="12.75" customHeight="1">
      <c r="A155" s="78"/>
      <c r="B155" s="79"/>
      <c r="C155" s="79"/>
      <c r="D155" s="79"/>
      <c r="E155" s="79"/>
      <c r="F155" s="80"/>
      <c r="G155" s="81"/>
      <c r="H155" s="81"/>
      <c r="I155" s="81"/>
      <c r="J155" s="81"/>
      <c r="K155" s="81"/>
      <c r="L155" s="82"/>
      <c r="M155" s="82"/>
      <c r="N155" s="82"/>
      <c r="O155" s="82"/>
      <c r="P155" s="81"/>
      <c r="Q155" s="81"/>
      <c r="R155" s="81"/>
      <c r="S155" s="81"/>
      <c r="T155" s="82"/>
      <c r="U155" s="82"/>
      <c r="V155" s="82"/>
      <c r="W155" s="82"/>
      <c r="X155" s="81"/>
      <c r="Y155" s="81"/>
      <c r="Z155" s="81"/>
      <c r="AA155" s="82"/>
      <c r="AB155" s="82"/>
      <c r="AC155" s="83"/>
      <c r="AD155" s="82"/>
      <c r="AE155" s="67"/>
    </row>
    <row r="156" spans="1:31" ht="12.75" customHeight="1">
      <c r="A156" s="78"/>
      <c r="B156" s="79"/>
      <c r="C156" s="79"/>
      <c r="D156" s="79"/>
      <c r="E156" s="79"/>
      <c r="F156" s="80"/>
      <c r="G156" s="81"/>
      <c r="H156" s="81"/>
      <c r="I156" s="81"/>
      <c r="J156" s="81"/>
      <c r="K156" s="81"/>
      <c r="L156" s="82"/>
      <c r="M156" s="82"/>
      <c r="N156" s="82"/>
      <c r="O156" s="82"/>
      <c r="P156" s="81"/>
      <c r="Q156" s="81"/>
      <c r="R156" s="81"/>
      <c r="S156" s="81"/>
      <c r="T156" s="82"/>
      <c r="U156" s="82"/>
      <c r="V156" s="82"/>
      <c r="W156" s="82"/>
      <c r="X156" s="81"/>
      <c r="Y156" s="81"/>
      <c r="Z156" s="81"/>
      <c r="AA156" s="82"/>
      <c r="AB156" s="82"/>
      <c r="AC156" s="83"/>
      <c r="AD156" s="82"/>
      <c r="AE156" s="67"/>
    </row>
    <row r="157" spans="1:31" ht="12.75" customHeight="1">
      <c r="A157" s="78"/>
      <c r="B157" s="79"/>
      <c r="C157" s="79"/>
      <c r="D157" s="79"/>
      <c r="E157" s="79"/>
      <c r="F157" s="80"/>
      <c r="G157" s="81"/>
      <c r="H157" s="81"/>
      <c r="I157" s="81"/>
      <c r="J157" s="81"/>
      <c r="K157" s="81"/>
      <c r="L157" s="82"/>
      <c r="M157" s="82"/>
      <c r="N157" s="82"/>
      <c r="O157" s="82"/>
      <c r="P157" s="81"/>
      <c r="Q157" s="81"/>
      <c r="R157" s="81"/>
      <c r="S157" s="81"/>
      <c r="T157" s="82"/>
      <c r="U157" s="82"/>
      <c r="V157" s="82"/>
      <c r="W157" s="82"/>
      <c r="X157" s="81"/>
      <c r="Y157" s="81"/>
      <c r="Z157" s="81"/>
      <c r="AA157" s="82"/>
      <c r="AB157" s="82"/>
      <c r="AC157" s="83"/>
      <c r="AD157" s="82"/>
      <c r="AE157" s="67"/>
    </row>
    <row r="158" spans="1:31" ht="12.75" customHeight="1">
      <c r="A158" s="78"/>
      <c r="B158" s="79"/>
      <c r="C158" s="79"/>
      <c r="D158" s="79"/>
      <c r="E158" s="79"/>
      <c r="F158" s="80"/>
      <c r="G158" s="81"/>
      <c r="H158" s="81"/>
      <c r="I158" s="81"/>
      <c r="J158" s="81"/>
      <c r="K158" s="81"/>
      <c r="L158" s="82"/>
      <c r="M158" s="82"/>
      <c r="N158" s="82"/>
      <c r="O158" s="82"/>
      <c r="P158" s="81"/>
      <c r="Q158" s="81"/>
      <c r="R158" s="81"/>
      <c r="S158" s="81"/>
      <c r="T158" s="82"/>
      <c r="U158" s="82"/>
      <c r="V158" s="82"/>
      <c r="W158" s="82"/>
      <c r="X158" s="81"/>
      <c r="Y158" s="81"/>
      <c r="Z158" s="81"/>
      <c r="AA158" s="82"/>
      <c r="AB158" s="82"/>
      <c r="AC158" s="83"/>
      <c r="AD158" s="82"/>
      <c r="AE158" s="67"/>
    </row>
    <row r="159" spans="1:31" ht="12.75" customHeight="1">
      <c r="A159" s="78"/>
      <c r="B159" s="79"/>
      <c r="C159" s="79"/>
      <c r="D159" s="79"/>
      <c r="E159" s="79"/>
      <c r="F159" s="80"/>
      <c r="G159" s="81"/>
      <c r="H159" s="81"/>
      <c r="I159" s="81"/>
      <c r="J159" s="81"/>
      <c r="K159" s="81"/>
      <c r="L159" s="82"/>
      <c r="M159" s="82"/>
      <c r="N159" s="82"/>
      <c r="O159" s="82"/>
      <c r="P159" s="81"/>
      <c r="Q159" s="81"/>
      <c r="R159" s="81"/>
      <c r="S159" s="81"/>
      <c r="T159" s="82"/>
      <c r="U159" s="82"/>
      <c r="V159" s="82"/>
      <c r="W159" s="82"/>
      <c r="X159" s="81"/>
      <c r="Y159" s="81"/>
      <c r="Z159" s="81"/>
      <c r="AA159" s="82"/>
      <c r="AB159" s="82"/>
      <c r="AC159" s="83"/>
      <c r="AD159" s="82"/>
      <c r="AE159" s="67"/>
    </row>
    <row r="160" spans="1:31" ht="12.75" customHeight="1">
      <c r="A160" s="78"/>
      <c r="B160" s="79"/>
      <c r="C160" s="79"/>
      <c r="D160" s="79"/>
      <c r="E160" s="79"/>
      <c r="F160" s="80"/>
      <c r="G160" s="81"/>
      <c r="H160" s="81"/>
      <c r="I160" s="81"/>
      <c r="J160" s="81"/>
      <c r="K160" s="81"/>
      <c r="L160" s="82"/>
      <c r="M160" s="82"/>
      <c r="N160" s="82"/>
      <c r="O160" s="82"/>
      <c r="P160" s="81"/>
      <c r="Q160" s="81"/>
      <c r="R160" s="81"/>
      <c r="S160" s="81"/>
      <c r="T160" s="82"/>
      <c r="U160" s="82"/>
      <c r="V160" s="82"/>
      <c r="W160" s="82"/>
      <c r="X160" s="81"/>
      <c r="Y160" s="81"/>
      <c r="Z160" s="81"/>
      <c r="AA160" s="82"/>
      <c r="AB160" s="82"/>
      <c r="AC160" s="83"/>
      <c r="AD160" s="82"/>
      <c r="AE160" s="67"/>
    </row>
    <row r="161" spans="1:31" ht="12.75" customHeight="1">
      <c r="A161" s="78"/>
      <c r="B161" s="79"/>
      <c r="C161" s="79"/>
      <c r="D161" s="79"/>
      <c r="E161" s="79"/>
      <c r="F161" s="80"/>
      <c r="G161" s="81"/>
      <c r="H161" s="81"/>
      <c r="I161" s="81"/>
      <c r="J161" s="81"/>
      <c r="K161" s="81"/>
      <c r="L161" s="82"/>
      <c r="M161" s="82"/>
      <c r="N161" s="82"/>
      <c r="O161" s="82"/>
      <c r="P161" s="81"/>
      <c r="Q161" s="81"/>
      <c r="R161" s="81"/>
      <c r="S161" s="81"/>
      <c r="T161" s="82"/>
      <c r="U161" s="82"/>
      <c r="V161" s="82"/>
      <c r="W161" s="82"/>
      <c r="X161" s="81"/>
      <c r="Y161" s="81"/>
      <c r="Z161" s="81"/>
      <c r="AA161" s="82"/>
      <c r="AB161" s="82"/>
      <c r="AC161" s="83"/>
      <c r="AD161" s="82"/>
      <c r="AE161" s="67"/>
    </row>
    <row r="162" spans="1:31" ht="12.75" customHeight="1">
      <c r="A162" s="78"/>
      <c r="B162" s="79"/>
      <c r="C162" s="79"/>
      <c r="D162" s="79"/>
      <c r="E162" s="79"/>
      <c r="F162" s="80"/>
      <c r="G162" s="81"/>
      <c r="H162" s="81"/>
      <c r="I162" s="81"/>
      <c r="J162" s="81"/>
      <c r="K162" s="81"/>
      <c r="L162" s="82"/>
      <c r="M162" s="82"/>
      <c r="N162" s="82"/>
      <c r="O162" s="82"/>
      <c r="P162" s="81"/>
      <c r="Q162" s="81"/>
      <c r="R162" s="81"/>
      <c r="S162" s="81"/>
      <c r="T162" s="82"/>
      <c r="U162" s="82"/>
      <c r="V162" s="82"/>
      <c r="W162" s="82"/>
      <c r="X162" s="81"/>
      <c r="Y162" s="81"/>
      <c r="Z162" s="81"/>
      <c r="AA162" s="82"/>
      <c r="AB162" s="82"/>
      <c r="AC162" s="83"/>
      <c r="AD162" s="82"/>
      <c r="AE162" s="67"/>
    </row>
    <row r="163" spans="1:31" ht="12.75" customHeight="1">
      <c r="A163" s="78"/>
      <c r="B163" s="79"/>
      <c r="C163" s="79"/>
      <c r="D163" s="79"/>
      <c r="E163" s="79"/>
      <c r="F163" s="80"/>
      <c r="G163" s="81"/>
      <c r="H163" s="81"/>
      <c r="I163" s="81"/>
      <c r="J163" s="81"/>
      <c r="K163" s="81"/>
      <c r="L163" s="82"/>
      <c r="M163" s="82"/>
      <c r="N163" s="82"/>
      <c r="O163" s="82"/>
      <c r="P163" s="81"/>
      <c r="Q163" s="81"/>
      <c r="R163" s="81"/>
      <c r="S163" s="81"/>
      <c r="T163" s="82"/>
      <c r="U163" s="82"/>
      <c r="V163" s="82"/>
      <c r="W163" s="82"/>
      <c r="X163" s="81"/>
      <c r="Y163" s="81"/>
      <c r="Z163" s="81"/>
      <c r="AA163" s="82"/>
      <c r="AB163" s="82"/>
      <c r="AC163" s="83"/>
      <c r="AD163" s="82"/>
      <c r="AE163" s="67"/>
    </row>
    <row r="164" spans="1:31" ht="12.75" customHeight="1">
      <c r="A164" s="78"/>
      <c r="B164" s="79"/>
      <c r="C164" s="79"/>
      <c r="D164" s="79"/>
      <c r="E164" s="79"/>
      <c r="F164" s="80"/>
      <c r="G164" s="81"/>
      <c r="H164" s="81"/>
      <c r="I164" s="81"/>
      <c r="J164" s="81"/>
      <c r="K164" s="81"/>
      <c r="L164" s="82"/>
      <c r="M164" s="82"/>
      <c r="N164" s="82"/>
      <c r="O164" s="82"/>
      <c r="P164" s="81"/>
      <c r="Q164" s="81"/>
      <c r="R164" s="81"/>
      <c r="S164" s="81"/>
      <c r="T164" s="82"/>
      <c r="U164" s="82"/>
      <c r="V164" s="82"/>
      <c r="W164" s="82"/>
      <c r="X164" s="81"/>
      <c r="Y164" s="81"/>
      <c r="Z164" s="81"/>
      <c r="AA164" s="82"/>
      <c r="AB164" s="82"/>
      <c r="AC164" s="83"/>
      <c r="AD164" s="82"/>
      <c r="AE164" s="67"/>
    </row>
    <row r="165" spans="1:31" ht="12.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47"/>
      <c r="AD165" s="23"/>
      <c r="AE165" s="67"/>
    </row>
    <row r="166" spans="1:31" ht="12.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47"/>
      <c r="AD166" s="23"/>
      <c r="AE166" s="23"/>
    </row>
    <row r="167" spans="1:31" ht="12.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47"/>
      <c r="AD167" s="23"/>
      <c r="AE167" s="23"/>
    </row>
  </sheetData>
  <mergeCells count="68">
    <mergeCell ref="T139:W139"/>
    <mergeCell ref="X139:Z139"/>
    <mergeCell ref="AA139:AC139"/>
    <mergeCell ref="P135:R135"/>
    <mergeCell ref="C139:F139"/>
    <mergeCell ref="G139:J139"/>
    <mergeCell ref="L139:O139"/>
    <mergeCell ref="P139:S139"/>
    <mergeCell ref="C134:E134"/>
    <mergeCell ref="F134:H134"/>
    <mergeCell ref="I134:L134"/>
    <mergeCell ref="M134:O134"/>
    <mergeCell ref="P134:R134"/>
    <mergeCell ref="C133:E133"/>
    <mergeCell ref="F133:H133"/>
    <mergeCell ref="I133:L133"/>
    <mergeCell ref="M133:O133"/>
    <mergeCell ref="P133:R133"/>
    <mergeCell ref="C132:E132"/>
    <mergeCell ref="F132:H132"/>
    <mergeCell ref="I132:L132"/>
    <mergeCell ref="M132:O132"/>
    <mergeCell ref="P132:R132"/>
    <mergeCell ref="C131:E131"/>
    <mergeCell ref="F131:H131"/>
    <mergeCell ref="I131:L131"/>
    <mergeCell ref="M131:O131"/>
    <mergeCell ref="P131:R131"/>
    <mergeCell ref="C130:E130"/>
    <mergeCell ref="F130:H130"/>
    <mergeCell ref="I130:L130"/>
    <mergeCell ref="M130:O130"/>
    <mergeCell ref="P130:R130"/>
    <mergeCell ref="C129:E129"/>
    <mergeCell ref="F129:H129"/>
    <mergeCell ref="I129:L129"/>
    <mergeCell ref="M129:O129"/>
    <mergeCell ref="P129:R129"/>
    <mergeCell ref="C128:E128"/>
    <mergeCell ref="F128:H128"/>
    <mergeCell ref="I128:L128"/>
    <mergeCell ref="M128:O128"/>
    <mergeCell ref="P128:R128"/>
    <mergeCell ref="C127:E127"/>
    <mergeCell ref="F127:H127"/>
    <mergeCell ref="I127:L127"/>
    <mergeCell ref="M127:O127"/>
    <mergeCell ref="P127:R127"/>
    <mergeCell ref="C126:E126"/>
    <mergeCell ref="F126:H126"/>
    <mergeCell ref="I126:L126"/>
    <mergeCell ref="M126:O126"/>
    <mergeCell ref="P126:R126"/>
    <mergeCell ref="V124:X124"/>
    <mergeCell ref="C125:E125"/>
    <mergeCell ref="F125:H125"/>
    <mergeCell ref="I125:L125"/>
    <mergeCell ref="M125:O125"/>
    <mergeCell ref="P125:R125"/>
    <mergeCell ref="M1:N1"/>
    <mergeCell ref="O1:U1"/>
    <mergeCell ref="I122:L122"/>
    <mergeCell ref="M122:O122"/>
    <mergeCell ref="C124:E124"/>
    <mergeCell ref="F124:H124"/>
    <mergeCell ref="I124:L124"/>
    <mergeCell ref="M124:O124"/>
    <mergeCell ref="P124:R124"/>
  </mergeCell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heetPr>
  <dimension ref="A1:AE167"/>
  <sheetViews>
    <sheetView zoomScaleNormal="100" workbookViewId="0"/>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ustomHeight="1">
      <c r="A1" s="12" t="s">
        <v>0</v>
      </c>
      <c r="B1" s="13" t="s">
        <v>1</v>
      </c>
      <c r="C1" s="13" t="s">
        <v>2</v>
      </c>
      <c r="D1" s="13" t="s">
        <v>3</v>
      </c>
      <c r="E1" s="13" t="s">
        <v>4</v>
      </c>
      <c r="F1" s="13" t="s">
        <v>5</v>
      </c>
      <c r="G1" s="13" t="s">
        <v>6</v>
      </c>
      <c r="H1" s="13" t="s">
        <v>7</v>
      </c>
      <c r="I1" s="13" t="s">
        <v>8</v>
      </c>
      <c r="J1" s="13" t="s">
        <v>9</v>
      </c>
      <c r="K1" s="13" t="s">
        <v>10</v>
      </c>
      <c r="L1" s="14"/>
      <c r="M1" s="11" t="s">
        <v>11</v>
      </c>
      <c r="N1" s="11"/>
      <c r="O1" s="10" t="s">
        <v>12</v>
      </c>
      <c r="P1" s="10"/>
      <c r="Q1" s="10"/>
      <c r="R1" s="10"/>
      <c r="S1" s="10"/>
      <c r="T1" s="10"/>
      <c r="U1" s="10"/>
      <c r="V1" s="14"/>
      <c r="W1" s="15">
        <v>46049</v>
      </c>
      <c r="X1" s="14"/>
      <c r="Y1" s="16">
        <f>SUMIFS(Y2:Y120,L2:L120,"&lt;&gt;"&amp;"")</f>
        <v>0</v>
      </c>
      <c r="Z1" s="14" t="s">
        <v>13</v>
      </c>
      <c r="AA1" s="17" t="s">
        <v>14</v>
      </c>
      <c r="AB1" s="18" t="s">
        <v>15</v>
      </c>
      <c r="AC1" s="19">
        <f>SUM(AC2:AC120)</f>
        <v>0</v>
      </c>
      <c r="AD1" s="14"/>
      <c r="AE1" s="14"/>
    </row>
    <row r="2" spans="1:31" ht="15.75" customHeight="1">
      <c r="A2" s="20">
        <f t="shared" ref="A2:A33" si="0">(B2*$P$125+C2*$P$126+D2*$P$127+E2*$P$128+F2*$P$129+G2*$P$130+H2*$P$131+I2*$P$132+J2*$P$133+K2*$P$134)*$T$123</f>
        <v>0</v>
      </c>
      <c r="B2" s="21"/>
      <c r="C2" s="22"/>
      <c r="D2" s="22"/>
      <c r="E2" s="22"/>
      <c r="F2" s="22"/>
      <c r="G2" s="22"/>
      <c r="H2" s="22"/>
      <c r="I2" s="22"/>
      <c r="J2" s="23"/>
      <c r="K2" s="23"/>
      <c r="L2" s="24" t="s">
        <v>16</v>
      </c>
      <c r="M2" s="25"/>
      <c r="N2" s="26"/>
      <c r="O2" s="26"/>
      <c r="P2" s="26"/>
      <c r="Q2" s="26"/>
      <c r="R2" s="26"/>
      <c r="S2" s="26"/>
      <c r="T2" s="26"/>
      <c r="U2" s="26"/>
      <c r="V2" s="26"/>
      <c r="W2" s="26"/>
      <c r="X2" s="26">
        <f>COUNTIF($L$2:L2,"&lt;&gt;"&amp;"")</f>
        <v>1</v>
      </c>
      <c r="Y2" s="27">
        <f t="shared" ref="Y2:Y33" si="1">SUMIF($X$2:$X$120,X2,$A$2:$A$120)</f>
        <v>0</v>
      </c>
      <c r="Z2" s="28"/>
      <c r="AA2" s="29"/>
      <c r="AB2" s="30" t="b">
        <f>TRUE()</f>
        <v>1</v>
      </c>
      <c r="AC2" s="31">
        <f t="shared" ref="AC2:AC33" si="2">IF(L2="",0,IF(AB2=FALSE(),0,Y2))</f>
        <v>0</v>
      </c>
      <c r="AD2" s="23"/>
      <c r="AE2" s="23"/>
    </row>
    <row r="3" spans="1:31" ht="15.75" customHeight="1">
      <c r="A3" s="20">
        <f t="shared" si="0"/>
        <v>0</v>
      </c>
      <c r="B3" s="22"/>
      <c r="C3" s="21"/>
      <c r="D3" s="21"/>
      <c r="E3" s="22"/>
      <c r="F3" s="22"/>
      <c r="G3" s="22"/>
      <c r="H3" s="22"/>
      <c r="I3" s="22"/>
      <c r="J3" s="23"/>
      <c r="K3" s="23"/>
      <c r="L3" s="24" t="s">
        <v>17</v>
      </c>
      <c r="M3" s="26"/>
      <c r="N3" s="26"/>
      <c r="O3" s="26"/>
      <c r="P3" s="26"/>
      <c r="Q3" s="26"/>
      <c r="R3" s="26"/>
      <c r="S3" s="26"/>
      <c r="T3" s="26"/>
      <c r="U3" s="26"/>
      <c r="V3" s="26"/>
      <c r="W3" s="26"/>
      <c r="X3" s="26">
        <f>COUNTIF($L$2:L3,"&lt;&gt;"&amp;"")</f>
        <v>2</v>
      </c>
      <c r="Y3" s="27">
        <f t="shared" si="1"/>
        <v>0</v>
      </c>
      <c r="Z3" s="28"/>
      <c r="AA3" s="29"/>
      <c r="AB3" s="30" t="b">
        <f>TRUE()</f>
        <v>1</v>
      </c>
      <c r="AC3" s="31">
        <f t="shared" si="2"/>
        <v>0</v>
      </c>
      <c r="AD3" s="23"/>
      <c r="AE3" s="23"/>
    </row>
    <row r="4" spans="1:31" ht="15.75" customHeight="1">
      <c r="A4" s="20">
        <f t="shared" si="0"/>
        <v>0</v>
      </c>
      <c r="B4" s="22"/>
      <c r="C4" s="22"/>
      <c r="D4" s="22"/>
      <c r="E4" s="22"/>
      <c r="F4" s="22"/>
      <c r="G4" s="22"/>
      <c r="H4" s="21"/>
      <c r="I4" s="22"/>
      <c r="J4" s="23"/>
      <c r="K4" s="23"/>
      <c r="L4" s="24" t="s">
        <v>18</v>
      </c>
      <c r="M4" s="26"/>
      <c r="N4" s="26"/>
      <c r="O4" s="26"/>
      <c r="P4" s="26"/>
      <c r="Q4" s="26"/>
      <c r="R4" s="26"/>
      <c r="S4" s="26"/>
      <c r="T4" s="26"/>
      <c r="U4" s="26"/>
      <c r="V4" s="26"/>
      <c r="W4" s="26"/>
      <c r="X4" s="26">
        <f>COUNTIF($L$2:L4,"&lt;&gt;"&amp;"")</f>
        <v>3</v>
      </c>
      <c r="Y4" s="27">
        <f t="shared" si="1"/>
        <v>0</v>
      </c>
      <c r="Z4" s="28"/>
      <c r="AA4" s="32"/>
      <c r="AB4" s="30" t="b">
        <f>TRUE()</f>
        <v>1</v>
      </c>
      <c r="AC4" s="31">
        <f t="shared" si="2"/>
        <v>0</v>
      </c>
      <c r="AD4" s="23"/>
      <c r="AE4" s="23"/>
    </row>
    <row r="5" spans="1:31" ht="15.75" customHeight="1">
      <c r="A5" s="20">
        <f t="shared" si="0"/>
        <v>0</v>
      </c>
      <c r="B5" s="23"/>
      <c r="C5" s="23"/>
      <c r="D5" s="23"/>
      <c r="E5" s="23"/>
      <c r="F5" s="23"/>
      <c r="G5" s="23"/>
      <c r="H5" s="23"/>
      <c r="I5" s="23"/>
      <c r="J5" s="23"/>
      <c r="K5" s="23"/>
      <c r="L5" s="24" t="s">
        <v>19</v>
      </c>
      <c r="M5" s="26"/>
      <c r="N5" s="26"/>
      <c r="O5" s="26"/>
      <c r="P5" s="26"/>
      <c r="Q5" s="26"/>
      <c r="R5" s="26"/>
      <c r="S5" s="26"/>
      <c r="T5" s="26"/>
      <c r="U5" s="26"/>
      <c r="V5" s="26"/>
      <c r="W5" s="26"/>
      <c r="X5" s="26">
        <f>COUNTIF($L$2:L5,"&lt;&gt;"&amp;"")</f>
        <v>4</v>
      </c>
      <c r="Y5" s="27">
        <f t="shared" si="1"/>
        <v>0</v>
      </c>
      <c r="Z5" s="28"/>
      <c r="AA5" s="32"/>
      <c r="AB5" s="30" t="b">
        <f>TRUE()</f>
        <v>1</v>
      </c>
      <c r="AC5" s="31">
        <f t="shared" si="2"/>
        <v>0</v>
      </c>
      <c r="AD5" s="23"/>
      <c r="AE5" s="23"/>
    </row>
    <row r="6" spans="1:31" ht="15" customHeight="1">
      <c r="A6" s="20">
        <f t="shared" si="0"/>
        <v>0</v>
      </c>
      <c r="B6" s="23"/>
      <c r="C6" s="23"/>
      <c r="D6" s="23"/>
      <c r="E6" s="23"/>
      <c r="F6" s="23"/>
      <c r="G6" s="23"/>
      <c r="H6" s="23"/>
      <c r="I6" s="23"/>
      <c r="J6" s="23"/>
      <c r="K6" s="23"/>
      <c r="L6" s="33"/>
      <c r="M6" s="26"/>
      <c r="N6" s="26"/>
      <c r="O6" s="26"/>
      <c r="P6" s="26"/>
      <c r="Q6" s="26"/>
      <c r="R6" s="26"/>
      <c r="S6" s="26"/>
      <c r="T6" s="26"/>
      <c r="U6" s="26"/>
      <c r="V6" s="26"/>
      <c r="W6" s="26"/>
      <c r="X6" s="26">
        <f>COUNTIF($L$2:L6,"&lt;&gt;"&amp;"")</f>
        <v>4</v>
      </c>
      <c r="Y6" s="27">
        <f t="shared" si="1"/>
        <v>0</v>
      </c>
      <c r="Z6" s="28"/>
      <c r="AA6" s="29"/>
      <c r="AB6" s="30" t="b">
        <f>TRUE()</f>
        <v>1</v>
      </c>
      <c r="AC6" s="31">
        <f t="shared" si="2"/>
        <v>0</v>
      </c>
      <c r="AD6" s="23"/>
      <c r="AE6" s="23"/>
    </row>
    <row r="7" spans="1:31" ht="15" customHeight="1">
      <c r="A7" s="20">
        <f t="shared" si="0"/>
        <v>0</v>
      </c>
      <c r="B7" s="23"/>
      <c r="C7" s="23"/>
      <c r="D7" s="23"/>
      <c r="E7" s="23"/>
      <c r="F7" s="23"/>
      <c r="G7" s="23"/>
      <c r="H7" s="23"/>
      <c r="I7" s="23"/>
      <c r="J7" s="23"/>
      <c r="K7" s="23"/>
      <c r="L7" s="33"/>
      <c r="M7" s="26"/>
      <c r="N7" s="26"/>
      <c r="O7" s="26"/>
      <c r="P7" s="26"/>
      <c r="Q7" s="26"/>
      <c r="R7" s="26"/>
      <c r="S7" s="26"/>
      <c r="T7" s="26"/>
      <c r="U7" s="26"/>
      <c r="V7" s="26"/>
      <c r="W7" s="26"/>
      <c r="X7" s="26">
        <f>COUNTIF($L$2:L7,"&lt;&gt;"&amp;"")</f>
        <v>4</v>
      </c>
      <c r="Y7" s="27">
        <f t="shared" si="1"/>
        <v>0</v>
      </c>
      <c r="Z7" s="28"/>
      <c r="AA7" s="32"/>
      <c r="AB7" s="30" t="b">
        <f>TRUE()</f>
        <v>1</v>
      </c>
      <c r="AC7" s="31">
        <f t="shared" si="2"/>
        <v>0</v>
      </c>
      <c r="AD7" s="23"/>
      <c r="AE7" s="23"/>
    </row>
    <row r="8" spans="1:31" ht="15.75" customHeight="1">
      <c r="A8" s="20">
        <f t="shared" si="0"/>
        <v>0</v>
      </c>
      <c r="B8" s="23"/>
      <c r="C8" s="23"/>
      <c r="D8" s="23"/>
      <c r="E8" s="23"/>
      <c r="F8" s="23"/>
      <c r="G8" s="23"/>
      <c r="H8" s="23"/>
      <c r="I8" s="23"/>
      <c r="J8" s="23"/>
      <c r="K8" s="23"/>
      <c r="L8" s="34" t="s">
        <v>105</v>
      </c>
      <c r="M8" s="26"/>
      <c r="N8" s="26"/>
      <c r="O8" s="26"/>
      <c r="P8" s="26"/>
      <c r="Q8" s="26"/>
      <c r="R8" s="26"/>
      <c r="S8" s="26"/>
      <c r="T8" s="26"/>
      <c r="U8" s="26"/>
      <c r="V8" s="26"/>
      <c r="W8" s="26"/>
      <c r="X8" s="26">
        <f>COUNTIF($L$2:L8,"&lt;&gt;"&amp;"")</f>
        <v>5</v>
      </c>
      <c r="Y8" s="27">
        <f t="shared" si="1"/>
        <v>0</v>
      </c>
      <c r="Z8" s="28"/>
      <c r="AA8" s="29"/>
      <c r="AB8" s="30" t="b">
        <f>TRUE()</f>
        <v>1</v>
      </c>
      <c r="AC8" s="31">
        <f t="shared" si="2"/>
        <v>0</v>
      </c>
      <c r="AD8" s="35"/>
      <c r="AE8" s="35"/>
    </row>
    <row r="9" spans="1:31" ht="12.75" customHeight="1">
      <c r="A9" s="20">
        <f t="shared" si="0"/>
        <v>0</v>
      </c>
      <c r="B9" s="23"/>
      <c r="C9" s="23"/>
      <c r="D9" s="23"/>
      <c r="E9" s="23"/>
      <c r="F9" s="23"/>
      <c r="G9" s="23"/>
      <c r="H9" s="23"/>
      <c r="I9" s="23"/>
      <c r="J9" s="23"/>
      <c r="K9" s="23"/>
      <c r="L9" s="26"/>
      <c r="M9" s="36" t="s">
        <v>106</v>
      </c>
      <c r="N9" s="26"/>
      <c r="O9" s="26"/>
      <c r="P9" s="26"/>
      <c r="Q9" s="26"/>
      <c r="R9" s="26"/>
      <c r="S9" s="26"/>
      <c r="T9" s="26"/>
      <c r="U9" s="26"/>
      <c r="V9" s="26"/>
      <c r="W9" s="26"/>
      <c r="X9" s="26">
        <f>COUNTIF($L$2:L9,"&lt;&gt;"&amp;"")</f>
        <v>5</v>
      </c>
      <c r="Y9" s="27">
        <f t="shared" si="1"/>
        <v>0</v>
      </c>
      <c r="Z9" s="28"/>
      <c r="AA9" s="29"/>
      <c r="AB9" s="30" t="b">
        <f>TRUE()</f>
        <v>1</v>
      </c>
      <c r="AC9" s="31">
        <f t="shared" si="2"/>
        <v>0</v>
      </c>
      <c r="AD9" s="35"/>
      <c r="AE9" s="35"/>
    </row>
    <row r="10" spans="1:31" ht="12.75" customHeight="1">
      <c r="A10" s="20">
        <f t="shared" si="0"/>
        <v>0</v>
      </c>
      <c r="B10" s="23"/>
      <c r="C10" s="23"/>
      <c r="D10" s="23"/>
      <c r="E10" s="23"/>
      <c r="F10" s="23"/>
      <c r="G10" s="23"/>
      <c r="H10" s="23"/>
      <c r="I10" s="23"/>
      <c r="J10" s="23"/>
      <c r="K10" s="23"/>
      <c r="L10" s="26"/>
      <c r="M10" s="26"/>
      <c r="N10" s="37" t="s">
        <v>107</v>
      </c>
      <c r="O10" s="26"/>
      <c r="P10" s="26"/>
      <c r="Q10" s="26"/>
      <c r="R10" s="26"/>
      <c r="S10" s="26"/>
      <c r="T10" s="26"/>
      <c r="U10" s="26"/>
      <c r="V10" s="26"/>
      <c r="W10" s="26"/>
      <c r="X10" s="26">
        <f>COUNTIF($L$2:L10,"&lt;&gt;"&amp;"")</f>
        <v>5</v>
      </c>
      <c r="Y10" s="27">
        <f t="shared" si="1"/>
        <v>0</v>
      </c>
      <c r="Z10" s="28"/>
      <c r="AA10" s="29"/>
      <c r="AB10" s="30" t="b">
        <f>TRUE()</f>
        <v>1</v>
      </c>
      <c r="AC10" s="31">
        <f t="shared" si="2"/>
        <v>0</v>
      </c>
      <c r="AD10" s="35"/>
      <c r="AE10" s="35"/>
    </row>
    <row r="11" spans="1:31" ht="12.75" customHeight="1">
      <c r="A11" s="20">
        <f t="shared" si="0"/>
        <v>0</v>
      </c>
      <c r="B11" s="23"/>
      <c r="C11" s="23"/>
      <c r="D11" s="23"/>
      <c r="E11" s="23"/>
      <c r="F11" s="23"/>
      <c r="G11" s="23"/>
      <c r="H11" s="23"/>
      <c r="I11" s="23"/>
      <c r="J11" s="23"/>
      <c r="K11" s="23"/>
      <c r="L11" s="26"/>
      <c r="M11" s="36" t="s">
        <v>108</v>
      </c>
      <c r="N11" s="38"/>
      <c r="O11" s="26"/>
      <c r="P11" s="26"/>
      <c r="Q11" s="26"/>
      <c r="R11" s="26"/>
      <c r="S11" s="26"/>
      <c r="T11" s="26"/>
      <c r="U11" s="26"/>
      <c r="V11" s="26"/>
      <c r="W11" s="26"/>
      <c r="X11" s="26">
        <f>COUNTIF($L$2:L11,"&lt;&gt;"&amp;"")</f>
        <v>5</v>
      </c>
      <c r="Y11" s="27">
        <f t="shared" si="1"/>
        <v>0</v>
      </c>
      <c r="Z11" s="28"/>
      <c r="AA11" s="29"/>
      <c r="AB11" s="30" t="b">
        <f>TRUE()</f>
        <v>1</v>
      </c>
      <c r="AC11" s="31">
        <f t="shared" si="2"/>
        <v>0</v>
      </c>
      <c r="AD11" s="35"/>
      <c r="AE11" s="35"/>
    </row>
    <row r="12" spans="1:31" ht="12.75" customHeight="1">
      <c r="A12" s="20">
        <f t="shared" si="0"/>
        <v>0</v>
      </c>
      <c r="B12" s="23"/>
      <c r="C12" s="23"/>
      <c r="D12" s="23"/>
      <c r="E12" s="23"/>
      <c r="F12" s="23"/>
      <c r="G12" s="23"/>
      <c r="H12" s="23"/>
      <c r="I12" s="23"/>
      <c r="J12" s="23"/>
      <c r="K12" s="23"/>
      <c r="L12" s="26"/>
      <c r="M12" s="39"/>
      <c r="N12" s="37" t="s">
        <v>109</v>
      </c>
      <c r="O12" s="26"/>
      <c r="P12" s="26"/>
      <c r="Q12" s="26"/>
      <c r="R12" s="26"/>
      <c r="S12" s="26"/>
      <c r="T12" s="26"/>
      <c r="U12" s="26"/>
      <c r="V12" s="26"/>
      <c r="W12" s="26"/>
      <c r="X12" s="26">
        <f>COUNTIF($L$2:L12,"&lt;&gt;"&amp;"")</f>
        <v>5</v>
      </c>
      <c r="Y12" s="27">
        <f t="shared" si="1"/>
        <v>0</v>
      </c>
      <c r="Z12" s="28"/>
      <c r="AA12" s="29"/>
      <c r="AB12" s="30" t="b">
        <f>TRUE()</f>
        <v>1</v>
      </c>
      <c r="AC12" s="31">
        <f t="shared" si="2"/>
        <v>0</v>
      </c>
      <c r="AD12" s="35"/>
      <c r="AE12" s="35"/>
    </row>
    <row r="13" spans="1:31" ht="12.75" customHeight="1">
      <c r="A13" s="20">
        <f t="shared" si="0"/>
        <v>0</v>
      </c>
      <c r="B13" s="23"/>
      <c r="C13" s="23"/>
      <c r="D13" s="23"/>
      <c r="E13" s="23"/>
      <c r="F13" s="23"/>
      <c r="G13" s="23"/>
      <c r="H13" s="23"/>
      <c r="I13" s="23"/>
      <c r="J13" s="23"/>
      <c r="K13" s="23"/>
      <c r="L13" s="26"/>
      <c r="M13" s="36" t="s">
        <v>110</v>
      </c>
      <c r="N13" s="38"/>
      <c r="O13" s="26"/>
      <c r="P13" s="26"/>
      <c r="Q13" s="26"/>
      <c r="R13" s="26"/>
      <c r="S13" s="26"/>
      <c r="T13" s="26"/>
      <c r="U13" s="26"/>
      <c r="V13" s="26"/>
      <c r="W13" s="26"/>
      <c r="X13" s="26">
        <f>COUNTIF($L$2:L13,"&lt;&gt;"&amp;"")</f>
        <v>5</v>
      </c>
      <c r="Y13" s="27">
        <f t="shared" si="1"/>
        <v>0</v>
      </c>
      <c r="Z13" s="28"/>
      <c r="AA13" s="29"/>
      <c r="AB13" s="30" t="b">
        <f>TRUE()</f>
        <v>1</v>
      </c>
      <c r="AC13" s="31">
        <f t="shared" si="2"/>
        <v>0</v>
      </c>
      <c r="AD13" s="35"/>
      <c r="AE13" s="35"/>
    </row>
    <row r="14" spans="1:31" ht="15" customHeight="1">
      <c r="A14" s="20">
        <f t="shared" si="0"/>
        <v>0</v>
      </c>
      <c r="B14" s="23"/>
      <c r="C14" s="23"/>
      <c r="D14" s="23"/>
      <c r="E14" s="23"/>
      <c r="F14" s="23"/>
      <c r="G14" s="23"/>
      <c r="H14" s="23"/>
      <c r="I14" s="23"/>
      <c r="J14" s="23"/>
      <c r="K14" s="23"/>
      <c r="L14" s="33"/>
      <c r="M14" s="26"/>
      <c r="N14" s="37" t="s">
        <v>111</v>
      </c>
      <c r="O14" s="26"/>
      <c r="P14" s="26"/>
      <c r="Q14" s="26"/>
      <c r="R14" s="26"/>
      <c r="S14" s="26"/>
      <c r="T14" s="26"/>
      <c r="U14" s="26"/>
      <c r="V14" s="26"/>
      <c r="W14" s="26"/>
      <c r="X14" s="26">
        <f>COUNTIF($L$2:L14,"&lt;&gt;"&amp;"")</f>
        <v>5</v>
      </c>
      <c r="Y14" s="27">
        <f t="shared" si="1"/>
        <v>0</v>
      </c>
      <c r="Z14" s="28"/>
      <c r="AA14" s="29"/>
      <c r="AB14" s="30" t="b">
        <f>TRUE()</f>
        <v>1</v>
      </c>
      <c r="AC14" s="31">
        <f t="shared" si="2"/>
        <v>0</v>
      </c>
      <c r="AD14" s="35"/>
      <c r="AE14" s="35"/>
    </row>
    <row r="15" spans="1:31" ht="12.75" customHeight="1">
      <c r="A15" s="20">
        <f t="shared" si="0"/>
        <v>0</v>
      </c>
      <c r="B15" s="23"/>
      <c r="C15" s="23"/>
      <c r="D15" s="23"/>
      <c r="E15" s="23"/>
      <c r="F15" s="23"/>
      <c r="G15" s="23"/>
      <c r="H15" s="23"/>
      <c r="I15" s="23"/>
      <c r="J15" s="23"/>
      <c r="K15" s="23"/>
      <c r="L15" s="26"/>
      <c r="M15" s="26"/>
      <c r="N15" s="26"/>
      <c r="O15" s="26"/>
      <c r="P15" s="26"/>
      <c r="Q15" s="26"/>
      <c r="R15" s="26"/>
      <c r="S15" s="26"/>
      <c r="T15" s="26"/>
      <c r="U15" s="26"/>
      <c r="V15" s="26"/>
      <c r="W15" s="26"/>
      <c r="X15" s="26">
        <f>COUNTIF($L$2:L15,"&lt;&gt;"&amp;"")</f>
        <v>5</v>
      </c>
      <c r="Y15" s="27">
        <f t="shared" si="1"/>
        <v>0</v>
      </c>
      <c r="Z15" s="28"/>
      <c r="AA15" s="29"/>
      <c r="AB15" s="30" t="b">
        <f>TRUE()</f>
        <v>1</v>
      </c>
      <c r="AC15" s="31">
        <f t="shared" si="2"/>
        <v>0</v>
      </c>
      <c r="AD15" s="35"/>
      <c r="AE15" s="35"/>
    </row>
    <row r="16" spans="1:31" ht="12.75" customHeight="1">
      <c r="A16" s="20">
        <f t="shared" si="0"/>
        <v>0</v>
      </c>
      <c r="B16" s="23"/>
      <c r="C16" s="23"/>
      <c r="D16" s="23"/>
      <c r="E16" s="23"/>
      <c r="F16" s="23"/>
      <c r="G16" s="23"/>
      <c r="H16" s="23"/>
      <c r="I16" s="23"/>
      <c r="J16" s="23"/>
      <c r="K16" s="23"/>
      <c r="L16" s="26"/>
      <c r="M16" s="26"/>
      <c r="N16" s="26"/>
      <c r="O16" s="26"/>
      <c r="P16" s="26"/>
      <c r="Q16" s="26"/>
      <c r="R16" s="26"/>
      <c r="S16" s="26"/>
      <c r="T16" s="26"/>
      <c r="U16" s="26"/>
      <c r="V16" s="26"/>
      <c r="W16" s="26"/>
      <c r="X16" s="26">
        <f>COUNTIF($L$2:L16,"&lt;&gt;"&amp;"")</f>
        <v>5</v>
      </c>
      <c r="Y16" s="27">
        <f t="shared" si="1"/>
        <v>0</v>
      </c>
      <c r="Z16" s="28"/>
      <c r="AA16" s="29"/>
      <c r="AB16" s="30" t="b">
        <f>TRUE()</f>
        <v>1</v>
      </c>
      <c r="AC16" s="31">
        <f t="shared" si="2"/>
        <v>0</v>
      </c>
      <c r="AD16" s="35"/>
      <c r="AE16" s="35"/>
    </row>
    <row r="17" spans="1:31" ht="12.75" customHeight="1">
      <c r="A17" s="20">
        <f t="shared" si="0"/>
        <v>0</v>
      </c>
      <c r="B17" s="23"/>
      <c r="C17" s="23"/>
      <c r="D17" s="23"/>
      <c r="E17" s="23"/>
      <c r="F17" s="23"/>
      <c r="G17" s="23"/>
      <c r="H17" s="23"/>
      <c r="I17" s="23"/>
      <c r="J17" s="23"/>
      <c r="K17" s="23"/>
      <c r="L17" s="26"/>
      <c r="M17" s="26"/>
      <c r="N17" s="26"/>
      <c r="O17" s="26"/>
      <c r="P17" s="26"/>
      <c r="Q17" s="26"/>
      <c r="R17" s="26"/>
      <c r="S17" s="26"/>
      <c r="T17" s="26"/>
      <c r="U17" s="26"/>
      <c r="V17" s="26"/>
      <c r="W17" s="26"/>
      <c r="X17" s="26">
        <f>COUNTIF($L$2:L17,"&lt;&gt;"&amp;"")</f>
        <v>5</v>
      </c>
      <c r="Y17" s="27">
        <f t="shared" si="1"/>
        <v>0</v>
      </c>
      <c r="Z17" s="28"/>
      <c r="AA17" s="29"/>
      <c r="AB17" s="30" t="b">
        <f>TRUE()</f>
        <v>1</v>
      </c>
      <c r="AC17" s="31">
        <f t="shared" si="2"/>
        <v>0</v>
      </c>
      <c r="AD17" s="35"/>
      <c r="AE17" s="35"/>
    </row>
    <row r="18" spans="1:31" ht="12.75" customHeight="1">
      <c r="A18" s="20">
        <f t="shared" si="0"/>
        <v>0</v>
      </c>
      <c r="B18" s="23"/>
      <c r="C18" s="23"/>
      <c r="D18" s="23"/>
      <c r="E18" s="23"/>
      <c r="F18" s="23"/>
      <c r="G18" s="23"/>
      <c r="H18" s="23"/>
      <c r="I18" s="23"/>
      <c r="J18" s="23"/>
      <c r="K18" s="23"/>
      <c r="L18" s="26"/>
      <c r="M18" s="26"/>
      <c r="N18" s="26"/>
      <c r="O18" s="26"/>
      <c r="P18" s="26"/>
      <c r="Q18" s="26"/>
      <c r="R18" s="26"/>
      <c r="S18" s="26"/>
      <c r="T18" s="26"/>
      <c r="U18" s="26"/>
      <c r="V18" s="26"/>
      <c r="W18" s="26"/>
      <c r="X18" s="26">
        <f>COUNTIF($L$2:L18,"&lt;&gt;"&amp;"")</f>
        <v>5</v>
      </c>
      <c r="Y18" s="27">
        <f t="shared" si="1"/>
        <v>0</v>
      </c>
      <c r="Z18" s="28"/>
      <c r="AA18" s="29"/>
      <c r="AB18" s="30" t="b">
        <f>TRUE()</f>
        <v>1</v>
      </c>
      <c r="AC18" s="31">
        <f t="shared" si="2"/>
        <v>0</v>
      </c>
      <c r="AD18" s="35"/>
      <c r="AE18" s="35"/>
    </row>
    <row r="19" spans="1:31" ht="15" customHeight="1">
      <c r="A19" s="20">
        <f t="shared" si="0"/>
        <v>0</v>
      </c>
      <c r="B19" s="23"/>
      <c r="C19" s="23"/>
      <c r="D19" s="23"/>
      <c r="E19" s="23"/>
      <c r="F19" s="23"/>
      <c r="G19" s="23"/>
      <c r="H19" s="23"/>
      <c r="I19" s="23"/>
      <c r="J19" s="23"/>
      <c r="K19" s="23"/>
      <c r="L19" s="33"/>
      <c r="M19" s="26"/>
      <c r="N19" s="26"/>
      <c r="O19" s="26"/>
      <c r="P19" s="26"/>
      <c r="Q19" s="26"/>
      <c r="R19" s="26"/>
      <c r="S19" s="26"/>
      <c r="T19" s="26"/>
      <c r="U19" s="26"/>
      <c r="V19" s="26"/>
      <c r="W19" s="26"/>
      <c r="X19" s="26">
        <f>COUNTIF($L$2:L19,"&lt;&gt;"&amp;"")</f>
        <v>5</v>
      </c>
      <c r="Y19" s="27">
        <f t="shared" si="1"/>
        <v>0</v>
      </c>
      <c r="Z19" s="28"/>
      <c r="AA19" s="29"/>
      <c r="AB19" s="30" t="b">
        <f>TRUE()</f>
        <v>1</v>
      </c>
      <c r="AC19" s="31">
        <f t="shared" si="2"/>
        <v>0</v>
      </c>
      <c r="AD19" s="35"/>
      <c r="AE19" s="35"/>
    </row>
    <row r="20" spans="1:31" ht="12.75" customHeight="1">
      <c r="A20" s="20">
        <f t="shared" si="0"/>
        <v>0</v>
      </c>
      <c r="B20" s="23"/>
      <c r="C20" s="23"/>
      <c r="D20" s="23"/>
      <c r="E20" s="23"/>
      <c r="F20" s="23"/>
      <c r="G20" s="23"/>
      <c r="H20" s="23"/>
      <c r="I20" s="23"/>
      <c r="J20" s="23"/>
      <c r="K20" s="23"/>
      <c r="L20" s="26"/>
      <c r="M20" s="26"/>
      <c r="N20" s="26"/>
      <c r="O20" s="26"/>
      <c r="P20" s="26"/>
      <c r="Q20" s="26"/>
      <c r="R20" s="26"/>
      <c r="S20" s="26"/>
      <c r="T20" s="26"/>
      <c r="U20" s="26"/>
      <c r="V20" s="26"/>
      <c r="W20" s="26"/>
      <c r="X20" s="26">
        <f>COUNTIF($L$2:L20,"&lt;&gt;"&amp;"")</f>
        <v>5</v>
      </c>
      <c r="Y20" s="27">
        <f t="shared" si="1"/>
        <v>0</v>
      </c>
      <c r="Z20" s="28"/>
      <c r="AA20" s="29"/>
      <c r="AB20" s="30" t="b">
        <f>TRUE()</f>
        <v>1</v>
      </c>
      <c r="AC20" s="31">
        <f t="shared" si="2"/>
        <v>0</v>
      </c>
      <c r="AD20" s="35"/>
      <c r="AE20" s="35"/>
    </row>
    <row r="21" spans="1:31" ht="12.75" customHeight="1">
      <c r="A21" s="20">
        <f t="shared" si="0"/>
        <v>0</v>
      </c>
      <c r="B21" s="23"/>
      <c r="C21" s="23"/>
      <c r="D21" s="23"/>
      <c r="E21" s="23"/>
      <c r="F21" s="23"/>
      <c r="G21" s="23"/>
      <c r="H21" s="23"/>
      <c r="I21" s="23"/>
      <c r="J21" s="23"/>
      <c r="K21" s="23"/>
      <c r="L21" s="26"/>
      <c r="M21" s="26"/>
      <c r="N21" s="26"/>
      <c r="O21" s="26"/>
      <c r="P21" s="26"/>
      <c r="Q21" s="26"/>
      <c r="R21" s="26"/>
      <c r="S21" s="26"/>
      <c r="T21" s="26"/>
      <c r="U21" s="26"/>
      <c r="V21" s="26"/>
      <c r="W21" s="26"/>
      <c r="X21" s="26">
        <f>COUNTIF($L$2:L21,"&lt;&gt;"&amp;"")</f>
        <v>5</v>
      </c>
      <c r="Y21" s="27">
        <f t="shared" si="1"/>
        <v>0</v>
      </c>
      <c r="Z21" s="28"/>
      <c r="AA21" s="29"/>
      <c r="AB21" s="30" t="b">
        <f>TRUE()</f>
        <v>1</v>
      </c>
      <c r="AC21" s="31">
        <f t="shared" si="2"/>
        <v>0</v>
      </c>
      <c r="AD21" s="35"/>
      <c r="AE21" s="35"/>
    </row>
    <row r="22" spans="1:31" ht="12.75" customHeight="1">
      <c r="A22" s="20">
        <f t="shared" si="0"/>
        <v>0</v>
      </c>
      <c r="B22" s="23"/>
      <c r="C22" s="23"/>
      <c r="D22" s="23"/>
      <c r="E22" s="23"/>
      <c r="F22" s="23"/>
      <c r="G22" s="23"/>
      <c r="H22" s="23"/>
      <c r="I22" s="23"/>
      <c r="J22" s="23"/>
      <c r="K22" s="23"/>
      <c r="L22" s="26"/>
      <c r="M22" s="26"/>
      <c r="N22" s="26"/>
      <c r="O22" s="26"/>
      <c r="P22" s="26"/>
      <c r="Q22" s="26"/>
      <c r="R22" s="26"/>
      <c r="S22" s="26"/>
      <c r="T22" s="26"/>
      <c r="U22" s="26"/>
      <c r="V22" s="26"/>
      <c r="W22" s="26"/>
      <c r="X22" s="26">
        <f>COUNTIF($L$2:L22,"&lt;&gt;"&amp;"")</f>
        <v>5</v>
      </c>
      <c r="Y22" s="27">
        <f t="shared" si="1"/>
        <v>0</v>
      </c>
      <c r="Z22" s="28"/>
      <c r="AA22" s="29"/>
      <c r="AB22" s="30" t="b">
        <f>TRUE()</f>
        <v>1</v>
      </c>
      <c r="AC22" s="31">
        <f t="shared" si="2"/>
        <v>0</v>
      </c>
      <c r="AD22" s="35"/>
      <c r="AE22" s="35"/>
    </row>
    <row r="23" spans="1:31" ht="12.75" customHeight="1">
      <c r="A23" s="20">
        <f t="shared" si="0"/>
        <v>0</v>
      </c>
      <c r="B23" s="23"/>
      <c r="C23" s="23"/>
      <c r="D23" s="23"/>
      <c r="E23" s="23"/>
      <c r="F23" s="23"/>
      <c r="G23" s="23"/>
      <c r="H23" s="23"/>
      <c r="I23" s="23"/>
      <c r="J23" s="23"/>
      <c r="K23" s="23"/>
      <c r="L23" s="26"/>
      <c r="M23" s="26"/>
      <c r="N23" s="26"/>
      <c r="O23" s="26"/>
      <c r="P23" s="26"/>
      <c r="Q23" s="26"/>
      <c r="R23" s="26"/>
      <c r="S23" s="26"/>
      <c r="T23" s="26"/>
      <c r="U23" s="26"/>
      <c r="V23" s="26"/>
      <c r="W23" s="26"/>
      <c r="X23" s="26">
        <f>COUNTIF($L$2:L23,"&lt;&gt;"&amp;"")</f>
        <v>5</v>
      </c>
      <c r="Y23" s="27">
        <f t="shared" si="1"/>
        <v>0</v>
      </c>
      <c r="Z23" s="28"/>
      <c r="AA23" s="29"/>
      <c r="AB23" s="30" t="b">
        <f>TRUE()</f>
        <v>1</v>
      </c>
      <c r="AC23" s="31">
        <f t="shared" si="2"/>
        <v>0</v>
      </c>
      <c r="AD23" s="35"/>
      <c r="AE23" s="35"/>
    </row>
    <row r="24" spans="1:31" ht="12.75" customHeight="1">
      <c r="A24" s="20">
        <f t="shared" si="0"/>
        <v>0</v>
      </c>
      <c r="B24" s="23"/>
      <c r="C24" s="23"/>
      <c r="D24" s="23"/>
      <c r="E24" s="23"/>
      <c r="F24" s="23"/>
      <c r="G24" s="23"/>
      <c r="H24" s="23"/>
      <c r="I24" s="23"/>
      <c r="J24" s="23"/>
      <c r="K24" s="23"/>
      <c r="L24" s="26"/>
      <c r="M24" s="40"/>
      <c r="N24" s="26"/>
      <c r="O24" s="26"/>
      <c r="P24" s="26"/>
      <c r="Q24" s="26"/>
      <c r="R24" s="26"/>
      <c r="S24" s="26"/>
      <c r="T24" s="26"/>
      <c r="U24" s="26"/>
      <c r="V24" s="26"/>
      <c r="W24" s="26"/>
      <c r="X24" s="26">
        <f>COUNTIF($L$2:L24,"&lt;&gt;"&amp;"")</f>
        <v>5</v>
      </c>
      <c r="Y24" s="27">
        <f t="shared" si="1"/>
        <v>0</v>
      </c>
      <c r="Z24" s="28"/>
      <c r="AA24" s="29"/>
      <c r="AB24" s="30" t="b">
        <f>TRUE()</f>
        <v>1</v>
      </c>
      <c r="AC24" s="31">
        <f t="shared" si="2"/>
        <v>0</v>
      </c>
      <c r="AD24" s="35"/>
      <c r="AE24" s="35"/>
    </row>
    <row r="25" spans="1:31" ht="15" customHeight="1">
      <c r="A25" s="20">
        <f t="shared" si="0"/>
        <v>0</v>
      </c>
      <c r="B25" s="23"/>
      <c r="C25" s="23"/>
      <c r="D25" s="23"/>
      <c r="E25" s="23"/>
      <c r="F25" s="23"/>
      <c r="G25" s="23"/>
      <c r="H25" s="23"/>
      <c r="I25" s="23"/>
      <c r="J25" s="23"/>
      <c r="K25" s="23"/>
      <c r="L25" s="33"/>
      <c r="M25" s="26"/>
      <c r="N25" s="26"/>
      <c r="O25" s="26"/>
      <c r="P25" s="26"/>
      <c r="Q25" s="26"/>
      <c r="R25" s="26"/>
      <c r="S25" s="26"/>
      <c r="T25" s="26"/>
      <c r="U25" s="26"/>
      <c r="V25" s="26"/>
      <c r="W25" s="26"/>
      <c r="X25" s="26">
        <f>COUNTIF($L$2:L25,"&lt;&gt;"&amp;"")</f>
        <v>5</v>
      </c>
      <c r="Y25" s="27">
        <f t="shared" si="1"/>
        <v>0</v>
      </c>
      <c r="Z25" s="28"/>
      <c r="AA25" s="29"/>
      <c r="AB25" s="30" t="b">
        <f>TRUE()</f>
        <v>1</v>
      </c>
      <c r="AC25" s="31">
        <f t="shared" si="2"/>
        <v>0</v>
      </c>
      <c r="AD25" s="35"/>
      <c r="AE25" s="35"/>
    </row>
    <row r="26" spans="1:31" ht="15" customHeight="1">
      <c r="A26" s="20">
        <f t="shared" si="0"/>
        <v>0</v>
      </c>
      <c r="B26" s="23"/>
      <c r="C26" s="23"/>
      <c r="D26" s="23"/>
      <c r="E26" s="23"/>
      <c r="F26" s="23"/>
      <c r="G26" s="23"/>
      <c r="H26" s="23"/>
      <c r="I26" s="23"/>
      <c r="J26" s="23"/>
      <c r="K26" s="23"/>
      <c r="L26" s="33"/>
      <c r="M26" s="26"/>
      <c r="N26" s="26"/>
      <c r="O26" s="26"/>
      <c r="P26" s="26"/>
      <c r="Q26" s="26"/>
      <c r="R26" s="26"/>
      <c r="S26" s="26"/>
      <c r="T26" s="26"/>
      <c r="U26" s="26"/>
      <c r="V26" s="26"/>
      <c r="W26" s="26"/>
      <c r="X26" s="26">
        <f>COUNTIF($L$2:L26,"&lt;&gt;"&amp;"")</f>
        <v>5</v>
      </c>
      <c r="Y26" s="27">
        <f t="shared" si="1"/>
        <v>0</v>
      </c>
      <c r="Z26" s="28"/>
      <c r="AA26" s="29"/>
      <c r="AB26" s="30" t="b">
        <f>TRUE()</f>
        <v>1</v>
      </c>
      <c r="AC26" s="31">
        <f t="shared" si="2"/>
        <v>0</v>
      </c>
      <c r="AD26" s="35"/>
      <c r="AE26" s="35"/>
    </row>
    <row r="27" spans="1:31" ht="15" customHeight="1">
      <c r="A27" s="20">
        <f t="shared" si="0"/>
        <v>0</v>
      </c>
      <c r="B27" s="23"/>
      <c r="C27" s="23"/>
      <c r="D27" s="23"/>
      <c r="E27" s="23"/>
      <c r="F27" s="23"/>
      <c r="G27" s="23"/>
      <c r="H27" s="23"/>
      <c r="I27" s="23"/>
      <c r="J27" s="23"/>
      <c r="K27" s="23"/>
      <c r="L27" s="33"/>
      <c r="M27" s="26"/>
      <c r="N27" s="26"/>
      <c r="O27" s="26"/>
      <c r="P27" s="26"/>
      <c r="Q27" s="26"/>
      <c r="R27" s="26"/>
      <c r="S27" s="26"/>
      <c r="T27" s="26"/>
      <c r="U27" s="26"/>
      <c r="V27" s="26"/>
      <c r="W27" s="26"/>
      <c r="X27" s="26">
        <f>COUNTIF($L$2:L27,"&lt;&gt;"&amp;"")</f>
        <v>5</v>
      </c>
      <c r="Y27" s="27">
        <f t="shared" si="1"/>
        <v>0</v>
      </c>
      <c r="Z27" s="28"/>
      <c r="AA27" s="29"/>
      <c r="AB27" s="30" t="b">
        <f>TRUE()</f>
        <v>1</v>
      </c>
      <c r="AC27" s="31">
        <f t="shared" si="2"/>
        <v>0</v>
      </c>
      <c r="AD27" s="35"/>
      <c r="AE27" s="35"/>
    </row>
    <row r="28" spans="1:31" ht="15" customHeight="1">
      <c r="A28" s="20">
        <f t="shared" si="0"/>
        <v>0</v>
      </c>
      <c r="B28" s="23"/>
      <c r="C28" s="23"/>
      <c r="D28" s="23"/>
      <c r="E28" s="23"/>
      <c r="F28" s="23"/>
      <c r="G28" s="23"/>
      <c r="H28" s="23"/>
      <c r="I28" s="23"/>
      <c r="J28" s="23"/>
      <c r="K28" s="23"/>
      <c r="L28" s="33"/>
      <c r="M28" s="26"/>
      <c r="N28" s="26"/>
      <c r="O28" s="26"/>
      <c r="P28" s="26"/>
      <c r="Q28" s="26"/>
      <c r="R28" s="26"/>
      <c r="S28" s="26"/>
      <c r="T28" s="26"/>
      <c r="U28" s="26"/>
      <c r="V28" s="26"/>
      <c r="W28" s="26"/>
      <c r="X28" s="26">
        <f>COUNTIF($L$2:L28,"&lt;&gt;"&amp;"")</f>
        <v>5</v>
      </c>
      <c r="Y28" s="27">
        <f t="shared" si="1"/>
        <v>0</v>
      </c>
      <c r="Z28" s="28"/>
      <c r="AA28" s="29"/>
      <c r="AB28" s="30" t="b">
        <f>TRUE()</f>
        <v>1</v>
      </c>
      <c r="AC28" s="31">
        <f t="shared" si="2"/>
        <v>0</v>
      </c>
      <c r="AD28" s="35"/>
      <c r="AE28" s="35"/>
    </row>
    <row r="29" spans="1:31" ht="15" customHeight="1">
      <c r="A29" s="20">
        <f t="shared" si="0"/>
        <v>0</v>
      </c>
      <c r="B29" s="23"/>
      <c r="C29" s="23"/>
      <c r="D29" s="23"/>
      <c r="E29" s="23"/>
      <c r="F29" s="23"/>
      <c r="G29" s="23"/>
      <c r="H29" s="23"/>
      <c r="I29" s="23"/>
      <c r="J29" s="23"/>
      <c r="K29" s="23"/>
      <c r="L29" s="33"/>
      <c r="M29" s="26"/>
      <c r="N29" s="26"/>
      <c r="O29" s="26"/>
      <c r="P29" s="26"/>
      <c r="Q29" s="26"/>
      <c r="R29" s="26"/>
      <c r="S29" s="26"/>
      <c r="T29" s="26"/>
      <c r="U29" s="26"/>
      <c r="V29" s="26"/>
      <c r="W29" s="26"/>
      <c r="X29" s="26">
        <f>COUNTIF($L$2:L29,"&lt;&gt;"&amp;"")</f>
        <v>5</v>
      </c>
      <c r="Y29" s="27">
        <f t="shared" si="1"/>
        <v>0</v>
      </c>
      <c r="Z29" s="28"/>
      <c r="AA29" s="29"/>
      <c r="AB29" s="30" t="b">
        <f>TRUE()</f>
        <v>1</v>
      </c>
      <c r="AC29" s="31">
        <f t="shared" si="2"/>
        <v>0</v>
      </c>
      <c r="AD29" s="35"/>
      <c r="AE29" s="35"/>
    </row>
    <row r="30" spans="1:31" ht="15" customHeight="1">
      <c r="A30" s="20">
        <f t="shared" si="0"/>
        <v>0</v>
      </c>
      <c r="B30" s="23"/>
      <c r="C30" s="23"/>
      <c r="D30" s="23"/>
      <c r="E30" s="23"/>
      <c r="F30" s="23"/>
      <c r="G30" s="23"/>
      <c r="H30" s="23"/>
      <c r="I30" s="23"/>
      <c r="J30" s="23"/>
      <c r="K30" s="23"/>
      <c r="L30" s="33"/>
      <c r="M30" s="26"/>
      <c r="N30" s="26"/>
      <c r="O30" s="26"/>
      <c r="P30" s="26"/>
      <c r="Q30" s="26"/>
      <c r="R30" s="26"/>
      <c r="S30" s="26"/>
      <c r="T30" s="26"/>
      <c r="U30" s="26"/>
      <c r="V30" s="26"/>
      <c r="W30" s="26"/>
      <c r="X30" s="26">
        <f>COUNTIF($L$2:L30,"&lt;&gt;"&amp;"")</f>
        <v>5</v>
      </c>
      <c r="Y30" s="27">
        <f t="shared" si="1"/>
        <v>0</v>
      </c>
      <c r="Z30" s="28"/>
      <c r="AA30" s="29"/>
      <c r="AB30" s="30" t="b">
        <f>TRUE()</f>
        <v>1</v>
      </c>
      <c r="AC30" s="31">
        <f t="shared" si="2"/>
        <v>0</v>
      </c>
      <c r="AD30" s="35"/>
      <c r="AE30" s="35"/>
    </row>
    <row r="31" spans="1:31" ht="15" customHeight="1">
      <c r="A31" s="20">
        <f t="shared" si="0"/>
        <v>0</v>
      </c>
      <c r="B31" s="23"/>
      <c r="C31" s="23"/>
      <c r="D31" s="23"/>
      <c r="E31" s="23"/>
      <c r="F31" s="23"/>
      <c r="G31" s="23"/>
      <c r="H31" s="23"/>
      <c r="I31" s="23"/>
      <c r="J31" s="23"/>
      <c r="K31" s="23"/>
      <c r="L31" s="33"/>
      <c r="M31" s="26"/>
      <c r="N31" s="26"/>
      <c r="O31" s="26"/>
      <c r="P31" s="26"/>
      <c r="Q31" s="26"/>
      <c r="R31" s="26"/>
      <c r="S31" s="26"/>
      <c r="T31" s="26"/>
      <c r="U31" s="26"/>
      <c r="V31" s="26"/>
      <c r="W31" s="26"/>
      <c r="X31" s="26">
        <f>COUNTIF($L$2:L31,"&lt;&gt;"&amp;"")</f>
        <v>5</v>
      </c>
      <c r="Y31" s="27">
        <f t="shared" si="1"/>
        <v>0</v>
      </c>
      <c r="Z31" s="28"/>
      <c r="AA31" s="29"/>
      <c r="AB31" s="30" t="b">
        <f>TRUE()</f>
        <v>1</v>
      </c>
      <c r="AC31" s="31">
        <f t="shared" si="2"/>
        <v>0</v>
      </c>
      <c r="AD31" s="35"/>
      <c r="AE31" s="35"/>
    </row>
    <row r="32" spans="1:31" ht="15" customHeight="1">
      <c r="A32" s="20">
        <f t="shared" si="0"/>
        <v>0</v>
      </c>
      <c r="B32" s="23"/>
      <c r="C32" s="23"/>
      <c r="D32" s="23"/>
      <c r="E32" s="23"/>
      <c r="F32" s="23"/>
      <c r="G32" s="23"/>
      <c r="H32" s="23"/>
      <c r="I32" s="23"/>
      <c r="J32" s="23"/>
      <c r="K32" s="23"/>
      <c r="L32" s="33"/>
      <c r="M32" s="26"/>
      <c r="N32" s="26"/>
      <c r="O32" s="26"/>
      <c r="P32" s="26"/>
      <c r="Q32" s="26"/>
      <c r="R32" s="26"/>
      <c r="S32" s="26"/>
      <c r="T32" s="26"/>
      <c r="U32" s="26"/>
      <c r="V32" s="26"/>
      <c r="W32" s="26"/>
      <c r="X32" s="26">
        <f>COUNTIF($L$2:L32,"&lt;&gt;"&amp;"")</f>
        <v>5</v>
      </c>
      <c r="Y32" s="27">
        <f t="shared" si="1"/>
        <v>0</v>
      </c>
      <c r="Z32" s="28"/>
      <c r="AA32" s="29"/>
      <c r="AB32" s="30" t="b">
        <f>TRUE()</f>
        <v>1</v>
      </c>
      <c r="AC32" s="31">
        <f t="shared" si="2"/>
        <v>0</v>
      </c>
      <c r="AD32" s="35"/>
      <c r="AE32" s="35"/>
    </row>
    <row r="33" spans="1:31" ht="15" customHeight="1">
      <c r="A33" s="20">
        <f t="shared" si="0"/>
        <v>0</v>
      </c>
      <c r="B33" s="23"/>
      <c r="C33" s="23"/>
      <c r="D33" s="23"/>
      <c r="E33" s="23"/>
      <c r="F33" s="23"/>
      <c r="G33" s="23"/>
      <c r="H33" s="23"/>
      <c r="I33" s="23"/>
      <c r="J33" s="23"/>
      <c r="K33" s="23"/>
      <c r="L33" s="33"/>
      <c r="M33" s="26"/>
      <c r="N33" s="26"/>
      <c r="O33" s="26"/>
      <c r="P33" s="26"/>
      <c r="Q33" s="26"/>
      <c r="R33" s="26"/>
      <c r="S33" s="26"/>
      <c r="T33" s="26"/>
      <c r="U33" s="26"/>
      <c r="V33" s="26"/>
      <c r="W33" s="26"/>
      <c r="X33" s="26">
        <f>COUNTIF($L$2:L33,"&lt;&gt;"&amp;"")</f>
        <v>5</v>
      </c>
      <c r="Y33" s="27">
        <f t="shared" si="1"/>
        <v>0</v>
      </c>
      <c r="Z33" s="28"/>
      <c r="AA33" s="29"/>
      <c r="AB33" s="30" t="b">
        <f>TRUE()</f>
        <v>1</v>
      </c>
      <c r="AC33" s="31">
        <f t="shared" si="2"/>
        <v>0</v>
      </c>
      <c r="AD33" s="35"/>
      <c r="AE33" s="35"/>
    </row>
    <row r="34" spans="1:31" ht="15" customHeight="1">
      <c r="A34" s="20">
        <f t="shared" ref="A34:A65" si="3">(B34*$P$125+C34*$P$126+D34*$P$127+E34*$P$128+F34*$P$129+G34*$P$130+H34*$P$131+I34*$P$132+J34*$P$133+K34*$P$134)*$T$123</f>
        <v>0</v>
      </c>
      <c r="B34" s="23"/>
      <c r="C34" s="23"/>
      <c r="D34" s="23"/>
      <c r="E34" s="23"/>
      <c r="F34" s="23"/>
      <c r="G34" s="23"/>
      <c r="H34" s="23"/>
      <c r="I34" s="23"/>
      <c r="J34" s="23"/>
      <c r="K34" s="23"/>
      <c r="L34" s="33"/>
      <c r="M34" s="33"/>
      <c r="N34" s="26"/>
      <c r="O34" s="26"/>
      <c r="P34" s="26"/>
      <c r="Q34" s="26"/>
      <c r="R34" s="26"/>
      <c r="S34" s="26"/>
      <c r="T34" s="26"/>
      <c r="U34" s="26"/>
      <c r="V34" s="26"/>
      <c r="W34" s="26"/>
      <c r="X34" s="26">
        <f>COUNTIF($L$2:L34,"&lt;&gt;"&amp;"")</f>
        <v>5</v>
      </c>
      <c r="Y34" s="27">
        <f t="shared" ref="Y34:Y65" si="4">SUMIF($X$2:$X$120,X34,$A$2:$A$120)</f>
        <v>0</v>
      </c>
      <c r="Z34" s="28"/>
      <c r="AA34" s="29"/>
      <c r="AB34" s="30" t="b">
        <f>TRUE()</f>
        <v>1</v>
      </c>
      <c r="AC34" s="31">
        <f t="shared" ref="AC34:AC65" si="5">IF(L34="",0,IF(AB34=FALSE(),0,Y34))</f>
        <v>0</v>
      </c>
      <c r="AD34" s="35"/>
      <c r="AE34" s="35"/>
    </row>
    <row r="35" spans="1:31" ht="15" customHeight="1">
      <c r="A35" s="20">
        <f t="shared" si="3"/>
        <v>0</v>
      </c>
      <c r="B35" s="23"/>
      <c r="C35" s="23"/>
      <c r="D35" s="23"/>
      <c r="E35" s="23"/>
      <c r="F35" s="23"/>
      <c r="G35" s="23"/>
      <c r="H35" s="23"/>
      <c r="I35" s="23"/>
      <c r="J35" s="23"/>
      <c r="K35" s="23"/>
      <c r="L35" s="33"/>
      <c r="M35" s="26"/>
      <c r="N35" s="41"/>
      <c r="O35" s="26"/>
      <c r="P35" s="26"/>
      <c r="Q35" s="26"/>
      <c r="R35" s="26"/>
      <c r="S35" s="26"/>
      <c r="T35" s="26"/>
      <c r="U35" s="26"/>
      <c r="V35" s="26"/>
      <c r="W35" s="26"/>
      <c r="X35" s="26">
        <f>COUNTIF($L$2:L35,"&lt;&gt;"&amp;"")</f>
        <v>5</v>
      </c>
      <c r="Y35" s="27">
        <f t="shared" si="4"/>
        <v>0</v>
      </c>
      <c r="Z35" s="28"/>
      <c r="AA35" s="29"/>
      <c r="AB35" s="30" t="b">
        <f>TRUE()</f>
        <v>1</v>
      </c>
      <c r="AC35" s="31">
        <f t="shared" si="5"/>
        <v>0</v>
      </c>
      <c r="AD35" s="35"/>
      <c r="AE35" s="35"/>
    </row>
    <row r="36" spans="1:31" ht="15" customHeight="1">
      <c r="A36" s="20">
        <f t="shared" si="3"/>
        <v>0</v>
      </c>
      <c r="B36" s="23"/>
      <c r="C36" s="23"/>
      <c r="D36" s="23"/>
      <c r="E36" s="23"/>
      <c r="F36" s="23"/>
      <c r="G36" s="23"/>
      <c r="H36" s="23"/>
      <c r="I36" s="23"/>
      <c r="J36" s="23"/>
      <c r="K36" s="23"/>
      <c r="L36" s="33"/>
      <c r="M36" s="26"/>
      <c r="N36" s="26"/>
      <c r="O36" s="26"/>
      <c r="P36" s="26"/>
      <c r="Q36" s="26"/>
      <c r="R36" s="26"/>
      <c r="S36" s="26"/>
      <c r="T36" s="26"/>
      <c r="U36" s="26"/>
      <c r="V36" s="26"/>
      <c r="W36" s="26"/>
      <c r="X36" s="26">
        <f>COUNTIF($L$2:L36,"&lt;&gt;"&amp;"")</f>
        <v>5</v>
      </c>
      <c r="Y36" s="27">
        <f t="shared" si="4"/>
        <v>0</v>
      </c>
      <c r="Z36" s="28"/>
      <c r="AA36" s="29"/>
      <c r="AB36" s="30" t="b">
        <f>TRUE()</f>
        <v>1</v>
      </c>
      <c r="AC36" s="31">
        <f t="shared" si="5"/>
        <v>0</v>
      </c>
      <c r="AD36" s="35"/>
      <c r="AE36" s="35"/>
    </row>
    <row r="37" spans="1:31" ht="15" customHeight="1">
      <c r="A37" s="20">
        <f t="shared" si="3"/>
        <v>0</v>
      </c>
      <c r="B37" s="23"/>
      <c r="C37" s="23"/>
      <c r="D37" s="23"/>
      <c r="E37" s="23"/>
      <c r="F37" s="23"/>
      <c r="G37" s="23"/>
      <c r="H37" s="23"/>
      <c r="I37" s="23"/>
      <c r="J37" s="23"/>
      <c r="K37" s="23"/>
      <c r="L37" s="33"/>
      <c r="M37" s="26"/>
      <c r="N37" s="26"/>
      <c r="O37" s="26"/>
      <c r="P37" s="26"/>
      <c r="Q37" s="26"/>
      <c r="R37" s="26"/>
      <c r="S37" s="26"/>
      <c r="T37" s="26"/>
      <c r="U37" s="26"/>
      <c r="V37" s="26"/>
      <c r="W37" s="26"/>
      <c r="X37" s="26">
        <f>COUNTIF($L$2:L37,"&lt;&gt;"&amp;"")</f>
        <v>5</v>
      </c>
      <c r="Y37" s="27">
        <f t="shared" si="4"/>
        <v>0</v>
      </c>
      <c r="Z37" s="28"/>
      <c r="AA37" s="29"/>
      <c r="AB37" s="30" t="b">
        <f>TRUE()</f>
        <v>1</v>
      </c>
      <c r="AC37" s="31">
        <f t="shared" si="5"/>
        <v>0</v>
      </c>
      <c r="AD37" s="35"/>
      <c r="AE37" s="35"/>
    </row>
    <row r="38" spans="1:31" ht="15" customHeight="1">
      <c r="A38" s="20">
        <f t="shared" si="3"/>
        <v>0</v>
      </c>
      <c r="B38" s="23"/>
      <c r="C38" s="23"/>
      <c r="D38" s="23"/>
      <c r="E38" s="23"/>
      <c r="F38" s="23"/>
      <c r="G38" s="23"/>
      <c r="H38" s="23"/>
      <c r="I38" s="23"/>
      <c r="J38" s="23"/>
      <c r="K38" s="23"/>
      <c r="L38" s="33"/>
      <c r="M38" s="26"/>
      <c r="N38" s="26"/>
      <c r="O38" s="26"/>
      <c r="P38" s="26"/>
      <c r="Q38" s="26"/>
      <c r="R38" s="26"/>
      <c r="S38" s="26"/>
      <c r="T38" s="26"/>
      <c r="U38" s="26"/>
      <c r="V38" s="26"/>
      <c r="W38" s="26"/>
      <c r="X38" s="26">
        <f>COUNTIF($L$2:L38,"&lt;&gt;"&amp;"")</f>
        <v>5</v>
      </c>
      <c r="Y38" s="27">
        <f t="shared" si="4"/>
        <v>0</v>
      </c>
      <c r="Z38" s="28"/>
      <c r="AA38" s="29"/>
      <c r="AB38" s="30" t="b">
        <f>TRUE()</f>
        <v>1</v>
      </c>
      <c r="AC38" s="31">
        <f t="shared" si="5"/>
        <v>0</v>
      </c>
      <c r="AD38" s="42"/>
      <c r="AE38" s="42"/>
    </row>
    <row r="39" spans="1:31" ht="15" customHeight="1">
      <c r="A39" s="20">
        <f t="shared" si="3"/>
        <v>0</v>
      </c>
      <c r="B39" s="23"/>
      <c r="C39" s="23"/>
      <c r="D39" s="23"/>
      <c r="E39" s="23"/>
      <c r="F39" s="23"/>
      <c r="G39" s="23"/>
      <c r="H39" s="23"/>
      <c r="I39" s="23"/>
      <c r="J39" s="23"/>
      <c r="K39" s="23"/>
      <c r="L39" s="33"/>
      <c r="M39" s="26"/>
      <c r="N39" s="26"/>
      <c r="O39" s="26"/>
      <c r="P39" s="26"/>
      <c r="Q39" s="26"/>
      <c r="R39" s="26"/>
      <c r="S39" s="26"/>
      <c r="T39" s="26"/>
      <c r="U39" s="26"/>
      <c r="V39" s="26"/>
      <c r="W39" s="26"/>
      <c r="X39" s="26">
        <f>COUNTIF($L$2:L39,"&lt;&gt;"&amp;"")</f>
        <v>5</v>
      </c>
      <c r="Y39" s="27">
        <f t="shared" si="4"/>
        <v>0</v>
      </c>
      <c r="Z39" s="28"/>
      <c r="AA39" s="29"/>
      <c r="AB39" s="30" t="b">
        <f>TRUE()</f>
        <v>1</v>
      </c>
      <c r="AC39" s="31">
        <f t="shared" si="5"/>
        <v>0</v>
      </c>
      <c r="AD39" s="35"/>
      <c r="AE39" s="35"/>
    </row>
    <row r="40" spans="1:31" ht="15" customHeight="1">
      <c r="A40" s="20">
        <f t="shared" si="3"/>
        <v>0</v>
      </c>
      <c r="B40" s="23"/>
      <c r="C40" s="23"/>
      <c r="D40" s="23"/>
      <c r="E40" s="23"/>
      <c r="F40" s="23"/>
      <c r="G40" s="23"/>
      <c r="H40" s="23"/>
      <c r="I40" s="23"/>
      <c r="J40" s="23"/>
      <c r="K40" s="23"/>
      <c r="L40" s="33"/>
      <c r="M40" s="26"/>
      <c r="N40" s="26"/>
      <c r="O40" s="26"/>
      <c r="P40" s="26"/>
      <c r="Q40" s="26"/>
      <c r="R40" s="26"/>
      <c r="S40" s="26"/>
      <c r="T40" s="26"/>
      <c r="U40" s="26"/>
      <c r="V40" s="26"/>
      <c r="W40" s="26"/>
      <c r="X40" s="26">
        <f>COUNTIF($L$2:L40,"&lt;&gt;"&amp;"")</f>
        <v>5</v>
      </c>
      <c r="Y40" s="27">
        <f t="shared" si="4"/>
        <v>0</v>
      </c>
      <c r="Z40" s="28"/>
      <c r="AA40" s="29"/>
      <c r="AB40" s="30" t="b">
        <f>TRUE()</f>
        <v>1</v>
      </c>
      <c r="AC40" s="31">
        <f t="shared" si="5"/>
        <v>0</v>
      </c>
      <c r="AD40" s="42"/>
      <c r="AE40" s="42"/>
    </row>
    <row r="41" spans="1:31" ht="15" customHeight="1">
      <c r="A41" s="20">
        <f t="shared" si="3"/>
        <v>0</v>
      </c>
      <c r="B41" s="23"/>
      <c r="C41" s="23"/>
      <c r="D41" s="23"/>
      <c r="E41" s="23"/>
      <c r="F41" s="23"/>
      <c r="G41" s="23"/>
      <c r="H41" s="23"/>
      <c r="I41" s="23"/>
      <c r="J41" s="23"/>
      <c r="K41" s="23"/>
      <c r="L41" s="33"/>
      <c r="M41" s="26"/>
      <c r="N41" s="26"/>
      <c r="O41" s="26"/>
      <c r="P41" s="26"/>
      <c r="Q41" s="26"/>
      <c r="R41" s="26"/>
      <c r="S41" s="26"/>
      <c r="T41" s="26"/>
      <c r="U41" s="26"/>
      <c r="V41" s="26"/>
      <c r="W41" s="26"/>
      <c r="X41" s="26">
        <f>COUNTIF($L$2:L41,"&lt;&gt;"&amp;"")</f>
        <v>5</v>
      </c>
      <c r="Y41" s="27">
        <f t="shared" si="4"/>
        <v>0</v>
      </c>
      <c r="Z41" s="28"/>
      <c r="AA41" s="29"/>
      <c r="AB41" s="30" t="b">
        <f>TRUE()</f>
        <v>1</v>
      </c>
      <c r="AC41" s="31">
        <f t="shared" si="5"/>
        <v>0</v>
      </c>
      <c r="AD41" s="42"/>
      <c r="AE41" s="42"/>
    </row>
    <row r="42" spans="1:31" ht="15" customHeight="1">
      <c r="A42" s="20">
        <f t="shared" si="3"/>
        <v>0</v>
      </c>
      <c r="B42" s="23"/>
      <c r="C42" s="23"/>
      <c r="D42" s="23"/>
      <c r="E42" s="23"/>
      <c r="F42" s="23"/>
      <c r="G42" s="23"/>
      <c r="H42" s="23"/>
      <c r="I42" s="23"/>
      <c r="J42" s="23"/>
      <c r="K42" s="23"/>
      <c r="L42" s="33"/>
      <c r="M42" s="26"/>
      <c r="N42" s="40"/>
      <c r="O42" s="26"/>
      <c r="P42" s="26"/>
      <c r="Q42" s="26"/>
      <c r="R42" s="26"/>
      <c r="S42" s="26"/>
      <c r="T42" s="26"/>
      <c r="U42" s="26"/>
      <c r="V42" s="26"/>
      <c r="W42" s="26"/>
      <c r="X42" s="26">
        <f>COUNTIF($L$2:L42,"&lt;&gt;"&amp;"")</f>
        <v>5</v>
      </c>
      <c r="Y42" s="27">
        <f t="shared" si="4"/>
        <v>0</v>
      </c>
      <c r="Z42" s="28"/>
      <c r="AA42" s="29"/>
      <c r="AB42" s="30" t="b">
        <f>TRUE()</f>
        <v>1</v>
      </c>
      <c r="AC42" s="31">
        <f t="shared" si="5"/>
        <v>0</v>
      </c>
      <c r="AD42" s="35"/>
      <c r="AE42" s="35"/>
    </row>
    <row r="43" spans="1:31" ht="15" customHeight="1">
      <c r="A43" s="20">
        <f t="shared" si="3"/>
        <v>0</v>
      </c>
      <c r="B43" s="23"/>
      <c r="C43" s="23"/>
      <c r="D43" s="23"/>
      <c r="E43" s="23"/>
      <c r="F43" s="23"/>
      <c r="G43" s="23"/>
      <c r="H43" s="23"/>
      <c r="I43" s="23"/>
      <c r="J43" s="23"/>
      <c r="K43" s="23"/>
      <c r="L43" s="33"/>
      <c r="M43" s="33"/>
      <c r="N43" s="26"/>
      <c r="O43" s="26"/>
      <c r="P43" s="26"/>
      <c r="Q43" s="26"/>
      <c r="R43" s="26"/>
      <c r="S43" s="26"/>
      <c r="T43" s="26"/>
      <c r="U43" s="26"/>
      <c r="V43" s="26"/>
      <c r="W43" s="26"/>
      <c r="X43" s="26">
        <f>COUNTIF($L$2:L43,"&lt;&gt;"&amp;"")</f>
        <v>5</v>
      </c>
      <c r="Y43" s="27">
        <f t="shared" si="4"/>
        <v>0</v>
      </c>
      <c r="Z43" s="28"/>
      <c r="AA43" s="29"/>
      <c r="AB43" s="30" t="b">
        <f>TRUE()</f>
        <v>1</v>
      </c>
      <c r="AC43" s="31">
        <f t="shared" si="5"/>
        <v>0</v>
      </c>
      <c r="AD43" s="35"/>
      <c r="AE43" s="35"/>
    </row>
    <row r="44" spans="1:31" ht="15" customHeight="1">
      <c r="A44" s="20">
        <f t="shared" si="3"/>
        <v>0</v>
      </c>
      <c r="B44" s="23"/>
      <c r="C44" s="23"/>
      <c r="D44" s="23"/>
      <c r="E44" s="23"/>
      <c r="F44" s="23"/>
      <c r="G44" s="23"/>
      <c r="H44" s="23"/>
      <c r="I44" s="23"/>
      <c r="J44" s="23"/>
      <c r="K44" s="23"/>
      <c r="L44" s="33"/>
      <c r="M44" s="26"/>
      <c r="N44" s="26"/>
      <c r="O44" s="26"/>
      <c r="P44" s="26"/>
      <c r="Q44" s="26"/>
      <c r="R44" s="26"/>
      <c r="S44" s="26"/>
      <c r="T44" s="26"/>
      <c r="U44" s="26"/>
      <c r="V44" s="26"/>
      <c r="W44" s="26"/>
      <c r="X44" s="26">
        <f>COUNTIF($L$2:L44,"&lt;&gt;"&amp;"")</f>
        <v>5</v>
      </c>
      <c r="Y44" s="27">
        <f t="shared" si="4"/>
        <v>0</v>
      </c>
      <c r="Z44" s="28"/>
      <c r="AA44" s="29"/>
      <c r="AB44" s="30" t="b">
        <f>TRUE()</f>
        <v>1</v>
      </c>
      <c r="AC44" s="31">
        <f t="shared" si="5"/>
        <v>0</v>
      </c>
      <c r="AD44" s="35"/>
      <c r="AE44" s="35"/>
    </row>
    <row r="45" spans="1:31" ht="15" customHeight="1">
      <c r="A45" s="20">
        <f t="shared" si="3"/>
        <v>0</v>
      </c>
      <c r="B45" s="23"/>
      <c r="C45" s="23"/>
      <c r="D45" s="23"/>
      <c r="E45" s="23"/>
      <c r="F45" s="23"/>
      <c r="G45" s="23"/>
      <c r="H45" s="23"/>
      <c r="I45" s="23"/>
      <c r="J45" s="23"/>
      <c r="K45" s="23"/>
      <c r="L45" s="33"/>
      <c r="M45" s="26"/>
      <c r="N45" s="26"/>
      <c r="O45" s="26"/>
      <c r="P45" s="26"/>
      <c r="Q45" s="26"/>
      <c r="R45" s="26"/>
      <c r="S45" s="26"/>
      <c r="T45" s="26"/>
      <c r="U45" s="26"/>
      <c r="V45" s="26"/>
      <c r="W45" s="26"/>
      <c r="X45" s="26">
        <f>COUNTIF($L$2:L45,"&lt;&gt;"&amp;"")</f>
        <v>5</v>
      </c>
      <c r="Y45" s="27">
        <f t="shared" si="4"/>
        <v>0</v>
      </c>
      <c r="Z45" s="28"/>
      <c r="AA45" s="29"/>
      <c r="AB45" s="30" t="b">
        <f>TRUE()</f>
        <v>1</v>
      </c>
      <c r="AC45" s="31">
        <f t="shared" si="5"/>
        <v>0</v>
      </c>
      <c r="AD45" s="35"/>
      <c r="AE45" s="35"/>
    </row>
    <row r="46" spans="1:31" ht="15" customHeight="1">
      <c r="A46" s="20">
        <f t="shared" si="3"/>
        <v>0</v>
      </c>
      <c r="B46" s="23"/>
      <c r="C46" s="23"/>
      <c r="D46" s="23"/>
      <c r="E46" s="23"/>
      <c r="F46" s="23"/>
      <c r="G46" s="23"/>
      <c r="H46" s="23"/>
      <c r="I46" s="23"/>
      <c r="J46" s="23"/>
      <c r="K46" s="23"/>
      <c r="L46" s="33"/>
      <c r="M46" s="26"/>
      <c r="N46" s="26"/>
      <c r="O46" s="26"/>
      <c r="P46" s="26"/>
      <c r="Q46" s="26"/>
      <c r="R46" s="26"/>
      <c r="S46" s="26"/>
      <c r="T46" s="26"/>
      <c r="U46" s="26"/>
      <c r="V46" s="26"/>
      <c r="W46" s="26"/>
      <c r="X46" s="26">
        <f>COUNTIF($L$2:L46,"&lt;&gt;"&amp;"")</f>
        <v>5</v>
      </c>
      <c r="Y46" s="27">
        <f t="shared" si="4"/>
        <v>0</v>
      </c>
      <c r="Z46" s="28"/>
      <c r="AA46" s="29"/>
      <c r="AB46" s="30" t="b">
        <f>TRUE()</f>
        <v>1</v>
      </c>
      <c r="AC46" s="31">
        <f t="shared" si="5"/>
        <v>0</v>
      </c>
      <c r="AD46" s="35"/>
      <c r="AE46" s="35"/>
    </row>
    <row r="47" spans="1:31" ht="15" customHeight="1">
      <c r="A47" s="20">
        <f t="shared" si="3"/>
        <v>0</v>
      </c>
      <c r="B47" s="23"/>
      <c r="C47" s="23"/>
      <c r="D47" s="23"/>
      <c r="E47" s="23"/>
      <c r="F47" s="23"/>
      <c r="G47" s="23"/>
      <c r="H47" s="23"/>
      <c r="I47" s="23"/>
      <c r="J47" s="23"/>
      <c r="K47" s="23"/>
      <c r="L47" s="33"/>
      <c r="M47" s="26"/>
      <c r="N47" s="26"/>
      <c r="O47" s="26"/>
      <c r="P47" s="26"/>
      <c r="Q47" s="26"/>
      <c r="R47" s="26"/>
      <c r="S47" s="26"/>
      <c r="T47" s="26"/>
      <c r="U47" s="26"/>
      <c r="V47" s="26"/>
      <c r="W47" s="26"/>
      <c r="X47" s="26">
        <f>COUNTIF($L$2:L47,"&lt;&gt;"&amp;"")</f>
        <v>5</v>
      </c>
      <c r="Y47" s="27">
        <f t="shared" si="4"/>
        <v>0</v>
      </c>
      <c r="Z47" s="28"/>
      <c r="AA47" s="29"/>
      <c r="AB47" s="30" t="b">
        <f>TRUE()</f>
        <v>1</v>
      </c>
      <c r="AC47" s="31">
        <f t="shared" si="5"/>
        <v>0</v>
      </c>
      <c r="AD47" s="35"/>
      <c r="AE47" s="35"/>
    </row>
    <row r="48" spans="1:31" ht="15" customHeight="1">
      <c r="A48" s="20">
        <f t="shared" si="3"/>
        <v>0</v>
      </c>
      <c r="B48" s="23"/>
      <c r="C48" s="23"/>
      <c r="D48" s="23"/>
      <c r="E48" s="23"/>
      <c r="F48" s="23"/>
      <c r="G48" s="23"/>
      <c r="H48" s="23"/>
      <c r="I48" s="23"/>
      <c r="J48" s="23"/>
      <c r="K48" s="23"/>
      <c r="L48" s="33"/>
      <c r="M48" s="26"/>
      <c r="N48" s="26"/>
      <c r="O48" s="26"/>
      <c r="P48" s="26"/>
      <c r="Q48" s="26"/>
      <c r="R48" s="26"/>
      <c r="S48" s="26"/>
      <c r="T48" s="26"/>
      <c r="U48" s="26"/>
      <c r="V48" s="26"/>
      <c r="W48" s="26"/>
      <c r="X48" s="26">
        <f>COUNTIF($L$2:L48,"&lt;&gt;"&amp;"")</f>
        <v>5</v>
      </c>
      <c r="Y48" s="27">
        <f t="shared" si="4"/>
        <v>0</v>
      </c>
      <c r="Z48" s="28"/>
      <c r="AA48" s="29"/>
      <c r="AB48" s="30" t="b">
        <f>TRUE()</f>
        <v>1</v>
      </c>
      <c r="AC48" s="31">
        <f t="shared" si="5"/>
        <v>0</v>
      </c>
      <c r="AD48" s="42"/>
      <c r="AE48" s="42"/>
    </row>
    <row r="49" spans="1:31" ht="15" customHeight="1">
      <c r="A49" s="20">
        <f t="shared" si="3"/>
        <v>0</v>
      </c>
      <c r="B49" s="23"/>
      <c r="C49" s="23"/>
      <c r="D49" s="23"/>
      <c r="E49" s="23"/>
      <c r="F49" s="23"/>
      <c r="G49" s="23"/>
      <c r="H49" s="23"/>
      <c r="I49" s="23"/>
      <c r="J49" s="23"/>
      <c r="K49" s="23"/>
      <c r="L49" s="33"/>
      <c r="M49" s="26"/>
      <c r="N49" s="26"/>
      <c r="O49" s="26"/>
      <c r="P49" s="26"/>
      <c r="Q49" s="26"/>
      <c r="R49" s="26"/>
      <c r="S49" s="26"/>
      <c r="T49" s="26"/>
      <c r="U49" s="26"/>
      <c r="V49" s="26"/>
      <c r="W49" s="26"/>
      <c r="X49" s="26">
        <f>COUNTIF($L$2:L49,"&lt;&gt;"&amp;"")</f>
        <v>5</v>
      </c>
      <c r="Y49" s="27">
        <f t="shared" si="4"/>
        <v>0</v>
      </c>
      <c r="Z49" s="28"/>
      <c r="AA49" s="29"/>
      <c r="AB49" s="30" t="b">
        <f>TRUE()</f>
        <v>1</v>
      </c>
      <c r="AC49" s="31">
        <f t="shared" si="5"/>
        <v>0</v>
      </c>
      <c r="AD49" s="42"/>
      <c r="AE49" s="42"/>
    </row>
    <row r="50" spans="1:31" ht="15" customHeight="1">
      <c r="A50" s="20">
        <f t="shared" si="3"/>
        <v>0</v>
      </c>
      <c r="B50" s="23"/>
      <c r="C50" s="23"/>
      <c r="D50" s="23"/>
      <c r="E50" s="23"/>
      <c r="F50" s="23"/>
      <c r="G50" s="23"/>
      <c r="H50" s="23"/>
      <c r="I50" s="23"/>
      <c r="J50" s="23"/>
      <c r="K50" s="23"/>
      <c r="L50" s="33"/>
      <c r="M50" s="33"/>
      <c r="N50" s="26"/>
      <c r="O50" s="26"/>
      <c r="P50" s="26"/>
      <c r="Q50" s="26"/>
      <c r="R50" s="26"/>
      <c r="S50" s="26"/>
      <c r="T50" s="26"/>
      <c r="U50" s="26"/>
      <c r="V50" s="26"/>
      <c r="W50" s="26"/>
      <c r="X50" s="26">
        <f>COUNTIF($L$2:L50,"&lt;&gt;"&amp;"")</f>
        <v>5</v>
      </c>
      <c r="Y50" s="27">
        <f t="shared" si="4"/>
        <v>0</v>
      </c>
      <c r="Z50" s="28"/>
      <c r="AA50" s="29"/>
      <c r="AB50" s="30" t="b">
        <f>TRUE()</f>
        <v>1</v>
      </c>
      <c r="AC50" s="31">
        <f t="shared" si="5"/>
        <v>0</v>
      </c>
      <c r="AD50" s="42"/>
      <c r="AE50" s="42"/>
    </row>
    <row r="51" spans="1:31" ht="15" customHeight="1">
      <c r="A51" s="20">
        <f t="shared" si="3"/>
        <v>0</v>
      </c>
      <c r="B51" s="23"/>
      <c r="C51" s="23"/>
      <c r="D51" s="23"/>
      <c r="E51" s="23"/>
      <c r="F51" s="23"/>
      <c r="G51" s="23"/>
      <c r="H51" s="23"/>
      <c r="I51" s="23"/>
      <c r="J51" s="23"/>
      <c r="K51" s="23"/>
      <c r="L51" s="33"/>
      <c r="M51" s="26"/>
      <c r="N51" s="26"/>
      <c r="O51" s="26"/>
      <c r="P51" s="26"/>
      <c r="Q51" s="26"/>
      <c r="R51" s="26"/>
      <c r="S51" s="26"/>
      <c r="T51" s="26"/>
      <c r="U51" s="26"/>
      <c r="V51" s="26"/>
      <c r="W51" s="26"/>
      <c r="X51" s="26">
        <f>COUNTIF($L$2:L51,"&lt;&gt;"&amp;"")</f>
        <v>5</v>
      </c>
      <c r="Y51" s="27">
        <f t="shared" si="4"/>
        <v>0</v>
      </c>
      <c r="Z51" s="28"/>
      <c r="AA51" s="29"/>
      <c r="AB51" s="30" t="b">
        <f>TRUE()</f>
        <v>1</v>
      </c>
      <c r="AC51" s="31">
        <f t="shared" si="5"/>
        <v>0</v>
      </c>
      <c r="AD51" s="42"/>
      <c r="AE51" s="42"/>
    </row>
    <row r="52" spans="1:31" ht="15" customHeight="1">
      <c r="A52" s="20">
        <f t="shared" si="3"/>
        <v>0</v>
      </c>
      <c r="B52" s="23"/>
      <c r="C52" s="23"/>
      <c r="D52" s="23"/>
      <c r="E52" s="23"/>
      <c r="F52" s="23"/>
      <c r="G52" s="23"/>
      <c r="H52" s="23"/>
      <c r="I52" s="23"/>
      <c r="J52" s="23"/>
      <c r="K52" s="23"/>
      <c r="L52" s="33"/>
      <c r="M52" s="26"/>
      <c r="N52" s="26"/>
      <c r="O52" s="26"/>
      <c r="P52" s="26"/>
      <c r="Q52" s="26"/>
      <c r="R52" s="26"/>
      <c r="S52" s="26"/>
      <c r="T52" s="26"/>
      <c r="U52" s="26"/>
      <c r="V52" s="26"/>
      <c r="W52" s="26"/>
      <c r="X52" s="26">
        <f>COUNTIF($L$2:L52,"&lt;&gt;"&amp;"")</f>
        <v>5</v>
      </c>
      <c r="Y52" s="27">
        <f t="shared" si="4"/>
        <v>0</v>
      </c>
      <c r="Z52" s="28"/>
      <c r="AA52" s="29"/>
      <c r="AB52" s="30" t="b">
        <f>TRUE()</f>
        <v>1</v>
      </c>
      <c r="AC52" s="31">
        <f t="shared" si="5"/>
        <v>0</v>
      </c>
      <c r="AD52" s="42"/>
      <c r="AE52" s="42"/>
    </row>
    <row r="53" spans="1:31" ht="15" customHeight="1">
      <c r="A53" s="20">
        <f t="shared" si="3"/>
        <v>0</v>
      </c>
      <c r="B53" s="23"/>
      <c r="C53" s="23"/>
      <c r="D53" s="23"/>
      <c r="E53" s="23"/>
      <c r="F53" s="23"/>
      <c r="G53" s="23"/>
      <c r="H53" s="23"/>
      <c r="I53" s="23"/>
      <c r="J53" s="23"/>
      <c r="K53" s="23"/>
      <c r="L53" s="33"/>
      <c r="M53" s="33"/>
      <c r="N53" s="26"/>
      <c r="O53" s="26"/>
      <c r="P53" s="26"/>
      <c r="Q53" s="26"/>
      <c r="R53" s="26"/>
      <c r="S53" s="26"/>
      <c r="T53" s="26"/>
      <c r="U53" s="26"/>
      <c r="V53" s="26"/>
      <c r="W53" s="26"/>
      <c r="X53" s="26">
        <f>COUNTIF($L$2:L53,"&lt;&gt;"&amp;"")</f>
        <v>5</v>
      </c>
      <c r="Y53" s="27">
        <f t="shared" si="4"/>
        <v>0</v>
      </c>
      <c r="Z53" s="28"/>
      <c r="AA53" s="29"/>
      <c r="AB53" s="30" t="b">
        <f>TRUE()</f>
        <v>1</v>
      </c>
      <c r="AC53" s="31">
        <f t="shared" si="5"/>
        <v>0</v>
      </c>
      <c r="AD53" s="42"/>
      <c r="AE53" s="42"/>
    </row>
    <row r="54" spans="1:31" ht="15" customHeight="1">
      <c r="A54" s="20">
        <f t="shared" si="3"/>
        <v>0</v>
      </c>
      <c r="B54" s="23"/>
      <c r="C54" s="23"/>
      <c r="D54" s="23"/>
      <c r="E54" s="23"/>
      <c r="F54" s="23"/>
      <c r="G54" s="23"/>
      <c r="H54" s="23"/>
      <c r="I54" s="23"/>
      <c r="J54" s="23"/>
      <c r="K54" s="23"/>
      <c r="L54" s="33"/>
      <c r="M54" s="26"/>
      <c r="N54" s="26"/>
      <c r="O54" s="26"/>
      <c r="P54" s="26"/>
      <c r="Q54" s="26"/>
      <c r="R54" s="26"/>
      <c r="S54" s="26"/>
      <c r="T54" s="26"/>
      <c r="U54" s="26"/>
      <c r="V54" s="26"/>
      <c r="W54" s="26"/>
      <c r="X54" s="26">
        <f>COUNTIF($L$2:L54,"&lt;&gt;"&amp;"")</f>
        <v>5</v>
      </c>
      <c r="Y54" s="27">
        <f t="shared" si="4"/>
        <v>0</v>
      </c>
      <c r="Z54" s="28"/>
      <c r="AA54" s="29"/>
      <c r="AB54" s="30" t="b">
        <f>TRUE()</f>
        <v>1</v>
      </c>
      <c r="AC54" s="31">
        <f t="shared" si="5"/>
        <v>0</v>
      </c>
      <c r="AD54" s="42"/>
      <c r="AE54" s="42"/>
    </row>
    <row r="55" spans="1:31" ht="15" customHeight="1">
      <c r="A55" s="20">
        <f t="shared" si="3"/>
        <v>0</v>
      </c>
      <c r="B55" s="23"/>
      <c r="C55" s="23"/>
      <c r="D55" s="23"/>
      <c r="E55" s="23"/>
      <c r="F55" s="23"/>
      <c r="G55" s="23"/>
      <c r="H55" s="23"/>
      <c r="I55" s="23"/>
      <c r="J55" s="23"/>
      <c r="K55" s="23"/>
      <c r="L55" s="33"/>
      <c r="M55" s="26"/>
      <c r="N55" s="26"/>
      <c r="O55" s="26"/>
      <c r="P55" s="26"/>
      <c r="Q55" s="26"/>
      <c r="R55" s="26"/>
      <c r="S55" s="26"/>
      <c r="T55" s="26"/>
      <c r="U55" s="26"/>
      <c r="V55" s="26"/>
      <c r="W55" s="26"/>
      <c r="X55" s="26">
        <f>COUNTIF($L$2:L55,"&lt;&gt;"&amp;"")</f>
        <v>5</v>
      </c>
      <c r="Y55" s="27">
        <f t="shared" si="4"/>
        <v>0</v>
      </c>
      <c r="Z55" s="28"/>
      <c r="AA55" s="29"/>
      <c r="AB55" s="30" t="b">
        <f>TRUE()</f>
        <v>1</v>
      </c>
      <c r="AC55" s="31">
        <f t="shared" si="5"/>
        <v>0</v>
      </c>
      <c r="AD55" s="42"/>
      <c r="AE55" s="42"/>
    </row>
    <row r="56" spans="1:31" ht="15" customHeight="1">
      <c r="A56" s="20">
        <f t="shared" si="3"/>
        <v>0</v>
      </c>
      <c r="B56" s="23"/>
      <c r="C56" s="23"/>
      <c r="D56" s="23"/>
      <c r="E56" s="23"/>
      <c r="F56" s="23"/>
      <c r="G56" s="23"/>
      <c r="H56" s="23"/>
      <c r="I56" s="23"/>
      <c r="J56" s="23"/>
      <c r="K56" s="23"/>
      <c r="L56" s="33"/>
      <c r="M56" s="26"/>
      <c r="N56" s="26"/>
      <c r="O56" s="26"/>
      <c r="P56" s="26"/>
      <c r="Q56" s="26"/>
      <c r="R56" s="26"/>
      <c r="S56" s="26"/>
      <c r="T56" s="26"/>
      <c r="U56" s="26"/>
      <c r="V56" s="26"/>
      <c r="W56" s="26"/>
      <c r="X56" s="26">
        <f>COUNTIF($L$2:L56,"&lt;&gt;"&amp;"")</f>
        <v>5</v>
      </c>
      <c r="Y56" s="27">
        <f t="shared" si="4"/>
        <v>0</v>
      </c>
      <c r="Z56" s="28"/>
      <c r="AA56" s="29"/>
      <c r="AB56" s="30" t="b">
        <f>TRUE()</f>
        <v>1</v>
      </c>
      <c r="AC56" s="31">
        <f t="shared" si="5"/>
        <v>0</v>
      </c>
      <c r="AD56" s="42"/>
      <c r="AE56" s="42"/>
    </row>
    <row r="57" spans="1:31" ht="15" customHeight="1">
      <c r="A57" s="20">
        <f t="shared" si="3"/>
        <v>0</v>
      </c>
      <c r="B57" s="23"/>
      <c r="C57" s="23"/>
      <c r="D57" s="23"/>
      <c r="E57" s="23"/>
      <c r="F57" s="23"/>
      <c r="G57" s="23"/>
      <c r="H57" s="23"/>
      <c r="I57" s="23"/>
      <c r="J57" s="23"/>
      <c r="K57" s="23"/>
      <c r="L57" s="33"/>
      <c r="M57" s="26"/>
      <c r="N57" s="26"/>
      <c r="O57" s="26"/>
      <c r="P57" s="26"/>
      <c r="Q57" s="26"/>
      <c r="R57" s="26"/>
      <c r="S57" s="26"/>
      <c r="T57" s="26"/>
      <c r="U57" s="26"/>
      <c r="V57" s="26"/>
      <c r="W57" s="26"/>
      <c r="X57" s="26">
        <f>COUNTIF($L$2:L57,"&lt;&gt;"&amp;"")</f>
        <v>5</v>
      </c>
      <c r="Y57" s="27">
        <f t="shared" si="4"/>
        <v>0</v>
      </c>
      <c r="Z57" s="28"/>
      <c r="AA57" s="29"/>
      <c r="AB57" s="30" t="b">
        <f>TRUE()</f>
        <v>1</v>
      </c>
      <c r="AC57" s="31">
        <f t="shared" si="5"/>
        <v>0</v>
      </c>
      <c r="AD57" s="42"/>
      <c r="AE57" s="42"/>
    </row>
    <row r="58" spans="1:31" ht="15" customHeight="1">
      <c r="A58" s="20">
        <f t="shared" si="3"/>
        <v>0</v>
      </c>
      <c r="B58" s="23"/>
      <c r="C58" s="23"/>
      <c r="D58" s="23"/>
      <c r="E58" s="23"/>
      <c r="F58" s="23"/>
      <c r="G58" s="23"/>
      <c r="H58" s="23"/>
      <c r="I58" s="23"/>
      <c r="J58" s="23"/>
      <c r="K58" s="23"/>
      <c r="L58" s="33"/>
      <c r="M58" s="26"/>
      <c r="N58" s="26"/>
      <c r="O58" s="26"/>
      <c r="P58" s="26"/>
      <c r="Q58" s="26"/>
      <c r="R58" s="26"/>
      <c r="S58" s="26"/>
      <c r="T58" s="26"/>
      <c r="U58" s="26"/>
      <c r="V58" s="26"/>
      <c r="W58" s="26"/>
      <c r="X58" s="26">
        <f>COUNTIF($L$2:L58,"&lt;&gt;"&amp;"")</f>
        <v>5</v>
      </c>
      <c r="Y58" s="27">
        <f t="shared" si="4"/>
        <v>0</v>
      </c>
      <c r="Z58" s="28"/>
      <c r="AA58" s="29"/>
      <c r="AB58" s="30" t="b">
        <f>TRUE()</f>
        <v>1</v>
      </c>
      <c r="AC58" s="31">
        <f t="shared" si="5"/>
        <v>0</v>
      </c>
      <c r="AD58" s="42"/>
      <c r="AE58" s="42"/>
    </row>
    <row r="59" spans="1:31" ht="15" customHeight="1">
      <c r="A59" s="20">
        <f t="shared" si="3"/>
        <v>0</v>
      </c>
      <c r="B59" s="23"/>
      <c r="C59" s="23"/>
      <c r="D59" s="23"/>
      <c r="E59" s="23"/>
      <c r="F59" s="23"/>
      <c r="G59" s="23"/>
      <c r="H59" s="23"/>
      <c r="I59" s="23"/>
      <c r="J59" s="23"/>
      <c r="K59" s="23"/>
      <c r="L59" s="33"/>
      <c r="M59" s="26"/>
      <c r="N59" s="26"/>
      <c r="O59" s="26"/>
      <c r="P59" s="26"/>
      <c r="Q59" s="26"/>
      <c r="R59" s="26"/>
      <c r="S59" s="26"/>
      <c r="T59" s="26"/>
      <c r="U59" s="26"/>
      <c r="V59" s="26"/>
      <c r="W59" s="26"/>
      <c r="X59" s="26">
        <f>COUNTIF($L$2:L59,"&lt;&gt;"&amp;"")</f>
        <v>5</v>
      </c>
      <c r="Y59" s="27">
        <f t="shared" si="4"/>
        <v>0</v>
      </c>
      <c r="Z59" s="28"/>
      <c r="AA59" s="29"/>
      <c r="AB59" s="30" t="b">
        <f>TRUE()</f>
        <v>1</v>
      </c>
      <c r="AC59" s="31">
        <f t="shared" si="5"/>
        <v>0</v>
      </c>
      <c r="AD59" s="42"/>
      <c r="AE59" s="42"/>
    </row>
    <row r="60" spans="1:31" ht="15" customHeight="1">
      <c r="A60" s="20">
        <f t="shared" si="3"/>
        <v>0</v>
      </c>
      <c r="B60" s="23"/>
      <c r="C60" s="23"/>
      <c r="D60" s="23"/>
      <c r="E60" s="23"/>
      <c r="F60" s="23"/>
      <c r="G60" s="23"/>
      <c r="H60" s="23"/>
      <c r="I60" s="23"/>
      <c r="J60" s="23"/>
      <c r="K60" s="23"/>
      <c r="L60" s="33"/>
      <c r="M60" s="26"/>
      <c r="N60" s="26"/>
      <c r="O60" s="26"/>
      <c r="P60" s="26"/>
      <c r="Q60" s="26"/>
      <c r="R60" s="26"/>
      <c r="S60" s="26"/>
      <c r="T60" s="26"/>
      <c r="U60" s="26"/>
      <c r="V60" s="26"/>
      <c r="W60" s="26"/>
      <c r="X60" s="26">
        <f>COUNTIF($L$2:L60,"&lt;&gt;"&amp;"")</f>
        <v>5</v>
      </c>
      <c r="Y60" s="27">
        <f t="shared" si="4"/>
        <v>0</v>
      </c>
      <c r="Z60" s="28"/>
      <c r="AA60" s="29"/>
      <c r="AB60" s="30" t="b">
        <f>TRUE()</f>
        <v>1</v>
      </c>
      <c r="AC60" s="31">
        <f t="shared" si="5"/>
        <v>0</v>
      </c>
      <c r="AD60" s="42"/>
      <c r="AE60" s="42"/>
    </row>
    <row r="61" spans="1:31" ht="15" customHeight="1">
      <c r="A61" s="20">
        <f t="shared" si="3"/>
        <v>0</v>
      </c>
      <c r="B61" s="23"/>
      <c r="C61" s="23"/>
      <c r="D61" s="23"/>
      <c r="E61" s="23"/>
      <c r="F61" s="23"/>
      <c r="G61" s="23"/>
      <c r="H61" s="23"/>
      <c r="I61" s="23"/>
      <c r="J61" s="23"/>
      <c r="K61" s="23"/>
      <c r="L61" s="33"/>
      <c r="M61" s="26"/>
      <c r="N61" s="26"/>
      <c r="O61" s="26"/>
      <c r="P61" s="26"/>
      <c r="Q61" s="26"/>
      <c r="R61" s="26"/>
      <c r="S61" s="26"/>
      <c r="T61" s="26"/>
      <c r="U61" s="26"/>
      <c r="V61" s="26"/>
      <c r="W61" s="26"/>
      <c r="X61" s="26">
        <f>COUNTIF($L$2:L61,"&lt;&gt;"&amp;"")</f>
        <v>5</v>
      </c>
      <c r="Y61" s="27">
        <f t="shared" si="4"/>
        <v>0</v>
      </c>
      <c r="Z61" s="28"/>
      <c r="AA61" s="29"/>
      <c r="AB61" s="30" t="b">
        <f>TRUE()</f>
        <v>1</v>
      </c>
      <c r="AC61" s="31">
        <f t="shared" si="5"/>
        <v>0</v>
      </c>
      <c r="AD61" s="42"/>
      <c r="AE61" s="42"/>
    </row>
    <row r="62" spans="1:31" ht="15" customHeight="1">
      <c r="A62" s="20">
        <f t="shared" si="3"/>
        <v>0</v>
      </c>
      <c r="B62" s="23"/>
      <c r="C62" s="23"/>
      <c r="D62" s="23"/>
      <c r="E62" s="23"/>
      <c r="F62" s="23"/>
      <c r="G62" s="23"/>
      <c r="H62" s="23"/>
      <c r="I62" s="23"/>
      <c r="J62" s="23"/>
      <c r="K62" s="23"/>
      <c r="L62" s="33"/>
      <c r="M62" s="26"/>
      <c r="N62" s="26"/>
      <c r="O62" s="26"/>
      <c r="P62" s="26"/>
      <c r="Q62" s="26"/>
      <c r="R62" s="26"/>
      <c r="S62" s="26"/>
      <c r="T62" s="26"/>
      <c r="U62" s="26"/>
      <c r="V62" s="26"/>
      <c r="W62" s="26"/>
      <c r="X62" s="26">
        <f>COUNTIF($L$2:L62,"&lt;&gt;"&amp;"")</f>
        <v>5</v>
      </c>
      <c r="Y62" s="27">
        <f t="shared" si="4"/>
        <v>0</v>
      </c>
      <c r="Z62" s="28"/>
      <c r="AA62" s="29"/>
      <c r="AB62" s="30" t="b">
        <f>TRUE()</f>
        <v>1</v>
      </c>
      <c r="AC62" s="31">
        <f t="shared" si="5"/>
        <v>0</v>
      </c>
      <c r="AD62" s="42"/>
      <c r="AE62" s="42"/>
    </row>
    <row r="63" spans="1:31" ht="15" customHeight="1">
      <c r="A63" s="20">
        <f t="shared" si="3"/>
        <v>0</v>
      </c>
      <c r="B63" s="23"/>
      <c r="C63" s="23"/>
      <c r="D63" s="23"/>
      <c r="E63" s="23"/>
      <c r="F63" s="23"/>
      <c r="G63" s="23"/>
      <c r="H63" s="23"/>
      <c r="I63" s="23"/>
      <c r="J63" s="23"/>
      <c r="K63" s="23"/>
      <c r="L63" s="33"/>
      <c r="M63" s="26"/>
      <c r="N63" s="26"/>
      <c r="O63" s="26"/>
      <c r="P63" s="26"/>
      <c r="Q63" s="26"/>
      <c r="R63" s="26"/>
      <c r="S63" s="26"/>
      <c r="T63" s="26"/>
      <c r="U63" s="26"/>
      <c r="V63" s="26"/>
      <c r="W63" s="26"/>
      <c r="X63" s="26">
        <f>COUNTIF($L$2:L63,"&lt;&gt;"&amp;"")</f>
        <v>5</v>
      </c>
      <c r="Y63" s="27">
        <f t="shared" si="4"/>
        <v>0</v>
      </c>
      <c r="Z63" s="28"/>
      <c r="AA63" s="29"/>
      <c r="AB63" s="30" t="b">
        <f>TRUE()</f>
        <v>1</v>
      </c>
      <c r="AC63" s="31">
        <f t="shared" si="5"/>
        <v>0</v>
      </c>
      <c r="AD63" s="42"/>
      <c r="AE63" s="42"/>
    </row>
    <row r="64" spans="1:31" ht="15" customHeight="1">
      <c r="A64" s="20">
        <f t="shared" si="3"/>
        <v>0</v>
      </c>
      <c r="B64" s="23"/>
      <c r="C64" s="23"/>
      <c r="D64" s="23"/>
      <c r="E64" s="23"/>
      <c r="F64" s="23"/>
      <c r="G64" s="23"/>
      <c r="H64" s="23"/>
      <c r="I64" s="23"/>
      <c r="J64" s="23"/>
      <c r="K64" s="23"/>
      <c r="L64" s="33"/>
      <c r="M64" s="26"/>
      <c r="N64" s="26"/>
      <c r="O64" s="26"/>
      <c r="P64" s="26"/>
      <c r="Q64" s="26"/>
      <c r="R64" s="26"/>
      <c r="S64" s="26"/>
      <c r="T64" s="26"/>
      <c r="U64" s="26"/>
      <c r="V64" s="26"/>
      <c r="W64" s="26"/>
      <c r="X64" s="26">
        <f>COUNTIF($L$2:L64,"&lt;&gt;"&amp;"")</f>
        <v>5</v>
      </c>
      <c r="Y64" s="27">
        <f t="shared" si="4"/>
        <v>0</v>
      </c>
      <c r="Z64" s="28"/>
      <c r="AA64" s="29"/>
      <c r="AB64" s="30" t="b">
        <f>TRUE()</f>
        <v>1</v>
      </c>
      <c r="AC64" s="31">
        <f t="shared" si="5"/>
        <v>0</v>
      </c>
      <c r="AD64" s="35"/>
      <c r="AE64" s="35"/>
    </row>
    <row r="65" spans="1:31" ht="15" customHeight="1">
      <c r="A65" s="20">
        <f t="shared" si="3"/>
        <v>0</v>
      </c>
      <c r="B65" s="23"/>
      <c r="C65" s="23"/>
      <c r="D65" s="23"/>
      <c r="E65" s="23"/>
      <c r="F65" s="23"/>
      <c r="G65" s="23"/>
      <c r="H65" s="23"/>
      <c r="I65" s="23"/>
      <c r="J65" s="23"/>
      <c r="K65" s="23"/>
      <c r="L65" s="33"/>
      <c r="M65" s="26"/>
      <c r="N65" s="26"/>
      <c r="O65" s="26"/>
      <c r="P65" s="26"/>
      <c r="Q65" s="26"/>
      <c r="R65" s="26"/>
      <c r="S65" s="26"/>
      <c r="T65" s="26"/>
      <c r="U65" s="26"/>
      <c r="V65" s="26"/>
      <c r="W65" s="26"/>
      <c r="X65" s="26">
        <f>COUNTIF($L$2:L65,"&lt;&gt;"&amp;"")</f>
        <v>5</v>
      </c>
      <c r="Y65" s="27">
        <f t="shared" si="4"/>
        <v>0</v>
      </c>
      <c r="Z65" s="28"/>
      <c r="AA65" s="29"/>
      <c r="AB65" s="30" t="b">
        <f>TRUE()</f>
        <v>1</v>
      </c>
      <c r="AC65" s="31">
        <f t="shared" si="5"/>
        <v>0</v>
      </c>
      <c r="AD65" s="42"/>
      <c r="AE65" s="42"/>
    </row>
    <row r="66" spans="1:31" ht="15" customHeight="1">
      <c r="A66" s="20">
        <f t="shared" ref="A66:A97" si="6">(B66*$P$125+C66*$P$126+D66*$P$127+E66*$P$128+F66*$P$129+G66*$P$130+H66*$P$131+I66*$P$132+J66*$P$133+K66*$P$134)*$T$123</f>
        <v>0</v>
      </c>
      <c r="B66" s="23"/>
      <c r="C66" s="23"/>
      <c r="D66" s="23"/>
      <c r="E66" s="23"/>
      <c r="F66" s="23"/>
      <c r="G66" s="23"/>
      <c r="H66" s="23"/>
      <c r="I66" s="23"/>
      <c r="J66" s="23"/>
      <c r="K66" s="23"/>
      <c r="L66" s="33"/>
      <c r="M66" s="33"/>
      <c r="N66" s="26"/>
      <c r="O66" s="26"/>
      <c r="P66" s="26"/>
      <c r="Q66" s="26"/>
      <c r="R66" s="26"/>
      <c r="S66" s="26"/>
      <c r="T66" s="26"/>
      <c r="U66" s="26"/>
      <c r="V66" s="26"/>
      <c r="W66" s="26"/>
      <c r="X66" s="26">
        <f>COUNTIF($L$2:L66,"&lt;&gt;"&amp;"")</f>
        <v>5</v>
      </c>
      <c r="Y66" s="27">
        <f t="shared" ref="Y66:Y97" si="7">SUMIF($X$2:$X$120,X66,$A$2:$A$120)</f>
        <v>0</v>
      </c>
      <c r="Z66" s="28"/>
      <c r="AA66" s="29"/>
      <c r="AB66" s="30" t="b">
        <f>TRUE()</f>
        <v>1</v>
      </c>
      <c r="AC66" s="31">
        <f t="shared" ref="AC66:AC97" si="8">IF(L66="",0,IF(AB66=FALSE(),0,Y66))</f>
        <v>0</v>
      </c>
      <c r="AD66" s="42"/>
      <c r="AE66" s="42"/>
    </row>
    <row r="67" spans="1:31" ht="15" customHeight="1">
      <c r="A67" s="20">
        <f t="shared" si="6"/>
        <v>0</v>
      </c>
      <c r="B67" s="23"/>
      <c r="C67" s="23"/>
      <c r="D67" s="23"/>
      <c r="E67" s="23"/>
      <c r="F67" s="23"/>
      <c r="G67" s="23"/>
      <c r="H67" s="23"/>
      <c r="I67" s="23"/>
      <c r="J67" s="23"/>
      <c r="K67" s="23"/>
      <c r="L67" s="33"/>
      <c r="M67" s="26"/>
      <c r="N67" s="33"/>
      <c r="O67" s="26"/>
      <c r="P67" s="26"/>
      <c r="Q67" s="26"/>
      <c r="R67" s="26"/>
      <c r="S67" s="26"/>
      <c r="T67" s="26"/>
      <c r="U67" s="26"/>
      <c r="V67" s="26"/>
      <c r="W67" s="26"/>
      <c r="X67" s="26">
        <f>COUNTIF($L$2:L67,"&lt;&gt;"&amp;"")</f>
        <v>5</v>
      </c>
      <c r="Y67" s="27">
        <f t="shared" si="7"/>
        <v>0</v>
      </c>
      <c r="Z67" s="28"/>
      <c r="AA67" s="29"/>
      <c r="AB67" s="30" t="b">
        <f>TRUE()</f>
        <v>1</v>
      </c>
      <c r="AC67" s="31">
        <f t="shared" si="8"/>
        <v>0</v>
      </c>
      <c r="AD67" s="42"/>
      <c r="AE67" s="42"/>
    </row>
    <row r="68" spans="1:31" ht="15" customHeight="1">
      <c r="A68" s="20">
        <f t="shared" si="6"/>
        <v>0</v>
      </c>
      <c r="B68" s="23"/>
      <c r="C68" s="23"/>
      <c r="D68" s="23"/>
      <c r="E68" s="23"/>
      <c r="F68" s="23"/>
      <c r="G68" s="23"/>
      <c r="H68" s="23"/>
      <c r="I68" s="23"/>
      <c r="J68" s="23"/>
      <c r="K68" s="23"/>
      <c r="L68" s="33"/>
      <c r="M68" s="26"/>
      <c r="N68" s="26"/>
      <c r="O68" s="26"/>
      <c r="P68" s="26"/>
      <c r="Q68" s="26"/>
      <c r="R68" s="26"/>
      <c r="S68" s="26"/>
      <c r="T68" s="26"/>
      <c r="U68" s="26"/>
      <c r="V68" s="26"/>
      <c r="W68" s="26"/>
      <c r="X68" s="26">
        <f>COUNTIF($L$2:L68,"&lt;&gt;"&amp;"")</f>
        <v>5</v>
      </c>
      <c r="Y68" s="27">
        <f t="shared" si="7"/>
        <v>0</v>
      </c>
      <c r="Z68" s="28"/>
      <c r="AA68" s="29"/>
      <c r="AB68" s="30" t="b">
        <f>TRUE()</f>
        <v>1</v>
      </c>
      <c r="AC68" s="31">
        <f t="shared" si="8"/>
        <v>0</v>
      </c>
      <c r="AD68" s="42"/>
      <c r="AE68" s="42"/>
    </row>
    <row r="69" spans="1:31" ht="15" customHeight="1">
      <c r="A69" s="20">
        <f t="shared" si="6"/>
        <v>0</v>
      </c>
      <c r="B69" s="23"/>
      <c r="C69" s="23"/>
      <c r="D69" s="23"/>
      <c r="E69" s="23"/>
      <c r="F69" s="23"/>
      <c r="G69" s="23"/>
      <c r="H69" s="23"/>
      <c r="I69" s="23"/>
      <c r="J69" s="23"/>
      <c r="K69" s="23"/>
      <c r="L69" s="33"/>
      <c r="M69" s="26"/>
      <c r="N69" s="26"/>
      <c r="O69" s="26"/>
      <c r="P69" s="26"/>
      <c r="Q69" s="26"/>
      <c r="R69" s="26"/>
      <c r="S69" s="26"/>
      <c r="T69" s="26"/>
      <c r="U69" s="26"/>
      <c r="V69" s="26"/>
      <c r="W69" s="26"/>
      <c r="X69" s="26">
        <f>COUNTIF($L$2:L69,"&lt;&gt;"&amp;"")</f>
        <v>5</v>
      </c>
      <c r="Y69" s="27">
        <f t="shared" si="7"/>
        <v>0</v>
      </c>
      <c r="Z69" s="28"/>
      <c r="AA69" s="29"/>
      <c r="AB69" s="30" t="b">
        <f>TRUE()</f>
        <v>1</v>
      </c>
      <c r="AC69" s="31">
        <f t="shared" si="8"/>
        <v>0</v>
      </c>
      <c r="AD69" s="42"/>
      <c r="AE69" s="42"/>
    </row>
    <row r="70" spans="1:31" ht="15" customHeight="1">
      <c r="A70" s="20">
        <f t="shared" si="6"/>
        <v>0</v>
      </c>
      <c r="B70" s="23"/>
      <c r="C70" s="23"/>
      <c r="D70" s="23"/>
      <c r="E70" s="23"/>
      <c r="F70" s="23"/>
      <c r="G70" s="23"/>
      <c r="H70" s="23"/>
      <c r="I70" s="23"/>
      <c r="J70" s="23"/>
      <c r="K70" s="23"/>
      <c r="L70" s="33"/>
      <c r="M70" s="26"/>
      <c r="N70" s="26"/>
      <c r="O70" s="26"/>
      <c r="P70" s="26"/>
      <c r="Q70" s="26"/>
      <c r="R70" s="26"/>
      <c r="S70" s="26"/>
      <c r="T70" s="26"/>
      <c r="U70" s="26"/>
      <c r="V70" s="26"/>
      <c r="W70" s="26"/>
      <c r="X70" s="26">
        <f>COUNTIF($L$2:L70,"&lt;&gt;"&amp;"")</f>
        <v>5</v>
      </c>
      <c r="Y70" s="27">
        <f t="shared" si="7"/>
        <v>0</v>
      </c>
      <c r="Z70" s="28"/>
      <c r="AA70" s="29"/>
      <c r="AB70" s="30" t="b">
        <f>TRUE()</f>
        <v>1</v>
      </c>
      <c r="AC70" s="31">
        <f t="shared" si="8"/>
        <v>0</v>
      </c>
      <c r="AD70" s="42"/>
      <c r="AE70" s="42"/>
    </row>
    <row r="71" spans="1:31" ht="15" customHeight="1">
      <c r="A71" s="20">
        <f t="shared" si="6"/>
        <v>0</v>
      </c>
      <c r="B71" s="23"/>
      <c r="C71" s="23"/>
      <c r="D71" s="23"/>
      <c r="E71" s="23"/>
      <c r="F71" s="23"/>
      <c r="G71" s="23"/>
      <c r="H71" s="23"/>
      <c r="I71" s="23"/>
      <c r="J71" s="23"/>
      <c r="K71" s="23"/>
      <c r="L71" s="33"/>
      <c r="M71" s="26"/>
      <c r="N71" s="26"/>
      <c r="O71" s="26"/>
      <c r="P71" s="26"/>
      <c r="Q71" s="26"/>
      <c r="R71" s="26"/>
      <c r="S71" s="26"/>
      <c r="T71" s="26"/>
      <c r="U71" s="26"/>
      <c r="V71" s="26"/>
      <c r="W71" s="26"/>
      <c r="X71" s="26">
        <f>COUNTIF($L$2:L71,"&lt;&gt;"&amp;"")</f>
        <v>5</v>
      </c>
      <c r="Y71" s="27">
        <f t="shared" si="7"/>
        <v>0</v>
      </c>
      <c r="Z71" s="28"/>
      <c r="AA71" s="29"/>
      <c r="AB71" s="30" t="b">
        <f>TRUE()</f>
        <v>1</v>
      </c>
      <c r="AC71" s="31">
        <f t="shared" si="8"/>
        <v>0</v>
      </c>
      <c r="AD71" s="42"/>
      <c r="AE71" s="42"/>
    </row>
    <row r="72" spans="1:31" ht="15" customHeight="1">
      <c r="A72" s="20">
        <f t="shared" si="6"/>
        <v>0</v>
      </c>
      <c r="B72" s="23"/>
      <c r="C72" s="23"/>
      <c r="D72" s="23"/>
      <c r="E72" s="23"/>
      <c r="F72" s="23"/>
      <c r="G72" s="23"/>
      <c r="H72" s="23"/>
      <c r="I72" s="23"/>
      <c r="J72" s="23"/>
      <c r="K72" s="23"/>
      <c r="L72" s="33"/>
      <c r="M72" s="26"/>
      <c r="N72" s="26"/>
      <c r="O72" s="26"/>
      <c r="P72" s="26"/>
      <c r="Q72" s="26"/>
      <c r="R72" s="26"/>
      <c r="S72" s="26"/>
      <c r="T72" s="26"/>
      <c r="U72" s="26"/>
      <c r="V72" s="26"/>
      <c r="W72" s="26"/>
      <c r="X72" s="26">
        <f>COUNTIF($L$2:L72,"&lt;&gt;"&amp;"")</f>
        <v>5</v>
      </c>
      <c r="Y72" s="27">
        <f t="shared" si="7"/>
        <v>0</v>
      </c>
      <c r="Z72" s="28"/>
      <c r="AA72" s="29"/>
      <c r="AB72" s="30" t="b">
        <f>TRUE()</f>
        <v>1</v>
      </c>
      <c r="AC72" s="31">
        <f t="shared" si="8"/>
        <v>0</v>
      </c>
      <c r="AD72" s="42"/>
      <c r="AE72" s="42"/>
    </row>
    <row r="73" spans="1:31" ht="15" customHeight="1">
      <c r="A73" s="20">
        <f t="shared" si="6"/>
        <v>0</v>
      </c>
      <c r="B73" s="23"/>
      <c r="C73" s="23"/>
      <c r="D73" s="23"/>
      <c r="E73" s="23"/>
      <c r="F73" s="23"/>
      <c r="G73" s="23"/>
      <c r="H73" s="23"/>
      <c r="I73" s="23"/>
      <c r="J73" s="23"/>
      <c r="K73" s="23"/>
      <c r="L73" s="33"/>
      <c r="M73" s="26"/>
      <c r="N73" s="26"/>
      <c r="O73" s="26"/>
      <c r="P73" s="26"/>
      <c r="Q73" s="26"/>
      <c r="R73" s="26"/>
      <c r="S73" s="26"/>
      <c r="T73" s="26"/>
      <c r="U73" s="26"/>
      <c r="V73" s="26"/>
      <c r="W73" s="26"/>
      <c r="X73" s="26">
        <f>COUNTIF($L$2:L73,"&lt;&gt;"&amp;"")</f>
        <v>5</v>
      </c>
      <c r="Y73" s="27">
        <f t="shared" si="7"/>
        <v>0</v>
      </c>
      <c r="Z73" s="28"/>
      <c r="AA73" s="29"/>
      <c r="AB73" s="30" t="b">
        <f>TRUE()</f>
        <v>1</v>
      </c>
      <c r="AC73" s="31">
        <f t="shared" si="8"/>
        <v>0</v>
      </c>
      <c r="AD73" s="42"/>
      <c r="AE73" s="42"/>
    </row>
    <row r="74" spans="1:31" ht="15" customHeight="1">
      <c r="A74" s="20">
        <f t="shared" si="6"/>
        <v>0</v>
      </c>
      <c r="B74" s="23"/>
      <c r="C74" s="23"/>
      <c r="D74" s="23"/>
      <c r="E74" s="23"/>
      <c r="F74" s="23"/>
      <c r="G74" s="23"/>
      <c r="H74" s="23"/>
      <c r="I74" s="23"/>
      <c r="J74" s="23"/>
      <c r="K74" s="23"/>
      <c r="L74" s="33"/>
      <c r="M74" s="33"/>
      <c r="N74" s="26"/>
      <c r="O74" s="26"/>
      <c r="P74" s="26"/>
      <c r="Q74" s="26"/>
      <c r="R74" s="26"/>
      <c r="S74" s="26"/>
      <c r="T74" s="26"/>
      <c r="U74" s="26"/>
      <c r="V74" s="26"/>
      <c r="W74" s="26"/>
      <c r="X74" s="26">
        <f>COUNTIF($L$2:L74,"&lt;&gt;"&amp;"")</f>
        <v>5</v>
      </c>
      <c r="Y74" s="27">
        <f t="shared" si="7"/>
        <v>0</v>
      </c>
      <c r="Z74" s="28"/>
      <c r="AA74" s="29"/>
      <c r="AB74" s="30" t="b">
        <f>TRUE()</f>
        <v>1</v>
      </c>
      <c r="AC74" s="31">
        <f t="shared" si="8"/>
        <v>0</v>
      </c>
      <c r="AD74" s="42"/>
      <c r="AE74" s="42"/>
    </row>
    <row r="75" spans="1:31" ht="15" customHeight="1">
      <c r="A75" s="20">
        <f t="shared" si="6"/>
        <v>0</v>
      </c>
      <c r="B75" s="23"/>
      <c r="C75" s="23"/>
      <c r="D75" s="23"/>
      <c r="E75" s="23"/>
      <c r="F75" s="23"/>
      <c r="G75" s="23"/>
      <c r="H75" s="23"/>
      <c r="I75" s="23"/>
      <c r="J75" s="23"/>
      <c r="K75" s="23"/>
      <c r="L75" s="33"/>
      <c r="M75" s="26"/>
      <c r="N75" s="26"/>
      <c r="O75" s="26"/>
      <c r="P75" s="26"/>
      <c r="Q75" s="26"/>
      <c r="R75" s="26"/>
      <c r="S75" s="26"/>
      <c r="T75" s="26"/>
      <c r="U75" s="26"/>
      <c r="V75" s="26"/>
      <c r="W75" s="26"/>
      <c r="X75" s="26">
        <f>COUNTIF($L$2:L75,"&lt;&gt;"&amp;"")</f>
        <v>5</v>
      </c>
      <c r="Y75" s="27">
        <f t="shared" si="7"/>
        <v>0</v>
      </c>
      <c r="Z75" s="28"/>
      <c r="AA75" s="29"/>
      <c r="AB75" s="30" t="b">
        <f>TRUE()</f>
        <v>1</v>
      </c>
      <c r="AC75" s="31">
        <f t="shared" si="8"/>
        <v>0</v>
      </c>
      <c r="AD75" s="35"/>
      <c r="AE75" s="35"/>
    </row>
    <row r="76" spans="1:31" ht="15" customHeight="1">
      <c r="A76" s="20">
        <f t="shared" si="6"/>
        <v>0</v>
      </c>
      <c r="B76" s="23"/>
      <c r="C76" s="23"/>
      <c r="D76" s="23"/>
      <c r="E76" s="23"/>
      <c r="F76" s="23"/>
      <c r="G76" s="23"/>
      <c r="H76" s="23"/>
      <c r="I76" s="23"/>
      <c r="J76" s="23"/>
      <c r="K76" s="23"/>
      <c r="L76" s="33"/>
      <c r="M76" s="26"/>
      <c r="N76" s="26"/>
      <c r="O76" s="26"/>
      <c r="P76" s="26"/>
      <c r="Q76" s="26"/>
      <c r="R76" s="26"/>
      <c r="S76" s="26"/>
      <c r="T76" s="26"/>
      <c r="U76" s="26"/>
      <c r="V76" s="26"/>
      <c r="W76" s="26"/>
      <c r="X76" s="26">
        <f>COUNTIF($L$2:L76,"&lt;&gt;"&amp;"")</f>
        <v>5</v>
      </c>
      <c r="Y76" s="27">
        <f t="shared" si="7"/>
        <v>0</v>
      </c>
      <c r="Z76" s="28"/>
      <c r="AA76" s="29"/>
      <c r="AB76" s="30" t="b">
        <f>TRUE()</f>
        <v>1</v>
      </c>
      <c r="AC76" s="31">
        <f t="shared" si="8"/>
        <v>0</v>
      </c>
      <c r="AD76" s="35"/>
      <c r="AE76" s="35"/>
    </row>
    <row r="77" spans="1:31" ht="15" customHeight="1">
      <c r="A77" s="20">
        <f t="shared" si="6"/>
        <v>0</v>
      </c>
      <c r="B77" s="23"/>
      <c r="C77" s="23"/>
      <c r="D77" s="23"/>
      <c r="E77" s="23"/>
      <c r="F77" s="23"/>
      <c r="G77" s="23"/>
      <c r="H77" s="23"/>
      <c r="I77" s="23"/>
      <c r="J77" s="23"/>
      <c r="K77" s="23"/>
      <c r="L77" s="33"/>
      <c r="M77" s="26"/>
      <c r="N77" s="26"/>
      <c r="O77" s="26"/>
      <c r="P77" s="26"/>
      <c r="Q77" s="26"/>
      <c r="R77" s="26"/>
      <c r="S77" s="26"/>
      <c r="T77" s="26"/>
      <c r="U77" s="26"/>
      <c r="V77" s="26"/>
      <c r="W77" s="26"/>
      <c r="X77" s="26">
        <f>COUNTIF($L$2:L77,"&lt;&gt;"&amp;"")</f>
        <v>5</v>
      </c>
      <c r="Y77" s="27">
        <f t="shared" si="7"/>
        <v>0</v>
      </c>
      <c r="Z77" s="28"/>
      <c r="AA77" s="29"/>
      <c r="AB77" s="30" t="b">
        <f>TRUE()</f>
        <v>1</v>
      </c>
      <c r="AC77" s="31">
        <f t="shared" si="8"/>
        <v>0</v>
      </c>
      <c r="AD77" s="35"/>
      <c r="AE77" s="35"/>
    </row>
    <row r="78" spans="1:31" ht="15" customHeight="1">
      <c r="A78" s="20">
        <f t="shared" si="6"/>
        <v>0</v>
      </c>
      <c r="B78" s="23"/>
      <c r="C78" s="23"/>
      <c r="D78" s="23"/>
      <c r="E78" s="23"/>
      <c r="F78" s="23"/>
      <c r="G78" s="23"/>
      <c r="H78" s="23"/>
      <c r="I78" s="23"/>
      <c r="J78" s="23"/>
      <c r="K78" s="23"/>
      <c r="L78" s="33"/>
      <c r="M78" s="26"/>
      <c r="N78" s="26"/>
      <c r="O78" s="26"/>
      <c r="P78" s="26"/>
      <c r="Q78" s="26"/>
      <c r="R78" s="26"/>
      <c r="S78" s="26"/>
      <c r="T78" s="26"/>
      <c r="U78" s="26"/>
      <c r="V78" s="26"/>
      <c r="W78" s="26"/>
      <c r="X78" s="26">
        <f>COUNTIF($L$2:L78,"&lt;&gt;"&amp;"")</f>
        <v>5</v>
      </c>
      <c r="Y78" s="27">
        <f t="shared" si="7"/>
        <v>0</v>
      </c>
      <c r="Z78" s="28"/>
      <c r="AA78" s="29"/>
      <c r="AB78" s="30" t="b">
        <f>TRUE()</f>
        <v>1</v>
      </c>
      <c r="AC78" s="31">
        <f t="shared" si="8"/>
        <v>0</v>
      </c>
      <c r="AD78" s="35"/>
      <c r="AE78" s="35"/>
    </row>
    <row r="79" spans="1:31" ht="15" customHeight="1">
      <c r="A79" s="20">
        <f t="shared" si="6"/>
        <v>0</v>
      </c>
      <c r="B79" s="23"/>
      <c r="C79" s="23"/>
      <c r="D79" s="23"/>
      <c r="E79" s="23"/>
      <c r="F79" s="23"/>
      <c r="G79" s="23"/>
      <c r="H79" s="23"/>
      <c r="I79" s="23"/>
      <c r="J79" s="23"/>
      <c r="K79" s="23"/>
      <c r="L79" s="33"/>
      <c r="M79" s="26"/>
      <c r="N79" s="26"/>
      <c r="O79" s="26"/>
      <c r="P79" s="26"/>
      <c r="Q79" s="26"/>
      <c r="R79" s="26"/>
      <c r="S79" s="26"/>
      <c r="T79" s="26"/>
      <c r="U79" s="26"/>
      <c r="V79" s="26"/>
      <c r="W79" s="26"/>
      <c r="X79" s="26">
        <f>COUNTIF($L$2:L79,"&lt;&gt;"&amp;"")</f>
        <v>5</v>
      </c>
      <c r="Y79" s="27">
        <f t="shared" si="7"/>
        <v>0</v>
      </c>
      <c r="Z79" s="28"/>
      <c r="AA79" s="29"/>
      <c r="AB79" s="30" t="b">
        <f>TRUE()</f>
        <v>1</v>
      </c>
      <c r="AC79" s="31">
        <f t="shared" si="8"/>
        <v>0</v>
      </c>
      <c r="AD79" s="35"/>
      <c r="AE79" s="35"/>
    </row>
    <row r="80" spans="1:31" ht="15" customHeight="1">
      <c r="A80" s="20">
        <f t="shared" si="6"/>
        <v>0</v>
      </c>
      <c r="B80" s="23"/>
      <c r="C80" s="23"/>
      <c r="D80" s="23"/>
      <c r="E80" s="23"/>
      <c r="F80" s="23"/>
      <c r="G80" s="23"/>
      <c r="H80" s="23"/>
      <c r="I80" s="23"/>
      <c r="J80" s="23"/>
      <c r="K80" s="23"/>
      <c r="L80" s="33"/>
      <c r="M80" s="26"/>
      <c r="N80" s="26"/>
      <c r="O80" s="26"/>
      <c r="P80" s="26"/>
      <c r="Q80" s="26"/>
      <c r="R80" s="26"/>
      <c r="S80" s="26"/>
      <c r="T80" s="26"/>
      <c r="U80" s="26"/>
      <c r="V80" s="26"/>
      <c r="W80" s="26"/>
      <c r="X80" s="26">
        <f>COUNTIF($L$2:L80,"&lt;&gt;"&amp;"")</f>
        <v>5</v>
      </c>
      <c r="Y80" s="27">
        <f t="shared" si="7"/>
        <v>0</v>
      </c>
      <c r="Z80" s="28"/>
      <c r="AA80" s="29"/>
      <c r="AB80" s="30" t="b">
        <f>TRUE()</f>
        <v>1</v>
      </c>
      <c r="AC80" s="31">
        <f t="shared" si="8"/>
        <v>0</v>
      </c>
      <c r="AD80" s="23"/>
      <c r="AE80" s="23"/>
    </row>
    <row r="81" spans="1:31" ht="15" customHeight="1">
      <c r="A81" s="20">
        <f t="shared" si="6"/>
        <v>0</v>
      </c>
      <c r="B81" s="23"/>
      <c r="C81" s="23"/>
      <c r="D81" s="23"/>
      <c r="E81" s="23"/>
      <c r="F81" s="23"/>
      <c r="G81" s="23"/>
      <c r="H81" s="23"/>
      <c r="I81" s="23"/>
      <c r="J81" s="23"/>
      <c r="K81" s="23"/>
      <c r="L81" s="33"/>
      <c r="M81" s="26"/>
      <c r="N81" s="26"/>
      <c r="O81" s="26"/>
      <c r="P81" s="26"/>
      <c r="Q81" s="26"/>
      <c r="R81" s="26"/>
      <c r="S81" s="26"/>
      <c r="T81" s="26"/>
      <c r="U81" s="26"/>
      <c r="V81" s="26"/>
      <c r="W81" s="26"/>
      <c r="X81" s="26">
        <f>COUNTIF($L$2:L81,"&lt;&gt;"&amp;"")</f>
        <v>5</v>
      </c>
      <c r="Y81" s="27">
        <f t="shared" si="7"/>
        <v>0</v>
      </c>
      <c r="Z81" s="28"/>
      <c r="AA81" s="29"/>
      <c r="AB81" s="30" t="b">
        <f>TRUE()</f>
        <v>1</v>
      </c>
      <c r="AC81" s="31">
        <f t="shared" si="8"/>
        <v>0</v>
      </c>
      <c r="AD81" s="23"/>
      <c r="AE81" s="23"/>
    </row>
    <row r="82" spans="1:31" ht="15" customHeight="1">
      <c r="A82" s="20">
        <f t="shared" si="6"/>
        <v>0</v>
      </c>
      <c r="B82" s="23"/>
      <c r="C82" s="23"/>
      <c r="D82" s="23"/>
      <c r="E82" s="23"/>
      <c r="F82" s="23"/>
      <c r="G82" s="23"/>
      <c r="H82" s="23"/>
      <c r="I82" s="23"/>
      <c r="J82" s="23"/>
      <c r="K82" s="23"/>
      <c r="L82" s="33"/>
      <c r="M82" s="26"/>
      <c r="N82" s="26"/>
      <c r="O82" s="26"/>
      <c r="P82" s="26"/>
      <c r="Q82" s="26"/>
      <c r="R82" s="26"/>
      <c r="S82" s="26"/>
      <c r="T82" s="26"/>
      <c r="U82" s="26"/>
      <c r="V82" s="26"/>
      <c r="W82" s="26"/>
      <c r="X82" s="26">
        <f>COUNTIF($L$2:L82,"&lt;&gt;"&amp;"")</f>
        <v>5</v>
      </c>
      <c r="Y82" s="27">
        <f t="shared" si="7"/>
        <v>0</v>
      </c>
      <c r="Z82" s="28"/>
      <c r="AA82" s="29"/>
      <c r="AB82" s="30" t="b">
        <f>TRUE()</f>
        <v>1</v>
      </c>
      <c r="AC82" s="31">
        <f t="shared" si="8"/>
        <v>0</v>
      </c>
      <c r="AD82" s="23"/>
      <c r="AE82" s="23"/>
    </row>
    <row r="83" spans="1:31" ht="15" customHeight="1">
      <c r="A83" s="20">
        <f t="shared" si="6"/>
        <v>0</v>
      </c>
      <c r="B83" s="23"/>
      <c r="C83" s="23"/>
      <c r="D83" s="23"/>
      <c r="E83" s="23"/>
      <c r="F83" s="23"/>
      <c r="G83" s="23"/>
      <c r="H83" s="23"/>
      <c r="I83" s="23"/>
      <c r="J83" s="23"/>
      <c r="K83" s="23"/>
      <c r="L83" s="33"/>
      <c r="M83" s="26"/>
      <c r="N83" s="26"/>
      <c r="O83" s="26"/>
      <c r="P83" s="26"/>
      <c r="Q83" s="26"/>
      <c r="R83" s="26"/>
      <c r="S83" s="26"/>
      <c r="T83" s="26"/>
      <c r="U83" s="26"/>
      <c r="V83" s="26"/>
      <c r="W83" s="26"/>
      <c r="X83" s="26">
        <f>COUNTIF($L$2:L83,"&lt;&gt;"&amp;"")</f>
        <v>5</v>
      </c>
      <c r="Y83" s="27">
        <f t="shared" si="7"/>
        <v>0</v>
      </c>
      <c r="Z83" s="28"/>
      <c r="AA83" s="29"/>
      <c r="AB83" s="30" t="b">
        <f>TRUE()</f>
        <v>1</v>
      </c>
      <c r="AC83" s="31">
        <f t="shared" si="8"/>
        <v>0</v>
      </c>
      <c r="AD83" s="23"/>
      <c r="AE83" s="23"/>
    </row>
    <row r="84" spans="1:31" ht="15" customHeight="1">
      <c r="A84" s="20">
        <f t="shared" si="6"/>
        <v>0</v>
      </c>
      <c r="B84" s="23"/>
      <c r="C84" s="23"/>
      <c r="D84" s="23"/>
      <c r="E84" s="23"/>
      <c r="F84" s="23"/>
      <c r="G84" s="23"/>
      <c r="H84" s="23"/>
      <c r="I84" s="23"/>
      <c r="J84" s="23"/>
      <c r="K84" s="23"/>
      <c r="L84" s="33"/>
      <c r="M84" s="26"/>
      <c r="N84" s="26"/>
      <c r="O84" s="26"/>
      <c r="P84" s="26"/>
      <c r="Q84" s="26"/>
      <c r="R84" s="26"/>
      <c r="S84" s="26"/>
      <c r="T84" s="26"/>
      <c r="U84" s="26"/>
      <c r="V84" s="26"/>
      <c r="W84" s="26"/>
      <c r="X84" s="26">
        <f>COUNTIF($L$2:L84,"&lt;&gt;"&amp;"")</f>
        <v>5</v>
      </c>
      <c r="Y84" s="27">
        <f t="shared" si="7"/>
        <v>0</v>
      </c>
      <c r="Z84" s="28"/>
      <c r="AA84" s="29"/>
      <c r="AB84" s="30" t="b">
        <f>TRUE()</f>
        <v>1</v>
      </c>
      <c r="AC84" s="31">
        <f t="shared" si="8"/>
        <v>0</v>
      </c>
      <c r="AD84" s="23"/>
      <c r="AE84" s="23"/>
    </row>
    <row r="85" spans="1:31" ht="15" customHeight="1">
      <c r="A85" s="20">
        <f t="shared" si="6"/>
        <v>0</v>
      </c>
      <c r="B85" s="23"/>
      <c r="C85" s="23"/>
      <c r="D85" s="23"/>
      <c r="E85" s="23"/>
      <c r="F85" s="23"/>
      <c r="G85" s="23"/>
      <c r="H85" s="23"/>
      <c r="I85" s="23"/>
      <c r="J85" s="23"/>
      <c r="K85" s="23"/>
      <c r="L85" s="33"/>
      <c r="M85" s="26"/>
      <c r="N85" s="26"/>
      <c r="O85" s="26"/>
      <c r="P85" s="26"/>
      <c r="Q85" s="26"/>
      <c r="R85" s="26"/>
      <c r="S85" s="26"/>
      <c r="T85" s="26"/>
      <c r="U85" s="26"/>
      <c r="V85" s="26"/>
      <c r="W85" s="26"/>
      <c r="X85" s="26">
        <f>COUNTIF($L$2:L85,"&lt;&gt;"&amp;"")</f>
        <v>5</v>
      </c>
      <c r="Y85" s="27">
        <f t="shared" si="7"/>
        <v>0</v>
      </c>
      <c r="Z85" s="28"/>
      <c r="AA85" s="29"/>
      <c r="AB85" s="30" t="b">
        <f>TRUE()</f>
        <v>1</v>
      </c>
      <c r="AC85" s="31">
        <f t="shared" si="8"/>
        <v>0</v>
      </c>
      <c r="AD85" s="42"/>
      <c r="AE85" s="42"/>
    </row>
    <row r="86" spans="1:31" ht="15" customHeight="1">
      <c r="A86" s="20">
        <f t="shared" si="6"/>
        <v>0</v>
      </c>
      <c r="B86" s="23"/>
      <c r="C86" s="23"/>
      <c r="D86" s="23"/>
      <c r="E86" s="23"/>
      <c r="F86" s="23"/>
      <c r="G86" s="23"/>
      <c r="H86" s="23"/>
      <c r="I86" s="23"/>
      <c r="J86" s="23"/>
      <c r="K86" s="23"/>
      <c r="L86" s="33"/>
      <c r="M86" s="26"/>
      <c r="N86" s="26"/>
      <c r="O86" s="26"/>
      <c r="P86" s="26"/>
      <c r="Q86" s="26"/>
      <c r="R86" s="26"/>
      <c r="S86" s="26"/>
      <c r="T86" s="26"/>
      <c r="U86" s="26"/>
      <c r="V86" s="26"/>
      <c r="W86" s="26"/>
      <c r="X86" s="26">
        <f>COUNTIF($L$2:L86,"&lt;&gt;"&amp;"")</f>
        <v>5</v>
      </c>
      <c r="Y86" s="27">
        <f t="shared" si="7"/>
        <v>0</v>
      </c>
      <c r="Z86" s="28"/>
      <c r="AA86" s="29"/>
      <c r="AB86" s="30" t="b">
        <f>TRUE()</f>
        <v>1</v>
      </c>
      <c r="AC86" s="31">
        <f t="shared" si="8"/>
        <v>0</v>
      </c>
      <c r="AD86" s="42"/>
      <c r="AE86" s="42"/>
    </row>
    <row r="87" spans="1:31" ht="15" customHeight="1">
      <c r="A87" s="20">
        <f t="shared" si="6"/>
        <v>0</v>
      </c>
      <c r="B87" s="23"/>
      <c r="C87" s="23"/>
      <c r="D87" s="23"/>
      <c r="E87" s="23"/>
      <c r="F87" s="23"/>
      <c r="G87" s="23"/>
      <c r="H87" s="23"/>
      <c r="I87" s="23"/>
      <c r="J87" s="23"/>
      <c r="K87" s="23"/>
      <c r="L87" s="33"/>
      <c r="M87" s="26"/>
      <c r="N87" s="26"/>
      <c r="O87" s="26"/>
      <c r="P87" s="26"/>
      <c r="Q87" s="26"/>
      <c r="R87" s="26"/>
      <c r="S87" s="26"/>
      <c r="T87" s="26"/>
      <c r="U87" s="26"/>
      <c r="V87" s="26"/>
      <c r="W87" s="26"/>
      <c r="X87" s="26">
        <f>COUNTIF($L$2:L87,"&lt;&gt;"&amp;"")</f>
        <v>5</v>
      </c>
      <c r="Y87" s="27">
        <f t="shared" si="7"/>
        <v>0</v>
      </c>
      <c r="Z87" s="28"/>
      <c r="AA87" s="29"/>
      <c r="AB87" s="30" t="b">
        <f>TRUE()</f>
        <v>1</v>
      </c>
      <c r="AC87" s="31">
        <f t="shared" si="8"/>
        <v>0</v>
      </c>
      <c r="AD87" s="42"/>
      <c r="AE87" s="42"/>
    </row>
    <row r="88" spans="1:31" ht="15" customHeight="1">
      <c r="A88" s="20">
        <f t="shared" si="6"/>
        <v>0</v>
      </c>
      <c r="B88" s="23"/>
      <c r="C88" s="23"/>
      <c r="D88" s="23"/>
      <c r="E88" s="23"/>
      <c r="F88" s="23"/>
      <c r="G88" s="23"/>
      <c r="H88" s="23"/>
      <c r="I88" s="23"/>
      <c r="J88" s="23"/>
      <c r="K88" s="23"/>
      <c r="L88" s="33"/>
      <c r="M88" s="26"/>
      <c r="N88" s="26"/>
      <c r="O88" s="26"/>
      <c r="P88" s="26"/>
      <c r="Q88" s="26"/>
      <c r="R88" s="26"/>
      <c r="S88" s="26"/>
      <c r="T88" s="26"/>
      <c r="U88" s="26"/>
      <c r="V88" s="26"/>
      <c r="W88" s="26"/>
      <c r="X88" s="26">
        <f>COUNTIF($L$2:L88,"&lt;&gt;"&amp;"")</f>
        <v>5</v>
      </c>
      <c r="Y88" s="27">
        <f t="shared" si="7"/>
        <v>0</v>
      </c>
      <c r="Z88" s="28"/>
      <c r="AA88" s="29"/>
      <c r="AB88" s="30" t="b">
        <f>TRUE()</f>
        <v>1</v>
      </c>
      <c r="AC88" s="31">
        <f t="shared" si="8"/>
        <v>0</v>
      </c>
      <c r="AD88" s="42"/>
      <c r="AE88" s="42"/>
    </row>
    <row r="89" spans="1:31" ht="15" customHeight="1">
      <c r="A89" s="20">
        <f t="shared" si="6"/>
        <v>0</v>
      </c>
      <c r="B89" s="23"/>
      <c r="C89" s="23"/>
      <c r="D89" s="23"/>
      <c r="E89" s="23"/>
      <c r="F89" s="23"/>
      <c r="G89" s="23"/>
      <c r="H89" s="23"/>
      <c r="I89" s="23"/>
      <c r="J89" s="23"/>
      <c r="K89" s="23"/>
      <c r="L89" s="33"/>
      <c r="M89" s="26"/>
      <c r="N89" s="26"/>
      <c r="O89" s="26"/>
      <c r="P89" s="26"/>
      <c r="Q89" s="26"/>
      <c r="R89" s="26"/>
      <c r="S89" s="26"/>
      <c r="T89" s="26"/>
      <c r="U89" s="26"/>
      <c r="V89" s="26"/>
      <c r="W89" s="26"/>
      <c r="X89" s="26">
        <f>COUNTIF($L$2:L89,"&lt;&gt;"&amp;"")</f>
        <v>5</v>
      </c>
      <c r="Y89" s="27">
        <f t="shared" si="7"/>
        <v>0</v>
      </c>
      <c r="Z89" s="28"/>
      <c r="AA89" s="29"/>
      <c r="AB89" s="30" t="b">
        <f>TRUE()</f>
        <v>1</v>
      </c>
      <c r="AC89" s="31">
        <f t="shared" si="8"/>
        <v>0</v>
      </c>
      <c r="AD89" s="42"/>
      <c r="AE89" s="42"/>
    </row>
    <row r="90" spans="1:31" ht="15" customHeight="1">
      <c r="A90" s="20">
        <f t="shared" si="6"/>
        <v>0</v>
      </c>
      <c r="B90" s="23"/>
      <c r="C90" s="23"/>
      <c r="D90" s="23"/>
      <c r="E90" s="23"/>
      <c r="F90" s="23"/>
      <c r="G90" s="23"/>
      <c r="H90" s="23"/>
      <c r="I90" s="23"/>
      <c r="J90" s="23"/>
      <c r="K90" s="23"/>
      <c r="L90" s="33"/>
      <c r="M90" s="26"/>
      <c r="N90" s="26"/>
      <c r="O90" s="26"/>
      <c r="P90" s="26"/>
      <c r="Q90" s="26"/>
      <c r="R90" s="26"/>
      <c r="S90" s="26"/>
      <c r="T90" s="26"/>
      <c r="U90" s="26"/>
      <c r="V90" s="26"/>
      <c r="W90" s="26"/>
      <c r="X90" s="26">
        <f>COUNTIF($L$2:L90,"&lt;&gt;"&amp;"")</f>
        <v>5</v>
      </c>
      <c r="Y90" s="27">
        <f t="shared" si="7"/>
        <v>0</v>
      </c>
      <c r="Z90" s="28"/>
      <c r="AA90" s="29"/>
      <c r="AB90" s="30" t="b">
        <f>TRUE()</f>
        <v>1</v>
      </c>
      <c r="AC90" s="31">
        <f t="shared" si="8"/>
        <v>0</v>
      </c>
      <c r="AD90" s="42"/>
      <c r="AE90" s="42"/>
    </row>
    <row r="91" spans="1:31" ht="15" customHeight="1">
      <c r="A91" s="20">
        <f t="shared" si="6"/>
        <v>0</v>
      </c>
      <c r="B91" s="23"/>
      <c r="C91" s="23"/>
      <c r="D91" s="23"/>
      <c r="E91" s="23"/>
      <c r="F91" s="23"/>
      <c r="G91" s="23"/>
      <c r="H91" s="23"/>
      <c r="I91" s="23"/>
      <c r="J91" s="23"/>
      <c r="K91" s="23"/>
      <c r="L91" s="33"/>
      <c r="M91" s="26"/>
      <c r="N91" s="26"/>
      <c r="O91" s="26"/>
      <c r="P91" s="26"/>
      <c r="Q91" s="26"/>
      <c r="R91" s="26"/>
      <c r="S91" s="26"/>
      <c r="T91" s="26"/>
      <c r="U91" s="26"/>
      <c r="V91" s="26"/>
      <c r="W91" s="26"/>
      <c r="X91" s="26">
        <f>COUNTIF($L$2:L91,"&lt;&gt;"&amp;"")</f>
        <v>5</v>
      </c>
      <c r="Y91" s="27">
        <f t="shared" si="7"/>
        <v>0</v>
      </c>
      <c r="Z91" s="28"/>
      <c r="AA91" s="29"/>
      <c r="AB91" s="30" t="b">
        <f>TRUE()</f>
        <v>1</v>
      </c>
      <c r="AC91" s="31">
        <f t="shared" si="8"/>
        <v>0</v>
      </c>
      <c r="AD91" s="42"/>
      <c r="AE91" s="42"/>
    </row>
    <row r="92" spans="1:31" ht="15" customHeight="1">
      <c r="A92" s="20">
        <f t="shared" si="6"/>
        <v>0</v>
      </c>
      <c r="B92" s="23"/>
      <c r="C92" s="23"/>
      <c r="D92" s="23"/>
      <c r="E92" s="23"/>
      <c r="F92" s="23"/>
      <c r="G92" s="23"/>
      <c r="H92" s="23"/>
      <c r="I92" s="23"/>
      <c r="J92" s="23"/>
      <c r="K92" s="23"/>
      <c r="L92" s="33"/>
      <c r="M92" s="26"/>
      <c r="N92" s="26"/>
      <c r="O92" s="26"/>
      <c r="P92" s="26"/>
      <c r="Q92" s="26"/>
      <c r="R92" s="26"/>
      <c r="S92" s="26"/>
      <c r="T92" s="26"/>
      <c r="U92" s="26"/>
      <c r="V92" s="26"/>
      <c r="W92" s="26"/>
      <c r="X92" s="26">
        <f>COUNTIF($L$2:L92,"&lt;&gt;"&amp;"")</f>
        <v>5</v>
      </c>
      <c r="Y92" s="27">
        <f t="shared" si="7"/>
        <v>0</v>
      </c>
      <c r="Z92" s="28"/>
      <c r="AA92" s="29"/>
      <c r="AB92" s="30" t="b">
        <f>TRUE()</f>
        <v>1</v>
      </c>
      <c r="AC92" s="31">
        <f t="shared" si="8"/>
        <v>0</v>
      </c>
      <c r="AD92" s="42"/>
      <c r="AE92" s="42"/>
    </row>
    <row r="93" spans="1:31" ht="15" customHeight="1">
      <c r="A93" s="20">
        <f t="shared" si="6"/>
        <v>0</v>
      </c>
      <c r="B93" s="23"/>
      <c r="C93" s="23"/>
      <c r="D93" s="23"/>
      <c r="E93" s="23"/>
      <c r="F93" s="23"/>
      <c r="G93" s="23"/>
      <c r="H93" s="23"/>
      <c r="I93" s="23"/>
      <c r="J93" s="23"/>
      <c r="K93" s="23"/>
      <c r="L93" s="33"/>
      <c r="M93" s="26"/>
      <c r="N93" s="26"/>
      <c r="O93" s="26"/>
      <c r="P93" s="26"/>
      <c r="Q93" s="26"/>
      <c r="R93" s="26"/>
      <c r="S93" s="26"/>
      <c r="T93" s="26"/>
      <c r="U93" s="26"/>
      <c r="V93" s="26"/>
      <c r="W93" s="26"/>
      <c r="X93" s="26">
        <f>COUNTIF($L$2:L95,"&lt;&gt;"&amp;"")</f>
        <v>5</v>
      </c>
      <c r="Y93" s="27">
        <f t="shared" si="7"/>
        <v>0</v>
      </c>
      <c r="Z93" s="28"/>
      <c r="AA93" s="29"/>
      <c r="AB93" s="30" t="b">
        <f>TRUE()</f>
        <v>1</v>
      </c>
      <c r="AC93" s="31">
        <f t="shared" si="8"/>
        <v>0</v>
      </c>
      <c r="AD93" s="42"/>
      <c r="AE93" s="42"/>
    </row>
    <row r="94" spans="1:31" ht="15" customHeight="1">
      <c r="A94" s="20">
        <f t="shared" si="6"/>
        <v>0</v>
      </c>
      <c r="B94" s="23"/>
      <c r="C94" s="23"/>
      <c r="D94" s="23"/>
      <c r="E94" s="23"/>
      <c r="F94" s="23"/>
      <c r="G94" s="23"/>
      <c r="H94" s="23"/>
      <c r="I94" s="23"/>
      <c r="J94" s="23"/>
      <c r="K94" s="23"/>
      <c r="L94" s="33"/>
      <c r="M94" s="26"/>
      <c r="N94" s="26"/>
      <c r="O94" s="26"/>
      <c r="P94" s="26"/>
      <c r="Q94" s="26"/>
      <c r="R94" s="26"/>
      <c r="S94" s="26"/>
      <c r="T94" s="26"/>
      <c r="U94" s="26"/>
      <c r="V94" s="26"/>
      <c r="W94" s="26"/>
      <c r="X94" s="26">
        <f>COUNTIF($L$2:L94,"&lt;&gt;"&amp;"")</f>
        <v>5</v>
      </c>
      <c r="Y94" s="27">
        <f t="shared" si="7"/>
        <v>0</v>
      </c>
      <c r="Z94" s="28"/>
      <c r="AA94" s="29"/>
      <c r="AB94" s="30" t="b">
        <f>TRUE()</f>
        <v>1</v>
      </c>
      <c r="AC94" s="31">
        <f t="shared" si="8"/>
        <v>0</v>
      </c>
      <c r="AD94" s="42"/>
      <c r="AE94" s="42"/>
    </row>
    <row r="95" spans="1:31" ht="15" customHeight="1">
      <c r="A95" s="20">
        <f t="shared" si="6"/>
        <v>0</v>
      </c>
      <c r="B95" s="23"/>
      <c r="C95" s="23"/>
      <c r="D95" s="23"/>
      <c r="E95" s="23"/>
      <c r="F95" s="23"/>
      <c r="G95" s="23"/>
      <c r="H95" s="23"/>
      <c r="I95" s="23"/>
      <c r="J95" s="23"/>
      <c r="K95" s="23"/>
      <c r="L95" s="33"/>
      <c r="M95" s="26"/>
      <c r="N95" s="26"/>
      <c r="O95" s="26"/>
      <c r="P95" s="26"/>
      <c r="Q95" s="26"/>
      <c r="R95" s="26"/>
      <c r="S95" s="26"/>
      <c r="T95" s="26"/>
      <c r="U95" s="26"/>
      <c r="V95" s="26"/>
      <c r="W95" s="26"/>
      <c r="X95" s="26">
        <f>COUNTIF($L$2:L95,"&lt;&gt;"&amp;"")</f>
        <v>5</v>
      </c>
      <c r="Y95" s="27">
        <f t="shared" si="7"/>
        <v>0</v>
      </c>
      <c r="Z95" s="28"/>
      <c r="AA95" s="29"/>
      <c r="AB95" s="30" t="b">
        <f>TRUE()</f>
        <v>1</v>
      </c>
      <c r="AC95" s="31">
        <f t="shared" si="8"/>
        <v>0</v>
      </c>
      <c r="AD95" s="42"/>
      <c r="AE95" s="42"/>
    </row>
    <row r="96" spans="1:31" ht="15" customHeight="1">
      <c r="A96" s="20">
        <f t="shared" si="6"/>
        <v>0</v>
      </c>
      <c r="B96" s="23"/>
      <c r="C96" s="23"/>
      <c r="D96" s="23"/>
      <c r="E96" s="23"/>
      <c r="F96" s="23"/>
      <c r="G96" s="23"/>
      <c r="H96" s="23"/>
      <c r="I96" s="23"/>
      <c r="J96" s="23"/>
      <c r="K96" s="23"/>
      <c r="L96" s="33"/>
      <c r="M96" s="26"/>
      <c r="N96" s="26"/>
      <c r="O96" s="26"/>
      <c r="P96" s="26"/>
      <c r="Q96" s="26"/>
      <c r="R96" s="26"/>
      <c r="S96" s="26"/>
      <c r="T96" s="26"/>
      <c r="U96" s="26"/>
      <c r="V96" s="26"/>
      <c r="W96" s="26"/>
      <c r="X96" s="26">
        <f>COUNTIF($L$2:L96,"&lt;&gt;"&amp;"")</f>
        <v>5</v>
      </c>
      <c r="Y96" s="27">
        <f t="shared" si="7"/>
        <v>0</v>
      </c>
      <c r="Z96" s="28"/>
      <c r="AA96" s="29"/>
      <c r="AB96" s="30" t="b">
        <f>TRUE()</f>
        <v>1</v>
      </c>
      <c r="AC96" s="31">
        <f t="shared" si="8"/>
        <v>0</v>
      </c>
      <c r="AD96" s="42"/>
      <c r="AE96" s="42"/>
    </row>
    <row r="97" spans="1:31" ht="15" customHeight="1">
      <c r="A97" s="20">
        <f t="shared" si="6"/>
        <v>0</v>
      </c>
      <c r="B97" s="23"/>
      <c r="C97" s="23"/>
      <c r="D97" s="23"/>
      <c r="E97" s="23"/>
      <c r="F97" s="23"/>
      <c r="G97" s="23"/>
      <c r="H97" s="23"/>
      <c r="I97" s="23"/>
      <c r="J97" s="23"/>
      <c r="K97" s="23"/>
      <c r="L97" s="33"/>
      <c r="M97" s="26"/>
      <c r="N97" s="26"/>
      <c r="O97" s="26"/>
      <c r="P97" s="26"/>
      <c r="Q97" s="26"/>
      <c r="R97" s="26"/>
      <c r="S97" s="26"/>
      <c r="T97" s="26"/>
      <c r="U97" s="26"/>
      <c r="V97" s="26"/>
      <c r="W97" s="26"/>
      <c r="X97" s="26">
        <f>COUNTIF($L$2:L97,"&lt;&gt;"&amp;"")</f>
        <v>5</v>
      </c>
      <c r="Y97" s="27">
        <f t="shared" si="7"/>
        <v>0</v>
      </c>
      <c r="Z97" s="28"/>
      <c r="AA97" s="29"/>
      <c r="AB97" s="30" t="b">
        <f>TRUE()</f>
        <v>1</v>
      </c>
      <c r="AC97" s="31">
        <f t="shared" si="8"/>
        <v>0</v>
      </c>
      <c r="AD97" s="42"/>
      <c r="AE97" s="42"/>
    </row>
    <row r="98" spans="1:31" ht="15" customHeight="1">
      <c r="A98" s="20">
        <f t="shared" ref="A98:A129" si="9">(B98*$P$125+C98*$P$126+D98*$P$127+E98*$P$128+F98*$P$129+G98*$P$130+H98*$P$131+I98*$P$132+J98*$P$133+K98*$P$134)*$T$123</f>
        <v>0</v>
      </c>
      <c r="B98" s="23"/>
      <c r="C98" s="23"/>
      <c r="D98" s="23"/>
      <c r="E98" s="23"/>
      <c r="F98" s="23"/>
      <c r="G98" s="23"/>
      <c r="H98" s="23"/>
      <c r="I98" s="23"/>
      <c r="J98" s="23"/>
      <c r="K98" s="23"/>
      <c r="L98" s="33"/>
      <c r="M98" s="26"/>
      <c r="N98" s="26"/>
      <c r="O98" s="26"/>
      <c r="P98" s="26"/>
      <c r="Q98" s="26"/>
      <c r="R98" s="26"/>
      <c r="S98" s="26"/>
      <c r="T98" s="26"/>
      <c r="U98" s="26"/>
      <c r="V98" s="26"/>
      <c r="W98" s="26"/>
      <c r="X98" s="26">
        <f>COUNTIF($L$2:L98,"&lt;&gt;"&amp;"")</f>
        <v>5</v>
      </c>
      <c r="Y98" s="27">
        <f t="shared" ref="Y98:Y129" si="10">SUMIF($X$2:$X$120,X98,$A$2:$A$120)</f>
        <v>0</v>
      </c>
      <c r="Z98" s="28"/>
      <c r="AA98" s="29"/>
      <c r="AB98" s="30" t="b">
        <f>TRUE()</f>
        <v>1</v>
      </c>
      <c r="AC98" s="31">
        <f t="shared" ref="AC98:AC129" si="11">IF(L98="",0,IF(AB98=FALSE(),0,Y98))</f>
        <v>0</v>
      </c>
      <c r="AD98" s="42"/>
      <c r="AE98" s="42"/>
    </row>
    <row r="99" spans="1:31" ht="15" customHeight="1">
      <c r="A99" s="20">
        <f t="shared" si="9"/>
        <v>0</v>
      </c>
      <c r="B99" s="23"/>
      <c r="C99" s="23"/>
      <c r="D99" s="23"/>
      <c r="E99" s="23"/>
      <c r="F99" s="23"/>
      <c r="G99" s="23"/>
      <c r="H99" s="23"/>
      <c r="I99" s="23"/>
      <c r="J99" s="23"/>
      <c r="K99" s="23"/>
      <c r="L99" s="33"/>
      <c r="M99" s="26"/>
      <c r="N99" s="26"/>
      <c r="O99" s="26"/>
      <c r="P99" s="26"/>
      <c r="Q99" s="26"/>
      <c r="R99" s="26"/>
      <c r="S99" s="26"/>
      <c r="T99" s="26"/>
      <c r="U99" s="26"/>
      <c r="V99" s="26"/>
      <c r="W99" s="26"/>
      <c r="X99" s="26">
        <f>COUNTIF($L$2:L99,"&lt;&gt;"&amp;"")</f>
        <v>5</v>
      </c>
      <c r="Y99" s="27">
        <f t="shared" si="10"/>
        <v>0</v>
      </c>
      <c r="Z99" s="28"/>
      <c r="AA99" s="29"/>
      <c r="AB99" s="30" t="b">
        <f>TRUE()</f>
        <v>1</v>
      </c>
      <c r="AC99" s="31">
        <f t="shared" si="11"/>
        <v>0</v>
      </c>
      <c r="AD99" s="42"/>
      <c r="AE99" s="42"/>
    </row>
    <row r="100" spans="1:31" ht="15" customHeight="1">
      <c r="A100" s="20">
        <f t="shared" si="9"/>
        <v>0</v>
      </c>
      <c r="B100" s="23"/>
      <c r="C100" s="23"/>
      <c r="D100" s="23"/>
      <c r="E100" s="23"/>
      <c r="F100" s="23"/>
      <c r="G100" s="23"/>
      <c r="H100" s="23"/>
      <c r="I100" s="23"/>
      <c r="J100" s="23"/>
      <c r="K100" s="23"/>
      <c r="L100" s="33"/>
      <c r="M100" s="26"/>
      <c r="N100" s="26"/>
      <c r="O100" s="26"/>
      <c r="P100" s="26"/>
      <c r="Q100" s="26"/>
      <c r="R100" s="26"/>
      <c r="S100" s="26"/>
      <c r="T100" s="26"/>
      <c r="U100" s="26"/>
      <c r="V100" s="26"/>
      <c r="W100" s="26"/>
      <c r="X100" s="26">
        <f>COUNTIF($L$2:L100,"&lt;&gt;"&amp;"")</f>
        <v>5</v>
      </c>
      <c r="Y100" s="27">
        <f t="shared" si="10"/>
        <v>0</v>
      </c>
      <c r="Z100" s="28"/>
      <c r="AA100" s="29"/>
      <c r="AB100" s="30" t="b">
        <f>TRUE()</f>
        <v>1</v>
      </c>
      <c r="AC100" s="31">
        <f t="shared" si="11"/>
        <v>0</v>
      </c>
      <c r="AD100" s="42"/>
      <c r="AE100" s="42"/>
    </row>
    <row r="101" spans="1:31" ht="15" customHeight="1">
      <c r="A101" s="20">
        <f t="shared" si="9"/>
        <v>0</v>
      </c>
      <c r="B101" s="23"/>
      <c r="C101" s="23"/>
      <c r="D101" s="23"/>
      <c r="E101" s="23"/>
      <c r="F101" s="23"/>
      <c r="G101" s="23"/>
      <c r="H101" s="23"/>
      <c r="I101" s="23"/>
      <c r="J101" s="23"/>
      <c r="K101" s="23"/>
      <c r="L101" s="33"/>
      <c r="M101" s="26"/>
      <c r="N101" s="26"/>
      <c r="O101" s="26"/>
      <c r="P101" s="26"/>
      <c r="Q101" s="26"/>
      <c r="R101" s="26"/>
      <c r="S101" s="26"/>
      <c r="T101" s="26"/>
      <c r="U101" s="26"/>
      <c r="V101" s="26"/>
      <c r="W101" s="26"/>
      <c r="X101" s="26">
        <f>COUNTIF($L$2:L101,"&lt;&gt;"&amp;"")</f>
        <v>5</v>
      </c>
      <c r="Y101" s="27">
        <f t="shared" si="10"/>
        <v>0</v>
      </c>
      <c r="Z101" s="28"/>
      <c r="AA101" s="29"/>
      <c r="AB101" s="30" t="b">
        <f>TRUE()</f>
        <v>1</v>
      </c>
      <c r="AC101" s="31">
        <f t="shared" si="11"/>
        <v>0</v>
      </c>
      <c r="AD101" s="23"/>
      <c r="AE101" s="23"/>
    </row>
    <row r="102" spans="1:31" ht="15" customHeight="1">
      <c r="A102" s="20">
        <f t="shared" si="9"/>
        <v>0</v>
      </c>
      <c r="B102" s="23"/>
      <c r="C102" s="23"/>
      <c r="D102" s="23"/>
      <c r="E102" s="23"/>
      <c r="F102" s="23"/>
      <c r="G102" s="23"/>
      <c r="H102" s="23"/>
      <c r="I102" s="23"/>
      <c r="J102" s="23"/>
      <c r="K102" s="23"/>
      <c r="L102" s="33"/>
      <c r="M102" s="26"/>
      <c r="N102" s="26"/>
      <c r="O102" s="26"/>
      <c r="P102" s="26"/>
      <c r="Q102" s="26"/>
      <c r="R102" s="26"/>
      <c r="S102" s="26"/>
      <c r="T102" s="26"/>
      <c r="U102" s="26"/>
      <c r="V102" s="26"/>
      <c r="W102" s="26"/>
      <c r="X102" s="26">
        <f>COUNTIF($L$2:L106,"&lt;&gt;"&amp;"")</f>
        <v>5</v>
      </c>
      <c r="Y102" s="27">
        <f t="shared" si="10"/>
        <v>0</v>
      </c>
      <c r="Z102" s="28"/>
      <c r="AA102" s="29"/>
      <c r="AB102" s="30" t="b">
        <f>TRUE()</f>
        <v>1</v>
      </c>
      <c r="AC102" s="31">
        <f t="shared" si="11"/>
        <v>0</v>
      </c>
      <c r="AD102" s="23"/>
      <c r="AE102" s="23"/>
    </row>
    <row r="103" spans="1:31" ht="15" customHeight="1">
      <c r="A103" s="20">
        <f t="shared" si="9"/>
        <v>0</v>
      </c>
      <c r="B103" s="23"/>
      <c r="C103" s="23"/>
      <c r="D103" s="23"/>
      <c r="E103" s="23"/>
      <c r="F103" s="23"/>
      <c r="G103" s="23"/>
      <c r="H103" s="23"/>
      <c r="I103" s="23"/>
      <c r="J103" s="23"/>
      <c r="K103" s="23"/>
      <c r="L103" s="33"/>
      <c r="M103" s="26"/>
      <c r="N103" s="26"/>
      <c r="O103" s="26"/>
      <c r="P103" s="26"/>
      <c r="Q103" s="26"/>
      <c r="R103" s="26"/>
      <c r="S103" s="26"/>
      <c r="T103" s="26"/>
      <c r="U103" s="26"/>
      <c r="V103" s="26"/>
      <c r="W103" s="26"/>
      <c r="X103" s="26">
        <f>COUNTIF($L$2:L103,"&lt;&gt;"&amp;"")</f>
        <v>5</v>
      </c>
      <c r="Y103" s="27">
        <f t="shared" si="10"/>
        <v>0</v>
      </c>
      <c r="Z103" s="28"/>
      <c r="AA103" s="29"/>
      <c r="AB103" s="30" t="b">
        <f>TRUE()</f>
        <v>1</v>
      </c>
      <c r="AC103" s="31">
        <f t="shared" si="11"/>
        <v>0</v>
      </c>
      <c r="AD103" s="42"/>
      <c r="AE103" s="42"/>
    </row>
    <row r="104" spans="1:31" ht="15" customHeight="1">
      <c r="A104" s="20">
        <f t="shared" si="9"/>
        <v>0</v>
      </c>
      <c r="B104" s="23"/>
      <c r="C104" s="23"/>
      <c r="D104" s="23"/>
      <c r="E104" s="23"/>
      <c r="F104" s="23"/>
      <c r="G104" s="23"/>
      <c r="H104" s="23"/>
      <c r="I104" s="23"/>
      <c r="J104" s="23"/>
      <c r="K104" s="23"/>
      <c r="L104" s="33"/>
      <c r="M104" s="26"/>
      <c r="N104" s="26"/>
      <c r="O104" s="26"/>
      <c r="P104" s="26"/>
      <c r="Q104" s="26"/>
      <c r="R104" s="26"/>
      <c r="S104" s="26"/>
      <c r="T104" s="26"/>
      <c r="U104" s="26"/>
      <c r="V104" s="26"/>
      <c r="W104" s="26"/>
      <c r="X104" s="26">
        <f>COUNTIF($L$2:L104,"&lt;&gt;"&amp;"")</f>
        <v>5</v>
      </c>
      <c r="Y104" s="27">
        <f t="shared" si="10"/>
        <v>0</v>
      </c>
      <c r="Z104" s="28"/>
      <c r="AA104" s="29"/>
      <c r="AB104" s="30" t="b">
        <f>TRUE()</f>
        <v>1</v>
      </c>
      <c r="AC104" s="31">
        <f t="shared" si="11"/>
        <v>0</v>
      </c>
      <c r="AD104" s="42"/>
      <c r="AE104" s="42"/>
    </row>
    <row r="105" spans="1:31" ht="15" customHeight="1">
      <c r="A105" s="20">
        <f t="shared" si="9"/>
        <v>0</v>
      </c>
      <c r="B105" s="23"/>
      <c r="C105" s="23"/>
      <c r="D105" s="23"/>
      <c r="E105" s="23"/>
      <c r="F105" s="23"/>
      <c r="G105" s="23"/>
      <c r="H105" s="23"/>
      <c r="I105" s="23"/>
      <c r="J105" s="23"/>
      <c r="K105" s="23"/>
      <c r="L105" s="33"/>
      <c r="M105" s="26"/>
      <c r="N105" s="26"/>
      <c r="O105" s="26"/>
      <c r="P105" s="26"/>
      <c r="Q105" s="26"/>
      <c r="R105" s="26"/>
      <c r="S105" s="26"/>
      <c r="T105" s="26"/>
      <c r="U105" s="26"/>
      <c r="V105" s="26"/>
      <c r="W105" s="26"/>
      <c r="X105" s="26">
        <f>COUNTIF($L$2:L105,"&lt;&gt;"&amp;"")</f>
        <v>5</v>
      </c>
      <c r="Y105" s="27">
        <f t="shared" si="10"/>
        <v>0</v>
      </c>
      <c r="Z105" s="28"/>
      <c r="AA105" s="29"/>
      <c r="AB105" s="30" t="b">
        <f>TRUE()</f>
        <v>1</v>
      </c>
      <c r="AC105" s="31">
        <f t="shared" si="11"/>
        <v>0</v>
      </c>
      <c r="AD105" s="42"/>
      <c r="AE105" s="42"/>
    </row>
    <row r="106" spans="1:31" ht="15" customHeight="1">
      <c r="A106" s="20">
        <f t="shared" si="9"/>
        <v>0</v>
      </c>
      <c r="B106" s="23"/>
      <c r="C106" s="23"/>
      <c r="D106" s="23"/>
      <c r="E106" s="23"/>
      <c r="F106" s="23"/>
      <c r="G106" s="23"/>
      <c r="H106" s="23"/>
      <c r="I106" s="23"/>
      <c r="J106" s="23"/>
      <c r="K106" s="23"/>
      <c r="L106" s="33"/>
      <c r="M106" s="26"/>
      <c r="N106" s="26"/>
      <c r="O106" s="26"/>
      <c r="P106" s="26"/>
      <c r="Q106" s="26"/>
      <c r="R106" s="26"/>
      <c r="S106" s="26"/>
      <c r="T106" s="26"/>
      <c r="U106" s="26"/>
      <c r="V106" s="26"/>
      <c r="W106" s="26"/>
      <c r="X106" s="26">
        <f>COUNTIF($L$2:L106,"&lt;&gt;"&amp;"")</f>
        <v>5</v>
      </c>
      <c r="Y106" s="27">
        <f t="shared" si="10"/>
        <v>0</v>
      </c>
      <c r="Z106" s="28"/>
      <c r="AA106" s="29"/>
      <c r="AB106" s="30" t="b">
        <f>TRUE()</f>
        <v>1</v>
      </c>
      <c r="AC106" s="31">
        <f t="shared" si="11"/>
        <v>0</v>
      </c>
      <c r="AD106" s="42"/>
      <c r="AE106" s="42"/>
    </row>
    <row r="107" spans="1:31" ht="15" customHeight="1">
      <c r="A107" s="20">
        <f t="shared" si="9"/>
        <v>0</v>
      </c>
      <c r="B107" s="23"/>
      <c r="C107" s="23"/>
      <c r="D107" s="23"/>
      <c r="E107" s="23"/>
      <c r="F107" s="23"/>
      <c r="G107" s="23"/>
      <c r="H107" s="23"/>
      <c r="I107" s="23"/>
      <c r="J107" s="23"/>
      <c r="K107" s="23"/>
      <c r="L107" s="33"/>
      <c r="M107" s="26"/>
      <c r="N107" s="26"/>
      <c r="O107" s="26"/>
      <c r="P107" s="26"/>
      <c r="Q107" s="26"/>
      <c r="R107" s="26"/>
      <c r="S107" s="26"/>
      <c r="T107" s="26"/>
      <c r="U107" s="26"/>
      <c r="V107" s="26"/>
      <c r="W107" s="26"/>
      <c r="X107" s="26">
        <f>COUNTIF($L$2:L107,"&lt;&gt;"&amp;"")</f>
        <v>5</v>
      </c>
      <c r="Y107" s="27">
        <f t="shared" si="10"/>
        <v>0</v>
      </c>
      <c r="Z107" s="28"/>
      <c r="AA107" s="29"/>
      <c r="AB107" s="30" t="b">
        <f>TRUE()</f>
        <v>1</v>
      </c>
      <c r="AC107" s="31">
        <f t="shared" si="11"/>
        <v>0</v>
      </c>
      <c r="AD107" s="23"/>
      <c r="AE107" s="23"/>
    </row>
    <row r="108" spans="1:31" ht="15" customHeight="1">
      <c r="A108" s="20">
        <f t="shared" si="9"/>
        <v>0</v>
      </c>
      <c r="B108" s="23"/>
      <c r="C108" s="23"/>
      <c r="D108" s="23"/>
      <c r="E108" s="23"/>
      <c r="F108" s="23"/>
      <c r="G108" s="23"/>
      <c r="H108" s="23"/>
      <c r="I108" s="23"/>
      <c r="J108" s="23"/>
      <c r="K108" s="23"/>
      <c r="L108" s="33"/>
      <c r="M108" s="26"/>
      <c r="N108" s="26"/>
      <c r="O108" s="26"/>
      <c r="P108" s="26"/>
      <c r="Q108" s="26"/>
      <c r="R108" s="26"/>
      <c r="S108" s="26"/>
      <c r="T108" s="26"/>
      <c r="U108" s="26"/>
      <c r="V108" s="26"/>
      <c r="W108" s="26"/>
      <c r="X108" s="26">
        <f>COUNTIF($L$2:L108,"&lt;&gt;"&amp;"")</f>
        <v>5</v>
      </c>
      <c r="Y108" s="27">
        <f t="shared" si="10"/>
        <v>0</v>
      </c>
      <c r="Z108" s="28"/>
      <c r="AA108" s="29"/>
      <c r="AB108" s="30" t="b">
        <f>TRUE()</f>
        <v>1</v>
      </c>
      <c r="AC108" s="31">
        <f t="shared" si="11"/>
        <v>0</v>
      </c>
      <c r="AD108" s="23"/>
      <c r="AE108" s="23"/>
    </row>
    <row r="109" spans="1:31" ht="15" customHeight="1">
      <c r="A109" s="20">
        <f t="shared" si="9"/>
        <v>0</v>
      </c>
      <c r="B109" s="23"/>
      <c r="C109" s="23"/>
      <c r="D109" s="23"/>
      <c r="E109" s="23"/>
      <c r="F109" s="23"/>
      <c r="G109" s="23"/>
      <c r="H109" s="23"/>
      <c r="I109" s="23"/>
      <c r="J109" s="23"/>
      <c r="K109" s="23"/>
      <c r="L109" s="33"/>
      <c r="M109" s="26"/>
      <c r="N109" s="26"/>
      <c r="O109" s="26"/>
      <c r="P109" s="26"/>
      <c r="Q109" s="26"/>
      <c r="R109" s="26"/>
      <c r="S109" s="26"/>
      <c r="T109" s="26"/>
      <c r="U109" s="26"/>
      <c r="V109" s="26"/>
      <c r="W109" s="26"/>
      <c r="X109" s="26">
        <f>COUNTIF($L$2:L109,"&lt;&gt;"&amp;"")</f>
        <v>5</v>
      </c>
      <c r="Y109" s="27">
        <f t="shared" si="10"/>
        <v>0</v>
      </c>
      <c r="Z109" s="28"/>
      <c r="AA109" s="29"/>
      <c r="AB109" s="30" t="b">
        <f>TRUE()</f>
        <v>1</v>
      </c>
      <c r="AC109" s="31">
        <f t="shared" si="11"/>
        <v>0</v>
      </c>
      <c r="AD109" s="23"/>
      <c r="AE109" s="23"/>
    </row>
    <row r="110" spans="1:31" ht="15" customHeight="1">
      <c r="A110" s="20">
        <f t="shared" si="9"/>
        <v>0</v>
      </c>
      <c r="B110" s="23"/>
      <c r="C110" s="23"/>
      <c r="D110" s="23"/>
      <c r="E110" s="23"/>
      <c r="F110" s="23"/>
      <c r="G110" s="23"/>
      <c r="H110" s="23"/>
      <c r="I110" s="23"/>
      <c r="J110" s="23"/>
      <c r="K110" s="23"/>
      <c r="L110" s="33"/>
      <c r="M110" s="26"/>
      <c r="N110" s="26"/>
      <c r="O110" s="26"/>
      <c r="P110" s="26"/>
      <c r="Q110" s="26"/>
      <c r="R110" s="26"/>
      <c r="S110" s="26"/>
      <c r="T110" s="26"/>
      <c r="U110" s="26"/>
      <c r="V110" s="26"/>
      <c r="W110" s="26"/>
      <c r="X110" s="26">
        <f>COUNTIF($L$2:L110,"&lt;&gt;"&amp;"")</f>
        <v>5</v>
      </c>
      <c r="Y110" s="27">
        <f t="shared" si="10"/>
        <v>0</v>
      </c>
      <c r="Z110" s="28"/>
      <c r="AA110" s="29"/>
      <c r="AB110" s="30" t="b">
        <f>TRUE()</f>
        <v>1</v>
      </c>
      <c r="AC110" s="31">
        <f t="shared" si="11"/>
        <v>0</v>
      </c>
      <c r="AD110" s="23"/>
      <c r="AE110" s="23"/>
    </row>
    <row r="111" spans="1:31" ht="15" customHeight="1">
      <c r="A111" s="20">
        <f t="shared" si="9"/>
        <v>0</v>
      </c>
      <c r="B111" s="23"/>
      <c r="C111" s="23"/>
      <c r="D111" s="23"/>
      <c r="E111" s="23"/>
      <c r="F111" s="23"/>
      <c r="G111" s="23"/>
      <c r="H111" s="23"/>
      <c r="I111" s="23"/>
      <c r="J111" s="23"/>
      <c r="K111" s="23"/>
      <c r="L111" s="33"/>
      <c r="M111" s="26"/>
      <c r="N111" s="26"/>
      <c r="O111" s="26"/>
      <c r="P111" s="26"/>
      <c r="Q111" s="26"/>
      <c r="R111" s="26"/>
      <c r="S111" s="26"/>
      <c r="T111" s="26"/>
      <c r="U111" s="26"/>
      <c r="V111" s="26"/>
      <c r="W111" s="26"/>
      <c r="X111" s="26">
        <f>COUNTIF($L$2:L111,"&lt;&gt;"&amp;"")</f>
        <v>5</v>
      </c>
      <c r="Y111" s="27">
        <f t="shared" si="10"/>
        <v>0</v>
      </c>
      <c r="Z111" s="28"/>
      <c r="AA111" s="29"/>
      <c r="AB111" s="30" t="b">
        <f>TRUE()</f>
        <v>1</v>
      </c>
      <c r="AC111" s="31">
        <f t="shared" si="11"/>
        <v>0</v>
      </c>
      <c r="AD111" s="23"/>
      <c r="AE111" s="23"/>
    </row>
    <row r="112" spans="1:31" ht="15" customHeight="1">
      <c r="A112" s="20">
        <f t="shared" si="9"/>
        <v>0</v>
      </c>
      <c r="B112" s="23"/>
      <c r="C112" s="23"/>
      <c r="D112" s="23"/>
      <c r="E112" s="23"/>
      <c r="F112" s="23"/>
      <c r="G112" s="23"/>
      <c r="H112" s="23"/>
      <c r="I112" s="23"/>
      <c r="J112" s="23"/>
      <c r="K112" s="23"/>
      <c r="L112" s="33"/>
      <c r="M112" s="26"/>
      <c r="N112" s="26"/>
      <c r="O112" s="26"/>
      <c r="P112" s="26"/>
      <c r="Q112" s="26"/>
      <c r="R112" s="26"/>
      <c r="S112" s="26"/>
      <c r="T112" s="26"/>
      <c r="U112" s="26"/>
      <c r="V112" s="26"/>
      <c r="W112" s="26"/>
      <c r="X112" s="26">
        <f>COUNTIF($L$2:L112,"&lt;&gt;"&amp;"")</f>
        <v>5</v>
      </c>
      <c r="Y112" s="27">
        <f t="shared" si="10"/>
        <v>0</v>
      </c>
      <c r="Z112" s="28"/>
      <c r="AA112" s="29"/>
      <c r="AB112" s="30" t="b">
        <f>TRUE()</f>
        <v>1</v>
      </c>
      <c r="AC112" s="31">
        <f t="shared" si="11"/>
        <v>0</v>
      </c>
      <c r="AD112" s="23"/>
      <c r="AE112" s="23"/>
    </row>
    <row r="113" spans="1:31" ht="15" customHeight="1">
      <c r="A113" s="20">
        <f t="shared" si="9"/>
        <v>0</v>
      </c>
      <c r="B113" s="23"/>
      <c r="C113" s="23"/>
      <c r="D113" s="23"/>
      <c r="E113" s="23"/>
      <c r="F113" s="23"/>
      <c r="G113" s="23"/>
      <c r="H113" s="23"/>
      <c r="I113" s="23"/>
      <c r="J113" s="23"/>
      <c r="K113" s="23"/>
      <c r="L113" s="33"/>
      <c r="M113" s="26"/>
      <c r="N113" s="26"/>
      <c r="O113" s="26"/>
      <c r="P113" s="26"/>
      <c r="Q113" s="26"/>
      <c r="R113" s="26"/>
      <c r="S113" s="26"/>
      <c r="T113" s="26"/>
      <c r="U113" s="26"/>
      <c r="V113" s="26"/>
      <c r="W113" s="26"/>
      <c r="X113" s="26">
        <f>COUNTIF($L$2:L113,"&lt;&gt;"&amp;"")</f>
        <v>5</v>
      </c>
      <c r="Y113" s="27">
        <f t="shared" si="10"/>
        <v>0</v>
      </c>
      <c r="Z113" s="28"/>
      <c r="AA113" s="29"/>
      <c r="AB113" s="30" t="b">
        <f>TRUE()</f>
        <v>1</v>
      </c>
      <c r="AC113" s="31">
        <f t="shared" si="11"/>
        <v>0</v>
      </c>
      <c r="AD113" s="23"/>
      <c r="AE113" s="23"/>
    </row>
    <row r="114" spans="1:31" ht="15" customHeight="1">
      <c r="A114" s="20">
        <f t="shared" si="9"/>
        <v>0</v>
      </c>
      <c r="B114" s="23"/>
      <c r="C114" s="23"/>
      <c r="D114" s="23"/>
      <c r="E114" s="23"/>
      <c r="F114" s="23"/>
      <c r="G114" s="23"/>
      <c r="H114" s="23"/>
      <c r="I114" s="23"/>
      <c r="J114" s="23"/>
      <c r="K114" s="23"/>
      <c r="L114" s="33"/>
      <c r="M114" s="26"/>
      <c r="N114" s="26"/>
      <c r="O114" s="26"/>
      <c r="P114" s="26"/>
      <c r="Q114" s="26"/>
      <c r="R114" s="26"/>
      <c r="S114" s="26"/>
      <c r="T114" s="26"/>
      <c r="U114" s="26"/>
      <c r="V114" s="26"/>
      <c r="W114" s="26"/>
      <c r="X114" s="26">
        <f>COUNTIF($L$2:L114,"&lt;&gt;"&amp;"")</f>
        <v>5</v>
      </c>
      <c r="Y114" s="27">
        <f t="shared" si="10"/>
        <v>0</v>
      </c>
      <c r="Z114" s="28"/>
      <c r="AA114" s="29"/>
      <c r="AB114" s="30" t="b">
        <f>TRUE()</f>
        <v>1</v>
      </c>
      <c r="AC114" s="31">
        <f t="shared" si="11"/>
        <v>0</v>
      </c>
      <c r="AD114" s="23"/>
      <c r="AE114" s="23"/>
    </row>
    <row r="115" spans="1:31" ht="15" customHeight="1">
      <c r="A115" s="20">
        <f t="shared" si="9"/>
        <v>0</v>
      </c>
      <c r="B115" s="23"/>
      <c r="C115" s="23"/>
      <c r="D115" s="23"/>
      <c r="E115" s="23"/>
      <c r="F115" s="23"/>
      <c r="G115" s="23"/>
      <c r="H115" s="23"/>
      <c r="I115" s="23"/>
      <c r="J115" s="23"/>
      <c r="K115" s="23"/>
      <c r="L115" s="33"/>
      <c r="M115" s="26"/>
      <c r="N115" s="26"/>
      <c r="O115" s="26"/>
      <c r="P115" s="26"/>
      <c r="Q115" s="26"/>
      <c r="R115" s="26"/>
      <c r="S115" s="26"/>
      <c r="T115" s="26"/>
      <c r="U115" s="26"/>
      <c r="V115" s="26"/>
      <c r="W115" s="26"/>
      <c r="X115" s="26">
        <f>COUNTIF($L$2:L115,"&lt;&gt;"&amp;"")</f>
        <v>5</v>
      </c>
      <c r="Y115" s="27">
        <f t="shared" si="10"/>
        <v>0</v>
      </c>
      <c r="Z115" s="28"/>
      <c r="AA115" s="29"/>
      <c r="AB115" s="30" t="b">
        <f>TRUE()</f>
        <v>1</v>
      </c>
      <c r="AC115" s="31">
        <f t="shared" si="11"/>
        <v>0</v>
      </c>
      <c r="AD115" s="23"/>
      <c r="AE115" s="23"/>
    </row>
    <row r="116" spans="1:31" ht="15" customHeight="1">
      <c r="A116" s="20">
        <f t="shared" si="9"/>
        <v>0</v>
      </c>
      <c r="B116" s="23"/>
      <c r="C116" s="23"/>
      <c r="D116" s="23"/>
      <c r="E116" s="23"/>
      <c r="F116" s="23"/>
      <c r="G116" s="23"/>
      <c r="H116" s="23"/>
      <c r="I116" s="23"/>
      <c r="J116" s="23"/>
      <c r="K116" s="23"/>
      <c r="L116" s="33"/>
      <c r="M116" s="26"/>
      <c r="N116" s="26"/>
      <c r="O116" s="26"/>
      <c r="P116" s="26"/>
      <c r="Q116" s="26"/>
      <c r="R116" s="26"/>
      <c r="S116" s="26"/>
      <c r="T116" s="26"/>
      <c r="U116" s="26"/>
      <c r="V116" s="26"/>
      <c r="W116" s="26"/>
      <c r="X116" s="26">
        <f>COUNTIF($L$2:L116,"&lt;&gt;"&amp;"")</f>
        <v>5</v>
      </c>
      <c r="Y116" s="27">
        <f t="shared" si="10"/>
        <v>0</v>
      </c>
      <c r="Z116" s="28"/>
      <c r="AA116" s="29"/>
      <c r="AB116" s="30" t="b">
        <f>TRUE()</f>
        <v>1</v>
      </c>
      <c r="AC116" s="31">
        <f t="shared" si="11"/>
        <v>0</v>
      </c>
      <c r="AD116" s="23"/>
      <c r="AE116" s="23"/>
    </row>
    <row r="117" spans="1:31" ht="15" customHeight="1">
      <c r="A117" s="20">
        <f t="shared" si="9"/>
        <v>0</v>
      </c>
      <c r="B117" s="23"/>
      <c r="C117" s="23"/>
      <c r="D117" s="23"/>
      <c r="E117" s="23"/>
      <c r="F117" s="23"/>
      <c r="G117" s="23"/>
      <c r="H117" s="23"/>
      <c r="I117" s="23"/>
      <c r="J117" s="23"/>
      <c r="K117" s="23"/>
      <c r="L117" s="33"/>
      <c r="M117" s="26"/>
      <c r="N117" s="26"/>
      <c r="O117" s="26"/>
      <c r="P117" s="26"/>
      <c r="Q117" s="26"/>
      <c r="R117" s="26"/>
      <c r="S117" s="26"/>
      <c r="T117" s="26"/>
      <c r="U117" s="26"/>
      <c r="V117" s="26"/>
      <c r="W117" s="26"/>
      <c r="X117" s="26">
        <f>COUNTIF($L$2:L117,"&lt;&gt;"&amp;"")</f>
        <v>5</v>
      </c>
      <c r="Y117" s="27">
        <f t="shared" si="10"/>
        <v>0</v>
      </c>
      <c r="Z117" s="28"/>
      <c r="AA117" s="29"/>
      <c r="AB117" s="30" t="b">
        <f>TRUE()</f>
        <v>1</v>
      </c>
      <c r="AC117" s="31">
        <f t="shared" si="11"/>
        <v>0</v>
      </c>
      <c r="AD117" s="23"/>
      <c r="AE117" s="23"/>
    </row>
    <row r="118" spans="1:31" ht="15" customHeight="1">
      <c r="A118" s="20">
        <f t="shared" si="9"/>
        <v>0</v>
      </c>
      <c r="B118" s="23"/>
      <c r="C118" s="23"/>
      <c r="D118" s="23"/>
      <c r="E118" s="23"/>
      <c r="F118" s="23"/>
      <c r="G118" s="23"/>
      <c r="H118" s="23"/>
      <c r="I118" s="23"/>
      <c r="J118" s="23"/>
      <c r="K118" s="23"/>
      <c r="L118" s="33"/>
      <c r="M118" s="26"/>
      <c r="N118" s="26"/>
      <c r="O118" s="26"/>
      <c r="P118" s="26"/>
      <c r="Q118" s="26"/>
      <c r="R118" s="26"/>
      <c r="S118" s="26"/>
      <c r="T118" s="26"/>
      <c r="U118" s="26"/>
      <c r="V118" s="26"/>
      <c r="W118" s="26"/>
      <c r="X118" s="26">
        <f>COUNTIF($L$2:L118,"&lt;&gt;"&amp;"")</f>
        <v>5</v>
      </c>
      <c r="Y118" s="27">
        <f t="shared" si="10"/>
        <v>0</v>
      </c>
      <c r="Z118" s="28"/>
      <c r="AA118" s="29"/>
      <c r="AB118" s="30" t="b">
        <f>TRUE()</f>
        <v>1</v>
      </c>
      <c r="AC118" s="31">
        <f t="shared" si="11"/>
        <v>0</v>
      </c>
      <c r="AD118" s="23"/>
      <c r="AE118" s="23"/>
    </row>
    <row r="119" spans="1:31" ht="15" customHeight="1">
      <c r="A119" s="20">
        <f t="shared" si="9"/>
        <v>0</v>
      </c>
      <c r="B119" s="23"/>
      <c r="C119" s="23"/>
      <c r="D119" s="23"/>
      <c r="E119" s="23"/>
      <c r="F119" s="23"/>
      <c r="G119" s="23"/>
      <c r="H119" s="23"/>
      <c r="I119" s="23"/>
      <c r="J119" s="23"/>
      <c r="K119" s="23"/>
      <c r="L119" s="33"/>
      <c r="M119" s="26"/>
      <c r="N119" s="26"/>
      <c r="O119" s="26"/>
      <c r="P119" s="26"/>
      <c r="Q119" s="26"/>
      <c r="R119" s="26"/>
      <c r="S119" s="26"/>
      <c r="T119" s="26"/>
      <c r="U119" s="26"/>
      <c r="V119" s="26"/>
      <c r="W119" s="26"/>
      <c r="X119" s="26">
        <f>COUNTIF($L$2:L119,"&lt;&gt;"&amp;"")</f>
        <v>5</v>
      </c>
      <c r="Y119" s="27">
        <f t="shared" si="10"/>
        <v>0</v>
      </c>
      <c r="Z119" s="28"/>
      <c r="AA119" s="29"/>
      <c r="AB119" s="30" t="b">
        <f>TRUE()</f>
        <v>1</v>
      </c>
      <c r="AC119" s="31">
        <f t="shared" si="11"/>
        <v>0</v>
      </c>
      <c r="AD119" s="23"/>
      <c r="AE119" s="23"/>
    </row>
    <row r="120" spans="1:31" ht="12.75" customHeight="1">
      <c r="A120" s="43"/>
      <c r="B120" s="43"/>
      <c r="C120" s="43"/>
      <c r="D120" s="43"/>
      <c r="E120" s="43"/>
      <c r="F120" s="43"/>
      <c r="G120" s="43"/>
      <c r="H120" s="43"/>
      <c r="I120" s="43"/>
      <c r="J120" s="43"/>
      <c r="K120" s="43"/>
      <c r="L120" s="44"/>
      <c r="M120" s="44"/>
      <c r="N120" s="45"/>
      <c r="O120" s="45" t="s">
        <v>43</v>
      </c>
      <c r="P120" s="44"/>
      <c r="Q120" s="44"/>
      <c r="R120" s="44"/>
      <c r="S120" s="44"/>
      <c r="T120" s="44"/>
      <c r="U120" s="44"/>
      <c r="V120" s="44"/>
      <c r="W120" s="44"/>
      <c r="X120" s="44"/>
      <c r="Y120" s="44"/>
      <c r="Z120" s="44"/>
      <c r="AA120" s="44"/>
      <c r="AB120" s="44"/>
      <c r="AC120" s="44"/>
      <c r="AD120" s="23"/>
      <c r="AE120" s="23"/>
    </row>
    <row r="121" spans="1:31" ht="15" customHeight="1">
      <c r="A121" s="46">
        <f>ROW()</f>
        <v>121</v>
      </c>
      <c r="B121" s="23">
        <f t="shared" ref="B121:K121" si="12">SUM(B2:B120)</f>
        <v>0</v>
      </c>
      <c r="C121" s="23">
        <f t="shared" si="12"/>
        <v>0</v>
      </c>
      <c r="D121" s="23">
        <f t="shared" si="12"/>
        <v>0</v>
      </c>
      <c r="E121" s="23">
        <f t="shared" si="12"/>
        <v>0</v>
      </c>
      <c r="F121" s="23">
        <f t="shared" si="12"/>
        <v>0</v>
      </c>
      <c r="G121" s="23">
        <f t="shared" si="12"/>
        <v>0</v>
      </c>
      <c r="H121" s="23">
        <f t="shared" si="12"/>
        <v>0</v>
      </c>
      <c r="I121" s="23">
        <f t="shared" si="12"/>
        <v>0</v>
      </c>
      <c r="J121" s="23">
        <f t="shared" si="12"/>
        <v>0</v>
      </c>
      <c r="K121" s="23">
        <f t="shared" si="12"/>
        <v>0</v>
      </c>
      <c r="L121" s="33"/>
      <c r="M121" s="26"/>
      <c r="N121" s="26"/>
      <c r="O121" s="26"/>
      <c r="P121" s="23"/>
      <c r="Q121" s="23"/>
      <c r="R121" s="23"/>
      <c r="S121" s="23"/>
      <c r="T121" s="23"/>
      <c r="U121" s="23"/>
      <c r="V121" s="23"/>
      <c r="W121" s="23"/>
      <c r="X121" s="23"/>
      <c r="Y121" s="23"/>
      <c r="Z121" s="23"/>
      <c r="AA121" s="23"/>
      <c r="AB121" s="23"/>
      <c r="AC121" s="47"/>
      <c r="AD121" s="23"/>
      <c r="AE121" s="23"/>
    </row>
    <row r="122" spans="1:31" ht="12.75" customHeight="1">
      <c r="A122" s="23"/>
      <c r="B122" s="23"/>
      <c r="C122" s="48"/>
      <c r="D122" s="48"/>
      <c r="E122" s="48"/>
      <c r="F122" s="48"/>
      <c r="G122" s="48"/>
      <c r="H122" s="48"/>
      <c r="I122" s="9" t="s">
        <v>44</v>
      </c>
      <c r="J122" s="9"/>
      <c r="K122" s="9"/>
      <c r="L122" s="9"/>
      <c r="M122" s="8">
        <f>400000+120000</f>
        <v>520000</v>
      </c>
      <c r="N122" s="8"/>
      <c r="O122" s="8"/>
      <c r="P122" s="23"/>
      <c r="Q122" s="23"/>
      <c r="R122" s="23"/>
      <c r="S122" s="48"/>
      <c r="T122" s="48"/>
      <c r="U122" s="48"/>
      <c r="V122" s="23"/>
      <c r="W122" s="23"/>
      <c r="X122" s="23"/>
      <c r="Y122" s="23"/>
      <c r="Z122" s="23"/>
      <c r="AA122" s="23"/>
      <c r="AB122" s="23"/>
      <c r="AC122" s="47"/>
      <c r="AD122" s="23"/>
      <c r="AE122" s="23"/>
    </row>
    <row r="123" spans="1:31" ht="15" customHeight="1">
      <c r="A123" s="23"/>
      <c r="B123" s="23"/>
      <c r="C123" s="48"/>
      <c r="D123" s="49" t="s">
        <v>45</v>
      </c>
      <c r="E123" s="50">
        <v>1750905</v>
      </c>
      <c r="F123" s="51" t="s">
        <v>46</v>
      </c>
      <c r="G123" s="52">
        <v>249095</v>
      </c>
      <c r="H123" s="48"/>
      <c r="I123" s="53" t="s">
        <v>47</v>
      </c>
      <c r="J123" s="54">
        <v>0.18</v>
      </c>
      <c r="K123" s="54"/>
      <c r="L123" s="55" t="s">
        <v>48</v>
      </c>
      <c r="M123" s="56">
        <f>2.7/12</f>
        <v>0.22500000000000001</v>
      </c>
      <c r="N123" s="57" t="s">
        <v>49</v>
      </c>
      <c r="O123" s="58">
        <f>40*4.2*((244-2)/260)</f>
        <v>156.36923076923077</v>
      </c>
      <c r="P123" s="48"/>
      <c r="Q123" s="53" t="s">
        <v>50</v>
      </c>
      <c r="R123" s="59">
        <v>0.4</v>
      </c>
      <c r="S123" s="48"/>
      <c r="T123" s="60">
        <v>8</v>
      </c>
      <c r="U123" s="61" t="s">
        <v>51</v>
      </c>
      <c r="V123" s="62"/>
      <c r="W123" s="23"/>
      <c r="X123" s="23"/>
      <c r="Y123" s="23"/>
      <c r="Z123" s="23"/>
      <c r="AA123" s="23"/>
      <c r="AB123" s="23"/>
      <c r="AC123" s="47"/>
      <c r="AD123" s="23"/>
      <c r="AE123" s="23"/>
    </row>
    <row r="124" spans="1:31" ht="12.75" customHeight="1">
      <c r="A124" s="23"/>
      <c r="B124" s="23"/>
      <c r="C124" s="7" t="s">
        <v>52</v>
      </c>
      <c r="D124" s="7"/>
      <c r="E124" s="7"/>
      <c r="F124" s="7" t="s">
        <v>53</v>
      </c>
      <c r="G124" s="7"/>
      <c r="H124" s="7"/>
      <c r="I124" s="7" t="s">
        <v>54</v>
      </c>
      <c r="J124" s="7"/>
      <c r="K124" s="7"/>
      <c r="L124" s="7"/>
      <c r="M124" s="7" t="s">
        <v>55</v>
      </c>
      <c r="N124" s="7"/>
      <c r="O124" s="7"/>
      <c r="P124" s="7" t="s">
        <v>56</v>
      </c>
      <c r="Q124" s="7"/>
      <c r="R124" s="7"/>
      <c r="S124" s="48"/>
      <c r="T124" s="48"/>
      <c r="U124" s="63" t="s">
        <v>49</v>
      </c>
      <c r="V124" s="7" t="s">
        <v>57</v>
      </c>
      <c r="W124" s="7"/>
      <c r="X124" s="7"/>
      <c r="Y124" s="23"/>
      <c r="Z124" s="23"/>
      <c r="AA124" s="23"/>
      <c r="AB124" s="23"/>
      <c r="AC124" s="47"/>
      <c r="AD124" s="23"/>
      <c r="AE124" s="23"/>
    </row>
    <row r="125" spans="1:31" ht="12.75" customHeight="1">
      <c r="A125" s="35" t="s">
        <v>58</v>
      </c>
      <c r="B125" s="63" t="str">
        <f>B1</f>
        <v>DB</v>
      </c>
      <c r="C125" s="6">
        <v>6480000</v>
      </c>
      <c r="D125" s="6"/>
      <c r="E125" s="6"/>
      <c r="F125" s="6">
        <v>1080000</v>
      </c>
      <c r="G125" s="6"/>
      <c r="H125" s="6"/>
      <c r="I125" s="6">
        <v>0</v>
      </c>
      <c r="J125" s="6"/>
      <c r="K125" s="6"/>
      <c r="L125" s="6"/>
      <c r="M125" s="6">
        <f t="shared" ref="M125:M134" si="13">C125*(1+$J$123+$M$123)+F125+I125+$M$122+IF(($E$123*2)&gt;=C125,$G$123,0)</f>
        <v>10704400</v>
      </c>
      <c r="N125" s="6"/>
      <c r="O125" s="6"/>
      <c r="P125" s="5">
        <f t="shared" ref="P125:P134" si="14">M125/$O$123*(1+$R$123)</f>
        <v>95838.292011019294</v>
      </c>
      <c r="Q125" s="5"/>
      <c r="R125" s="5"/>
      <c r="S125" s="48"/>
      <c r="T125" s="48"/>
      <c r="U125" s="23">
        <f t="shared" ref="U125:U134" si="15">HLOOKUP(B125,$B$1:$K$121,$A$121,0)*$T$123</f>
        <v>0</v>
      </c>
      <c r="W125" s="64">
        <f t="shared" ref="W125:W134" si="16">P125*U125</f>
        <v>0</v>
      </c>
      <c r="Y125" s="23"/>
      <c r="Z125" s="23"/>
      <c r="AA125" s="23"/>
      <c r="AB125" s="23"/>
      <c r="AC125" s="47"/>
      <c r="AD125" s="23"/>
      <c r="AE125" s="23"/>
    </row>
    <row r="126" spans="1:31" ht="12.75" customHeight="1">
      <c r="A126" s="35" t="s">
        <v>59</v>
      </c>
      <c r="B126" s="63" t="str">
        <f>C1</f>
        <v>UX</v>
      </c>
      <c r="C126" s="6">
        <v>3240000</v>
      </c>
      <c r="D126" s="6"/>
      <c r="E126" s="6"/>
      <c r="F126" s="6">
        <v>540000</v>
      </c>
      <c r="G126" s="6"/>
      <c r="H126" s="6"/>
      <c r="I126" s="6">
        <v>0</v>
      </c>
      <c r="J126" s="6"/>
      <c r="K126" s="6"/>
      <c r="L126" s="6"/>
      <c r="M126" s="6">
        <f t="shared" si="13"/>
        <v>5861295</v>
      </c>
      <c r="N126" s="6"/>
      <c r="O126" s="6"/>
      <c r="P126" s="5">
        <f t="shared" si="14"/>
        <v>52477.159090909088</v>
      </c>
      <c r="Q126" s="5"/>
      <c r="R126" s="5"/>
      <c r="S126" s="48"/>
      <c r="T126" s="48"/>
      <c r="U126" s="23">
        <f t="shared" si="15"/>
        <v>0</v>
      </c>
      <c r="W126" s="64">
        <f t="shared" si="16"/>
        <v>0</v>
      </c>
      <c r="Y126" s="23"/>
      <c r="Z126" s="23"/>
      <c r="AA126" s="23"/>
      <c r="AB126" s="23"/>
      <c r="AC126" s="47"/>
      <c r="AD126" s="23"/>
      <c r="AE126" s="23"/>
    </row>
    <row r="127" spans="1:31" ht="12.75" customHeight="1">
      <c r="A127" s="35" t="s">
        <v>60</v>
      </c>
      <c r="B127" s="63" t="str">
        <f>D1</f>
        <v>FM</v>
      </c>
      <c r="C127" s="6">
        <v>3240000</v>
      </c>
      <c r="D127" s="6"/>
      <c r="E127" s="6"/>
      <c r="F127" s="6">
        <v>540000</v>
      </c>
      <c r="G127" s="6"/>
      <c r="H127" s="6"/>
      <c r="I127" s="6">
        <v>0</v>
      </c>
      <c r="J127" s="6"/>
      <c r="K127" s="6"/>
      <c r="L127" s="6"/>
      <c r="M127" s="6">
        <f t="shared" si="13"/>
        <v>5861295</v>
      </c>
      <c r="N127" s="6"/>
      <c r="O127" s="6"/>
      <c r="P127" s="5">
        <f t="shared" si="14"/>
        <v>52477.159090909088</v>
      </c>
      <c r="Q127" s="5"/>
      <c r="R127" s="5"/>
      <c r="S127" s="48"/>
      <c r="T127" s="48"/>
      <c r="U127" s="23">
        <f t="shared" si="15"/>
        <v>0</v>
      </c>
      <c r="W127" s="64">
        <f t="shared" si="16"/>
        <v>0</v>
      </c>
      <c r="Y127" s="23"/>
      <c r="Z127" s="23"/>
      <c r="AA127" s="23"/>
      <c r="AB127" s="23"/>
      <c r="AC127" s="47"/>
      <c r="AD127" s="23"/>
      <c r="AE127" s="23"/>
    </row>
    <row r="128" spans="1:31" ht="12.75" customHeight="1">
      <c r="A128" s="35" t="s">
        <v>61</v>
      </c>
      <c r="B128" s="63" t="str">
        <f>E1</f>
        <v>BS</v>
      </c>
      <c r="C128" s="6">
        <v>4320000</v>
      </c>
      <c r="D128" s="6"/>
      <c r="E128" s="6"/>
      <c r="F128" s="6">
        <v>1620000</v>
      </c>
      <c r="G128" s="6"/>
      <c r="H128" s="6"/>
      <c r="I128" s="6">
        <v>0</v>
      </c>
      <c r="J128" s="6"/>
      <c r="K128" s="6"/>
      <c r="L128" s="6"/>
      <c r="M128" s="6">
        <f t="shared" si="13"/>
        <v>8209600</v>
      </c>
      <c r="N128" s="6"/>
      <c r="O128" s="6"/>
      <c r="P128" s="5">
        <f t="shared" si="14"/>
        <v>73501.928374655647</v>
      </c>
      <c r="Q128" s="5"/>
      <c r="R128" s="5"/>
      <c r="S128" s="48"/>
      <c r="T128" s="48"/>
      <c r="U128" s="23">
        <f t="shared" si="15"/>
        <v>0</v>
      </c>
      <c r="W128" s="64">
        <f t="shared" si="16"/>
        <v>0</v>
      </c>
      <c r="Y128" s="23"/>
      <c r="Z128" s="23"/>
      <c r="AA128" s="23"/>
      <c r="AB128" s="23"/>
      <c r="AC128" s="47"/>
      <c r="AD128" s="23"/>
      <c r="AE128" s="23"/>
    </row>
    <row r="129" spans="1:31" ht="12.75" customHeight="1">
      <c r="A129" s="35" t="s">
        <v>62</v>
      </c>
      <c r="B129" s="63" t="str">
        <f>F1</f>
        <v>BM</v>
      </c>
      <c r="C129" s="6">
        <v>3780000</v>
      </c>
      <c r="D129" s="6"/>
      <c r="E129" s="6"/>
      <c r="F129" s="6">
        <v>1080000</v>
      </c>
      <c r="G129" s="6"/>
      <c r="H129" s="6"/>
      <c r="I129" s="6">
        <v>0</v>
      </c>
      <c r="J129" s="6"/>
      <c r="K129" s="6"/>
      <c r="L129" s="6"/>
      <c r="M129" s="6">
        <f t="shared" si="13"/>
        <v>6910900</v>
      </c>
      <c r="N129" s="6"/>
      <c r="O129" s="6"/>
      <c r="P129" s="5">
        <f t="shared" si="14"/>
        <v>61874.449035812671</v>
      </c>
      <c r="Q129" s="5"/>
      <c r="R129" s="5"/>
      <c r="S129" s="48"/>
      <c r="T129" s="48"/>
      <c r="U129" s="23">
        <f t="shared" si="15"/>
        <v>0</v>
      </c>
      <c r="W129" s="64">
        <f t="shared" si="16"/>
        <v>0</v>
      </c>
      <c r="Y129" s="23"/>
      <c r="Z129" s="23"/>
      <c r="AA129" s="23"/>
      <c r="AB129" s="23"/>
      <c r="AC129" s="47"/>
      <c r="AD129" s="23"/>
      <c r="AE129" s="23"/>
    </row>
    <row r="130" spans="1:31" ht="12.75" customHeight="1">
      <c r="A130" s="35" t="s">
        <v>63</v>
      </c>
      <c r="B130" s="63" t="str">
        <f>G1</f>
        <v>QA</v>
      </c>
      <c r="C130" s="6">
        <v>2700000</v>
      </c>
      <c r="D130" s="6"/>
      <c r="E130" s="6"/>
      <c r="F130" s="6">
        <v>1080000</v>
      </c>
      <c r="G130" s="6"/>
      <c r="H130" s="6"/>
      <c r="I130" s="6">
        <v>54000</v>
      </c>
      <c r="J130" s="6"/>
      <c r="K130" s="6"/>
      <c r="L130" s="6"/>
      <c r="M130" s="6">
        <f t="shared" si="13"/>
        <v>5696595</v>
      </c>
      <c r="N130" s="6"/>
      <c r="O130" s="6"/>
      <c r="P130" s="5">
        <f t="shared" si="14"/>
        <v>51002.572314049583</v>
      </c>
      <c r="Q130" s="5"/>
      <c r="R130" s="5"/>
      <c r="S130" s="48"/>
      <c r="T130" s="48"/>
      <c r="U130" s="23">
        <f t="shared" si="15"/>
        <v>0</v>
      </c>
      <c r="W130" s="64">
        <f t="shared" si="16"/>
        <v>0</v>
      </c>
      <c r="Y130" s="23"/>
      <c r="Z130" s="23"/>
      <c r="AA130" s="23"/>
      <c r="AB130" s="23"/>
      <c r="AC130" s="47"/>
      <c r="AD130" s="23"/>
      <c r="AE130" s="23"/>
    </row>
    <row r="131" spans="1:31" ht="12.75" customHeight="1">
      <c r="A131" s="35" t="s">
        <v>64</v>
      </c>
      <c r="B131" s="63" t="str">
        <f>H1</f>
        <v>IM</v>
      </c>
      <c r="C131" s="6">
        <v>2700000</v>
      </c>
      <c r="D131" s="6"/>
      <c r="E131" s="6"/>
      <c r="F131" s="6">
        <v>1080000</v>
      </c>
      <c r="G131" s="6"/>
      <c r="H131" s="6"/>
      <c r="I131" s="6">
        <v>0</v>
      </c>
      <c r="J131" s="6"/>
      <c r="K131" s="6"/>
      <c r="L131" s="6"/>
      <c r="M131" s="6">
        <f t="shared" si="13"/>
        <v>5642595</v>
      </c>
      <c r="N131" s="6"/>
      <c r="O131" s="6"/>
      <c r="P131" s="5">
        <f t="shared" si="14"/>
        <v>50519.10123966942</v>
      </c>
      <c r="Q131" s="5"/>
      <c r="R131" s="5"/>
      <c r="S131" s="48"/>
      <c r="T131" s="48"/>
      <c r="U131" s="23">
        <f t="shared" si="15"/>
        <v>0</v>
      </c>
      <c r="W131" s="64">
        <f t="shared" si="16"/>
        <v>0</v>
      </c>
      <c r="Y131" s="23"/>
      <c r="Z131" s="23"/>
      <c r="AA131" s="23"/>
      <c r="AB131" s="23"/>
      <c r="AC131" s="47"/>
      <c r="AD131" s="23"/>
      <c r="AE131" s="23"/>
    </row>
    <row r="132" spans="1:31" ht="12.75" customHeight="1">
      <c r="A132" s="35" t="s">
        <v>65</v>
      </c>
      <c r="B132" s="63" t="str">
        <f>I1</f>
        <v>MS</v>
      </c>
      <c r="C132" s="6">
        <v>8100000</v>
      </c>
      <c r="D132" s="6"/>
      <c r="E132" s="6"/>
      <c r="F132" s="6">
        <v>2160000</v>
      </c>
      <c r="G132" s="6"/>
      <c r="H132" s="6"/>
      <c r="I132" s="6">
        <v>132000</v>
      </c>
      <c r="J132" s="6"/>
      <c r="K132" s="6"/>
      <c r="L132" s="6"/>
      <c r="M132" s="6">
        <f t="shared" si="13"/>
        <v>14192500</v>
      </c>
      <c r="N132" s="6"/>
      <c r="O132" s="6"/>
      <c r="P132" s="5">
        <f t="shared" si="14"/>
        <v>127067.83746556473</v>
      </c>
      <c r="Q132" s="5"/>
      <c r="R132" s="5"/>
      <c r="S132" s="48"/>
      <c r="T132" s="48"/>
      <c r="U132" s="23">
        <f t="shared" si="15"/>
        <v>0</v>
      </c>
      <c r="W132" s="64">
        <f t="shared" si="16"/>
        <v>0</v>
      </c>
      <c r="Y132" s="23"/>
      <c r="Z132" s="23"/>
      <c r="AA132" s="23"/>
      <c r="AB132" s="23"/>
      <c r="AC132" s="47"/>
      <c r="AD132" s="23"/>
      <c r="AE132" s="23"/>
    </row>
    <row r="133" spans="1:31" ht="12.75" customHeight="1">
      <c r="A133" s="35" t="s">
        <v>66</v>
      </c>
      <c r="B133" s="63" t="str">
        <f>J1</f>
        <v>MM</v>
      </c>
      <c r="C133" s="6">
        <v>3240000</v>
      </c>
      <c r="D133" s="6"/>
      <c r="E133" s="6"/>
      <c r="F133" s="6">
        <v>1080000</v>
      </c>
      <c r="G133" s="6"/>
      <c r="H133" s="6"/>
      <c r="I133" s="6">
        <v>132000</v>
      </c>
      <c r="J133" s="6"/>
      <c r="K133" s="6"/>
      <c r="L133" s="6"/>
      <c r="M133" s="6">
        <f t="shared" si="13"/>
        <v>6533295</v>
      </c>
      <c r="N133" s="6"/>
      <c r="O133" s="6"/>
      <c r="P133" s="5">
        <f t="shared" si="14"/>
        <v>58493.688016528926</v>
      </c>
      <c r="Q133" s="5"/>
      <c r="R133" s="5"/>
      <c r="S133" s="48"/>
      <c r="T133" s="48"/>
      <c r="U133" s="23">
        <f t="shared" si="15"/>
        <v>0</v>
      </c>
      <c r="W133" s="64">
        <f t="shared" si="16"/>
        <v>0</v>
      </c>
      <c r="Y133" s="23"/>
      <c r="Z133" s="23"/>
      <c r="AA133" s="23"/>
      <c r="AB133" s="23"/>
      <c r="AC133" s="47"/>
      <c r="AD133" s="23"/>
      <c r="AE133" s="23"/>
    </row>
    <row r="134" spans="1:31" ht="12.75" customHeight="1">
      <c r="A134" s="35" t="s">
        <v>67</v>
      </c>
      <c r="B134" s="63" t="s">
        <v>10</v>
      </c>
      <c r="C134" s="6">
        <v>3240000</v>
      </c>
      <c r="D134" s="6"/>
      <c r="E134" s="6"/>
      <c r="F134" s="6">
        <v>1080000</v>
      </c>
      <c r="G134" s="6"/>
      <c r="H134" s="6"/>
      <c r="I134" s="6"/>
      <c r="J134" s="6"/>
      <c r="K134" s="6"/>
      <c r="L134" s="6"/>
      <c r="M134" s="6">
        <f t="shared" si="13"/>
        <v>6401295</v>
      </c>
      <c r="N134" s="6"/>
      <c r="O134" s="6"/>
      <c r="P134" s="5">
        <f t="shared" si="14"/>
        <v>57311.869834710742</v>
      </c>
      <c r="Q134" s="5"/>
      <c r="R134" s="5"/>
      <c r="S134" s="48"/>
      <c r="T134" s="48"/>
      <c r="U134" s="23">
        <f t="shared" si="15"/>
        <v>0</v>
      </c>
      <c r="W134" s="64">
        <f t="shared" si="16"/>
        <v>0</v>
      </c>
      <c r="Y134" s="23"/>
      <c r="Z134" s="23"/>
      <c r="AA134" s="23"/>
      <c r="AB134" s="23"/>
      <c r="AC134" s="47"/>
      <c r="AD134" s="23"/>
      <c r="AE134" s="23"/>
    </row>
    <row r="135" spans="1:31" ht="12.75" customHeight="1">
      <c r="A135" s="35"/>
      <c r="B135" s="63"/>
      <c r="C135" s="48"/>
      <c r="D135" s="48"/>
      <c r="E135" s="48"/>
      <c r="F135" s="48"/>
      <c r="G135" s="48"/>
      <c r="H135" s="48"/>
      <c r="I135" s="23"/>
      <c r="J135" s="23"/>
      <c r="K135" s="23"/>
      <c r="L135" s="23"/>
      <c r="M135" s="23"/>
      <c r="N135" s="23"/>
      <c r="O135" s="23"/>
      <c r="P135" s="4">
        <f>SUM(P125:P134)</f>
        <v>680564.0564738292</v>
      </c>
      <c r="Q135" s="4"/>
      <c r="R135" s="4"/>
      <c r="S135" s="48"/>
      <c r="T135" s="48"/>
      <c r="U135" s="48"/>
      <c r="W135" s="65">
        <f>SUM(W125:W134)</f>
        <v>0</v>
      </c>
      <c r="Y135" s="23"/>
      <c r="Z135" s="23"/>
      <c r="AA135" s="23"/>
      <c r="AB135" s="23"/>
      <c r="AC135" s="47"/>
      <c r="AD135" s="23"/>
      <c r="AE135" s="23"/>
    </row>
    <row r="136" spans="1:31" ht="12.75" customHeight="1">
      <c r="A136" s="23"/>
      <c r="B136" s="23"/>
      <c r="C136" s="66"/>
      <c r="D136" s="66"/>
      <c r="E136" s="23"/>
      <c r="F136" s="23"/>
      <c r="G136" s="23"/>
      <c r="H136" s="48"/>
      <c r="I136" s="23"/>
      <c r="J136" s="23"/>
      <c r="K136" s="23"/>
      <c r="L136" s="48"/>
      <c r="M136" s="23"/>
      <c r="N136" s="23"/>
      <c r="O136" s="23"/>
      <c r="P136" s="23"/>
      <c r="Q136" s="23"/>
      <c r="R136" s="23"/>
      <c r="S136" s="23"/>
      <c r="T136" s="23"/>
      <c r="U136" s="23"/>
      <c r="V136" s="23"/>
      <c r="W136" s="23"/>
      <c r="X136" s="23"/>
      <c r="Y136" s="23"/>
      <c r="Z136" s="23"/>
      <c r="AA136" s="23"/>
      <c r="AB136" s="23"/>
      <c r="AC136" s="47"/>
      <c r="AD136" s="23"/>
      <c r="AE136" s="23"/>
    </row>
    <row r="137" spans="1:31" ht="12.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47"/>
      <c r="AD137" s="23"/>
      <c r="AE137" s="23"/>
    </row>
    <row r="138" spans="1:31" ht="12.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8"/>
      <c r="AD138" s="67"/>
      <c r="AE138" s="67"/>
    </row>
    <row r="139" spans="1:31" ht="15" customHeight="1">
      <c r="A139" s="67"/>
      <c r="B139" s="67"/>
      <c r="C139" s="3"/>
      <c r="D139" s="3"/>
      <c r="E139" s="3"/>
      <c r="F139" s="3"/>
      <c r="G139" s="2"/>
      <c r="H139" s="2"/>
      <c r="I139" s="2"/>
      <c r="J139" s="2"/>
      <c r="K139" s="69"/>
      <c r="L139" s="1"/>
      <c r="M139" s="1"/>
      <c r="N139" s="1"/>
      <c r="O139" s="1"/>
      <c r="P139" s="2"/>
      <c r="Q139" s="2"/>
      <c r="R139" s="2"/>
      <c r="S139" s="2"/>
      <c r="T139" s="1"/>
      <c r="U139" s="1"/>
      <c r="V139" s="1"/>
      <c r="W139" s="1"/>
      <c r="X139" s="2"/>
      <c r="Y139" s="2"/>
      <c r="Z139" s="2"/>
      <c r="AA139" s="1"/>
      <c r="AB139" s="1"/>
      <c r="AC139" s="1"/>
      <c r="AD139" s="70"/>
      <c r="AE139" s="67"/>
    </row>
    <row r="140" spans="1:31" ht="12.75" customHeight="1">
      <c r="A140" s="71" t="e">
        <f t="array" aca="1" ref="A140:A144" ca="1">unique(L1:L120)</f>
        <v>#NAME?</v>
      </c>
      <c r="B140" s="72"/>
      <c r="C140" s="73"/>
      <c r="D140" s="73"/>
      <c r="E140" s="73"/>
      <c r="F140" s="74"/>
      <c r="G140" s="75" t="s">
        <v>68</v>
      </c>
      <c r="H140" s="75" t="s">
        <v>69</v>
      </c>
      <c r="I140" s="75" t="s">
        <v>70</v>
      </c>
      <c r="J140" s="75" t="s">
        <v>71</v>
      </c>
      <c r="K140" s="75" t="s">
        <v>72</v>
      </c>
      <c r="L140" s="76" t="s">
        <v>73</v>
      </c>
      <c r="M140" s="76" t="s">
        <v>74</v>
      </c>
      <c r="N140" s="76" t="s">
        <v>75</v>
      </c>
      <c r="O140" s="76" t="s">
        <v>76</v>
      </c>
      <c r="P140" s="75" t="s">
        <v>77</v>
      </c>
      <c r="Q140" s="75"/>
      <c r="R140" s="75"/>
      <c r="S140" s="75"/>
      <c r="T140" s="76"/>
      <c r="U140" s="76"/>
      <c r="V140" s="76"/>
      <c r="W140" s="76"/>
      <c r="X140" s="75"/>
      <c r="Y140" s="75"/>
      <c r="Z140" s="75"/>
      <c r="AA140" s="76"/>
      <c r="AB140" s="76"/>
      <c r="AC140" s="77"/>
      <c r="AD140" s="76"/>
      <c r="AE140" s="67"/>
    </row>
    <row r="141" spans="1:31" ht="12.75" customHeight="1">
      <c r="A141" s="78" t="e">
        <f ca="1"/>
        <v>#NAME?</v>
      </c>
      <c r="B141" s="79"/>
      <c r="C141" s="79"/>
      <c r="D141" s="79" t="s">
        <v>78</v>
      </c>
      <c r="E141" s="79"/>
      <c r="F141" s="80"/>
      <c r="G141" s="81"/>
      <c r="H141" s="81"/>
      <c r="I141" s="81"/>
      <c r="J141" s="81"/>
      <c r="K141" s="81"/>
      <c r="L141" s="82"/>
      <c r="M141" s="82"/>
      <c r="N141" s="82"/>
      <c r="O141" s="82"/>
      <c r="P141" s="81"/>
      <c r="Q141" s="81"/>
      <c r="R141" s="81"/>
      <c r="S141" s="81"/>
      <c r="T141" s="82"/>
      <c r="U141" s="82"/>
      <c r="V141" s="82"/>
      <c r="W141" s="82"/>
      <c r="X141" s="81"/>
      <c r="Y141" s="81"/>
      <c r="Z141" s="81"/>
      <c r="AA141" s="82"/>
      <c r="AB141" s="82"/>
      <c r="AC141" s="83"/>
      <c r="AD141" s="82"/>
      <c r="AE141" s="67"/>
    </row>
    <row r="142" spans="1:31" ht="12.75" customHeight="1">
      <c r="A142" s="78" t="e">
        <f ca="1"/>
        <v>#NAME?</v>
      </c>
      <c r="B142" s="79"/>
      <c r="C142" s="79"/>
      <c r="D142" s="79"/>
      <c r="E142" s="79"/>
      <c r="F142" s="80"/>
      <c r="G142" s="81"/>
      <c r="H142" s="81"/>
      <c r="I142" s="81"/>
      <c r="J142" s="81"/>
      <c r="K142" s="81"/>
      <c r="L142" s="82"/>
      <c r="M142" s="82"/>
      <c r="N142" s="82"/>
      <c r="O142" s="82"/>
      <c r="P142" s="81"/>
      <c r="Q142" s="81"/>
      <c r="R142" s="81"/>
      <c r="S142" s="81"/>
      <c r="T142" s="82"/>
      <c r="U142" s="82"/>
      <c r="V142" s="82"/>
      <c r="W142" s="82"/>
      <c r="X142" s="81"/>
      <c r="Y142" s="81"/>
      <c r="Z142" s="81"/>
      <c r="AA142" s="82"/>
      <c r="AB142" s="82"/>
      <c r="AC142" s="83"/>
      <c r="AD142" s="82"/>
      <c r="AE142" s="67"/>
    </row>
    <row r="143" spans="1:31" ht="12.75" customHeight="1">
      <c r="A143" s="78" t="e">
        <f ca="1"/>
        <v>#NAME?</v>
      </c>
      <c r="B143" s="79"/>
      <c r="C143" s="79"/>
      <c r="D143" s="79"/>
      <c r="E143" s="79"/>
      <c r="F143" s="80"/>
      <c r="G143" s="81"/>
      <c r="H143" s="81"/>
      <c r="I143" s="81"/>
      <c r="J143" s="81"/>
      <c r="K143" s="81"/>
      <c r="L143" s="82"/>
      <c r="M143" s="82"/>
      <c r="N143" s="82"/>
      <c r="O143" s="82"/>
      <c r="P143" s="81"/>
      <c r="Q143" s="81"/>
      <c r="R143" s="81"/>
      <c r="S143" s="81"/>
      <c r="T143" s="82"/>
      <c r="U143" s="82"/>
      <c r="V143" s="82"/>
      <c r="W143" s="82"/>
      <c r="X143" s="81"/>
      <c r="Y143" s="81"/>
      <c r="Z143" s="81"/>
      <c r="AA143" s="82"/>
      <c r="AB143" s="82"/>
      <c r="AC143" s="83"/>
      <c r="AD143" s="82"/>
      <c r="AE143" s="67"/>
    </row>
    <row r="144" spans="1:31" ht="12.75" customHeight="1">
      <c r="A144" s="78" t="e">
        <f ca="1"/>
        <v>#NAME?</v>
      </c>
      <c r="B144" s="79"/>
      <c r="C144" s="79"/>
      <c r="D144" s="79"/>
      <c r="E144" s="79"/>
      <c r="F144" s="80"/>
      <c r="G144" s="81"/>
      <c r="H144" s="81"/>
      <c r="I144" s="81"/>
      <c r="J144" s="81"/>
      <c r="K144" s="81"/>
      <c r="L144" s="82"/>
      <c r="M144" s="82"/>
      <c r="N144" s="82"/>
      <c r="O144" s="82"/>
      <c r="P144" s="81"/>
      <c r="Q144" s="81"/>
      <c r="R144" s="81"/>
      <c r="S144" s="81"/>
      <c r="T144" s="82"/>
      <c r="U144" s="82"/>
      <c r="V144" s="82"/>
      <c r="W144" s="82"/>
      <c r="X144" s="81"/>
      <c r="Y144" s="81"/>
      <c r="Z144" s="81"/>
      <c r="AA144" s="82"/>
      <c r="AB144" s="82"/>
      <c r="AC144" s="83"/>
      <c r="AD144" s="82"/>
      <c r="AE144" s="67"/>
    </row>
    <row r="145" spans="1:31" ht="12.75" customHeight="1">
      <c r="A145" s="78"/>
      <c r="B145" s="79"/>
      <c r="C145" s="79"/>
      <c r="D145" s="79"/>
      <c r="E145" s="79"/>
      <c r="F145" s="80"/>
      <c r="G145" s="81"/>
      <c r="H145" s="81"/>
      <c r="I145" s="81"/>
      <c r="J145" s="81"/>
      <c r="K145" s="81"/>
      <c r="L145" s="82"/>
      <c r="M145" s="82"/>
      <c r="N145" s="82"/>
      <c r="O145" s="82"/>
      <c r="P145" s="81"/>
      <c r="Q145" s="81"/>
      <c r="R145" s="81"/>
      <c r="S145" s="81"/>
      <c r="T145" s="82"/>
      <c r="U145" s="82"/>
      <c r="V145" s="82"/>
      <c r="W145" s="82"/>
      <c r="X145" s="81"/>
      <c r="Y145" s="81"/>
      <c r="Z145" s="81"/>
      <c r="AA145" s="82"/>
      <c r="AB145" s="82"/>
      <c r="AC145" s="83"/>
      <c r="AD145" s="82"/>
      <c r="AE145" s="67"/>
    </row>
    <row r="146" spans="1:31" ht="12.75" customHeight="1">
      <c r="A146" s="78"/>
      <c r="B146" s="79"/>
      <c r="C146" s="79"/>
      <c r="D146" s="79"/>
      <c r="E146" s="79"/>
      <c r="F146" s="80"/>
      <c r="G146" s="81"/>
      <c r="H146" s="81"/>
      <c r="I146" s="81"/>
      <c r="J146" s="81"/>
      <c r="K146" s="81"/>
      <c r="L146" s="82"/>
      <c r="M146" s="82"/>
      <c r="N146" s="82"/>
      <c r="O146" s="82"/>
      <c r="P146" s="81"/>
      <c r="Q146" s="81"/>
      <c r="R146" s="81"/>
      <c r="S146" s="81"/>
      <c r="T146" s="82"/>
      <c r="U146" s="82"/>
      <c r="V146" s="82"/>
      <c r="W146" s="82"/>
      <c r="X146" s="81"/>
      <c r="Y146" s="81"/>
      <c r="Z146" s="81"/>
      <c r="AA146" s="82"/>
      <c r="AB146" s="82"/>
      <c r="AC146" s="83"/>
      <c r="AD146" s="82"/>
      <c r="AE146" s="67"/>
    </row>
    <row r="147" spans="1:31" ht="12.75" customHeight="1">
      <c r="A147" s="78"/>
      <c r="B147" s="79"/>
      <c r="C147" s="79"/>
      <c r="D147" s="79"/>
      <c r="E147" s="79"/>
      <c r="F147" s="80"/>
      <c r="G147" s="81"/>
      <c r="H147" s="81"/>
      <c r="I147" s="81"/>
      <c r="J147" s="81"/>
      <c r="K147" s="81"/>
      <c r="L147" s="82"/>
      <c r="M147" s="82"/>
      <c r="N147" s="82"/>
      <c r="O147" s="82"/>
      <c r="P147" s="81"/>
      <c r="Q147" s="81"/>
      <c r="R147" s="81"/>
      <c r="S147" s="81"/>
      <c r="T147" s="82"/>
      <c r="U147" s="82"/>
      <c r="V147" s="82"/>
      <c r="W147" s="82"/>
      <c r="X147" s="81"/>
      <c r="Y147" s="81"/>
      <c r="Z147" s="81"/>
      <c r="AA147" s="82"/>
      <c r="AB147" s="82"/>
      <c r="AC147" s="83"/>
      <c r="AD147" s="82"/>
      <c r="AE147" s="67"/>
    </row>
    <row r="148" spans="1:31" ht="12.75" customHeight="1">
      <c r="A148" s="78"/>
      <c r="B148" s="79"/>
      <c r="C148" s="79"/>
      <c r="D148" s="79"/>
      <c r="E148" s="79"/>
      <c r="F148" s="80"/>
      <c r="G148" s="81"/>
      <c r="H148" s="81"/>
      <c r="I148" s="81"/>
      <c r="J148" s="81"/>
      <c r="K148" s="81"/>
      <c r="L148" s="82"/>
      <c r="M148" s="82"/>
      <c r="N148" s="82"/>
      <c r="O148" s="82"/>
      <c r="P148" s="81"/>
      <c r="Q148" s="81"/>
      <c r="R148" s="81"/>
      <c r="S148" s="81"/>
      <c r="T148" s="82"/>
      <c r="U148" s="82"/>
      <c r="V148" s="82"/>
      <c r="W148" s="82"/>
      <c r="X148" s="81"/>
      <c r="Y148" s="81"/>
      <c r="Z148" s="81"/>
      <c r="AA148" s="82"/>
      <c r="AB148" s="82"/>
      <c r="AC148" s="83"/>
      <c r="AD148" s="82"/>
      <c r="AE148" s="67"/>
    </row>
    <row r="149" spans="1:31" ht="12.75" customHeight="1">
      <c r="A149" s="78"/>
      <c r="B149" s="79"/>
      <c r="C149" s="79"/>
      <c r="D149" s="79"/>
      <c r="E149" s="79"/>
      <c r="F149" s="80"/>
      <c r="G149" s="81"/>
      <c r="H149" s="81"/>
      <c r="I149" s="81"/>
      <c r="J149" s="81"/>
      <c r="K149" s="81"/>
      <c r="L149" s="82"/>
      <c r="M149" s="82"/>
      <c r="N149" s="82"/>
      <c r="O149" s="82"/>
      <c r="P149" s="81"/>
      <c r="Q149" s="81"/>
      <c r="R149" s="81"/>
      <c r="S149" s="81"/>
      <c r="T149" s="82"/>
      <c r="U149" s="82"/>
      <c r="V149" s="82"/>
      <c r="W149" s="82"/>
      <c r="X149" s="81"/>
      <c r="Y149" s="81"/>
      <c r="Z149" s="81"/>
      <c r="AA149" s="82"/>
      <c r="AB149" s="82"/>
      <c r="AC149" s="83"/>
      <c r="AD149" s="82"/>
      <c r="AE149" s="67"/>
    </row>
    <row r="150" spans="1:31" ht="12.75" customHeight="1">
      <c r="A150" s="78"/>
      <c r="B150" s="79"/>
      <c r="C150" s="79"/>
      <c r="D150" s="79"/>
      <c r="E150" s="79"/>
      <c r="F150" s="80"/>
      <c r="G150" s="81"/>
      <c r="H150" s="81"/>
      <c r="I150" s="81"/>
      <c r="J150" s="81"/>
      <c r="K150" s="81"/>
      <c r="L150" s="82"/>
      <c r="M150" s="82"/>
      <c r="N150" s="82"/>
      <c r="O150" s="82"/>
      <c r="P150" s="81"/>
      <c r="Q150" s="81"/>
      <c r="R150" s="81"/>
      <c r="S150" s="81"/>
      <c r="T150" s="82"/>
      <c r="U150" s="82"/>
      <c r="V150" s="82"/>
      <c r="W150" s="82"/>
      <c r="X150" s="81"/>
      <c r="Y150" s="81"/>
      <c r="Z150" s="81"/>
      <c r="AA150" s="82"/>
      <c r="AB150" s="82"/>
      <c r="AC150" s="83"/>
      <c r="AD150" s="82"/>
      <c r="AE150" s="67"/>
    </row>
    <row r="151" spans="1:31" ht="12.75" customHeight="1">
      <c r="A151" s="78"/>
      <c r="B151" s="79"/>
      <c r="C151" s="79"/>
      <c r="D151" s="79"/>
      <c r="E151" s="79"/>
      <c r="F151" s="80"/>
      <c r="G151" s="81"/>
      <c r="H151" s="81"/>
      <c r="I151" s="81"/>
      <c r="J151" s="81"/>
      <c r="K151" s="81"/>
      <c r="L151" s="82"/>
      <c r="M151" s="82"/>
      <c r="N151" s="82"/>
      <c r="O151" s="82"/>
      <c r="P151" s="81"/>
      <c r="Q151" s="81"/>
      <c r="R151" s="81"/>
      <c r="S151" s="81"/>
      <c r="T151" s="82"/>
      <c r="U151" s="82"/>
      <c r="V151" s="82"/>
      <c r="W151" s="82"/>
      <c r="X151" s="81"/>
      <c r="Y151" s="81"/>
      <c r="Z151" s="81"/>
      <c r="AA151" s="82"/>
      <c r="AB151" s="82"/>
      <c r="AC151" s="83"/>
      <c r="AD151" s="82"/>
      <c r="AE151" s="67"/>
    </row>
    <row r="152" spans="1:31" ht="12.75" customHeight="1">
      <c r="A152" s="78"/>
      <c r="B152" s="79"/>
      <c r="C152" s="79"/>
      <c r="D152" s="79"/>
      <c r="E152" s="79"/>
      <c r="F152" s="80"/>
      <c r="G152" s="81"/>
      <c r="H152" s="81"/>
      <c r="I152" s="81"/>
      <c r="J152" s="81"/>
      <c r="K152" s="81"/>
      <c r="L152" s="82"/>
      <c r="M152" s="82"/>
      <c r="N152" s="82"/>
      <c r="O152" s="82"/>
      <c r="P152" s="81"/>
      <c r="Q152" s="81"/>
      <c r="R152" s="81"/>
      <c r="S152" s="81"/>
      <c r="T152" s="82"/>
      <c r="U152" s="82"/>
      <c r="V152" s="82"/>
      <c r="W152" s="82"/>
      <c r="X152" s="81"/>
      <c r="Y152" s="81"/>
      <c r="Z152" s="81"/>
      <c r="AA152" s="82"/>
      <c r="AB152" s="82"/>
      <c r="AC152" s="83"/>
      <c r="AD152" s="82"/>
      <c r="AE152" s="67"/>
    </row>
    <row r="153" spans="1:31" ht="12.75" customHeight="1">
      <c r="A153" s="78"/>
      <c r="B153" s="79"/>
      <c r="C153" s="79"/>
      <c r="D153" s="79"/>
      <c r="E153" s="79"/>
      <c r="F153" s="80"/>
      <c r="G153" s="81"/>
      <c r="H153" s="81"/>
      <c r="I153" s="81"/>
      <c r="J153" s="81"/>
      <c r="K153" s="81"/>
      <c r="L153" s="82"/>
      <c r="M153" s="82"/>
      <c r="N153" s="82"/>
      <c r="O153" s="82"/>
      <c r="P153" s="81"/>
      <c r="Q153" s="81"/>
      <c r="R153" s="81"/>
      <c r="S153" s="81"/>
      <c r="T153" s="82"/>
      <c r="U153" s="82"/>
      <c r="V153" s="82"/>
      <c r="W153" s="82"/>
      <c r="X153" s="81"/>
      <c r="Y153" s="81"/>
      <c r="Z153" s="81"/>
      <c r="AA153" s="82"/>
      <c r="AB153" s="82"/>
      <c r="AC153" s="83"/>
      <c r="AD153" s="82"/>
      <c r="AE153" s="67"/>
    </row>
    <row r="154" spans="1:31" ht="12.75" customHeight="1">
      <c r="A154" s="78"/>
      <c r="B154" s="79"/>
      <c r="C154" s="79"/>
      <c r="D154" s="79"/>
      <c r="E154" s="79"/>
      <c r="F154" s="80"/>
      <c r="G154" s="81"/>
      <c r="H154" s="81"/>
      <c r="I154" s="81"/>
      <c r="J154" s="81"/>
      <c r="K154" s="81"/>
      <c r="L154" s="82"/>
      <c r="M154" s="82"/>
      <c r="N154" s="82"/>
      <c r="O154" s="82"/>
      <c r="P154" s="81"/>
      <c r="Q154" s="81"/>
      <c r="R154" s="81"/>
      <c r="S154" s="81"/>
      <c r="T154" s="82"/>
      <c r="U154" s="82"/>
      <c r="V154" s="82"/>
      <c r="W154" s="82"/>
      <c r="X154" s="81"/>
      <c r="Y154" s="81"/>
      <c r="Z154" s="81"/>
      <c r="AA154" s="82"/>
      <c r="AB154" s="82"/>
      <c r="AC154" s="83"/>
      <c r="AD154" s="82"/>
      <c r="AE154" s="67"/>
    </row>
    <row r="155" spans="1:31" ht="12.75" customHeight="1">
      <c r="A155" s="78"/>
      <c r="B155" s="79"/>
      <c r="C155" s="79"/>
      <c r="D155" s="79"/>
      <c r="E155" s="79"/>
      <c r="F155" s="80"/>
      <c r="G155" s="81"/>
      <c r="H155" s="81"/>
      <c r="I155" s="81"/>
      <c r="J155" s="81"/>
      <c r="K155" s="81"/>
      <c r="L155" s="82"/>
      <c r="M155" s="82"/>
      <c r="N155" s="82"/>
      <c r="O155" s="82"/>
      <c r="P155" s="81"/>
      <c r="Q155" s="81"/>
      <c r="R155" s="81"/>
      <c r="S155" s="81"/>
      <c r="T155" s="82"/>
      <c r="U155" s="82"/>
      <c r="V155" s="82"/>
      <c r="W155" s="82"/>
      <c r="X155" s="81"/>
      <c r="Y155" s="81"/>
      <c r="Z155" s="81"/>
      <c r="AA155" s="82"/>
      <c r="AB155" s="82"/>
      <c r="AC155" s="83"/>
      <c r="AD155" s="82"/>
      <c r="AE155" s="67"/>
    </row>
    <row r="156" spans="1:31" ht="12.75" customHeight="1">
      <c r="A156" s="78"/>
      <c r="B156" s="79"/>
      <c r="C156" s="79"/>
      <c r="D156" s="79"/>
      <c r="E156" s="79"/>
      <c r="F156" s="80"/>
      <c r="G156" s="81"/>
      <c r="H156" s="81"/>
      <c r="I156" s="81"/>
      <c r="J156" s="81"/>
      <c r="K156" s="81"/>
      <c r="L156" s="82"/>
      <c r="M156" s="82"/>
      <c r="N156" s="82"/>
      <c r="O156" s="82"/>
      <c r="P156" s="81"/>
      <c r="Q156" s="81"/>
      <c r="R156" s="81"/>
      <c r="S156" s="81"/>
      <c r="T156" s="82"/>
      <c r="U156" s="82"/>
      <c r="V156" s="82"/>
      <c r="W156" s="82"/>
      <c r="X156" s="81"/>
      <c r="Y156" s="81"/>
      <c r="Z156" s="81"/>
      <c r="AA156" s="82"/>
      <c r="AB156" s="82"/>
      <c r="AC156" s="83"/>
      <c r="AD156" s="82"/>
      <c r="AE156" s="67"/>
    </row>
    <row r="157" spans="1:31" ht="12.75" customHeight="1">
      <c r="A157" s="78"/>
      <c r="B157" s="79"/>
      <c r="C157" s="79"/>
      <c r="D157" s="79"/>
      <c r="E157" s="79"/>
      <c r="F157" s="80"/>
      <c r="G157" s="81"/>
      <c r="H157" s="81"/>
      <c r="I157" s="81"/>
      <c r="J157" s="81"/>
      <c r="K157" s="81"/>
      <c r="L157" s="82"/>
      <c r="M157" s="82"/>
      <c r="N157" s="82"/>
      <c r="O157" s="82"/>
      <c r="P157" s="81"/>
      <c r="Q157" s="81"/>
      <c r="R157" s="81"/>
      <c r="S157" s="81"/>
      <c r="T157" s="82"/>
      <c r="U157" s="82"/>
      <c r="V157" s="82"/>
      <c r="W157" s="82"/>
      <c r="X157" s="81"/>
      <c r="Y157" s="81"/>
      <c r="Z157" s="81"/>
      <c r="AA157" s="82"/>
      <c r="AB157" s="82"/>
      <c r="AC157" s="83"/>
      <c r="AD157" s="82"/>
      <c r="AE157" s="67"/>
    </row>
    <row r="158" spans="1:31" ht="12.75" customHeight="1">
      <c r="A158" s="78"/>
      <c r="B158" s="79"/>
      <c r="C158" s="79"/>
      <c r="D158" s="79"/>
      <c r="E158" s="79"/>
      <c r="F158" s="80"/>
      <c r="G158" s="81"/>
      <c r="H158" s="81"/>
      <c r="I158" s="81"/>
      <c r="J158" s="81"/>
      <c r="K158" s="81"/>
      <c r="L158" s="82"/>
      <c r="M158" s="82"/>
      <c r="N158" s="82"/>
      <c r="O158" s="82"/>
      <c r="P158" s="81"/>
      <c r="Q158" s="81"/>
      <c r="R158" s="81"/>
      <c r="S158" s="81"/>
      <c r="T158" s="82"/>
      <c r="U158" s="82"/>
      <c r="V158" s="82"/>
      <c r="W158" s="82"/>
      <c r="X158" s="81"/>
      <c r="Y158" s="81"/>
      <c r="Z158" s="81"/>
      <c r="AA158" s="82"/>
      <c r="AB158" s="82"/>
      <c r="AC158" s="83"/>
      <c r="AD158" s="82"/>
      <c r="AE158" s="67"/>
    </row>
    <row r="159" spans="1:31" ht="12.75" customHeight="1">
      <c r="A159" s="78"/>
      <c r="B159" s="79"/>
      <c r="C159" s="79"/>
      <c r="D159" s="79"/>
      <c r="E159" s="79"/>
      <c r="F159" s="80"/>
      <c r="G159" s="81"/>
      <c r="H159" s="81"/>
      <c r="I159" s="81"/>
      <c r="J159" s="81"/>
      <c r="K159" s="81"/>
      <c r="L159" s="82"/>
      <c r="M159" s="82"/>
      <c r="N159" s="82"/>
      <c r="O159" s="82"/>
      <c r="P159" s="81"/>
      <c r="Q159" s="81"/>
      <c r="R159" s="81"/>
      <c r="S159" s="81"/>
      <c r="T159" s="82"/>
      <c r="U159" s="82"/>
      <c r="V159" s="82"/>
      <c r="W159" s="82"/>
      <c r="X159" s="81"/>
      <c r="Y159" s="81"/>
      <c r="Z159" s="81"/>
      <c r="AA159" s="82"/>
      <c r="AB159" s="82"/>
      <c r="AC159" s="83"/>
      <c r="AD159" s="82"/>
      <c r="AE159" s="67"/>
    </row>
    <row r="160" spans="1:31" ht="12.75" customHeight="1">
      <c r="A160" s="78"/>
      <c r="B160" s="79"/>
      <c r="C160" s="79"/>
      <c r="D160" s="79"/>
      <c r="E160" s="79"/>
      <c r="F160" s="80"/>
      <c r="G160" s="81"/>
      <c r="H160" s="81"/>
      <c r="I160" s="81"/>
      <c r="J160" s="81"/>
      <c r="K160" s="81"/>
      <c r="L160" s="82"/>
      <c r="M160" s="82"/>
      <c r="N160" s="82"/>
      <c r="O160" s="82"/>
      <c r="P160" s="81"/>
      <c r="Q160" s="81"/>
      <c r="R160" s="81"/>
      <c r="S160" s="81"/>
      <c r="T160" s="82"/>
      <c r="U160" s="82"/>
      <c r="V160" s="82"/>
      <c r="W160" s="82"/>
      <c r="X160" s="81"/>
      <c r="Y160" s="81"/>
      <c r="Z160" s="81"/>
      <c r="AA160" s="82"/>
      <c r="AB160" s="82"/>
      <c r="AC160" s="83"/>
      <c r="AD160" s="82"/>
      <c r="AE160" s="67"/>
    </row>
    <row r="161" spans="1:31" ht="12.75" customHeight="1">
      <c r="A161" s="78"/>
      <c r="B161" s="79"/>
      <c r="C161" s="79"/>
      <c r="D161" s="79"/>
      <c r="E161" s="79"/>
      <c r="F161" s="80"/>
      <c r="G161" s="81"/>
      <c r="H161" s="81"/>
      <c r="I161" s="81"/>
      <c r="J161" s="81"/>
      <c r="K161" s="81"/>
      <c r="L161" s="82"/>
      <c r="M161" s="82"/>
      <c r="N161" s="82"/>
      <c r="O161" s="82"/>
      <c r="P161" s="81"/>
      <c r="Q161" s="81"/>
      <c r="R161" s="81"/>
      <c r="S161" s="81"/>
      <c r="T161" s="82"/>
      <c r="U161" s="82"/>
      <c r="V161" s="82"/>
      <c r="W161" s="82"/>
      <c r="X161" s="81"/>
      <c r="Y161" s="81"/>
      <c r="Z161" s="81"/>
      <c r="AA161" s="82"/>
      <c r="AB161" s="82"/>
      <c r="AC161" s="83"/>
      <c r="AD161" s="82"/>
      <c r="AE161" s="67"/>
    </row>
    <row r="162" spans="1:31" ht="12.75" customHeight="1">
      <c r="A162" s="78"/>
      <c r="B162" s="79"/>
      <c r="C162" s="79"/>
      <c r="D162" s="79"/>
      <c r="E162" s="79"/>
      <c r="F162" s="80"/>
      <c r="G162" s="81"/>
      <c r="H162" s="81"/>
      <c r="I162" s="81"/>
      <c r="J162" s="81"/>
      <c r="K162" s="81"/>
      <c r="L162" s="82"/>
      <c r="M162" s="82"/>
      <c r="N162" s="82"/>
      <c r="O162" s="82"/>
      <c r="P162" s="81"/>
      <c r="Q162" s="81"/>
      <c r="R162" s="81"/>
      <c r="S162" s="81"/>
      <c r="T162" s="82"/>
      <c r="U162" s="82"/>
      <c r="V162" s="82"/>
      <c r="W162" s="82"/>
      <c r="X162" s="81"/>
      <c r="Y162" s="81"/>
      <c r="Z162" s="81"/>
      <c r="AA162" s="82"/>
      <c r="AB162" s="82"/>
      <c r="AC162" s="83"/>
      <c r="AD162" s="82"/>
      <c r="AE162" s="67"/>
    </row>
    <row r="163" spans="1:31" ht="12.75" customHeight="1">
      <c r="A163" s="78"/>
      <c r="B163" s="79"/>
      <c r="C163" s="79"/>
      <c r="D163" s="79"/>
      <c r="E163" s="79"/>
      <c r="F163" s="80"/>
      <c r="G163" s="81"/>
      <c r="H163" s="81"/>
      <c r="I163" s="81"/>
      <c r="J163" s="81"/>
      <c r="K163" s="81"/>
      <c r="L163" s="82"/>
      <c r="M163" s="82"/>
      <c r="N163" s="82"/>
      <c r="O163" s="82"/>
      <c r="P163" s="81"/>
      <c r="Q163" s="81"/>
      <c r="R163" s="81"/>
      <c r="S163" s="81"/>
      <c r="T163" s="82"/>
      <c r="U163" s="82"/>
      <c r="V163" s="82"/>
      <c r="W163" s="82"/>
      <c r="X163" s="81"/>
      <c r="Y163" s="81"/>
      <c r="Z163" s="81"/>
      <c r="AA163" s="82"/>
      <c r="AB163" s="82"/>
      <c r="AC163" s="83"/>
      <c r="AD163" s="82"/>
      <c r="AE163" s="67"/>
    </row>
    <row r="164" spans="1:31" ht="12.75" customHeight="1">
      <c r="A164" s="78"/>
      <c r="B164" s="79"/>
      <c r="C164" s="79"/>
      <c r="D164" s="79"/>
      <c r="E164" s="79"/>
      <c r="F164" s="80"/>
      <c r="G164" s="81"/>
      <c r="H164" s="81"/>
      <c r="I164" s="81"/>
      <c r="J164" s="81"/>
      <c r="K164" s="81"/>
      <c r="L164" s="82"/>
      <c r="M164" s="82"/>
      <c r="N164" s="82"/>
      <c r="O164" s="82"/>
      <c r="P164" s="81"/>
      <c r="Q164" s="81"/>
      <c r="R164" s="81"/>
      <c r="S164" s="81"/>
      <c r="T164" s="82"/>
      <c r="U164" s="82"/>
      <c r="V164" s="82"/>
      <c r="W164" s="82"/>
      <c r="X164" s="81"/>
      <c r="Y164" s="81"/>
      <c r="Z164" s="81"/>
      <c r="AA164" s="82"/>
      <c r="AB164" s="82"/>
      <c r="AC164" s="83"/>
      <c r="AD164" s="82"/>
      <c r="AE164" s="67"/>
    </row>
    <row r="165" spans="1:31" ht="12.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47"/>
      <c r="AD165" s="23"/>
      <c r="AE165" s="67"/>
    </row>
    <row r="166" spans="1:31" ht="12.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47"/>
      <c r="AD166" s="23"/>
      <c r="AE166" s="23"/>
    </row>
    <row r="167" spans="1:31" ht="12.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47"/>
      <c r="AD167" s="23"/>
      <c r="AE167" s="23"/>
    </row>
  </sheetData>
  <mergeCells count="68">
    <mergeCell ref="T139:W139"/>
    <mergeCell ref="X139:Z139"/>
    <mergeCell ref="AA139:AC139"/>
    <mergeCell ref="P135:R135"/>
    <mergeCell ref="C139:F139"/>
    <mergeCell ref="G139:J139"/>
    <mergeCell ref="L139:O139"/>
    <mergeCell ref="P139:S139"/>
    <mergeCell ref="C134:E134"/>
    <mergeCell ref="F134:H134"/>
    <mergeCell ref="I134:L134"/>
    <mergeCell ref="M134:O134"/>
    <mergeCell ref="P134:R134"/>
    <mergeCell ref="C133:E133"/>
    <mergeCell ref="F133:H133"/>
    <mergeCell ref="I133:L133"/>
    <mergeCell ref="M133:O133"/>
    <mergeCell ref="P133:R133"/>
    <mergeCell ref="C132:E132"/>
    <mergeCell ref="F132:H132"/>
    <mergeCell ref="I132:L132"/>
    <mergeCell ref="M132:O132"/>
    <mergeCell ref="P132:R132"/>
    <mergeCell ref="C131:E131"/>
    <mergeCell ref="F131:H131"/>
    <mergeCell ref="I131:L131"/>
    <mergeCell ref="M131:O131"/>
    <mergeCell ref="P131:R131"/>
    <mergeCell ref="C130:E130"/>
    <mergeCell ref="F130:H130"/>
    <mergeCell ref="I130:L130"/>
    <mergeCell ref="M130:O130"/>
    <mergeCell ref="P130:R130"/>
    <mergeCell ref="C129:E129"/>
    <mergeCell ref="F129:H129"/>
    <mergeCell ref="I129:L129"/>
    <mergeCell ref="M129:O129"/>
    <mergeCell ref="P129:R129"/>
    <mergeCell ref="C128:E128"/>
    <mergeCell ref="F128:H128"/>
    <mergeCell ref="I128:L128"/>
    <mergeCell ref="M128:O128"/>
    <mergeCell ref="P128:R128"/>
    <mergeCell ref="C127:E127"/>
    <mergeCell ref="F127:H127"/>
    <mergeCell ref="I127:L127"/>
    <mergeCell ref="M127:O127"/>
    <mergeCell ref="P127:R127"/>
    <mergeCell ref="C126:E126"/>
    <mergeCell ref="F126:H126"/>
    <mergeCell ref="I126:L126"/>
    <mergeCell ref="M126:O126"/>
    <mergeCell ref="P126:R126"/>
    <mergeCell ref="V124:X124"/>
    <mergeCell ref="C125:E125"/>
    <mergeCell ref="F125:H125"/>
    <mergeCell ref="I125:L125"/>
    <mergeCell ref="M125:O125"/>
    <mergeCell ref="P125:R125"/>
    <mergeCell ref="M1:N1"/>
    <mergeCell ref="O1:U1"/>
    <mergeCell ref="I122:L122"/>
    <mergeCell ref="M122:O122"/>
    <mergeCell ref="C124:E124"/>
    <mergeCell ref="F124:H124"/>
    <mergeCell ref="I124:L124"/>
    <mergeCell ref="M124:O124"/>
    <mergeCell ref="P124:R124"/>
  </mergeCells>
  <pageMargins left="0.7" right="0.7" top="0.75" bottom="0.75"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heetPr>
  <dimension ref="A1:AE167"/>
  <sheetViews>
    <sheetView zoomScaleNormal="100" workbookViewId="0"/>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ustomHeight="1">
      <c r="A1" s="12" t="s">
        <v>0</v>
      </c>
      <c r="B1" s="13" t="s">
        <v>1</v>
      </c>
      <c r="C1" s="13" t="s">
        <v>2</v>
      </c>
      <c r="D1" s="13" t="s">
        <v>3</v>
      </c>
      <c r="E1" s="13" t="s">
        <v>4</v>
      </c>
      <c r="F1" s="13" t="s">
        <v>5</v>
      </c>
      <c r="G1" s="13" t="s">
        <v>6</v>
      </c>
      <c r="H1" s="13" t="s">
        <v>7</v>
      </c>
      <c r="I1" s="13" t="s">
        <v>8</v>
      </c>
      <c r="J1" s="13" t="s">
        <v>9</v>
      </c>
      <c r="K1" s="13" t="s">
        <v>10</v>
      </c>
      <c r="L1" s="14"/>
      <c r="M1" s="11" t="s">
        <v>11</v>
      </c>
      <c r="N1" s="11"/>
      <c r="O1" s="10" t="s">
        <v>12</v>
      </c>
      <c r="P1" s="10"/>
      <c r="Q1" s="10"/>
      <c r="R1" s="10"/>
      <c r="S1" s="10"/>
      <c r="T1" s="10"/>
      <c r="U1" s="10"/>
      <c r="V1" s="14"/>
      <c r="W1" s="15">
        <v>46049</v>
      </c>
      <c r="X1" s="14"/>
      <c r="Y1" s="16">
        <f>SUMIFS(Y2:Y120,L2:L120,"&lt;&gt;"&amp;"")</f>
        <v>0</v>
      </c>
      <c r="Z1" s="14" t="s">
        <v>13</v>
      </c>
      <c r="AA1" s="17" t="s">
        <v>14</v>
      </c>
      <c r="AB1" s="18" t="s">
        <v>15</v>
      </c>
      <c r="AC1" s="19">
        <f>SUM(AC2:AC120)</f>
        <v>0</v>
      </c>
      <c r="AD1" s="14"/>
      <c r="AE1" s="14"/>
    </row>
    <row r="2" spans="1:31" ht="15.75" customHeight="1">
      <c r="A2" s="20">
        <f t="shared" ref="A2:A33" si="0">(B2*$P$125+C2*$P$126+D2*$P$127+E2*$P$128+F2*$P$129+G2*$P$130+H2*$P$131+I2*$P$132+J2*$P$133+K2*$P$134)*$T$123</f>
        <v>0</v>
      </c>
      <c r="B2" s="21"/>
      <c r="C2" s="22"/>
      <c r="D2" s="22"/>
      <c r="E2" s="22"/>
      <c r="F2" s="22"/>
      <c r="G2" s="22"/>
      <c r="H2" s="22"/>
      <c r="I2" s="22"/>
      <c r="J2" s="23"/>
      <c r="K2" s="23"/>
      <c r="L2" s="24" t="s">
        <v>16</v>
      </c>
      <c r="M2" s="25"/>
      <c r="N2" s="26"/>
      <c r="O2" s="26"/>
      <c r="P2" s="26"/>
      <c r="Q2" s="26"/>
      <c r="R2" s="26"/>
      <c r="S2" s="26"/>
      <c r="T2" s="26"/>
      <c r="U2" s="26"/>
      <c r="V2" s="26"/>
      <c r="W2" s="26"/>
      <c r="X2" s="26">
        <f>COUNTIF($L$2:L2,"&lt;&gt;"&amp;"")</f>
        <v>1</v>
      </c>
      <c r="Y2" s="27">
        <f t="shared" ref="Y2:Y33" si="1">SUMIF($X$2:$X$120,X2,$A$2:$A$120)</f>
        <v>0</v>
      </c>
      <c r="Z2" s="28"/>
      <c r="AA2" s="29"/>
      <c r="AB2" s="30" t="b">
        <f>TRUE()</f>
        <v>1</v>
      </c>
      <c r="AC2" s="31">
        <f t="shared" ref="AC2:AC33" si="2">IF(L2="",0,IF(AB2=FALSE(),0,Y2))</f>
        <v>0</v>
      </c>
      <c r="AD2" s="23"/>
      <c r="AE2" s="23"/>
    </row>
    <row r="3" spans="1:31" ht="15.75" customHeight="1">
      <c r="A3" s="20">
        <f t="shared" si="0"/>
        <v>0</v>
      </c>
      <c r="B3" s="22"/>
      <c r="C3" s="21"/>
      <c r="D3" s="21"/>
      <c r="E3" s="22"/>
      <c r="F3" s="22"/>
      <c r="G3" s="22"/>
      <c r="H3" s="22"/>
      <c r="I3" s="22"/>
      <c r="J3" s="23"/>
      <c r="K3" s="23"/>
      <c r="L3" s="24" t="s">
        <v>17</v>
      </c>
      <c r="M3" s="26"/>
      <c r="N3" s="26"/>
      <c r="O3" s="26"/>
      <c r="P3" s="26"/>
      <c r="Q3" s="26"/>
      <c r="R3" s="26"/>
      <c r="S3" s="26"/>
      <c r="T3" s="26"/>
      <c r="U3" s="26"/>
      <c r="V3" s="26"/>
      <c r="W3" s="26"/>
      <c r="X3" s="26">
        <f>COUNTIF($L$2:L3,"&lt;&gt;"&amp;"")</f>
        <v>2</v>
      </c>
      <c r="Y3" s="27">
        <f t="shared" si="1"/>
        <v>0</v>
      </c>
      <c r="Z3" s="28"/>
      <c r="AA3" s="29"/>
      <c r="AB3" s="30" t="b">
        <f>TRUE()</f>
        <v>1</v>
      </c>
      <c r="AC3" s="31">
        <f t="shared" si="2"/>
        <v>0</v>
      </c>
      <c r="AD3" s="23"/>
      <c r="AE3" s="23"/>
    </row>
    <row r="4" spans="1:31" ht="15.75" customHeight="1">
      <c r="A4" s="20">
        <f t="shared" si="0"/>
        <v>0</v>
      </c>
      <c r="B4" s="22"/>
      <c r="C4" s="22"/>
      <c r="D4" s="22"/>
      <c r="E4" s="22"/>
      <c r="F4" s="22"/>
      <c r="G4" s="22"/>
      <c r="H4" s="21"/>
      <c r="I4" s="22"/>
      <c r="J4" s="23"/>
      <c r="K4" s="23"/>
      <c r="L4" s="24" t="s">
        <v>18</v>
      </c>
      <c r="M4" s="26"/>
      <c r="N4" s="26"/>
      <c r="O4" s="26"/>
      <c r="P4" s="26"/>
      <c r="Q4" s="26"/>
      <c r="R4" s="26"/>
      <c r="S4" s="26"/>
      <c r="T4" s="26"/>
      <c r="U4" s="26"/>
      <c r="V4" s="26"/>
      <c r="W4" s="26"/>
      <c r="X4" s="26">
        <f>COUNTIF($L$2:L4,"&lt;&gt;"&amp;"")</f>
        <v>3</v>
      </c>
      <c r="Y4" s="27">
        <f t="shared" si="1"/>
        <v>0</v>
      </c>
      <c r="Z4" s="28"/>
      <c r="AA4" s="32"/>
      <c r="AB4" s="30" t="b">
        <f>TRUE()</f>
        <v>1</v>
      </c>
      <c r="AC4" s="31">
        <f t="shared" si="2"/>
        <v>0</v>
      </c>
      <c r="AD4" s="23"/>
      <c r="AE4" s="23"/>
    </row>
    <row r="5" spans="1:31" ht="15.75" customHeight="1">
      <c r="A5" s="20">
        <f t="shared" si="0"/>
        <v>0</v>
      </c>
      <c r="B5" s="23"/>
      <c r="C5" s="23"/>
      <c r="D5" s="23"/>
      <c r="E5" s="23"/>
      <c r="F5" s="23"/>
      <c r="G5" s="23"/>
      <c r="H5" s="23"/>
      <c r="I5" s="23"/>
      <c r="J5" s="23"/>
      <c r="K5" s="23"/>
      <c r="L5" s="24" t="s">
        <v>19</v>
      </c>
      <c r="M5" s="26"/>
      <c r="N5" s="26"/>
      <c r="O5" s="26"/>
      <c r="P5" s="26"/>
      <c r="Q5" s="26"/>
      <c r="R5" s="26"/>
      <c r="S5" s="26"/>
      <c r="T5" s="26"/>
      <c r="U5" s="26"/>
      <c r="V5" s="26"/>
      <c r="W5" s="26"/>
      <c r="X5" s="26">
        <f>COUNTIF($L$2:L5,"&lt;&gt;"&amp;"")</f>
        <v>4</v>
      </c>
      <c r="Y5" s="27">
        <f t="shared" si="1"/>
        <v>0</v>
      </c>
      <c r="Z5" s="28"/>
      <c r="AA5" s="32"/>
      <c r="AB5" s="30" t="b">
        <f>TRUE()</f>
        <v>1</v>
      </c>
      <c r="AC5" s="31">
        <f t="shared" si="2"/>
        <v>0</v>
      </c>
      <c r="AD5" s="23"/>
      <c r="AE5" s="23"/>
    </row>
    <row r="6" spans="1:31" ht="15" customHeight="1">
      <c r="A6" s="20">
        <f t="shared" si="0"/>
        <v>0</v>
      </c>
      <c r="B6" s="23"/>
      <c r="C6" s="23"/>
      <c r="D6" s="23"/>
      <c r="E6" s="23"/>
      <c r="F6" s="23"/>
      <c r="G6" s="23"/>
      <c r="H6" s="23"/>
      <c r="I6" s="23"/>
      <c r="J6" s="23"/>
      <c r="K6" s="23"/>
      <c r="L6" s="33"/>
      <c r="M6" s="26"/>
      <c r="N6" s="26"/>
      <c r="O6" s="26"/>
      <c r="P6" s="26"/>
      <c r="Q6" s="26"/>
      <c r="R6" s="26"/>
      <c r="S6" s="26"/>
      <c r="T6" s="26"/>
      <c r="U6" s="26"/>
      <c r="V6" s="26"/>
      <c r="W6" s="26"/>
      <c r="X6" s="26">
        <f>COUNTIF($L$2:L6,"&lt;&gt;"&amp;"")</f>
        <v>4</v>
      </c>
      <c r="Y6" s="27">
        <f t="shared" si="1"/>
        <v>0</v>
      </c>
      <c r="Z6" s="28"/>
      <c r="AA6" s="29"/>
      <c r="AB6" s="30" t="b">
        <f>TRUE()</f>
        <v>1</v>
      </c>
      <c r="AC6" s="31">
        <f t="shared" si="2"/>
        <v>0</v>
      </c>
      <c r="AD6" s="23"/>
      <c r="AE6" s="23"/>
    </row>
    <row r="7" spans="1:31" ht="15" customHeight="1">
      <c r="A7" s="20">
        <f t="shared" si="0"/>
        <v>0</v>
      </c>
      <c r="B7" s="23"/>
      <c r="C7" s="23"/>
      <c r="D7" s="23"/>
      <c r="E7" s="23"/>
      <c r="F7" s="23"/>
      <c r="G7" s="23"/>
      <c r="H7" s="23"/>
      <c r="I7" s="23"/>
      <c r="J7" s="23"/>
      <c r="K7" s="23"/>
      <c r="L7" s="33"/>
      <c r="M7" s="26"/>
      <c r="N7" s="26"/>
      <c r="O7" s="26"/>
      <c r="P7" s="26"/>
      <c r="Q7" s="26"/>
      <c r="R7" s="26"/>
      <c r="S7" s="26"/>
      <c r="T7" s="26"/>
      <c r="U7" s="26"/>
      <c r="V7" s="26"/>
      <c r="W7" s="26"/>
      <c r="X7" s="26">
        <f>COUNTIF($L$2:L7,"&lt;&gt;"&amp;"")</f>
        <v>4</v>
      </c>
      <c r="Y7" s="27">
        <f t="shared" si="1"/>
        <v>0</v>
      </c>
      <c r="Z7" s="28"/>
      <c r="AA7" s="32"/>
      <c r="AB7" s="30" t="b">
        <f>TRUE()</f>
        <v>1</v>
      </c>
      <c r="AC7" s="31">
        <f t="shared" si="2"/>
        <v>0</v>
      </c>
      <c r="AD7" s="23"/>
      <c r="AE7" s="23"/>
    </row>
    <row r="8" spans="1:31" ht="15.75" customHeight="1">
      <c r="A8" s="20">
        <f t="shared" si="0"/>
        <v>0</v>
      </c>
      <c r="B8" s="23"/>
      <c r="C8" s="23"/>
      <c r="D8" s="23"/>
      <c r="E8" s="23"/>
      <c r="F8" s="23"/>
      <c r="G8" s="23"/>
      <c r="H8" s="23"/>
      <c r="I8" s="23"/>
      <c r="J8" s="23"/>
      <c r="K8" s="23"/>
      <c r="L8" s="34" t="s">
        <v>112</v>
      </c>
      <c r="M8" s="26"/>
      <c r="N8" s="26"/>
      <c r="O8" s="26"/>
      <c r="P8" s="26"/>
      <c r="Q8" s="26"/>
      <c r="R8" s="26"/>
      <c r="S8" s="26"/>
      <c r="T8" s="26"/>
      <c r="U8" s="26"/>
      <c r="V8" s="26"/>
      <c r="W8" s="26"/>
      <c r="X8" s="26">
        <f>COUNTIF($L$2:L8,"&lt;&gt;"&amp;"")</f>
        <v>5</v>
      </c>
      <c r="Y8" s="27">
        <f t="shared" si="1"/>
        <v>0</v>
      </c>
      <c r="Z8" s="28"/>
      <c r="AA8" s="29"/>
      <c r="AB8" s="30" t="b">
        <f>TRUE()</f>
        <v>1</v>
      </c>
      <c r="AC8" s="31">
        <f t="shared" si="2"/>
        <v>0</v>
      </c>
      <c r="AD8" s="35"/>
      <c r="AE8" s="35"/>
    </row>
    <row r="9" spans="1:31" ht="12.75" customHeight="1">
      <c r="A9" s="20">
        <f t="shared" si="0"/>
        <v>0</v>
      </c>
      <c r="B9" s="23"/>
      <c r="C9" s="23"/>
      <c r="D9" s="23"/>
      <c r="E9" s="23"/>
      <c r="F9" s="23"/>
      <c r="G9" s="23"/>
      <c r="H9" s="23"/>
      <c r="I9" s="23"/>
      <c r="J9" s="23"/>
      <c r="K9" s="23"/>
      <c r="L9" s="26"/>
      <c r="M9" s="36" t="s">
        <v>113</v>
      </c>
      <c r="N9" s="26"/>
      <c r="O9" s="26"/>
      <c r="P9" s="26"/>
      <c r="Q9" s="26"/>
      <c r="R9" s="26"/>
      <c r="S9" s="26"/>
      <c r="T9" s="26"/>
      <c r="U9" s="26"/>
      <c r="V9" s="26"/>
      <c r="W9" s="26"/>
      <c r="X9" s="26">
        <f>COUNTIF($L$2:L9,"&lt;&gt;"&amp;"")</f>
        <v>5</v>
      </c>
      <c r="Y9" s="27">
        <f t="shared" si="1"/>
        <v>0</v>
      </c>
      <c r="Z9" s="28"/>
      <c r="AA9" s="29"/>
      <c r="AB9" s="30" t="b">
        <f>TRUE()</f>
        <v>1</v>
      </c>
      <c r="AC9" s="31">
        <f t="shared" si="2"/>
        <v>0</v>
      </c>
      <c r="AD9" s="35"/>
      <c r="AE9" s="35"/>
    </row>
    <row r="10" spans="1:31" ht="12.75" customHeight="1">
      <c r="A10" s="20">
        <f t="shared" si="0"/>
        <v>0</v>
      </c>
      <c r="B10" s="23"/>
      <c r="C10" s="23"/>
      <c r="D10" s="23"/>
      <c r="E10" s="23"/>
      <c r="F10" s="23"/>
      <c r="G10" s="23"/>
      <c r="H10" s="23"/>
      <c r="I10" s="23"/>
      <c r="J10" s="23"/>
      <c r="K10" s="23"/>
      <c r="L10" s="26"/>
      <c r="M10" s="26"/>
      <c r="N10" s="37" t="s">
        <v>114</v>
      </c>
      <c r="O10" s="26"/>
      <c r="P10" s="26"/>
      <c r="Q10" s="26"/>
      <c r="R10" s="26"/>
      <c r="S10" s="26"/>
      <c r="T10" s="26"/>
      <c r="U10" s="26"/>
      <c r="V10" s="26"/>
      <c r="W10" s="26"/>
      <c r="X10" s="26">
        <f>COUNTIF($L$2:L10,"&lt;&gt;"&amp;"")</f>
        <v>5</v>
      </c>
      <c r="Y10" s="27">
        <f t="shared" si="1"/>
        <v>0</v>
      </c>
      <c r="Z10" s="28"/>
      <c r="AA10" s="29"/>
      <c r="AB10" s="30" t="b">
        <f>TRUE()</f>
        <v>1</v>
      </c>
      <c r="AC10" s="31">
        <f t="shared" si="2"/>
        <v>0</v>
      </c>
      <c r="AD10" s="35"/>
      <c r="AE10" s="35"/>
    </row>
    <row r="11" spans="1:31" ht="12.75" customHeight="1">
      <c r="A11" s="20">
        <f t="shared" si="0"/>
        <v>0</v>
      </c>
      <c r="B11" s="23"/>
      <c r="C11" s="23"/>
      <c r="D11" s="23"/>
      <c r="E11" s="23"/>
      <c r="F11" s="23"/>
      <c r="G11" s="23"/>
      <c r="H11" s="23"/>
      <c r="I11" s="23"/>
      <c r="J11" s="23"/>
      <c r="K11" s="23"/>
      <c r="L11" s="26"/>
      <c r="M11" s="36" t="s">
        <v>115</v>
      </c>
      <c r="N11" s="38"/>
      <c r="O11" s="26"/>
      <c r="P11" s="26"/>
      <c r="Q11" s="26"/>
      <c r="R11" s="26"/>
      <c r="S11" s="26"/>
      <c r="T11" s="26"/>
      <c r="U11" s="26"/>
      <c r="V11" s="26"/>
      <c r="W11" s="26"/>
      <c r="X11" s="26">
        <f>COUNTIF($L$2:L11,"&lt;&gt;"&amp;"")</f>
        <v>5</v>
      </c>
      <c r="Y11" s="27">
        <f t="shared" si="1"/>
        <v>0</v>
      </c>
      <c r="Z11" s="28"/>
      <c r="AA11" s="29"/>
      <c r="AB11" s="30" t="b">
        <f>TRUE()</f>
        <v>1</v>
      </c>
      <c r="AC11" s="31">
        <f t="shared" si="2"/>
        <v>0</v>
      </c>
      <c r="AD11" s="35"/>
      <c r="AE11" s="35"/>
    </row>
    <row r="12" spans="1:31" ht="12.75" customHeight="1">
      <c r="A12" s="20">
        <f t="shared" si="0"/>
        <v>0</v>
      </c>
      <c r="B12" s="23"/>
      <c r="C12" s="23"/>
      <c r="D12" s="23"/>
      <c r="E12" s="23"/>
      <c r="F12" s="23"/>
      <c r="G12" s="23"/>
      <c r="H12" s="23"/>
      <c r="I12" s="23"/>
      <c r="J12" s="23"/>
      <c r="K12" s="23"/>
      <c r="L12" s="26"/>
      <c r="M12" s="39"/>
      <c r="N12" s="37" t="s">
        <v>116</v>
      </c>
      <c r="O12" s="26"/>
      <c r="P12" s="26"/>
      <c r="Q12" s="26"/>
      <c r="R12" s="26"/>
      <c r="S12" s="26"/>
      <c r="T12" s="26"/>
      <c r="U12" s="26"/>
      <c r="V12" s="26"/>
      <c r="W12" s="26"/>
      <c r="X12" s="26">
        <f>COUNTIF($L$2:L12,"&lt;&gt;"&amp;"")</f>
        <v>5</v>
      </c>
      <c r="Y12" s="27">
        <f t="shared" si="1"/>
        <v>0</v>
      </c>
      <c r="Z12" s="28"/>
      <c r="AA12" s="29"/>
      <c r="AB12" s="30" t="b">
        <f>TRUE()</f>
        <v>1</v>
      </c>
      <c r="AC12" s="31">
        <f t="shared" si="2"/>
        <v>0</v>
      </c>
      <c r="AD12" s="35"/>
      <c r="AE12" s="35"/>
    </row>
    <row r="13" spans="1:31" ht="12.75" customHeight="1">
      <c r="A13" s="20">
        <f t="shared" si="0"/>
        <v>0</v>
      </c>
      <c r="B13" s="23"/>
      <c r="C13" s="23"/>
      <c r="D13" s="23"/>
      <c r="E13" s="23"/>
      <c r="F13" s="23"/>
      <c r="G13" s="23"/>
      <c r="H13" s="23"/>
      <c r="I13" s="23"/>
      <c r="J13" s="23"/>
      <c r="K13" s="23"/>
      <c r="L13" s="26"/>
      <c r="M13" s="26"/>
      <c r="N13" s="38"/>
      <c r="O13" s="26"/>
      <c r="P13" s="26"/>
      <c r="Q13" s="26"/>
      <c r="R13" s="26"/>
      <c r="S13" s="26"/>
      <c r="T13" s="26"/>
      <c r="U13" s="26"/>
      <c r="V13" s="26"/>
      <c r="W13" s="26"/>
      <c r="X13" s="26">
        <f>COUNTIF($L$2:L13,"&lt;&gt;"&amp;"")</f>
        <v>5</v>
      </c>
      <c r="Y13" s="27">
        <f t="shared" si="1"/>
        <v>0</v>
      </c>
      <c r="Z13" s="28"/>
      <c r="AA13" s="29"/>
      <c r="AB13" s="30" t="b">
        <f>TRUE()</f>
        <v>1</v>
      </c>
      <c r="AC13" s="31">
        <f t="shared" si="2"/>
        <v>0</v>
      </c>
      <c r="AD13" s="35"/>
      <c r="AE13" s="35"/>
    </row>
    <row r="14" spans="1:31" ht="15" customHeight="1">
      <c r="A14" s="20">
        <f t="shared" si="0"/>
        <v>0</v>
      </c>
      <c r="B14" s="23"/>
      <c r="C14" s="23"/>
      <c r="D14" s="23"/>
      <c r="E14" s="23"/>
      <c r="F14" s="23"/>
      <c r="G14" s="23"/>
      <c r="H14" s="23"/>
      <c r="I14" s="23"/>
      <c r="J14" s="23"/>
      <c r="K14" s="23"/>
      <c r="L14" s="33"/>
      <c r="M14" s="26"/>
      <c r="N14" s="38"/>
      <c r="O14" s="26"/>
      <c r="P14" s="26"/>
      <c r="Q14" s="26"/>
      <c r="R14" s="26"/>
      <c r="S14" s="26"/>
      <c r="T14" s="26"/>
      <c r="U14" s="26"/>
      <c r="V14" s="26"/>
      <c r="W14" s="26"/>
      <c r="X14" s="26">
        <f>COUNTIF($L$2:L14,"&lt;&gt;"&amp;"")</f>
        <v>5</v>
      </c>
      <c r="Y14" s="27">
        <f t="shared" si="1"/>
        <v>0</v>
      </c>
      <c r="Z14" s="28"/>
      <c r="AA14" s="29"/>
      <c r="AB14" s="30" t="b">
        <f>TRUE()</f>
        <v>1</v>
      </c>
      <c r="AC14" s="31">
        <f t="shared" si="2"/>
        <v>0</v>
      </c>
      <c r="AD14" s="35"/>
      <c r="AE14" s="35"/>
    </row>
    <row r="15" spans="1:31" ht="12.75" customHeight="1">
      <c r="A15" s="20">
        <f t="shared" si="0"/>
        <v>0</v>
      </c>
      <c r="B15" s="23"/>
      <c r="C15" s="23"/>
      <c r="D15" s="23"/>
      <c r="E15" s="23"/>
      <c r="F15" s="23"/>
      <c r="G15" s="23"/>
      <c r="H15" s="23"/>
      <c r="I15" s="23"/>
      <c r="J15" s="23"/>
      <c r="K15" s="23"/>
      <c r="L15" s="26"/>
      <c r="M15" s="26"/>
      <c r="N15" s="26"/>
      <c r="O15" s="26"/>
      <c r="P15" s="26"/>
      <c r="Q15" s="26"/>
      <c r="R15" s="26"/>
      <c r="S15" s="26"/>
      <c r="T15" s="26"/>
      <c r="U15" s="26"/>
      <c r="V15" s="26"/>
      <c r="W15" s="26"/>
      <c r="X15" s="26">
        <f>COUNTIF($L$2:L15,"&lt;&gt;"&amp;"")</f>
        <v>5</v>
      </c>
      <c r="Y15" s="27">
        <f t="shared" si="1"/>
        <v>0</v>
      </c>
      <c r="Z15" s="28"/>
      <c r="AA15" s="29"/>
      <c r="AB15" s="30" t="b">
        <f>TRUE()</f>
        <v>1</v>
      </c>
      <c r="AC15" s="31">
        <f t="shared" si="2"/>
        <v>0</v>
      </c>
      <c r="AD15" s="35"/>
      <c r="AE15" s="35"/>
    </row>
    <row r="16" spans="1:31" ht="12.75" customHeight="1">
      <c r="A16" s="20">
        <f t="shared" si="0"/>
        <v>0</v>
      </c>
      <c r="B16" s="23"/>
      <c r="C16" s="23"/>
      <c r="D16" s="23"/>
      <c r="E16" s="23"/>
      <c r="F16" s="23"/>
      <c r="G16" s="23"/>
      <c r="H16" s="23"/>
      <c r="I16" s="23"/>
      <c r="J16" s="23"/>
      <c r="K16" s="23"/>
      <c r="L16" s="26"/>
      <c r="M16" s="26"/>
      <c r="N16" s="26"/>
      <c r="O16" s="26"/>
      <c r="P16" s="26"/>
      <c r="Q16" s="26"/>
      <c r="R16" s="26"/>
      <c r="S16" s="26"/>
      <c r="T16" s="26"/>
      <c r="U16" s="26"/>
      <c r="V16" s="26"/>
      <c r="W16" s="26"/>
      <c r="X16" s="26">
        <f>COUNTIF($L$2:L16,"&lt;&gt;"&amp;"")</f>
        <v>5</v>
      </c>
      <c r="Y16" s="27">
        <f t="shared" si="1"/>
        <v>0</v>
      </c>
      <c r="Z16" s="28"/>
      <c r="AA16" s="29"/>
      <c r="AB16" s="30" t="b">
        <f>TRUE()</f>
        <v>1</v>
      </c>
      <c r="AC16" s="31">
        <f t="shared" si="2"/>
        <v>0</v>
      </c>
      <c r="AD16" s="35"/>
      <c r="AE16" s="35"/>
    </row>
    <row r="17" spans="1:31" ht="12.75" customHeight="1">
      <c r="A17" s="20">
        <f t="shared" si="0"/>
        <v>0</v>
      </c>
      <c r="B17" s="23"/>
      <c r="C17" s="23"/>
      <c r="D17" s="23"/>
      <c r="E17" s="23"/>
      <c r="F17" s="23"/>
      <c r="G17" s="23"/>
      <c r="H17" s="23"/>
      <c r="I17" s="23"/>
      <c r="J17" s="23"/>
      <c r="K17" s="23"/>
      <c r="L17" s="26"/>
      <c r="M17" s="26"/>
      <c r="N17" s="26"/>
      <c r="O17" s="26"/>
      <c r="P17" s="26"/>
      <c r="Q17" s="26"/>
      <c r="R17" s="26"/>
      <c r="S17" s="26"/>
      <c r="T17" s="26"/>
      <c r="U17" s="26"/>
      <c r="V17" s="26"/>
      <c r="W17" s="26"/>
      <c r="X17" s="26">
        <f>COUNTIF($L$2:L17,"&lt;&gt;"&amp;"")</f>
        <v>5</v>
      </c>
      <c r="Y17" s="27">
        <f t="shared" si="1"/>
        <v>0</v>
      </c>
      <c r="Z17" s="28"/>
      <c r="AA17" s="29"/>
      <c r="AB17" s="30" t="b">
        <f>TRUE()</f>
        <v>1</v>
      </c>
      <c r="AC17" s="31">
        <f t="shared" si="2"/>
        <v>0</v>
      </c>
      <c r="AD17" s="35"/>
      <c r="AE17" s="35"/>
    </row>
    <row r="18" spans="1:31" ht="12.75" customHeight="1">
      <c r="A18" s="20">
        <f t="shared" si="0"/>
        <v>0</v>
      </c>
      <c r="B18" s="23"/>
      <c r="C18" s="23"/>
      <c r="D18" s="23"/>
      <c r="E18" s="23"/>
      <c r="F18" s="23"/>
      <c r="G18" s="23"/>
      <c r="H18" s="23"/>
      <c r="I18" s="23"/>
      <c r="J18" s="23"/>
      <c r="K18" s="23"/>
      <c r="L18" s="26"/>
      <c r="M18" s="26"/>
      <c r="N18" s="26"/>
      <c r="O18" s="26"/>
      <c r="P18" s="26"/>
      <c r="Q18" s="26"/>
      <c r="R18" s="26"/>
      <c r="S18" s="26"/>
      <c r="T18" s="26"/>
      <c r="U18" s="26"/>
      <c r="V18" s="26"/>
      <c r="W18" s="26"/>
      <c r="X18" s="26">
        <f>COUNTIF($L$2:L18,"&lt;&gt;"&amp;"")</f>
        <v>5</v>
      </c>
      <c r="Y18" s="27">
        <f t="shared" si="1"/>
        <v>0</v>
      </c>
      <c r="Z18" s="28"/>
      <c r="AA18" s="29"/>
      <c r="AB18" s="30" t="b">
        <f>TRUE()</f>
        <v>1</v>
      </c>
      <c r="AC18" s="31">
        <f t="shared" si="2"/>
        <v>0</v>
      </c>
      <c r="AD18" s="35"/>
      <c r="AE18" s="35"/>
    </row>
    <row r="19" spans="1:31" ht="15" customHeight="1">
      <c r="A19" s="20">
        <f t="shared" si="0"/>
        <v>0</v>
      </c>
      <c r="B19" s="23"/>
      <c r="C19" s="23"/>
      <c r="D19" s="23"/>
      <c r="E19" s="23"/>
      <c r="F19" s="23"/>
      <c r="G19" s="23"/>
      <c r="H19" s="23"/>
      <c r="I19" s="23"/>
      <c r="J19" s="23"/>
      <c r="K19" s="23"/>
      <c r="L19" s="33"/>
      <c r="M19" s="26"/>
      <c r="N19" s="26"/>
      <c r="O19" s="26"/>
      <c r="P19" s="26"/>
      <c r="Q19" s="26"/>
      <c r="R19" s="26"/>
      <c r="S19" s="26"/>
      <c r="T19" s="26"/>
      <c r="U19" s="26"/>
      <c r="V19" s="26"/>
      <c r="W19" s="26"/>
      <c r="X19" s="26">
        <f>COUNTIF($L$2:L19,"&lt;&gt;"&amp;"")</f>
        <v>5</v>
      </c>
      <c r="Y19" s="27">
        <f t="shared" si="1"/>
        <v>0</v>
      </c>
      <c r="Z19" s="28"/>
      <c r="AA19" s="29"/>
      <c r="AB19" s="30" t="b">
        <f>TRUE()</f>
        <v>1</v>
      </c>
      <c r="AC19" s="31">
        <f t="shared" si="2"/>
        <v>0</v>
      </c>
      <c r="AD19" s="35"/>
      <c r="AE19" s="35"/>
    </row>
    <row r="20" spans="1:31" ht="12.75" customHeight="1">
      <c r="A20" s="20">
        <f t="shared" si="0"/>
        <v>0</v>
      </c>
      <c r="B20" s="23"/>
      <c r="C20" s="23"/>
      <c r="D20" s="23"/>
      <c r="E20" s="23"/>
      <c r="F20" s="23"/>
      <c r="G20" s="23"/>
      <c r="H20" s="23"/>
      <c r="I20" s="23"/>
      <c r="J20" s="23"/>
      <c r="K20" s="23"/>
      <c r="L20" s="26"/>
      <c r="M20" s="26"/>
      <c r="N20" s="26"/>
      <c r="O20" s="26"/>
      <c r="P20" s="26"/>
      <c r="Q20" s="26"/>
      <c r="R20" s="26"/>
      <c r="S20" s="26"/>
      <c r="T20" s="26"/>
      <c r="U20" s="26"/>
      <c r="V20" s="26"/>
      <c r="W20" s="26"/>
      <c r="X20" s="26">
        <f>COUNTIF($L$2:L20,"&lt;&gt;"&amp;"")</f>
        <v>5</v>
      </c>
      <c r="Y20" s="27">
        <f t="shared" si="1"/>
        <v>0</v>
      </c>
      <c r="Z20" s="28"/>
      <c r="AA20" s="29"/>
      <c r="AB20" s="30" t="b">
        <f>TRUE()</f>
        <v>1</v>
      </c>
      <c r="AC20" s="31">
        <f t="shared" si="2"/>
        <v>0</v>
      </c>
      <c r="AD20" s="35"/>
      <c r="AE20" s="35"/>
    </row>
    <row r="21" spans="1:31" ht="12.75" customHeight="1">
      <c r="A21" s="20">
        <f t="shared" si="0"/>
        <v>0</v>
      </c>
      <c r="B21" s="23"/>
      <c r="C21" s="23"/>
      <c r="D21" s="23"/>
      <c r="E21" s="23"/>
      <c r="F21" s="23"/>
      <c r="G21" s="23"/>
      <c r="H21" s="23"/>
      <c r="I21" s="23"/>
      <c r="J21" s="23"/>
      <c r="K21" s="23"/>
      <c r="L21" s="26"/>
      <c r="M21" s="26"/>
      <c r="N21" s="26"/>
      <c r="O21" s="26"/>
      <c r="P21" s="26"/>
      <c r="Q21" s="26"/>
      <c r="R21" s="26"/>
      <c r="S21" s="26"/>
      <c r="T21" s="26"/>
      <c r="U21" s="26"/>
      <c r="V21" s="26"/>
      <c r="W21" s="26"/>
      <c r="X21" s="26">
        <f>COUNTIF($L$2:L21,"&lt;&gt;"&amp;"")</f>
        <v>5</v>
      </c>
      <c r="Y21" s="27">
        <f t="shared" si="1"/>
        <v>0</v>
      </c>
      <c r="Z21" s="28"/>
      <c r="AA21" s="29"/>
      <c r="AB21" s="30" t="b">
        <f>TRUE()</f>
        <v>1</v>
      </c>
      <c r="AC21" s="31">
        <f t="shared" si="2"/>
        <v>0</v>
      </c>
      <c r="AD21" s="35"/>
      <c r="AE21" s="35"/>
    </row>
    <row r="22" spans="1:31" ht="12.75" customHeight="1">
      <c r="A22" s="20">
        <f t="shared" si="0"/>
        <v>0</v>
      </c>
      <c r="B22" s="23"/>
      <c r="C22" s="23"/>
      <c r="D22" s="23"/>
      <c r="E22" s="23"/>
      <c r="F22" s="23"/>
      <c r="G22" s="23"/>
      <c r="H22" s="23"/>
      <c r="I22" s="23"/>
      <c r="J22" s="23"/>
      <c r="K22" s="23"/>
      <c r="L22" s="26"/>
      <c r="M22" s="26"/>
      <c r="N22" s="26"/>
      <c r="O22" s="26"/>
      <c r="P22" s="26"/>
      <c r="Q22" s="26"/>
      <c r="R22" s="26"/>
      <c r="S22" s="26"/>
      <c r="T22" s="26"/>
      <c r="U22" s="26"/>
      <c r="V22" s="26"/>
      <c r="W22" s="26"/>
      <c r="X22" s="26">
        <f>COUNTIF($L$2:L22,"&lt;&gt;"&amp;"")</f>
        <v>5</v>
      </c>
      <c r="Y22" s="27">
        <f t="shared" si="1"/>
        <v>0</v>
      </c>
      <c r="Z22" s="28"/>
      <c r="AA22" s="29"/>
      <c r="AB22" s="30" t="b">
        <f>TRUE()</f>
        <v>1</v>
      </c>
      <c r="AC22" s="31">
        <f t="shared" si="2"/>
        <v>0</v>
      </c>
      <c r="AD22" s="35"/>
      <c r="AE22" s="35"/>
    </row>
    <row r="23" spans="1:31" ht="12.75" customHeight="1">
      <c r="A23" s="20">
        <f t="shared" si="0"/>
        <v>0</v>
      </c>
      <c r="B23" s="23"/>
      <c r="C23" s="23"/>
      <c r="D23" s="23"/>
      <c r="E23" s="23"/>
      <c r="F23" s="23"/>
      <c r="G23" s="23"/>
      <c r="H23" s="23"/>
      <c r="I23" s="23"/>
      <c r="J23" s="23"/>
      <c r="K23" s="23"/>
      <c r="L23" s="26"/>
      <c r="M23" s="26"/>
      <c r="N23" s="26"/>
      <c r="O23" s="26"/>
      <c r="P23" s="26"/>
      <c r="Q23" s="26"/>
      <c r="R23" s="26"/>
      <c r="S23" s="26"/>
      <c r="T23" s="26"/>
      <c r="U23" s="26"/>
      <c r="V23" s="26"/>
      <c r="W23" s="26"/>
      <c r="X23" s="26">
        <f>COUNTIF($L$2:L23,"&lt;&gt;"&amp;"")</f>
        <v>5</v>
      </c>
      <c r="Y23" s="27">
        <f t="shared" si="1"/>
        <v>0</v>
      </c>
      <c r="Z23" s="28"/>
      <c r="AA23" s="29"/>
      <c r="AB23" s="30" t="b">
        <f>TRUE()</f>
        <v>1</v>
      </c>
      <c r="AC23" s="31">
        <f t="shared" si="2"/>
        <v>0</v>
      </c>
      <c r="AD23" s="35"/>
      <c r="AE23" s="35"/>
    </row>
    <row r="24" spans="1:31" ht="12.75" customHeight="1">
      <c r="A24" s="20">
        <f t="shared" si="0"/>
        <v>0</v>
      </c>
      <c r="B24" s="23"/>
      <c r="C24" s="23"/>
      <c r="D24" s="23"/>
      <c r="E24" s="23"/>
      <c r="F24" s="23"/>
      <c r="G24" s="23"/>
      <c r="H24" s="23"/>
      <c r="I24" s="23"/>
      <c r="J24" s="23"/>
      <c r="K24" s="23"/>
      <c r="L24" s="26"/>
      <c r="M24" s="40"/>
      <c r="N24" s="26"/>
      <c r="O24" s="26"/>
      <c r="P24" s="26"/>
      <c r="Q24" s="26"/>
      <c r="R24" s="26"/>
      <c r="S24" s="26"/>
      <c r="T24" s="26"/>
      <c r="U24" s="26"/>
      <c r="V24" s="26"/>
      <c r="W24" s="26"/>
      <c r="X24" s="26">
        <f>COUNTIF($L$2:L24,"&lt;&gt;"&amp;"")</f>
        <v>5</v>
      </c>
      <c r="Y24" s="27">
        <f t="shared" si="1"/>
        <v>0</v>
      </c>
      <c r="Z24" s="28"/>
      <c r="AA24" s="29"/>
      <c r="AB24" s="30" t="b">
        <f>TRUE()</f>
        <v>1</v>
      </c>
      <c r="AC24" s="31">
        <f t="shared" si="2"/>
        <v>0</v>
      </c>
      <c r="AD24" s="35"/>
      <c r="AE24" s="35"/>
    </row>
    <row r="25" spans="1:31" ht="15" customHeight="1">
      <c r="A25" s="20">
        <f t="shared" si="0"/>
        <v>0</v>
      </c>
      <c r="B25" s="23"/>
      <c r="C25" s="23"/>
      <c r="D25" s="23"/>
      <c r="E25" s="23"/>
      <c r="F25" s="23"/>
      <c r="G25" s="23"/>
      <c r="H25" s="23"/>
      <c r="I25" s="23"/>
      <c r="J25" s="23"/>
      <c r="K25" s="23"/>
      <c r="L25" s="33"/>
      <c r="M25" s="26"/>
      <c r="N25" s="26"/>
      <c r="O25" s="26"/>
      <c r="P25" s="26"/>
      <c r="Q25" s="26"/>
      <c r="R25" s="26"/>
      <c r="S25" s="26"/>
      <c r="T25" s="26"/>
      <c r="U25" s="26"/>
      <c r="V25" s="26"/>
      <c r="W25" s="26"/>
      <c r="X25" s="26">
        <f>COUNTIF($L$2:L25,"&lt;&gt;"&amp;"")</f>
        <v>5</v>
      </c>
      <c r="Y25" s="27">
        <f t="shared" si="1"/>
        <v>0</v>
      </c>
      <c r="Z25" s="28"/>
      <c r="AA25" s="29"/>
      <c r="AB25" s="30" t="b">
        <f>TRUE()</f>
        <v>1</v>
      </c>
      <c r="AC25" s="31">
        <f t="shared" si="2"/>
        <v>0</v>
      </c>
      <c r="AD25" s="35"/>
      <c r="AE25" s="35"/>
    </row>
    <row r="26" spans="1:31" ht="15" customHeight="1">
      <c r="A26" s="20">
        <f t="shared" si="0"/>
        <v>0</v>
      </c>
      <c r="B26" s="23"/>
      <c r="C26" s="23"/>
      <c r="D26" s="23"/>
      <c r="E26" s="23"/>
      <c r="F26" s="23"/>
      <c r="G26" s="23"/>
      <c r="H26" s="23"/>
      <c r="I26" s="23"/>
      <c r="J26" s="23"/>
      <c r="K26" s="23"/>
      <c r="L26" s="33"/>
      <c r="M26" s="26"/>
      <c r="N26" s="26"/>
      <c r="O26" s="26"/>
      <c r="P26" s="26"/>
      <c r="Q26" s="26"/>
      <c r="R26" s="26"/>
      <c r="S26" s="26"/>
      <c r="T26" s="26"/>
      <c r="U26" s="26"/>
      <c r="V26" s="26"/>
      <c r="W26" s="26"/>
      <c r="X26" s="26">
        <f>COUNTIF($L$2:L26,"&lt;&gt;"&amp;"")</f>
        <v>5</v>
      </c>
      <c r="Y26" s="27">
        <f t="shared" si="1"/>
        <v>0</v>
      </c>
      <c r="Z26" s="28"/>
      <c r="AA26" s="29"/>
      <c r="AB26" s="30" t="b">
        <f>TRUE()</f>
        <v>1</v>
      </c>
      <c r="AC26" s="31">
        <f t="shared" si="2"/>
        <v>0</v>
      </c>
      <c r="AD26" s="35"/>
      <c r="AE26" s="35"/>
    </row>
    <row r="27" spans="1:31" ht="15" customHeight="1">
      <c r="A27" s="20">
        <f t="shared" si="0"/>
        <v>0</v>
      </c>
      <c r="B27" s="23"/>
      <c r="C27" s="23"/>
      <c r="D27" s="23"/>
      <c r="E27" s="23"/>
      <c r="F27" s="23"/>
      <c r="G27" s="23"/>
      <c r="H27" s="23"/>
      <c r="I27" s="23"/>
      <c r="J27" s="23"/>
      <c r="K27" s="23"/>
      <c r="L27" s="33"/>
      <c r="M27" s="26"/>
      <c r="N27" s="26"/>
      <c r="O27" s="26"/>
      <c r="P27" s="26"/>
      <c r="Q27" s="26"/>
      <c r="R27" s="26"/>
      <c r="S27" s="26"/>
      <c r="T27" s="26"/>
      <c r="U27" s="26"/>
      <c r="V27" s="26"/>
      <c r="W27" s="26"/>
      <c r="X27" s="26">
        <f>COUNTIF($L$2:L27,"&lt;&gt;"&amp;"")</f>
        <v>5</v>
      </c>
      <c r="Y27" s="27">
        <f t="shared" si="1"/>
        <v>0</v>
      </c>
      <c r="Z27" s="28"/>
      <c r="AA27" s="29"/>
      <c r="AB27" s="30" t="b">
        <f>TRUE()</f>
        <v>1</v>
      </c>
      <c r="AC27" s="31">
        <f t="shared" si="2"/>
        <v>0</v>
      </c>
      <c r="AD27" s="35"/>
      <c r="AE27" s="35"/>
    </row>
    <row r="28" spans="1:31" ht="15" customHeight="1">
      <c r="A28" s="20">
        <f t="shared" si="0"/>
        <v>0</v>
      </c>
      <c r="B28" s="23"/>
      <c r="C28" s="23"/>
      <c r="D28" s="23"/>
      <c r="E28" s="23"/>
      <c r="F28" s="23"/>
      <c r="G28" s="23"/>
      <c r="H28" s="23"/>
      <c r="I28" s="23"/>
      <c r="J28" s="23"/>
      <c r="K28" s="23"/>
      <c r="L28" s="33"/>
      <c r="M28" s="26"/>
      <c r="N28" s="26"/>
      <c r="O28" s="26"/>
      <c r="P28" s="26"/>
      <c r="Q28" s="26"/>
      <c r="R28" s="26"/>
      <c r="S28" s="26"/>
      <c r="T28" s="26"/>
      <c r="U28" s="26"/>
      <c r="V28" s="26"/>
      <c r="W28" s="26"/>
      <c r="X28" s="26">
        <f>COUNTIF($L$2:L28,"&lt;&gt;"&amp;"")</f>
        <v>5</v>
      </c>
      <c r="Y28" s="27">
        <f t="shared" si="1"/>
        <v>0</v>
      </c>
      <c r="Z28" s="28"/>
      <c r="AA28" s="29"/>
      <c r="AB28" s="30" t="b">
        <f>TRUE()</f>
        <v>1</v>
      </c>
      <c r="AC28" s="31">
        <f t="shared" si="2"/>
        <v>0</v>
      </c>
      <c r="AD28" s="35"/>
      <c r="AE28" s="35"/>
    </row>
    <row r="29" spans="1:31" ht="15" customHeight="1">
      <c r="A29" s="20">
        <f t="shared" si="0"/>
        <v>0</v>
      </c>
      <c r="B29" s="23"/>
      <c r="C29" s="23"/>
      <c r="D29" s="23"/>
      <c r="E29" s="23"/>
      <c r="F29" s="23"/>
      <c r="G29" s="23"/>
      <c r="H29" s="23"/>
      <c r="I29" s="23"/>
      <c r="J29" s="23"/>
      <c r="K29" s="23"/>
      <c r="L29" s="33"/>
      <c r="M29" s="26"/>
      <c r="N29" s="26"/>
      <c r="O29" s="26"/>
      <c r="P29" s="26"/>
      <c r="Q29" s="26"/>
      <c r="R29" s="26"/>
      <c r="S29" s="26"/>
      <c r="T29" s="26"/>
      <c r="U29" s="26"/>
      <c r="V29" s="26"/>
      <c r="W29" s="26"/>
      <c r="X29" s="26">
        <f>COUNTIF($L$2:L29,"&lt;&gt;"&amp;"")</f>
        <v>5</v>
      </c>
      <c r="Y29" s="27">
        <f t="shared" si="1"/>
        <v>0</v>
      </c>
      <c r="Z29" s="28"/>
      <c r="AA29" s="29"/>
      <c r="AB29" s="30" t="b">
        <f>TRUE()</f>
        <v>1</v>
      </c>
      <c r="AC29" s="31">
        <f t="shared" si="2"/>
        <v>0</v>
      </c>
      <c r="AD29" s="35"/>
      <c r="AE29" s="35"/>
    </row>
    <row r="30" spans="1:31" ht="15" customHeight="1">
      <c r="A30" s="20">
        <f t="shared" si="0"/>
        <v>0</v>
      </c>
      <c r="B30" s="23"/>
      <c r="C30" s="23"/>
      <c r="D30" s="23"/>
      <c r="E30" s="23"/>
      <c r="F30" s="23"/>
      <c r="G30" s="23"/>
      <c r="H30" s="23"/>
      <c r="I30" s="23"/>
      <c r="J30" s="23"/>
      <c r="K30" s="23"/>
      <c r="L30" s="33"/>
      <c r="M30" s="26"/>
      <c r="N30" s="26"/>
      <c r="O30" s="26"/>
      <c r="P30" s="26"/>
      <c r="Q30" s="26"/>
      <c r="R30" s="26"/>
      <c r="S30" s="26"/>
      <c r="T30" s="26"/>
      <c r="U30" s="26"/>
      <c r="V30" s="26"/>
      <c r="W30" s="26"/>
      <c r="X30" s="26">
        <f>COUNTIF($L$2:L30,"&lt;&gt;"&amp;"")</f>
        <v>5</v>
      </c>
      <c r="Y30" s="27">
        <f t="shared" si="1"/>
        <v>0</v>
      </c>
      <c r="Z30" s="28"/>
      <c r="AA30" s="29"/>
      <c r="AB30" s="30" t="b">
        <f>TRUE()</f>
        <v>1</v>
      </c>
      <c r="AC30" s="31">
        <f t="shared" si="2"/>
        <v>0</v>
      </c>
      <c r="AD30" s="35"/>
      <c r="AE30" s="35"/>
    </row>
    <row r="31" spans="1:31" ht="15" customHeight="1">
      <c r="A31" s="20">
        <f t="shared" si="0"/>
        <v>0</v>
      </c>
      <c r="B31" s="23"/>
      <c r="C31" s="23"/>
      <c r="D31" s="23"/>
      <c r="E31" s="23"/>
      <c r="F31" s="23"/>
      <c r="G31" s="23"/>
      <c r="H31" s="23"/>
      <c r="I31" s="23"/>
      <c r="J31" s="23"/>
      <c r="K31" s="23"/>
      <c r="L31" s="33"/>
      <c r="M31" s="26"/>
      <c r="N31" s="26"/>
      <c r="O31" s="26"/>
      <c r="P31" s="26"/>
      <c r="Q31" s="26"/>
      <c r="R31" s="26"/>
      <c r="S31" s="26"/>
      <c r="T31" s="26"/>
      <c r="U31" s="26"/>
      <c r="V31" s="26"/>
      <c r="W31" s="26"/>
      <c r="X31" s="26">
        <f>COUNTIF($L$2:L31,"&lt;&gt;"&amp;"")</f>
        <v>5</v>
      </c>
      <c r="Y31" s="27">
        <f t="shared" si="1"/>
        <v>0</v>
      </c>
      <c r="Z31" s="28"/>
      <c r="AA31" s="29"/>
      <c r="AB31" s="30" t="b">
        <f>TRUE()</f>
        <v>1</v>
      </c>
      <c r="AC31" s="31">
        <f t="shared" si="2"/>
        <v>0</v>
      </c>
      <c r="AD31" s="35"/>
      <c r="AE31" s="35"/>
    </row>
    <row r="32" spans="1:31" ht="15" customHeight="1">
      <c r="A32" s="20">
        <f t="shared" si="0"/>
        <v>0</v>
      </c>
      <c r="B32" s="23"/>
      <c r="C32" s="23"/>
      <c r="D32" s="23"/>
      <c r="E32" s="23"/>
      <c r="F32" s="23"/>
      <c r="G32" s="23"/>
      <c r="H32" s="23"/>
      <c r="I32" s="23"/>
      <c r="J32" s="23"/>
      <c r="K32" s="23"/>
      <c r="L32" s="33"/>
      <c r="M32" s="26"/>
      <c r="N32" s="26"/>
      <c r="O32" s="26"/>
      <c r="P32" s="26"/>
      <c r="Q32" s="26"/>
      <c r="R32" s="26"/>
      <c r="S32" s="26"/>
      <c r="T32" s="26"/>
      <c r="U32" s="26"/>
      <c r="V32" s="26"/>
      <c r="W32" s="26"/>
      <c r="X32" s="26">
        <f>COUNTIF($L$2:L32,"&lt;&gt;"&amp;"")</f>
        <v>5</v>
      </c>
      <c r="Y32" s="27">
        <f t="shared" si="1"/>
        <v>0</v>
      </c>
      <c r="Z32" s="28"/>
      <c r="AA32" s="29"/>
      <c r="AB32" s="30" t="b">
        <f>TRUE()</f>
        <v>1</v>
      </c>
      <c r="AC32" s="31">
        <f t="shared" si="2"/>
        <v>0</v>
      </c>
      <c r="AD32" s="35"/>
      <c r="AE32" s="35"/>
    </row>
    <row r="33" spans="1:31" ht="15" customHeight="1">
      <c r="A33" s="20">
        <f t="shared" si="0"/>
        <v>0</v>
      </c>
      <c r="B33" s="23"/>
      <c r="C33" s="23"/>
      <c r="D33" s="23"/>
      <c r="E33" s="23"/>
      <c r="F33" s="23"/>
      <c r="G33" s="23"/>
      <c r="H33" s="23"/>
      <c r="I33" s="23"/>
      <c r="J33" s="23"/>
      <c r="K33" s="23"/>
      <c r="L33" s="33"/>
      <c r="M33" s="26"/>
      <c r="N33" s="26"/>
      <c r="O33" s="26"/>
      <c r="P33" s="26"/>
      <c r="Q33" s="26"/>
      <c r="R33" s="26"/>
      <c r="S33" s="26"/>
      <c r="T33" s="26"/>
      <c r="U33" s="26"/>
      <c r="V33" s="26"/>
      <c r="W33" s="26"/>
      <c r="X33" s="26">
        <f>COUNTIF($L$2:L33,"&lt;&gt;"&amp;"")</f>
        <v>5</v>
      </c>
      <c r="Y33" s="27">
        <f t="shared" si="1"/>
        <v>0</v>
      </c>
      <c r="Z33" s="28"/>
      <c r="AA33" s="29"/>
      <c r="AB33" s="30" t="b">
        <f>TRUE()</f>
        <v>1</v>
      </c>
      <c r="AC33" s="31">
        <f t="shared" si="2"/>
        <v>0</v>
      </c>
      <c r="AD33" s="35"/>
      <c r="AE33" s="35"/>
    </row>
    <row r="34" spans="1:31" ht="15" customHeight="1">
      <c r="A34" s="20">
        <f t="shared" ref="A34:A65" si="3">(B34*$P$125+C34*$P$126+D34*$P$127+E34*$P$128+F34*$P$129+G34*$P$130+H34*$P$131+I34*$P$132+J34*$P$133+K34*$P$134)*$T$123</f>
        <v>0</v>
      </c>
      <c r="B34" s="23"/>
      <c r="C34" s="23"/>
      <c r="D34" s="23"/>
      <c r="E34" s="23"/>
      <c r="F34" s="23"/>
      <c r="G34" s="23"/>
      <c r="H34" s="23"/>
      <c r="I34" s="23"/>
      <c r="J34" s="23"/>
      <c r="K34" s="23"/>
      <c r="L34" s="33"/>
      <c r="M34" s="33"/>
      <c r="N34" s="26"/>
      <c r="O34" s="26"/>
      <c r="P34" s="26"/>
      <c r="Q34" s="26"/>
      <c r="R34" s="26"/>
      <c r="S34" s="26"/>
      <c r="T34" s="26"/>
      <c r="U34" s="26"/>
      <c r="V34" s="26"/>
      <c r="W34" s="26"/>
      <c r="X34" s="26">
        <f>COUNTIF($L$2:L34,"&lt;&gt;"&amp;"")</f>
        <v>5</v>
      </c>
      <c r="Y34" s="27">
        <f t="shared" ref="Y34:Y65" si="4">SUMIF($X$2:$X$120,X34,$A$2:$A$120)</f>
        <v>0</v>
      </c>
      <c r="Z34" s="28"/>
      <c r="AA34" s="29"/>
      <c r="AB34" s="30" t="b">
        <f>TRUE()</f>
        <v>1</v>
      </c>
      <c r="AC34" s="31">
        <f t="shared" ref="AC34:AC65" si="5">IF(L34="",0,IF(AB34=FALSE(),0,Y34))</f>
        <v>0</v>
      </c>
      <c r="AD34" s="35"/>
      <c r="AE34" s="35"/>
    </row>
    <row r="35" spans="1:31" ht="15" customHeight="1">
      <c r="A35" s="20">
        <f t="shared" si="3"/>
        <v>0</v>
      </c>
      <c r="B35" s="23"/>
      <c r="C35" s="23"/>
      <c r="D35" s="23"/>
      <c r="E35" s="23"/>
      <c r="F35" s="23"/>
      <c r="G35" s="23"/>
      <c r="H35" s="23"/>
      <c r="I35" s="23"/>
      <c r="J35" s="23"/>
      <c r="K35" s="23"/>
      <c r="L35" s="33"/>
      <c r="M35" s="26"/>
      <c r="N35" s="41"/>
      <c r="O35" s="26"/>
      <c r="P35" s="26"/>
      <c r="Q35" s="26"/>
      <c r="R35" s="26"/>
      <c r="S35" s="26"/>
      <c r="T35" s="26"/>
      <c r="U35" s="26"/>
      <c r="V35" s="26"/>
      <c r="W35" s="26"/>
      <c r="X35" s="26">
        <f>COUNTIF($L$2:L35,"&lt;&gt;"&amp;"")</f>
        <v>5</v>
      </c>
      <c r="Y35" s="27">
        <f t="shared" si="4"/>
        <v>0</v>
      </c>
      <c r="Z35" s="28"/>
      <c r="AA35" s="29"/>
      <c r="AB35" s="30" t="b">
        <f>TRUE()</f>
        <v>1</v>
      </c>
      <c r="AC35" s="31">
        <f t="shared" si="5"/>
        <v>0</v>
      </c>
      <c r="AD35" s="35"/>
      <c r="AE35" s="35"/>
    </row>
    <row r="36" spans="1:31" ht="15" customHeight="1">
      <c r="A36" s="20">
        <f t="shared" si="3"/>
        <v>0</v>
      </c>
      <c r="B36" s="23"/>
      <c r="C36" s="23"/>
      <c r="D36" s="23"/>
      <c r="E36" s="23"/>
      <c r="F36" s="23"/>
      <c r="G36" s="23"/>
      <c r="H36" s="23"/>
      <c r="I36" s="23"/>
      <c r="J36" s="23"/>
      <c r="K36" s="23"/>
      <c r="L36" s="33"/>
      <c r="M36" s="26"/>
      <c r="N36" s="26"/>
      <c r="O36" s="26"/>
      <c r="P36" s="26"/>
      <c r="Q36" s="26"/>
      <c r="R36" s="26"/>
      <c r="S36" s="26"/>
      <c r="T36" s="26"/>
      <c r="U36" s="26"/>
      <c r="V36" s="26"/>
      <c r="W36" s="26"/>
      <c r="X36" s="26">
        <f>COUNTIF($L$2:L36,"&lt;&gt;"&amp;"")</f>
        <v>5</v>
      </c>
      <c r="Y36" s="27">
        <f t="shared" si="4"/>
        <v>0</v>
      </c>
      <c r="Z36" s="28"/>
      <c r="AA36" s="29"/>
      <c r="AB36" s="30" t="b">
        <f>TRUE()</f>
        <v>1</v>
      </c>
      <c r="AC36" s="31">
        <f t="shared" si="5"/>
        <v>0</v>
      </c>
      <c r="AD36" s="35"/>
      <c r="AE36" s="35"/>
    </row>
    <row r="37" spans="1:31" ht="15" customHeight="1">
      <c r="A37" s="20">
        <f t="shared" si="3"/>
        <v>0</v>
      </c>
      <c r="B37" s="23"/>
      <c r="C37" s="23"/>
      <c r="D37" s="23"/>
      <c r="E37" s="23"/>
      <c r="F37" s="23"/>
      <c r="G37" s="23"/>
      <c r="H37" s="23"/>
      <c r="I37" s="23"/>
      <c r="J37" s="23"/>
      <c r="K37" s="23"/>
      <c r="L37" s="33"/>
      <c r="M37" s="26"/>
      <c r="N37" s="26"/>
      <c r="O37" s="26"/>
      <c r="P37" s="26"/>
      <c r="Q37" s="26"/>
      <c r="R37" s="26"/>
      <c r="S37" s="26"/>
      <c r="T37" s="26"/>
      <c r="U37" s="26"/>
      <c r="V37" s="26"/>
      <c r="W37" s="26"/>
      <c r="X37" s="26">
        <f>COUNTIF($L$2:L37,"&lt;&gt;"&amp;"")</f>
        <v>5</v>
      </c>
      <c r="Y37" s="27">
        <f t="shared" si="4"/>
        <v>0</v>
      </c>
      <c r="Z37" s="28"/>
      <c r="AA37" s="29"/>
      <c r="AB37" s="30" t="b">
        <f>TRUE()</f>
        <v>1</v>
      </c>
      <c r="AC37" s="31">
        <f t="shared" si="5"/>
        <v>0</v>
      </c>
      <c r="AD37" s="35"/>
      <c r="AE37" s="35"/>
    </row>
    <row r="38" spans="1:31" ht="15" customHeight="1">
      <c r="A38" s="20">
        <f t="shared" si="3"/>
        <v>0</v>
      </c>
      <c r="B38" s="23"/>
      <c r="C38" s="23"/>
      <c r="D38" s="23"/>
      <c r="E38" s="23"/>
      <c r="F38" s="23"/>
      <c r="G38" s="23"/>
      <c r="H38" s="23"/>
      <c r="I38" s="23"/>
      <c r="J38" s="23"/>
      <c r="K38" s="23"/>
      <c r="L38" s="33"/>
      <c r="M38" s="26"/>
      <c r="N38" s="26"/>
      <c r="O38" s="26"/>
      <c r="P38" s="26"/>
      <c r="Q38" s="26"/>
      <c r="R38" s="26"/>
      <c r="S38" s="26"/>
      <c r="T38" s="26"/>
      <c r="U38" s="26"/>
      <c r="V38" s="26"/>
      <c r="W38" s="26"/>
      <c r="X38" s="26">
        <f>COUNTIF($L$2:L38,"&lt;&gt;"&amp;"")</f>
        <v>5</v>
      </c>
      <c r="Y38" s="27">
        <f t="shared" si="4"/>
        <v>0</v>
      </c>
      <c r="Z38" s="28"/>
      <c r="AA38" s="29"/>
      <c r="AB38" s="30" t="b">
        <f>TRUE()</f>
        <v>1</v>
      </c>
      <c r="AC38" s="31">
        <f t="shared" si="5"/>
        <v>0</v>
      </c>
      <c r="AD38" s="42"/>
      <c r="AE38" s="42"/>
    </row>
    <row r="39" spans="1:31" ht="15" customHeight="1">
      <c r="A39" s="20">
        <f t="shared" si="3"/>
        <v>0</v>
      </c>
      <c r="B39" s="23"/>
      <c r="C39" s="23"/>
      <c r="D39" s="23"/>
      <c r="E39" s="23"/>
      <c r="F39" s="23"/>
      <c r="G39" s="23"/>
      <c r="H39" s="23"/>
      <c r="I39" s="23"/>
      <c r="J39" s="23"/>
      <c r="K39" s="23"/>
      <c r="L39" s="33"/>
      <c r="M39" s="26"/>
      <c r="N39" s="26"/>
      <c r="O39" s="26"/>
      <c r="P39" s="26"/>
      <c r="Q39" s="26"/>
      <c r="R39" s="26"/>
      <c r="S39" s="26"/>
      <c r="T39" s="26"/>
      <c r="U39" s="26"/>
      <c r="V39" s="26"/>
      <c r="W39" s="26"/>
      <c r="X39" s="26">
        <f>COUNTIF($L$2:L39,"&lt;&gt;"&amp;"")</f>
        <v>5</v>
      </c>
      <c r="Y39" s="27">
        <f t="shared" si="4"/>
        <v>0</v>
      </c>
      <c r="Z39" s="28"/>
      <c r="AA39" s="29"/>
      <c r="AB39" s="30" t="b">
        <f>TRUE()</f>
        <v>1</v>
      </c>
      <c r="AC39" s="31">
        <f t="shared" si="5"/>
        <v>0</v>
      </c>
      <c r="AD39" s="35"/>
      <c r="AE39" s="35"/>
    </row>
    <row r="40" spans="1:31" ht="15" customHeight="1">
      <c r="A40" s="20">
        <f t="shared" si="3"/>
        <v>0</v>
      </c>
      <c r="B40" s="23"/>
      <c r="C40" s="23"/>
      <c r="D40" s="23"/>
      <c r="E40" s="23"/>
      <c r="F40" s="23"/>
      <c r="G40" s="23"/>
      <c r="H40" s="23"/>
      <c r="I40" s="23"/>
      <c r="J40" s="23"/>
      <c r="K40" s="23"/>
      <c r="L40" s="33"/>
      <c r="M40" s="26"/>
      <c r="N40" s="26"/>
      <c r="O40" s="26"/>
      <c r="P40" s="26"/>
      <c r="Q40" s="26"/>
      <c r="R40" s="26"/>
      <c r="S40" s="26"/>
      <c r="T40" s="26"/>
      <c r="U40" s="26"/>
      <c r="V40" s="26"/>
      <c r="W40" s="26"/>
      <c r="X40" s="26">
        <f>COUNTIF($L$2:L40,"&lt;&gt;"&amp;"")</f>
        <v>5</v>
      </c>
      <c r="Y40" s="27">
        <f t="shared" si="4"/>
        <v>0</v>
      </c>
      <c r="Z40" s="28"/>
      <c r="AA40" s="29"/>
      <c r="AB40" s="30" t="b">
        <f>TRUE()</f>
        <v>1</v>
      </c>
      <c r="AC40" s="31">
        <f t="shared" si="5"/>
        <v>0</v>
      </c>
      <c r="AD40" s="42"/>
      <c r="AE40" s="42"/>
    </row>
    <row r="41" spans="1:31" ht="15" customHeight="1">
      <c r="A41" s="20">
        <f t="shared" si="3"/>
        <v>0</v>
      </c>
      <c r="B41" s="23"/>
      <c r="C41" s="23"/>
      <c r="D41" s="23"/>
      <c r="E41" s="23"/>
      <c r="F41" s="23"/>
      <c r="G41" s="23"/>
      <c r="H41" s="23"/>
      <c r="I41" s="23"/>
      <c r="J41" s="23"/>
      <c r="K41" s="23"/>
      <c r="L41" s="33"/>
      <c r="M41" s="26"/>
      <c r="N41" s="26"/>
      <c r="O41" s="26"/>
      <c r="P41" s="26"/>
      <c r="Q41" s="26"/>
      <c r="R41" s="26"/>
      <c r="S41" s="26"/>
      <c r="T41" s="26"/>
      <c r="U41" s="26"/>
      <c r="V41" s="26"/>
      <c r="W41" s="26"/>
      <c r="X41" s="26">
        <f>COUNTIF($L$2:L41,"&lt;&gt;"&amp;"")</f>
        <v>5</v>
      </c>
      <c r="Y41" s="27">
        <f t="shared" si="4"/>
        <v>0</v>
      </c>
      <c r="Z41" s="28"/>
      <c r="AA41" s="29"/>
      <c r="AB41" s="30" t="b">
        <f>TRUE()</f>
        <v>1</v>
      </c>
      <c r="AC41" s="31">
        <f t="shared" si="5"/>
        <v>0</v>
      </c>
      <c r="AD41" s="42"/>
      <c r="AE41" s="42"/>
    </row>
    <row r="42" spans="1:31" ht="15" customHeight="1">
      <c r="A42" s="20">
        <f t="shared" si="3"/>
        <v>0</v>
      </c>
      <c r="B42" s="23"/>
      <c r="C42" s="23"/>
      <c r="D42" s="23"/>
      <c r="E42" s="23"/>
      <c r="F42" s="23"/>
      <c r="G42" s="23"/>
      <c r="H42" s="23"/>
      <c r="I42" s="23"/>
      <c r="J42" s="23"/>
      <c r="K42" s="23"/>
      <c r="L42" s="33"/>
      <c r="M42" s="26"/>
      <c r="N42" s="40"/>
      <c r="O42" s="26"/>
      <c r="P42" s="26"/>
      <c r="Q42" s="26"/>
      <c r="R42" s="26"/>
      <c r="S42" s="26"/>
      <c r="T42" s="26"/>
      <c r="U42" s="26"/>
      <c r="V42" s="26"/>
      <c r="W42" s="26"/>
      <c r="X42" s="26">
        <f>COUNTIF($L$2:L42,"&lt;&gt;"&amp;"")</f>
        <v>5</v>
      </c>
      <c r="Y42" s="27">
        <f t="shared" si="4"/>
        <v>0</v>
      </c>
      <c r="Z42" s="28"/>
      <c r="AA42" s="29"/>
      <c r="AB42" s="30" t="b">
        <f>TRUE()</f>
        <v>1</v>
      </c>
      <c r="AC42" s="31">
        <f t="shared" si="5"/>
        <v>0</v>
      </c>
      <c r="AD42" s="35"/>
      <c r="AE42" s="35"/>
    </row>
    <row r="43" spans="1:31" ht="15" customHeight="1">
      <c r="A43" s="20">
        <f t="shared" si="3"/>
        <v>0</v>
      </c>
      <c r="B43" s="23"/>
      <c r="C43" s="23"/>
      <c r="D43" s="23"/>
      <c r="E43" s="23"/>
      <c r="F43" s="23"/>
      <c r="G43" s="23"/>
      <c r="H43" s="23"/>
      <c r="I43" s="23"/>
      <c r="J43" s="23"/>
      <c r="K43" s="23"/>
      <c r="L43" s="33"/>
      <c r="M43" s="33"/>
      <c r="N43" s="26"/>
      <c r="O43" s="26"/>
      <c r="P43" s="26"/>
      <c r="Q43" s="26"/>
      <c r="R43" s="26"/>
      <c r="S43" s="26"/>
      <c r="T43" s="26"/>
      <c r="U43" s="26"/>
      <c r="V43" s="26"/>
      <c r="W43" s="26"/>
      <c r="X43" s="26">
        <f>COUNTIF($L$2:L43,"&lt;&gt;"&amp;"")</f>
        <v>5</v>
      </c>
      <c r="Y43" s="27">
        <f t="shared" si="4"/>
        <v>0</v>
      </c>
      <c r="Z43" s="28"/>
      <c r="AA43" s="29"/>
      <c r="AB43" s="30" t="b">
        <f>TRUE()</f>
        <v>1</v>
      </c>
      <c r="AC43" s="31">
        <f t="shared" si="5"/>
        <v>0</v>
      </c>
      <c r="AD43" s="35"/>
      <c r="AE43" s="35"/>
    </row>
    <row r="44" spans="1:31" ht="15" customHeight="1">
      <c r="A44" s="20">
        <f t="shared" si="3"/>
        <v>0</v>
      </c>
      <c r="B44" s="23"/>
      <c r="C44" s="23"/>
      <c r="D44" s="23"/>
      <c r="E44" s="23"/>
      <c r="F44" s="23"/>
      <c r="G44" s="23"/>
      <c r="H44" s="23"/>
      <c r="I44" s="23"/>
      <c r="J44" s="23"/>
      <c r="K44" s="23"/>
      <c r="L44" s="33"/>
      <c r="M44" s="26"/>
      <c r="N44" s="26"/>
      <c r="O44" s="26"/>
      <c r="P44" s="26"/>
      <c r="Q44" s="26"/>
      <c r="R44" s="26"/>
      <c r="S44" s="26"/>
      <c r="T44" s="26"/>
      <c r="U44" s="26"/>
      <c r="V44" s="26"/>
      <c r="W44" s="26"/>
      <c r="X44" s="26">
        <f>COUNTIF($L$2:L44,"&lt;&gt;"&amp;"")</f>
        <v>5</v>
      </c>
      <c r="Y44" s="27">
        <f t="shared" si="4"/>
        <v>0</v>
      </c>
      <c r="Z44" s="28"/>
      <c r="AA44" s="29"/>
      <c r="AB44" s="30" t="b">
        <f>TRUE()</f>
        <v>1</v>
      </c>
      <c r="AC44" s="31">
        <f t="shared" si="5"/>
        <v>0</v>
      </c>
      <c r="AD44" s="35"/>
      <c r="AE44" s="35"/>
    </row>
    <row r="45" spans="1:31" ht="15" customHeight="1">
      <c r="A45" s="20">
        <f t="shared" si="3"/>
        <v>0</v>
      </c>
      <c r="B45" s="23"/>
      <c r="C45" s="23"/>
      <c r="D45" s="23"/>
      <c r="E45" s="23"/>
      <c r="F45" s="23"/>
      <c r="G45" s="23"/>
      <c r="H45" s="23"/>
      <c r="I45" s="23"/>
      <c r="J45" s="23"/>
      <c r="K45" s="23"/>
      <c r="L45" s="33"/>
      <c r="M45" s="26"/>
      <c r="N45" s="26"/>
      <c r="O45" s="26"/>
      <c r="P45" s="26"/>
      <c r="Q45" s="26"/>
      <c r="R45" s="26"/>
      <c r="S45" s="26"/>
      <c r="T45" s="26"/>
      <c r="U45" s="26"/>
      <c r="V45" s="26"/>
      <c r="W45" s="26"/>
      <c r="X45" s="26">
        <f>COUNTIF($L$2:L45,"&lt;&gt;"&amp;"")</f>
        <v>5</v>
      </c>
      <c r="Y45" s="27">
        <f t="shared" si="4"/>
        <v>0</v>
      </c>
      <c r="Z45" s="28"/>
      <c r="AA45" s="29"/>
      <c r="AB45" s="30" t="b">
        <f>TRUE()</f>
        <v>1</v>
      </c>
      <c r="AC45" s="31">
        <f t="shared" si="5"/>
        <v>0</v>
      </c>
      <c r="AD45" s="35"/>
      <c r="AE45" s="35"/>
    </row>
    <row r="46" spans="1:31" ht="15" customHeight="1">
      <c r="A46" s="20">
        <f t="shared" si="3"/>
        <v>0</v>
      </c>
      <c r="B46" s="23"/>
      <c r="C46" s="23"/>
      <c r="D46" s="23"/>
      <c r="E46" s="23"/>
      <c r="F46" s="23"/>
      <c r="G46" s="23"/>
      <c r="H46" s="23"/>
      <c r="I46" s="23"/>
      <c r="J46" s="23"/>
      <c r="K46" s="23"/>
      <c r="L46" s="33"/>
      <c r="M46" s="26"/>
      <c r="N46" s="26"/>
      <c r="O46" s="26"/>
      <c r="P46" s="26"/>
      <c r="Q46" s="26"/>
      <c r="R46" s="26"/>
      <c r="S46" s="26"/>
      <c r="T46" s="26"/>
      <c r="U46" s="26"/>
      <c r="V46" s="26"/>
      <c r="W46" s="26"/>
      <c r="X46" s="26">
        <f>COUNTIF($L$2:L46,"&lt;&gt;"&amp;"")</f>
        <v>5</v>
      </c>
      <c r="Y46" s="27">
        <f t="shared" si="4"/>
        <v>0</v>
      </c>
      <c r="Z46" s="28"/>
      <c r="AA46" s="29"/>
      <c r="AB46" s="30" t="b">
        <f>TRUE()</f>
        <v>1</v>
      </c>
      <c r="AC46" s="31">
        <f t="shared" si="5"/>
        <v>0</v>
      </c>
      <c r="AD46" s="35"/>
      <c r="AE46" s="35"/>
    </row>
    <row r="47" spans="1:31" ht="15" customHeight="1">
      <c r="A47" s="20">
        <f t="shared" si="3"/>
        <v>0</v>
      </c>
      <c r="B47" s="23"/>
      <c r="C47" s="23"/>
      <c r="D47" s="23"/>
      <c r="E47" s="23"/>
      <c r="F47" s="23"/>
      <c r="G47" s="23"/>
      <c r="H47" s="23"/>
      <c r="I47" s="23"/>
      <c r="J47" s="23"/>
      <c r="K47" s="23"/>
      <c r="L47" s="33"/>
      <c r="M47" s="26"/>
      <c r="N47" s="26"/>
      <c r="O47" s="26"/>
      <c r="P47" s="26"/>
      <c r="Q47" s="26"/>
      <c r="R47" s="26"/>
      <c r="S47" s="26"/>
      <c r="T47" s="26"/>
      <c r="U47" s="26"/>
      <c r="V47" s="26"/>
      <c r="W47" s="26"/>
      <c r="X47" s="26">
        <f>COUNTIF($L$2:L47,"&lt;&gt;"&amp;"")</f>
        <v>5</v>
      </c>
      <c r="Y47" s="27">
        <f t="shared" si="4"/>
        <v>0</v>
      </c>
      <c r="Z47" s="28"/>
      <c r="AA47" s="29"/>
      <c r="AB47" s="30" t="b">
        <f>TRUE()</f>
        <v>1</v>
      </c>
      <c r="AC47" s="31">
        <f t="shared" si="5"/>
        <v>0</v>
      </c>
      <c r="AD47" s="35"/>
      <c r="AE47" s="35"/>
    </row>
    <row r="48" spans="1:31" ht="15" customHeight="1">
      <c r="A48" s="20">
        <f t="shared" si="3"/>
        <v>0</v>
      </c>
      <c r="B48" s="23"/>
      <c r="C48" s="23"/>
      <c r="D48" s="23"/>
      <c r="E48" s="23"/>
      <c r="F48" s="23"/>
      <c r="G48" s="23"/>
      <c r="H48" s="23"/>
      <c r="I48" s="23"/>
      <c r="J48" s="23"/>
      <c r="K48" s="23"/>
      <c r="L48" s="33"/>
      <c r="M48" s="26"/>
      <c r="N48" s="26"/>
      <c r="O48" s="26"/>
      <c r="P48" s="26"/>
      <c r="Q48" s="26"/>
      <c r="R48" s="26"/>
      <c r="S48" s="26"/>
      <c r="T48" s="26"/>
      <c r="U48" s="26"/>
      <c r="V48" s="26"/>
      <c r="W48" s="26"/>
      <c r="X48" s="26">
        <f>COUNTIF($L$2:L48,"&lt;&gt;"&amp;"")</f>
        <v>5</v>
      </c>
      <c r="Y48" s="27">
        <f t="shared" si="4"/>
        <v>0</v>
      </c>
      <c r="Z48" s="28"/>
      <c r="AA48" s="29"/>
      <c r="AB48" s="30" t="b">
        <f>TRUE()</f>
        <v>1</v>
      </c>
      <c r="AC48" s="31">
        <f t="shared" si="5"/>
        <v>0</v>
      </c>
      <c r="AD48" s="42"/>
      <c r="AE48" s="42"/>
    </row>
    <row r="49" spans="1:31" ht="15" customHeight="1">
      <c r="A49" s="20">
        <f t="shared" si="3"/>
        <v>0</v>
      </c>
      <c r="B49" s="23"/>
      <c r="C49" s="23"/>
      <c r="D49" s="23"/>
      <c r="E49" s="23"/>
      <c r="F49" s="23"/>
      <c r="G49" s="23"/>
      <c r="H49" s="23"/>
      <c r="I49" s="23"/>
      <c r="J49" s="23"/>
      <c r="K49" s="23"/>
      <c r="L49" s="33"/>
      <c r="M49" s="26"/>
      <c r="N49" s="26"/>
      <c r="O49" s="26"/>
      <c r="P49" s="26"/>
      <c r="Q49" s="26"/>
      <c r="R49" s="26"/>
      <c r="S49" s="26"/>
      <c r="T49" s="26"/>
      <c r="U49" s="26"/>
      <c r="V49" s="26"/>
      <c r="W49" s="26"/>
      <c r="X49" s="26">
        <f>COUNTIF($L$2:L49,"&lt;&gt;"&amp;"")</f>
        <v>5</v>
      </c>
      <c r="Y49" s="27">
        <f t="shared" si="4"/>
        <v>0</v>
      </c>
      <c r="Z49" s="28"/>
      <c r="AA49" s="29"/>
      <c r="AB49" s="30" t="b">
        <f>TRUE()</f>
        <v>1</v>
      </c>
      <c r="AC49" s="31">
        <f t="shared" si="5"/>
        <v>0</v>
      </c>
      <c r="AD49" s="42"/>
      <c r="AE49" s="42"/>
    </row>
    <row r="50" spans="1:31" ht="15" customHeight="1">
      <c r="A50" s="20">
        <f t="shared" si="3"/>
        <v>0</v>
      </c>
      <c r="B50" s="23"/>
      <c r="C50" s="23"/>
      <c r="D50" s="23"/>
      <c r="E50" s="23"/>
      <c r="F50" s="23"/>
      <c r="G50" s="23"/>
      <c r="H50" s="23"/>
      <c r="I50" s="23"/>
      <c r="J50" s="23"/>
      <c r="K50" s="23"/>
      <c r="L50" s="33"/>
      <c r="M50" s="33"/>
      <c r="N50" s="26"/>
      <c r="O50" s="26"/>
      <c r="P50" s="26"/>
      <c r="Q50" s="26"/>
      <c r="R50" s="26"/>
      <c r="S50" s="26"/>
      <c r="T50" s="26"/>
      <c r="U50" s="26"/>
      <c r="V50" s="26"/>
      <c r="W50" s="26"/>
      <c r="X50" s="26">
        <f>COUNTIF($L$2:L50,"&lt;&gt;"&amp;"")</f>
        <v>5</v>
      </c>
      <c r="Y50" s="27">
        <f t="shared" si="4"/>
        <v>0</v>
      </c>
      <c r="Z50" s="28"/>
      <c r="AA50" s="29"/>
      <c r="AB50" s="30" t="b">
        <f>TRUE()</f>
        <v>1</v>
      </c>
      <c r="AC50" s="31">
        <f t="shared" si="5"/>
        <v>0</v>
      </c>
      <c r="AD50" s="42"/>
      <c r="AE50" s="42"/>
    </row>
    <row r="51" spans="1:31" ht="15" customHeight="1">
      <c r="A51" s="20">
        <f t="shared" si="3"/>
        <v>0</v>
      </c>
      <c r="B51" s="23"/>
      <c r="C51" s="23"/>
      <c r="D51" s="23"/>
      <c r="E51" s="23"/>
      <c r="F51" s="23"/>
      <c r="G51" s="23"/>
      <c r="H51" s="23"/>
      <c r="I51" s="23"/>
      <c r="J51" s="23"/>
      <c r="K51" s="23"/>
      <c r="L51" s="33"/>
      <c r="M51" s="26"/>
      <c r="N51" s="26"/>
      <c r="O51" s="26"/>
      <c r="P51" s="26"/>
      <c r="Q51" s="26"/>
      <c r="R51" s="26"/>
      <c r="S51" s="26"/>
      <c r="T51" s="26"/>
      <c r="U51" s="26"/>
      <c r="V51" s="26"/>
      <c r="W51" s="26"/>
      <c r="X51" s="26">
        <f>COUNTIF($L$2:L51,"&lt;&gt;"&amp;"")</f>
        <v>5</v>
      </c>
      <c r="Y51" s="27">
        <f t="shared" si="4"/>
        <v>0</v>
      </c>
      <c r="Z51" s="28"/>
      <c r="AA51" s="29"/>
      <c r="AB51" s="30" t="b">
        <f>TRUE()</f>
        <v>1</v>
      </c>
      <c r="AC51" s="31">
        <f t="shared" si="5"/>
        <v>0</v>
      </c>
      <c r="AD51" s="42"/>
      <c r="AE51" s="42"/>
    </row>
    <row r="52" spans="1:31" ht="15" customHeight="1">
      <c r="A52" s="20">
        <f t="shared" si="3"/>
        <v>0</v>
      </c>
      <c r="B52" s="23"/>
      <c r="C52" s="23"/>
      <c r="D52" s="23"/>
      <c r="E52" s="23"/>
      <c r="F52" s="23"/>
      <c r="G52" s="23"/>
      <c r="H52" s="23"/>
      <c r="I52" s="23"/>
      <c r="J52" s="23"/>
      <c r="K52" s="23"/>
      <c r="L52" s="33"/>
      <c r="M52" s="26"/>
      <c r="N52" s="26"/>
      <c r="O52" s="26"/>
      <c r="P52" s="26"/>
      <c r="Q52" s="26"/>
      <c r="R52" s="26"/>
      <c r="S52" s="26"/>
      <c r="T52" s="26"/>
      <c r="U52" s="26"/>
      <c r="V52" s="26"/>
      <c r="W52" s="26"/>
      <c r="X52" s="26">
        <f>COUNTIF($L$2:L52,"&lt;&gt;"&amp;"")</f>
        <v>5</v>
      </c>
      <c r="Y52" s="27">
        <f t="shared" si="4"/>
        <v>0</v>
      </c>
      <c r="Z52" s="28"/>
      <c r="AA52" s="29"/>
      <c r="AB52" s="30" t="b">
        <f>TRUE()</f>
        <v>1</v>
      </c>
      <c r="AC52" s="31">
        <f t="shared" si="5"/>
        <v>0</v>
      </c>
      <c r="AD52" s="42"/>
      <c r="AE52" s="42"/>
    </row>
    <row r="53" spans="1:31" ht="15" customHeight="1">
      <c r="A53" s="20">
        <f t="shared" si="3"/>
        <v>0</v>
      </c>
      <c r="B53" s="23"/>
      <c r="C53" s="23"/>
      <c r="D53" s="23"/>
      <c r="E53" s="23"/>
      <c r="F53" s="23"/>
      <c r="G53" s="23"/>
      <c r="H53" s="23"/>
      <c r="I53" s="23"/>
      <c r="J53" s="23"/>
      <c r="K53" s="23"/>
      <c r="L53" s="33"/>
      <c r="M53" s="33"/>
      <c r="N53" s="26"/>
      <c r="O53" s="26"/>
      <c r="P53" s="26"/>
      <c r="Q53" s="26"/>
      <c r="R53" s="26"/>
      <c r="S53" s="26"/>
      <c r="T53" s="26"/>
      <c r="U53" s="26"/>
      <c r="V53" s="26"/>
      <c r="W53" s="26"/>
      <c r="X53" s="26">
        <f>COUNTIF($L$2:L53,"&lt;&gt;"&amp;"")</f>
        <v>5</v>
      </c>
      <c r="Y53" s="27">
        <f t="shared" si="4"/>
        <v>0</v>
      </c>
      <c r="Z53" s="28"/>
      <c r="AA53" s="29"/>
      <c r="AB53" s="30" t="b">
        <f>TRUE()</f>
        <v>1</v>
      </c>
      <c r="AC53" s="31">
        <f t="shared" si="5"/>
        <v>0</v>
      </c>
      <c r="AD53" s="42"/>
      <c r="AE53" s="42"/>
    </row>
    <row r="54" spans="1:31" ht="15" customHeight="1">
      <c r="A54" s="20">
        <f t="shared" si="3"/>
        <v>0</v>
      </c>
      <c r="B54" s="23"/>
      <c r="C54" s="23"/>
      <c r="D54" s="23"/>
      <c r="E54" s="23"/>
      <c r="F54" s="23"/>
      <c r="G54" s="23"/>
      <c r="H54" s="23"/>
      <c r="I54" s="23"/>
      <c r="J54" s="23"/>
      <c r="K54" s="23"/>
      <c r="L54" s="33"/>
      <c r="M54" s="26"/>
      <c r="N54" s="26"/>
      <c r="O54" s="26"/>
      <c r="P54" s="26"/>
      <c r="Q54" s="26"/>
      <c r="R54" s="26"/>
      <c r="S54" s="26"/>
      <c r="T54" s="26"/>
      <c r="U54" s="26"/>
      <c r="V54" s="26"/>
      <c r="W54" s="26"/>
      <c r="X54" s="26">
        <f>COUNTIF($L$2:L54,"&lt;&gt;"&amp;"")</f>
        <v>5</v>
      </c>
      <c r="Y54" s="27">
        <f t="shared" si="4"/>
        <v>0</v>
      </c>
      <c r="Z54" s="28"/>
      <c r="AA54" s="29"/>
      <c r="AB54" s="30" t="b">
        <f>TRUE()</f>
        <v>1</v>
      </c>
      <c r="AC54" s="31">
        <f t="shared" si="5"/>
        <v>0</v>
      </c>
      <c r="AD54" s="42"/>
      <c r="AE54" s="42"/>
    </row>
    <row r="55" spans="1:31" ht="15" customHeight="1">
      <c r="A55" s="20">
        <f t="shared" si="3"/>
        <v>0</v>
      </c>
      <c r="B55" s="23"/>
      <c r="C55" s="23"/>
      <c r="D55" s="23"/>
      <c r="E55" s="23"/>
      <c r="F55" s="23"/>
      <c r="G55" s="23"/>
      <c r="H55" s="23"/>
      <c r="I55" s="23"/>
      <c r="J55" s="23"/>
      <c r="K55" s="23"/>
      <c r="L55" s="33"/>
      <c r="M55" s="26"/>
      <c r="N55" s="26"/>
      <c r="O55" s="26"/>
      <c r="P55" s="26"/>
      <c r="Q55" s="26"/>
      <c r="R55" s="26"/>
      <c r="S55" s="26"/>
      <c r="T55" s="26"/>
      <c r="U55" s="26"/>
      <c r="V55" s="26"/>
      <c r="W55" s="26"/>
      <c r="X55" s="26">
        <f>COUNTIF($L$2:L55,"&lt;&gt;"&amp;"")</f>
        <v>5</v>
      </c>
      <c r="Y55" s="27">
        <f t="shared" si="4"/>
        <v>0</v>
      </c>
      <c r="Z55" s="28"/>
      <c r="AA55" s="29"/>
      <c r="AB55" s="30" t="b">
        <f>TRUE()</f>
        <v>1</v>
      </c>
      <c r="AC55" s="31">
        <f t="shared" si="5"/>
        <v>0</v>
      </c>
      <c r="AD55" s="42"/>
      <c r="AE55" s="42"/>
    </row>
    <row r="56" spans="1:31" ht="15" customHeight="1">
      <c r="A56" s="20">
        <f t="shared" si="3"/>
        <v>0</v>
      </c>
      <c r="B56" s="23"/>
      <c r="C56" s="23"/>
      <c r="D56" s="23"/>
      <c r="E56" s="23"/>
      <c r="F56" s="23"/>
      <c r="G56" s="23"/>
      <c r="H56" s="23"/>
      <c r="I56" s="23"/>
      <c r="J56" s="23"/>
      <c r="K56" s="23"/>
      <c r="L56" s="33"/>
      <c r="M56" s="26"/>
      <c r="N56" s="26"/>
      <c r="O56" s="26"/>
      <c r="P56" s="26"/>
      <c r="Q56" s="26"/>
      <c r="R56" s="26"/>
      <c r="S56" s="26"/>
      <c r="T56" s="26"/>
      <c r="U56" s="26"/>
      <c r="V56" s="26"/>
      <c r="W56" s="26"/>
      <c r="X56" s="26">
        <f>COUNTIF($L$2:L56,"&lt;&gt;"&amp;"")</f>
        <v>5</v>
      </c>
      <c r="Y56" s="27">
        <f t="shared" si="4"/>
        <v>0</v>
      </c>
      <c r="Z56" s="28"/>
      <c r="AA56" s="29"/>
      <c r="AB56" s="30" t="b">
        <f>TRUE()</f>
        <v>1</v>
      </c>
      <c r="AC56" s="31">
        <f t="shared" si="5"/>
        <v>0</v>
      </c>
      <c r="AD56" s="42"/>
      <c r="AE56" s="42"/>
    </row>
    <row r="57" spans="1:31" ht="15" customHeight="1">
      <c r="A57" s="20">
        <f t="shared" si="3"/>
        <v>0</v>
      </c>
      <c r="B57" s="23"/>
      <c r="C57" s="23"/>
      <c r="D57" s="23"/>
      <c r="E57" s="23"/>
      <c r="F57" s="23"/>
      <c r="G57" s="23"/>
      <c r="H57" s="23"/>
      <c r="I57" s="23"/>
      <c r="J57" s="23"/>
      <c r="K57" s="23"/>
      <c r="L57" s="33"/>
      <c r="M57" s="26"/>
      <c r="N57" s="26"/>
      <c r="O57" s="26"/>
      <c r="P57" s="26"/>
      <c r="Q57" s="26"/>
      <c r="R57" s="26"/>
      <c r="S57" s="26"/>
      <c r="T57" s="26"/>
      <c r="U57" s="26"/>
      <c r="V57" s="26"/>
      <c r="W57" s="26"/>
      <c r="X57" s="26">
        <f>COUNTIF($L$2:L57,"&lt;&gt;"&amp;"")</f>
        <v>5</v>
      </c>
      <c r="Y57" s="27">
        <f t="shared" si="4"/>
        <v>0</v>
      </c>
      <c r="Z57" s="28"/>
      <c r="AA57" s="29"/>
      <c r="AB57" s="30" t="b">
        <f>TRUE()</f>
        <v>1</v>
      </c>
      <c r="AC57" s="31">
        <f t="shared" si="5"/>
        <v>0</v>
      </c>
      <c r="AD57" s="42"/>
      <c r="AE57" s="42"/>
    </row>
    <row r="58" spans="1:31" ht="15" customHeight="1">
      <c r="A58" s="20">
        <f t="shared" si="3"/>
        <v>0</v>
      </c>
      <c r="B58" s="23"/>
      <c r="C58" s="23"/>
      <c r="D58" s="23"/>
      <c r="E58" s="23"/>
      <c r="F58" s="23"/>
      <c r="G58" s="23"/>
      <c r="H58" s="23"/>
      <c r="I58" s="23"/>
      <c r="J58" s="23"/>
      <c r="K58" s="23"/>
      <c r="L58" s="33"/>
      <c r="M58" s="26"/>
      <c r="N58" s="26"/>
      <c r="O58" s="26"/>
      <c r="P58" s="26"/>
      <c r="Q58" s="26"/>
      <c r="R58" s="26"/>
      <c r="S58" s="26"/>
      <c r="T58" s="26"/>
      <c r="U58" s="26"/>
      <c r="V58" s="26"/>
      <c r="W58" s="26"/>
      <c r="X58" s="26">
        <f>COUNTIF($L$2:L58,"&lt;&gt;"&amp;"")</f>
        <v>5</v>
      </c>
      <c r="Y58" s="27">
        <f t="shared" si="4"/>
        <v>0</v>
      </c>
      <c r="Z58" s="28"/>
      <c r="AA58" s="29"/>
      <c r="AB58" s="30" t="b">
        <f>TRUE()</f>
        <v>1</v>
      </c>
      <c r="AC58" s="31">
        <f t="shared" si="5"/>
        <v>0</v>
      </c>
      <c r="AD58" s="42"/>
      <c r="AE58" s="42"/>
    </row>
    <row r="59" spans="1:31" ht="15" customHeight="1">
      <c r="A59" s="20">
        <f t="shared" si="3"/>
        <v>0</v>
      </c>
      <c r="B59" s="23"/>
      <c r="C59" s="23"/>
      <c r="D59" s="23"/>
      <c r="E59" s="23"/>
      <c r="F59" s="23"/>
      <c r="G59" s="23"/>
      <c r="H59" s="23"/>
      <c r="I59" s="23"/>
      <c r="J59" s="23"/>
      <c r="K59" s="23"/>
      <c r="L59" s="33"/>
      <c r="M59" s="26"/>
      <c r="N59" s="26"/>
      <c r="O59" s="26"/>
      <c r="P59" s="26"/>
      <c r="Q59" s="26"/>
      <c r="R59" s="26"/>
      <c r="S59" s="26"/>
      <c r="T59" s="26"/>
      <c r="U59" s="26"/>
      <c r="V59" s="26"/>
      <c r="W59" s="26"/>
      <c r="X59" s="26">
        <f>COUNTIF($L$2:L59,"&lt;&gt;"&amp;"")</f>
        <v>5</v>
      </c>
      <c r="Y59" s="27">
        <f t="shared" si="4"/>
        <v>0</v>
      </c>
      <c r="Z59" s="28"/>
      <c r="AA59" s="29"/>
      <c r="AB59" s="30" t="b">
        <f>TRUE()</f>
        <v>1</v>
      </c>
      <c r="AC59" s="31">
        <f t="shared" si="5"/>
        <v>0</v>
      </c>
      <c r="AD59" s="42"/>
      <c r="AE59" s="42"/>
    </row>
    <row r="60" spans="1:31" ht="15" customHeight="1">
      <c r="A60" s="20">
        <f t="shared" si="3"/>
        <v>0</v>
      </c>
      <c r="B60" s="23"/>
      <c r="C60" s="23"/>
      <c r="D60" s="23"/>
      <c r="E60" s="23"/>
      <c r="F60" s="23"/>
      <c r="G60" s="23"/>
      <c r="H60" s="23"/>
      <c r="I60" s="23"/>
      <c r="J60" s="23"/>
      <c r="K60" s="23"/>
      <c r="L60" s="33"/>
      <c r="M60" s="26"/>
      <c r="N60" s="26"/>
      <c r="O60" s="26"/>
      <c r="P60" s="26"/>
      <c r="Q60" s="26"/>
      <c r="R60" s="26"/>
      <c r="S60" s="26"/>
      <c r="T60" s="26"/>
      <c r="U60" s="26"/>
      <c r="V60" s="26"/>
      <c r="W60" s="26"/>
      <c r="X60" s="26">
        <f>COUNTIF($L$2:L60,"&lt;&gt;"&amp;"")</f>
        <v>5</v>
      </c>
      <c r="Y60" s="27">
        <f t="shared" si="4"/>
        <v>0</v>
      </c>
      <c r="Z60" s="28"/>
      <c r="AA60" s="29"/>
      <c r="AB60" s="30" t="b">
        <f>TRUE()</f>
        <v>1</v>
      </c>
      <c r="AC60" s="31">
        <f t="shared" si="5"/>
        <v>0</v>
      </c>
      <c r="AD60" s="42"/>
      <c r="AE60" s="42"/>
    </row>
    <row r="61" spans="1:31" ht="15" customHeight="1">
      <c r="A61" s="20">
        <f t="shared" si="3"/>
        <v>0</v>
      </c>
      <c r="B61" s="23"/>
      <c r="C61" s="23"/>
      <c r="D61" s="23"/>
      <c r="E61" s="23"/>
      <c r="F61" s="23"/>
      <c r="G61" s="23"/>
      <c r="H61" s="23"/>
      <c r="I61" s="23"/>
      <c r="J61" s="23"/>
      <c r="K61" s="23"/>
      <c r="L61" s="33"/>
      <c r="M61" s="26"/>
      <c r="N61" s="26"/>
      <c r="O61" s="26"/>
      <c r="P61" s="26"/>
      <c r="Q61" s="26"/>
      <c r="R61" s="26"/>
      <c r="S61" s="26"/>
      <c r="T61" s="26"/>
      <c r="U61" s="26"/>
      <c r="V61" s="26"/>
      <c r="W61" s="26"/>
      <c r="X61" s="26">
        <f>COUNTIF($L$2:L61,"&lt;&gt;"&amp;"")</f>
        <v>5</v>
      </c>
      <c r="Y61" s="27">
        <f t="shared" si="4"/>
        <v>0</v>
      </c>
      <c r="Z61" s="28"/>
      <c r="AA61" s="29"/>
      <c r="AB61" s="30" t="b">
        <f>TRUE()</f>
        <v>1</v>
      </c>
      <c r="AC61" s="31">
        <f t="shared" si="5"/>
        <v>0</v>
      </c>
      <c r="AD61" s="42"/>
      <c r="AE61" s="42"/>
    </row>
    <row r="62" spans="1:31" ht="15" customHeight="1">
      <c r="A62" s="20">
        <f t="shared" si="3"/>
        <v>0</v>
      </c>
      <c r="B62" s="23"/>
      <c r="C62" s="23"/>
      <c r="D62" s="23"/>
      <c r="E62" s="23"/>
      <c r="F62" s="23"/>
      <c r="G62" s="23"/>
      <c r="H62" s="23"/>
      <c r="I62" s="23"/>
      <c r="J62" s="23"/>
      <c r="K62" s="23"/>
      <c r="L62" s="33"/>
      <c r="M62" s="26"/>
      <c r="N62" s="26"/>
      <c r="O62" s="26"/>
      <c r="P62" s="26"/>
      <c r="Q62" s="26"/>
      <c r="R62" s="26"/>
      <c r="S62" s="26"/>
      <c r="T62" s="26"/>
      <c r="U62" s="26"/>
      <c r="V62" s="26"/>
      <c r="W62" s="26"/>
      <c r="X62" s="26">
        <f>COUNTIF($L$2:L62,"&lt;&gt;"&amp;"")</f>
        <v>5</v>
      </c>
      <c r="Y62" s="27">
        <f t="shared" si="4"/>
        <v>0</v>
      </c>
      <c r="Z62" s="28"/>
      <c r="AA62" s="29"/>
      <c r="AB62" s="30" t="b">
        <f>TRUE()</f>
        <v>1</v>
      </c>
      <c r="AC62" s="31">
        <f t="shared" si="5"/>
        <v>0</v>
      </c>
      <c r="AD62" s="42"/>
      <c r="AE62" s="42"/>
    </row>
    <row r="63" spans="1:31" ht="15" customHeight="1">
      <c r="A63" s="20">
        <f t="shared" si="3"/>
        <v>0</v>
      </c>
      <c r="B63" s="23"/>
      <c r="C63" s="23"/>
      <c r="D63" s="23"/>
      <c r="E63" s="23"/>
      <c r="F63" s="23"/>
      <c r="G63" s="23"/>
      <c r="H63" s="23"/>
      <c r="I63" s="23"/>
      <c r="J63" s="23"/>
      <c r="K63" s="23"/>
      <c r="L63" s="33"/>
      <c r="M63" s="26"/>
      <c r="N63" s="26"/>
      <c r="O63" s="26"/>
      <c r="P63" s="26"/>
      <c r="Q63" s="26"/>
      <c r="R63" s="26"/>
      <c r="S63" s="26"/>
      <c r="T63" s="26"/>
      <c r="U63" s="26"/>
      <c r="V63" s="26"/>
      <c r="W63" s="26"/>
      <c r="X63" s="26">
        <f>COUNTIF($L$2:L63,"&lt;&gt;"&amp;"")</f>
        <v>5</v>
      </c>
      <c r="Y63" s="27">
        <f t="shared" si="4"/>
        <v>0</v>
      </c>
      <c r="Z63" s="28"/>
      <c r="AA63" s="29"/>
      <c r="AB63" s="30" t="b">
        <f>TRUE()</f>
        <v>1</v>
      </c>
      <c r="AC63" s="31">
        <f t="shared" si="5"/>
        <v>0</v>
      </c>
      <c r="AD63" s="42"/>
      <c r="AE63" s="42"/>
    </row>
    <row r="64" spans="1:31" ht="15" customHeight="1">
      <c r="A64" s="20">
        <f t="shared" si="3"/>
        <v>0</v>
      </c>
      <c r="B64" s="23"/>
      <c r="C64" s="23"/>
      <c r="D64" s="23"/>
      <c r="E64" s="23"/>
      <c r="F64" s="23"/>
      <c r="G64" s="23"/>
      <c r="H64" s="23"/>
      <c r="I64" s="23"/>
      <c r="J64" s="23"/>
      <c r="K64" s="23"/>
      <c r="L64" s="33"/>
      <c r="M64" s="26"/>
      <c r="N64" s="26"/>
      <c r="O64" s="26"/>
      <c r="P64" s="26"/>
      <c r="Q64" s="26"/>
      <c r="R64" s="26"/>
      <c r="S64" s="26"/>
      <c r="T64" s="26"/>
      <c r="U64" s="26"/>
      <c r="V64" s="26"/>
      <c r="W64" s="26"/>
      <c r="X64" s="26">
        <f>COUNTIF($L$2:L64,"&lt;&gt;"&amp;"")</f>
        <v>5</v>
      </c>
      <c r="Y64" s="27">
        <f t="shared" si="4"/>
        <v>0</v>
      </c>
      <c r="Z64" s="28"/>
      <c r="AA64" s="29"/>
      <c r="AB64" s="30" t="b">
        <f>TRUE()</f>
        <v>1</v>
      </c>
      <c r="AC64" s="31">
        <f t="shared" si="5"/>
        <v>0</v>
      </c>
      <c r="AD64" s="35"/>
      <c r="AE64" s="35"/>
    </row>
    <row r="65" spans="1:31" ht="15" customHeight="1">
      <c r="A65" s="20">
        <f t="shared" si="3"/>
        <v>0</v>
      </c>
      <c r="B65" s="23"/>
      <c r="C65" s="23"/>
      <c r="D65" s="23"/>
      <c r="E65" s="23"/>
      <c r="F65" s="23"/>
      <c r="G65" s="23"/>
      <c r="H65" s="23"/>
      <c r="I65" s="23"/>
      <c r="J65" s="23"/>
      <c r="K65" s="23"/>
      <c r="L65" s="33"/>
      <c r="M65" s="26"/>
      <c r="N65" s="26"/>
      <c r="O65" s="26"/>
      <c r="P65" s="26"/>
      <c r="Q65" s="26"/>
      <c r="R65" s="26"/>
      <c r="S65" s="26"/>
      <c r="T65" s="26"/>
      <c r="U65" s="26"/>
      <c r="V65" s="26"/>
      <c r="W65" s="26"/>
      <c r="X65" s="26">
        <f>COUNTIF($L$2:L65,"&lt;&gt;"&amp;"")</f>
        <v>5</v>
      </c>
      <c r="Y65" s="27">
        <f t="shared" si="4"/>
        <v>0</v>
      </c>
      <c r="Z65" s="28"/>
      <c r="AA65" s="29"/>
      <c r="AB65" s="30" t="b">
        <f>TRUE()</f>
        <v>1</v>
      </c>
      <c r="AC65" s="31">
        <f t="shared" si="5"/>
        <v>0</v>
      </c>
      <c r="AD65" s="42"/>
      <c r="AE65" s="42"/>
    </row>
    <row r="66" spans="1:31" ht="15" customHeight="1">
      <c r="A66" s="20">
        <f t="shared" ref="A66:A97" si="6">(B66*$P$125+C66*$P$126+D66*$P$127+E66*$P$128+F66*$P$129+G66*$P$130+H66*$P$131+I66*$P$132+J66*$P$133+K66*$P$134)*$T$123</f>
        <v>0</v>
      </c>
      <c r="B66" s="23"/>
      <c r="C66" s="23"/>
      <c r="D66" s="23"/>
      <c r="E66" s="23"/>
      <c r="F66" s="23"/>
      <c r="G66" s="23"/>
      <c r="H66" s="23"/>
      <c r="I66" s="23"/>
      <c r="J66" s="23"/>
      <c r="K66" s="23"/>
      <c r="L66" s="33"/>
      <c r="M66" s="33"/>
      <c r="N66" s="26"/>
      <c r="O66" s="26"/>
      <c r="P66" s="26"/>
      <c r="Q66" s="26"/>
      <c r="R66" s="26"/>
      <c r="S66" s="26"/>
      <c r="T66" s="26"/>
      <c r="U66" s="26"/>
      <c r="V66" s="26"/>
      <c r="W66" s="26"/>
      <c r="X66" s="26">
        <f>COUNTIF($L$2:L66,"&lt;&gt;"&amp;"")</f>
        <v>5</v>
      </c>
      <c r="Y66" s="27">
        <f t="shared" ref="Y66:Y97" si="7">SUMIF($X$2:$X$120,X66,$A$2:$A$120)</f>
        <v>0</v>
      </c>
      <c r="Z66" s="28"/>
      <c r="AA66" s="29"/>
      <c r="AB66" s="30" t="b">
        <f>TRUE()</f>
        <v>1</v>
      </c>
      <c r="AC66" s="31">
        <f t="shared" ref="AC66:AC97" si="8">IF(L66="",0,IF(AB66=FALSE(),0,Y66))</f>
        <v>0</v>
      </c>
      <c r="AD66" s="42"/>
      <c r="AE66" s="42"/>
    </row>
    <row r="67" spans="1:31" ht="15" customHeight="1">
      <c r="A67" s="20">
        <f t="shared" si="6"/>
        <v>0</v>
      </c>
      <c r="B67" s="23"/>
      <c r="C67" s="23"/>
      <c r="D67" s="23"/>
      <c r="E67" s="23"/>
      <c r="F67" s="23"/>
      <c r="G67" s="23"/>
      <c r="H67" s="23"/>
      <c r="I67" s="23"/>
      <c r="J67" s="23"/>
      <c r="K67" s="23"/>
      <c r="L67" s="33"/>
      <c r="M67" s="26"/>
      <c r="N67" s="33"/>
      <c r="O67" s="26"/>
      <c r="P67" s="26"/>
      <c r="Q67" s="26"/>
      <c r="R67" s="26"/>
      <c r="S67" s="26"/>
      <c r="T67" s="26"/>
      <c r="U67" s="26"/>
      <c r="V67" s="26"/>
      <c r="W67" s="26"/>
      <c r="X67" s="26">
        <f>COUNTIF($L$2:L67,"&lt;&gt;"&amp;"")</f>
        <v>5</v>
      </c>
      <c r="Y67" s="27">
        <f t="shared" si="7"/>
        <v>0</v>
      </c>
      <c r="Z67" s="28"/>
      <c r="AA67" s="29"/>
      <c r="AB67" s="30" t="b">
        <f>TRUE()</f>
        <v>1</v>
      </c>
      <c r="AC67" s="31">
        <f t="shared" si="8"/>
        <v>0</v>
      </c>
      <c r="AD67" s="42"/>
      <c r="AE67" s="42"/>
    </row>
    <row r="68" spans="1:31" ht="15" customHeight="1">
      <c r="A68" s="20">
        <f t="shared" si="6"/>
        <v>0</v>
      </c>
      <c r="B68" s="23"/>
      <c r="C68" s="23"/>
      <c r="D68" s="23"/>
      <c r="E68" s="23"/>
      <c r="F68" s="23"/>
      <c r="G68" s="23"/>
      <c r="H68" s="23"/>
      <c r="I68" s="23"/>
      <c r="J68" s="23"/>
      <c r="K68" s="23"/>
      <c r="L68" s="33"/>
      <c r="M68" s="26"/>
      <c r="N68" s="26"/>
      <c r="O68" s="26"/>
      <c r="P68" s="26"/>
      <c r="Q68" s="26"/>
      <c r="R68" s="26"/>
      <c r="S68" s="26"/>
      <c r="T68" s="26"/>
      <c r="U68" s="26"/>
      <c r="V68" s="26"/>
      <c r="W68" s="26"/>
      <c r="X68" s="26">
        <f>COUNTIF($L$2:L68,"&lt;&gt;"&amp;"")</f>
        <v>5</v>
      </c>
      <c r="Y68" s="27">
        <f t="shared" si="7"/>
        <v>0</v>
      </c>
      <c r="Z68" s="28"/>
      <c r="AA68" s="29"/>
      <c r="AB68" s="30" t="b">
        <f>TRUE()</f>
        <v>1</v>
      </c>
      <c r="AC68" s="31">
        <f t="shared" si="8"/>
        <v>0</v>
      </c>
      <c r="AD68" s="42"/>
      <c r="AE68" s="42"/>
    </row>
    <row r="69" spans="1:31" ht="15" customHeight="1">
      <c r="A69" s="20">
        <f t="shared" si="6"/>
        <v>0</v>
      </c>
      <c r="B69" s="23"/>
      <c r="C69" s="23"/>
      <c r="D69" s="23"/>
      <c r="E69" s="23"/>
      <c r="F69" s="23"/>
      <c r="G69" s="23"/>
      <c r="H69" s="23"/>
      <c r="I69" s="23"/>
      <c r="J69" s="23"/>
      <c r="K69" s="23"/>
      <c r="L69" s="33"/>
      <c r="M69" s="26"/>
      <c r="N69" s="26"/>
      <c r="O69" s="26"/>
      <c r="P69" s="26"/>
      <c r="Q69" s="26"/>
      <c r="R69" s="26"/>
      <c r="S69" s="26"/>
      <c r="T69" s="26"/>
      <c r="U69" s="26"/>
      <c r="V69" s="26"/>
      <c r="W69" s="26"/>
      <c r="X69" s="26">
        <f>COUNTIF($L$2:L69,"&lt;&gt;"&amp;"")</f>
        <v>5</v>
      </c>
      <c r="Y69" s="27">
        <f t="shared" si="7"/>
        <v>0</v>
      </c>
      <c r="Z69" s="28"/>
      <c r="AA69" s="29"/>
      <c r="AB69" s="30" t="b">
        <f>TRUE()</f>
        <v>1</v>
      </c>
      <c r="AC69" s="31">
        <f t="shared" si="8"/>
        <v>0</v>
      </c>
      <c r="AD69" s="42"/>
      <c r="AE69" s="42"/>
    </row>
    <row r="70" spans="1:31" ht="15" customHeight="1">
      <c r="A70" s="20">
        <f t="shared" si="6"/>
        <v>0</v>
      </c>
      <c r="B70" s="23"/>
      <c r="C70" s="23"/>
      <c r="D70" s="23"/>
      <c r="E70" s="23"/>
      <c r="F70" s="23"/>
      <c r="G70" s="23"/>
      <c r="H70" s="23"/>
      <c r="I70" s="23"/>
      <c r="J70" s="23"/>
      <c r="K70" s="23"/>
      <c r="L70" s="33"/>
      <c r="M70" s="26"/>
      <c r="N70" s="26"/>
      <c r="O70" s="26"/>
      <c r="P70" s="26"/>
      <c r="Q70" s="26"/>
      <c r="R70" s="26"/>
      <c r="S70" s="26"/>
      <c r="T70" s="26"/>
      <c r="U70" s="26"/>
      <c r="V70" s="26"/>
      <c r="W70" s="26"/>
      <c r="X70" s="26">
        <f>COUNTIF($L$2:L70,"&lt;&gt;"&amp;"")</f>
        <v>5</v>
      </c>
      <c r="Y70" s="27">
        <f t="shared" si="7"/>
        <v>0</v>
      </c>
      <c r="Z70" s="28"/>
      <c r="AA70" s="29"/>
      <c r="AB70" s="30" t="b">
        <f>TRUE()</f>
        <v>1</v>
      </c>
      <c r="AC70" s="31">
        <f t="shared" si="8"/>
        <v>0</v>
      </c>
      <c r="AD70" s="42"/>
      <c r="AE70" s="42"/>
    </row>
    <row r="71" spans="1:31" ht="15" customHeight="1">
      <c r="A71" s="20">
        <f t="shared" si="6"/>
        <v>0</v>
      </c>
      <c r="B71" s="23"/>
      <c r="C71" s="23"/>
      <c r="D71" s="23"/>
      <c r="E71" s="23"/>
      <c r="F71" s="23"/>
      <c r="G71" s="23"/>
      <c r="H71" s="23"/>
      <c r="I71" s="23"/>
      <c r="J71" s="23"/>
      <c r="K71" s="23"/>
      <c r="L71" s="33"/>
      <c r="M71" s="26"/>
      <c r="N71" s="26"/>
      <c r="O71" s="26"/>
      <c r="P71" s="26"/>
      <c r="Q71" s="26"/>
      <c r="R71" s="26"/>
      <c r="S71" s="26"/>
      <c r="T71" s="26"/>
      <c r="U71" s="26"/>
      <c r="V71" s="26"/>
      <c r="W71" s="26"/>
      <c r="X71" s="26">
        <f>COUNTIF($L$2:L71,"&lt;&gt;"&amp;"")</f>
        <v>5</v>
      </c>
      <c r="Y71" s="27">
        <f t="shared" si="7"/>
        <v>0</v>
      </c>
      <c r="Z71" s="28"/>
      <c r="AA71" s="29"/>
      <c r="AB71" s="30" t="b">
        <f>TRUE()</f>
        <v>1</v>
      </c>
      <c r="AC71" s="31">
        <f t="shared" si="8"/>
        <v>0</v>
      </c>
      <c r="AD71" s="42"/>
      <c r="AE71" s="42"/>
    </row>
    <row r="72" spans="1:31" ht="15" customHeight="1">
      <c r="A72" s="20">
        <f t="shared" si="6"/>
        <v>0</v>
      </c>
      <c r="B72" s="23"/>
      <c r="C72" s="23"/>
      <c r="D72" s="23"/>
      <c r="E72" s="23"/>
      <c r="F72" s="23"/>
      <c r="G72" s="23"/>
      <c r="H72" s="23"/>
      <c r="I72" s="23"/>
      <c r="J72" s="23"/>
      <c r="K72" s="23"/>
      <c r="L72" s="33"/>
      <c r="M72" s="26"/>
      <c r="N72" s="26"/>
      <c r="O72" s="26"/>
      <c r="P72" s="26"/>
      <c r="Q72" s="26"/>
      <c r="R72" s="26"/>
      <c r="S72" s="26"/>
      <c r="T72" s="26"/>
      <c r="U72" s="26"/>
      <c r="V72" s="26"/>
      <c r="W72" s="26"/>
      <c r="X72" s="26">
        <f>COUNTIF($L$2:L72,"&lt;&gt;"&amp;"")</f>
        <v>5</v>
      </c>
      <c r="Y72" s="27">
        <f t="shared" si="7"/>
        <v>0</v>
      </c>
      <c r="Z72" s="28"/>
      <c r="AA72" s="29"/>
      <c r="AB72" s="30" t="b">
        <f>TRUE()</f>
        <v>1</v>
      </c>
      <c r="AC72" s="31">
        <f t="shared" si="8"/>
        <v>0</v>
      </c>
      <c r="AD72" s="42"/>
      <c r="AE72" s="42"/>
    </row>
    <row r="73" spans="1:31" ht="15" customHeight="1">
      <c r="A73" s="20">
        <f t="shared" si="6"/>
        <v>0</v>
      </c>
      <c r="B73" s="23"/>
      <c r="C73" s="23"/>
      <c r="D73" s="23"/>
      <c r="E73" s="23"/>
      <c r="F73" s="23"/>
      <c r="G73" s="23"/>
      <c r="H73" s="23"/>
      <c r="I73" s="23"/>
      <c r="J73" s="23"/>
      <c r="K73" s="23"/>
      <c r="L73" s="33"/>
      <c r="M73" s="26"/>
      <c r="N73" s="26"/>
      <c r="O73" s="26"/>
      <c r="P73" s="26"/>
      <c r="Q73" s="26"/>
      <c r="R73" s="26"/>
      <c r="S73" s="26"/>
      <c r="T73" s="26"/>
      <c r="U73" s="26"/>
      <c r="V73" s="26"/>
      <c r="W73" s="26"/>
      <c r="X73" s="26">
        <f>COUNTIF($L$2:L73,"&lt;&gt;"&amp;"")</f>
        <v>5</v>
      </c>
      <c r="Y73" s="27">
        <f t="shared" si="7"/>
        <v>0</v>
      </c>
      <c r="Z73" s="28"/>
      <c r="AA73" s="29"/>
      <c r="AB73" s="30" t="b">
        <f>TRUE()</f>
        <v>1</v>
      </c>
      <c r="AC73" s="31">
        <f t="shared" si="8"/>
        <v>0</v>
      </c>
      <c r="AD73" s="42"/>
      <c r="AE73" s="42"/>
    </row>
    <row r="74" spans="1:31" ht="15" customHeight="1">
      <c r="A74" s="20">
        <f t="shared" si="6"/>
        <v>0</v>
      </c>
      <c r="B74" s="23"/>
      <c r="C74" s="23"/>
      <c r="D74" s="23"/>
      <c r="E74" s="23"/>
      <c r="F74" s="23"/>
      <c r="G74" s="23"/>
      <c r="H74" s="23"/>
      <c r="I74" s="23"/>
      <c r="J74" s="23"/>
      <c r="K74" s="23"/>
      <c r="L74" s="33"/>
      <c r="M74" s="33"/>
      <c r="N74" s="26"/>
      <c r="O74" s="26"/>
      <c r="P74" s="26"/>
      <c r="Q74" s="26"/>
      <c r="R74" s="26"/>
      <c r="S74" s="26"/>
      <c r="T74" s="26"/>
      <c r="U74" s="26"/>
      <c r="V74" s="26"/>
      <c r="W74" s="26"/>
      <c r="X74" s="26">
        <f>COUNTIF($L$2:L74,"&lt;&gt;"&amp;"")</f>
        <v>5</v>
      </c>
      <c r="Y74" s="27">
        <f t="shared" si="7"/>
        <v>0</v>
      </c>
      <c r="Z74" s="28"/>
      <c r="AA74" s="29"/>
      <c r="AB74" s="30" t="b">
        <f>TRUE()</f>
        <v>1</v>
      </c>
      <c r="AC74" s="31">
        <f t="shared" si="8"/>
        <v>0</v>
      </c>
      <c r="AD74" s="42"/>
      <c r="AE74" s="42"/>
    </row>
    <row r="75" spans="1:31" ht="15" customHeight="1">
      <c r="A75" s="20">
        <f t="shared" si="6"/>
        <v>0</v>
      </c>
      <c r="B75" s="23"/>
      <c r="C75" s="23"/>
      <c r="D75" s="23"/>
      <c r="E75" s="23"/>
      <c r="F75" s="23"/>
      <c r="G75" s="23"/>
      <c r="H75" s="23"/>
      <c r="I75" s="23"/>
      <c r="J75" s="23"/>
      <c r="K75" s="23"/>
      <c r="L75" s="33"/>
      <c r="M75" s="26"/>
      <c r="N75" s="26"/>
      <c r="O75" s="26"/>
      <c r="P75" s="26"/>
      <c r="Q75" s="26"/>
      <c r="R75" s="26"/>
      <c r="S75" s="26"/>
      <c r="T75" s="26"/>
      <c r="U75" s="26"/>
      <c r="V75" s="26"/>
      <c r="W75" s="26"/>
      <c r="X75" s="26">
        <f>COUNTIF($L$2:L75,"&lt;&gt;"&amp;"")</f>
        <v>5</v>
      </c>
      <c r="Y75" s="27">
        <f t="shared" si="7"/>
        <v>0</v>
      </c>
      <c r="Z75" s="28"/>
      <c r="AA75" s="29"/>
      <c r="AB75" s="30" t="b">
        <f>TRUE()</f>
        <v>1</v>
      </c>
      <c r="AC75" s="31">
        <f t="shared" si="8"/>
        <v>0</v>
      </c>
      <c r="AD75" s="35"/>
      <c r="AE75" s="35"/>
    </row>
    <row r="76" spans="1:31" ht="15" customHeight="1">
      <c r="A76" s="20">
        <f t="shared" si="6"/>
        <v>0</v>
      </c>
      <c r="B76" s="23"/>
      <c r="C76" s="23"/>
      <c r="D76" s="23"/>
      <c r="E76" s="23"/>
      <c r="F76" s="23"/>
      <c r="G76" s="23"/>
      <c r="H76" s="23"/>
      <c r="I76" s="23"/>
      <c r="J76" s="23"/>
      <c r="K76" s="23"/>
      <c r="L76" s="33"/>
      <c r="M76" s="26"/>
      <c r="N76" s="26"/>
      <c r="O76" s="26"/>
      <c r="P76" s="26"/>
      <c r="Q76" s="26"/>
      <c r="R76" s="26"/>
      <c r="S76" s="26"/>
      <c r="T76" s="26"/>
      <c r="U76" s="26"/>
      <c r="V76" s="26"/>
      <c r="W76" s="26"/>
      <c r="X76" s="26">
        <f>COUNTIF($L$2:L76,"&lt;&gt;"&amp;"")</f>
        <v>5</v>
      </c>
      <c r="Y76" s="27">
        <f t="shared" si="7"/>
        <v>0</v>
      </c>
      <c r="Z76" s="28"/>
      <c r="AA76" s="29"/>
      <c r="AB76" s="30" t="b">
        <f>TRUE()</f>
        <v>1</v>
      </c>
      <c r="AC76" s="31">
        <f t="shared" si="8"/>
        <v>0</v>
      </c>
      <c r="AD76" s="35"/>
      <c r="AE76" s="35"/>
    </row>
    <row r="77" spans="1:31" ht="15" customHeight="1">
      <c r="A77" s="20">
        <f t="shared" si="6"/>
        <v>0</v>
      </c>
      <c r="B77" s="23"/>
      <c r="C77" s="23"/>
      <c r="D77" s="23"/>
      <c r="E77" s="23"/>
      <c r="F77" s="23"/>
      <c r="G77" s="23"/>
      <c r="H77" s="23"/>
      <c r="I77" s="23"/>
      <c r="J77" s="23"/>
      <c r="K77" s="23"/>
      <c r="L77" s="33"/>
      <c r="M77" s="26"/>
      <c r="N77" s="26"/>
      <c r="O77" s="26"/>
      <c r="P77" s="26"/>
      <c r="Q77" s="26"/>
      <c r="R77" s="26"/>
      <c r="S77" s="26"/>
      <c r="T77" s="26"/>
      <c r="U77" s="26"/>
      <c r="V77" s="26"/>
      <c r="W77" s="26"/>
      <c r="X77" s="26">
        <f>COUNTIF($L$2:L77,"&lt;&gt;"&amp;"")</f>
        <v>5</v>
      </c>
      <c r="Y77" s="27">
        <f t="shared" si="7"/>
        <v>0</v>
      </c>
      <c r="Z77" s="28"/>
      <c r="AA77" s="29"/>
      <c r="AB77" s="30" t="b">
        <f>TRUE()</f>
        <v>1</v>
      </c>
      <c r="AC77" s="31">
        <f t="shared" si="8"/>
        <v>0</v>
      </c>
      <c r="AD77" s="35"/>
      <c r="AE77" s="35"/>
    </row>
    <row r="78" spans="1:31" ht="15" customHeight="1">
      <c r="A78" s="20">
        <f t="shared" si="6"/>
        <v>0</v>
      </c>
      <c r="B78" s="23"/>
      <c r="C78" s="23"/>
      <c r="D78" s="23"/>
      <c r="E78" s="23"/>
      <c r="F78" s="23"/>
      <c r="G78" s="23"/>
      <c r="H78" s="23"/>
      <c r="I78" s="23"/>
      <c r="J78" s="23"/>
      <c r="K78" s="23"/>
      <c r="L78" s="33"/>
      <c r="M78" s="26"/>
      <c r="N78" s="26"/>
      <c r="O78" s="26"/>
      <c r="P78" s="26"/>
      <c r="Q78" s="26"/>
      <c r="R78" s="26"/>
      <c r="S78" s="26"/>
      <c r="T78" s="26"/>
      <c r="U78" s="26"/>
      <c r="V78" s="26"/>
      <c r="W78" s="26"/>
      <c r="X78" s="26">
        <f>COUNTIF($L$2:L78,"&lt;&gt;"&amp;"")</f>
        <v>5</v>
      </c>
      <c r="Y78" s="27">
        <f t="shared" si="7"/>
        <v>0</v>
      </c>
      <c r="Z78" s="28"/>
      <c r="AA78" s="29"/>
      <c r="AB78" s="30" t="b">
        <f>TRUE()</f>
        <v>1</v>
      </c>
      <c r="AC78" s="31">
        <f t="shared" si="8"/>
        <v>0</v>
      </c>
      <c r="AD78" s="35"/>
      <c r="AE78" s="35"/>
    </row>
    <row r="79" spans="1:31" ht="15" customHeight="1">
      <c r="A79" s="20">
        <f t="shared" si="6"/>
        <v>0</v>
      </c>
      <c r="B79" s="23"/>
      <c r="C79" s="23"/>
      <c r="D79" s="23"/>
      <c r="E79" s="23"/>
      <c r="F79" s="23"/>
      <c r="G79" s="23"/>
      <c r="H79" s="23"/>
      <c r="I79" s="23"/>
      <c r="J79" s="23"/>
      <c r="K79" s="23"/>
      <c r="L79" s="33"/>
      <c r="M79" s="26"/>
      <c r="N79" s="26"/>
      <c r="O79" s="26"/>
      <c r="P79" s="26"/>
      <c r="Q79" s="26"/>
      <c r="R79" s="26"/>
      <c r="S79" s="26"/>
      <c r="T79" s="26"/>
      <c r="U79" s="26"/>
      <c r="V79" s="26"/>
      <c r="W79" s="26"/>
      <c r="X79" s="26">
        <f>COUNTIF($L$2:L79,"&lt;&gt;"&amp;"")</f>
        <v>5</v>
      </c>
      <c r="Y79" s="27">
        <f t="shared" si="7"/>
        <v>0</v>
      </c>
      <c r="Z79" s="28"/>
      <c r="AA79" s="29"/>
      <c r="AB79" s="30" t="b">
        <f>TRUE()</f>
        <v>1</v>
      </c>
      <c r="AC79" s="31">
        <f t="shared" si="8"/>
        <v>0</v>
      </c>
      <c r="AD79" s="35"/>
      <c r="AE79" s="35"/>
    </row>
    <row r="80" spans="1:31" ht="15" customHeight="1">
      <c r="A80" s="20">
        <f t="shared" si="6"/>
        <v>0</v>
      </c>
      <c r="B80" s="23"/>
      <c r="C80" s="23"/>
      <c r="D80" s="23"/>
      <c r="E80" s="23"/>
      <c r="F80" s="23"/>
      <c r="G80" s="23"/>
      <c r="H80" s="23"/>
      <c r="I80" s="23"/>
      <c r="J80" s="23"/>
      <c r="K80" s="23"/>
      <c r="L80" s="33"/>
      <c r="M80" s="26"/>
      <c r="N80" s="26"/>
      <c r="O80" s="26"/>
      <c r="P80" s="26"/>
      <c r="Q80" s="26"/>
      <c r="R80" s="26"/>
      <c r="S80" s="26"/>
      <c r="T80" s="26"/>
      <c r="U80" s="26"/>
      <c r="V80" s="26"/>
      <c r="W80" s="26"/>
      <c r="X80" s="26">
        <f>COUNTIF($L$2:L80,"&lt;&gt;"&amp;"")</f>
        <v>5</v>
      </c>
      <c r="Y80" s="27">
        <f t="shared" si="7"/>
        <v>0</v>
      </c>
      <c r="Z80" s="28"/>
      <c r="AA80" s="29"/>
      <c r="AB80" s="30" t="b">
        <f>TRUE()</f>
        <v>1</v>
      </c>
      <c r="AC80" s="31">
        <f t="shared" si="8"/>
        <v>0</v>
      </c>
      <c r="AD80" s="23"/>
      <c r="AE80" s="23"/>
    </row>
    <row r="81" spans="1:31" ht="15" customHeight="1">
      <c r="A81" s="20">
        <f t="shared" si="6"/>
        <v>0</v>
      </c>
      <c r="B81" s="23"/>
      <c r="C81" s="23"/>
      <c r="D81" s="23"/>
      <c r="E81" s="23"/>
      <c r="F81" s="23"/>
      <c r="G81" s="23"/>
      <c r="H81" s="23"/>
      <c r="I81" s="23"/>
      <c r="J81" s="23"/>
      <c r="K81" s="23"/>
      <c r="L81" s="33"/>
      <c r="M81" s="26"/>
      <c r="N81" s="26"/>
      <c r="O81" s="26"/>
      <c r="P81" s="26"/>
      <c r="Q81" s="26"/>
      <c r="R81" s="26"/>
      <c r="S81" s="26"/>
      <c r="T81" s="26"/>
      <c r="U81" s="26"/>
      <c r="V81" s="26"/>
      <c r="W81" s="26"/>
      <c r="X81" s="26">
        <f>COUNTIF($L$2:L81,"&lt;&gt;"&amp;"")</f>
        <v>5</v>
      </c>
      <c r="Y81" s="27">
        <f t="shared" si="7"/>
        <v>0</v>
      </c>
      <c r="Z81" s="28"/>
      <c r="AA81" s="29"/>
      <c r="AB81" s="30" t="b">
        <f>TRUE()</f>
        <v>1</v>
      </c>
      <c r="AC81" s="31">
        <f t="shared" si="8"/>
        <v>0</v>
      </c>
      <c r="AD81" s="23"/>
      <c r="AE81" s="23"/>
    </row>
    <row r="82" spans="1:31" ht="15" customHeight="1">
      <c r="A82" s="20">
        <f t="shared" si="6"/>
        <v>0</v>
      </c>
      <c r="B82" s="23"/>
      <c r="C82" s="23"/>
      <c r="D82" s="23"/>
      <c r="E82" s="23"/>
      <c r="F82" s="23"/>
      <c r="G82" s="23"/>
      <c r="H82" s="23"/>
      <c r="I82" s="23"/>
      <c r="J82" s="23"/>
      <c r="K82" s="23"/>
      <c r="L82" s="33"/>
      <c r="M82" s="26"/>
      <c r="N82" s="26"/>
      <c r="O82" s="26"/>
      <c r="P82" s="26"/>
      <c r="Q82" s="26"/>
      <c r="R82" s="26"/>
      <c r="S82" s="26"/>
      <c r="T82" s="26"/>
      <c r="U82" s="26"/>
      <c r="V82" s="26"/>
      <c r="W82" s="26"/>
      <c r="X82" s="26">
        <f>COUNTIF($L$2:L82,"&lt;&gt;"&amp;"")</f>
        <v>5</v>
      </c>
      <c r="Y82" s="27">
        <f t="shared" si="7"/>
        <v>0</v>
      </c>
      <c r="Z82" s="28"/>
      <c r="AA82" s="29"/>
      <c r="AB82" s="30" t="b">
        <f>TRUE()</f>
        <v>1</v>
      </c>
      <c r="AC82" s="31">
        <f t="shared" si="8"/>
        <v>0</v>
      </c>
      <c r="AD82" s="23"/>
      <c r="AE82" s="23"/>
    </row>
    <row r="83" spans="1:31" ht="15" customHeight="1">
      <c r="A83" s="20">
        <f t="shared" si="6"/>
        <v>0</v>
      </c>
      <c r="B83" s="23"/>
      <c r="C83" s="23"/>
      <c r="D83" s="23"/>
      <c r="E83" s="23"/>
      <c r="F83" s="23"/>
      <c r="G83" s="23"/>
      <c r="H83" s="23"/>
      <c r="I83" s="23"/>
      <c r="J83" s="23"/>
      <c r="K83" s="23"/>
      <c r="L83" s="33"/>
      <c r="M83" s="26"/>
      <c r="N83" s="26"/>
      <c r="O83" s="26"/>
      <c r="P83" s="26"/>
      <c r="Q83" s="26"/>
      <c r="R83" s="26"/>
      <c r="S83" s="26"/>
      <c r="T83" s="26"/>
      <c r="U83" s="26"/>
      <c r="V83" s="26"/>
      <c r="W83" s="26"/>
      <c r="X83" s="26">
        <f>COUNTIF($L$2:L83,"&lt;&gt;"&amp;"")</f>
        <v>5</v>
      </c>
      <c r="Y83" s="27">
        <f t="shared" si="7"/>
        <v>0</v>
      </c>
      <c r="Z83" s="28"/>
      <c r="AA83" s="29"/>
      <c r="AB83" s="30" t="b">
        <f>TRUE()</f>
        <v>1</v>
      </c>
      <c r="AC83" s="31">
        <f t="shared" si="8"/>
        <v>0</v>
      </c>
      <c r="AD83" s="23"/>
      <c r="AE83" s="23"/>
    </row>
    <row r="84" spans="1:31" ht="15" customHeight="1">
      <c r="A84" s="20">
        <f t="shared" si="6"/>
        <v>0</v>
      </c>
      <c r="B84" s="23"/>
      <c r="C84" s="23"/>
      <c r="D84" s="23"/>
      <c r="E84" s="23"/>
      <c r="F84" s="23"/>
      <c r="G84" s="23"/>
      <c r="H84" s="23"/>
      <c r="I84" s="23"/>
      <c r="J84" s="23"/>
      <c r="K84" s="23"/>
      <c r="L84" s="33"/>
      <c r="M84" s="26"/>
      <c r="N84" s="26"/>
      <c r="O84" s="26"/>
      <c r="P84" s="26"/>
      <c r="Q84" s="26"/>
      <c r="R84" s="26"/>
      <c r="S84" s="26"/>
      <c r="T84" s="26"/>
      <c r="U84" s="26"/>
      <c r="V84" s="26"/>
      <c r="W84" s="26"/>
      <c r="X84" s="26">
        <f>COUNTIF($L$2:L84,"&lt;&gt;"&amp;"")</f>
        <v>5</v>
      </c>
      <c r="Y84" s="27">
        <f t="shared" si="7"/>
        <v>0</v>
      </c>
      <c r="Z84" s="28"/>
      <c r="AA84" s="29"/>
      <c r="AB84" s="30" t="b">
        <f>TRUE()</f>
        <v>1</v>
      </c>
      <c r="AC84" s="31">
        <f t="shared" si="8"/>
        <v>0</v>
      </c>
      <c r="AD84" s="23"/>
      <c r="AE84" s="23"/>
    </row>
    <row r="85" spans="1:31" ht="15" customHeight="1">
      <c r="A85" s="20">
        <f t="shared" si="6"/>
        <v>0</v>
      </c>
      <c r="B85" s="23"/>
      <c r="C85" s="23"/>
      <c r="D85" s="23"/>
      <c r="E85" s="23"/>
      <c r="F85" s="23"/>
      <c r="G85" s="23"/>
      <c r="H85" s="23"/>
      <c r="I85" s="23"/>
      <c r="J85" s="23"/>
      <c r="K85" s="23"/>
      <c r="L85" s="33"/>
      <c r="M85" s="26"/>
      <c r="N85" s="26"/>
      <c r="O85" s="26"/>
      <c r="P85" s="26"/>
      <c r="Q85" s="26"/>
      <c r="R85" s="26"/>
      <c r="S85" s="26"/>
      <c r="T85" s="26"/>
      <c r="U85" s="26"/>
      <c r="V85" s="26"/>
      <c r="W85" s="26"/>
      <c r="X85" s="26">
        <f>COUNTIF($L$2:L85,"&lt;&gt;"&amp;"")</f>
        <v>5</v>
      </c>
      <c r="Y85" s="27">
        <f t="shared" si="7"/>
        <v>0</v>
      </c>
      <c r="Z85" s="28"/>
      <c r="AA85" s="29"/>
      <c r="AB85" s="30" t="b">
        <f>TRUE()</f>
        <v>1</v>
      </c>
      <c r="AC85" s="31">
        <f t="shared" si="8"/>
        <v>0</v>
      </c>
      <c r="AD85" s="42"/>
      <c r="AE85" s="42"/>
    </row>
    <row r="86" spans="1:31" ht="15" customHeight="1">
      <c r="A86" s="20">
        <f t="shared" si="6"/>
        <v>0</v>
      </c>
      <c r="B86" s="23"/>
      <c r="C86" s="23"/>
      <c r="D86" s="23"/>
      <c r="E86" s="23"/>
      <c r="F86" s="23"/>
      <c r="G86" s="23"/>
      <c r="H86" s="23"/>
      <c r="I86" s="23"/>
      <c r="J86" s="23"/>
      <c r="K86" s="23"/>
      <c r="L86" s="33"/>
      <c r="M86" s="26"/>
      <c r="N86" s="26"/>
      <c r="O86" s="26"/>
      <c r="P86" s="26"/>
      <c r="Q86" s="26"/>
      <c r="R86" s="26"/>
      <c r="S86" s="26"/>
      <c r="T86" s="26"/>
      <c r="U86" s="26"/>
      <c r="V86" s="26"/>
      <c r="W86" s="26"/>
      <c r="X86" s="26">
        <f>COUNTIF($L$2:L86,"&lt;&gt;"&amp;"")</f>
        <v>5</v>
      </c>
      <c r="Y86" s="27">
        <f t="shared" si="7"/>
        <v>0</v>
      </c>
      <c r="Z86" s="28"/>
      <c r="AA86" s="29"/>
      <c r="AB86" s="30" t="b">
        <f>TRUE()</f>
        <v>1</v>
      </c>
      <c r="AC86" s="31">
        <f t="shared" si="8"/>
        <v>0</v>
      </c>
      <c r="AD86" s="42"/>
      <c r="AE86" s="42"/>
    </row>
    <row r="87" spans="1:31" ht="15" customHeight="1">
      <c r="A87" s="20">
        <f t="shared" si="6"/>
        <v>0</v>
      </c>
      <c r="B87" s="23"/>
      <c r="C87" s="23"/>
      <c r="D87" s="23"/>
      <c r="E87" s="23"/>
      <c r="F87" s="23"/>
      <c r="G87" s="23"/>
      <c r="H87" s="23"/>
      <c r="I87" s="23"/>
      <c r="J87" s="23"/>
      <c r="K87" s="23"/>
      <c r="L87" s="33"/>
      <c r="M87" s="26"/>
      <c r="N87" s="26"/>
      <c r="O87" s="26"/>
      <c r="P87" s="26"/>
      <c r="Q87" s="26"/>
      <c r="R87" s="26"/>
      <c r="S87" s="26"/>
      <c r="T87" s="26"/>
      <c r="U87" s="26"/>
      <c r="V87" s="26"/>
      <c r="W87" s="26"/>
      <c r="X87" s="26">
        <f>COUNTIF($L$2:L87,"&lt;&gt;"&amp;"")</f>
        <v>5</v>
      </c>
      <c r="Y87" s="27">
        <f t="shared" si="7"/>
        <v>0</v>
      </c>
      <c r="Z87" s="28"/>
      <c r="AA87" s="29"/>
      <c r="AB87" s="30" t="b">
        <f>TRUE()</f>
        <v>1</v>
      </c>
      <c r="AC87" s="31">
        <f t="shared" si="8"/>
        <v>0</v>
      </c>
      <c r="AD87" s="42"/>
      <c r="AE87" s="42"/>
    </row>
    <row r="88" spans="1:31" ht="15" customHeight="1">
      <c r="A88" s="20">
        <f t="shared" si="6"/>
        <v>0</v>
      </c>
      <c r="B88" s="23"/>
      <c r="C88" s="23"/>
      <c r="D88" s="23"/>
      <c r="E88" s="23"/>
      <c r="F88" s="23"/>
      <c r="G88" s="23"/>
      <c r="H88" s="23"/>
      <c r="I88" s="23"/>
      <c r="J88" s="23"/>
      <c r="K88" s="23"/>
      <c r="L88" s="33"/>
      <c r="M88" s="26"/>
      <c r="N88" s="26"/>
      <c r="O88" s="26"/>
      <c r="P88" s="26"/>
      <c r="Q88" s="26"/>
      <c r="R88" s="26"/>
      <c r="S88" s="26"/>
      <c r="T88" s="26"/>
      <c r="U88" s="26"/>
      <c r="V88" s="26"/>
      <c r="W88" s="26"/>
      <c r="X88" s="26">
        <f>COUNTIF($L$2:L88,"&lt;&gt;"&amp;"")</f>
        <v>5</v>
      </c>
      <c r="Y88" s="27">
        <f t="shared" si="7"/>
        <v>0</v>
      </c>
      <c r="Z88" s="28"/>
      <c r="AA88" s="29"/>
      <c r="AB88" s="30" t="b">
        <f>TRUE()</f>
        <v>1</v>
      </c>
      <c r="AC88" s="31">
        <f t="shared" si="8"/>
        <v>0</v>
      </c>
      <c r="AD88" s="42"/>
      <c r="AE88" s="42"/>
    </row>
    <row r="89" spans="1:31" ht="15" customHeight="1">
      <c r="A89" s="20">
        <f t="shared" si="6"/>
        <v>0</v>
      </c>
      <c r="B89" s="23"/>
      <c r="C89" s="23"/>
      <c r="D89" s="23"/>
      <c r="E89" s="23"/>
      <c r="F89" s="23"/>
      <c r="G89" s="23"/>
      <c r="H89" s="23"/>
      <c r="I89" s="23"/>
      <c r="J89" s="23"/>
      <c r="K89" s="23"/>
      <c r="L89" s="33"/>
      <c r="M89" s="26"/>
      <c r="N89" s="26"/>
      <c r="O89" s="26"/>
      <c r="P89" s="26"/>
      <c r="Q89" s="26"/>
      <c r="R89" s="26"/>
      <c r="S89" s="26"/>
      <c r="T89" s="26"/>
      <c r="U89" s="26"/>
      <c r="V89" s="26"/>
      <c r="W89" s="26"/>
      <c r="X89" s="26">
        <f>COUNTIF($L$2:L89,"&lt;&gt;"&amp;"")</f>
        <v>5</v>
      </c>
      <c r="Y89" s="27">
        <f t="shared" si="7"/>
        <v>0</v>
      </c>
      <c r="Z89" s="28"/>
      <c r="AA89" s="29"/>
      <c r="AB89" s="30" t="b">
        <f>TRUE()</f>
        <v>1</v>
      </c>
      <c r="AC89" s="31">
        <f t="shared" si="8"/>
        <v>0</v>
      </c>
      <c r="AD89" s="42"/>
      <c r="AE89" s="42"/>
    </row>
    <row r="90" spans="1:31" ht="15" customHeight="1">
      <c r="A90" s="20">
        <f t="shared" si="6"/>
        <v>0</v>
      </c>
      <c r="B90" s="23"/>
      <c r="C90" s="23"/>
      <c r="D90" s="23"/>
      <c r="E90" s="23"/>
      <c r="F90" s="23"/>
      <c r="G90" s="23"/>
      <c r="H90" s="23"/>
      <c r="I90" s="23"/>
      <c r="J90" s="23"/>
      <c r="K90" s="23"/>
      <c r="L90" s="33"/>
      <c r="M90" s="26"/>
      <c r="N90" s="26"/>
      <c r="O90" s="26"/>
      <c r="P90" s="26"/>
      <c r="Q90" s="26"/>
      <c r="R90" s="26"/>
      <c r="S90" s="26"/>
      <c r="T90" s="26"/>
      <c r="U90" s="26"/>
      <c r="V90" s="26"/>
      <c r="W90" s="26"/>
      <c r="X90" s="26">
        <f>COUNTIF($L$2:L90,"&lt;&gt;"&amp;"")</f>
        <v>5</v>
      </c>
      <c r="Y90" s="27">
        <f t="shared" si="7"/>
        <v>0</v>
      </c>
      <c r="Z90" s="28"/>
      <c r="AA90" s="29"/>
      <c r="AB90" s="30" t="b">
        <f>TRUE()</f>
        <v>1</v>
      </c>
      <c r="AC90" s="31">
        <f t="shared" si="8"/>
        <v>0</v>
      </c>
      <c r="AD90" s="42"/>
      <c r="AE90" s="42"/>
    </row>
    <row r="91" spans="1:31" ht="15" customHeight="1">
      <c r="A91" s="20">
        <f t="shared" si="6"/>
        <v>0</v>
      </c>
      <c r="B91" s="23"/>
      <c r="C91" s="23"/>
      <c r="D91" s="23"/>
      <c r="E91" s="23"/>
      <c r="F91" s="23"/>
      <c r="G91" s="23"/>
      <c r="H91" s="23"/>
      <c r="I91" s="23"/>
      <c r="J91" s="23"/>
      <c r="K91" s="23"/>
      <c r="L91" s="33"/>
      <c r="M91" s="26"/>
      <c r="N91" s="26"/>
      <c r="O91" s="26"/>
      <c r="P91" s="26"/>
      <c r="Q91" s="26"/>
      <c r="R91" s="26"/>
      <c r="S91" s="26"/>
      <c r="T91" s="26"/>
      <c r="U91" s="26"/>
      <c r="V91" s="26"/>
      <c r="W91" s="26"/>
      <c r="X91" s="26">
        <f>COUNTIF($L$2:L91,"&lt;&gt;"&amp;"")</f>
        <v>5</v>
      </c>
      <c r="Y91" s="27">
        <f t="shared" si="7"/>
        <v>0</v>
      </c>
      <c r="Z91" s="28"/>
      <c r="AA91" s="29"/>
      <c r="AB91" s="30" t="b">
        <f>TRUE()</f>
        <v>1</v>
      </c>
      <c r="AC91" s="31">
        <f t="shared" si="8"/>
        <v>0</v>
      </c>
      <c r="AD91" s="42"/>
      <c r="AE91" s="42"/>
    </row>
    <row r="92" spans="1:31" ht="15" customHeight="1">
      <c r="A92" s="20">
        <f t="shared" si="6"/>
        <v>0</v>
      </c>
      <c r="B92" s="23"/>
      <c r="C92" s="23"/>
      <c r="D92" s="23"/>
      <c r="E92" s="23"/>
      <c r="F92" s="23"/>
      <c r="G92" s="23"/>
      <c r="H92" s="23"/>
      <c r="I92" s="23"/>
      <c r="J92" s="23"/>
      <c r="K92" s="23"/>
      <c r="L92" s="33"/>
      <c r="M92" s="26"/>
      <c r="N92" s="26"/>
      <c r="O92" s="26"/>
      <c r="P92" s="26"/>
      <c r="Q92" s="26"/>
      <c r="R92" s="26"/>
      <c r="S92" s="26"/>
      <c r="T92" s="26"/>
      <c r="U92" s="26"/>
      <c r="V92" s="26"/>
      <c r="W92" s="26"/>
      <c r="X92" s="26">
        <f>COUNTIF($L$2:L92,"&lt;&gt;"&amp;"")</f>
        <v>5</v>
      </c>
      <c r="Y92" s="27">
        <f t="shared" si="7"/>
        <v>0</v>
      </c>
      <c r="Z92" s="28"/>
      <c r="AA92" s="29"/>
      <c r="AB92" s="30" t="b">
        <f>TRUE()</f>
        <v>1</v>
      </c>
      <c r="AC92" s="31">
        <f t="shared" si="8"/>
        <v>0</v>
      </c>
      <c r="AD92" s="42"/>
      <c r="AE92" s="42"/>
    </row>
    <row r="93" spans="1:31" ht="15" customHeight="1">
      <c r="A93" s="20">
        <f t="shared" si="6"/>
        <v>0</v>
      </c>
      <c r="B93" s="23"/>
      <c r="C93" s="23"/>
      <c r="D93" s="23"/>
      <c r="E93" s="23"/>
      <c r="F93" s="23"/>
      <c r="G93" s="23"/>
      <c r="H93" s="23"/>
      <c r="I93" s="23"/>
      <c r="J93" s="23"/>
      <c r="K93" s="23"/>
      <c r="L93" s="33"/>
      <c r="M93" s="26"/>
      <c r="N93" s="26"/>
      <c r="O93" s="26"/>
      <c r="P93" s="26"/>
      <c r="Q93" s="26"/>
      <c r="R93" s="26"/>
      <c r="S93" s="26"/>
      <c r="T93" s="26"/>
      <c r="U93" s="26"/>
      <c r="V93" s="26"/>
      <c r="W93" s="26"/>
      <c r="X93" s="26">
        <f>COUNTIF($L$2:L95,"&lt;&gt;"&amp;"")</f>
        <v>5</v>
      </c>
      <c r="Y93" s="27">
        <f t="shared" si="7"/>
        <v>0</v>
      </c>
      <c r="Z93" s="28"/>
      <c r="AA93" s="29"/>
      <c r="AB93" s="30" t="b">
        <f>TRUE()</f>
        <v>1</v>
      </c>
      <c r="AC93" s="31">
        <f t="shared" si="8"/>
        <v>0</v>
      </c>
      <c r="AD93" s="42"/>
      <c r="AE93" s="42"/>
    </row>
    <row r="94" spans="1:31" ht="15" customHeight="1">
      <c r="A94" s="20">
        <f t="shared" si="6"/>
        <v>0</v>
      </c>
      <c r="B94" s="23"/>
      <c r="C94" s="23"/>
      <c r="D94" s="23"/>
      <c r="E94" s="23"/>
      <c r="F94" s="23"/>
      <c r="G94" s="23"/>
      <c r="H94" s="23"/>
      <c r="I94" s="23"/>
      <c r="J94" s="23"/>
      <c r="K94" s="23"/>
      <c r="L94" s="33"/>
      <c r="M94" s="26"/>
      <c r="N94" s="26"/>
      <c r="O94" s="26"/>
      <c r="P94" s="26"/>
      <c r="Q94" s="26"/>
      <c r="R94" s="26"/>
      <c r="S94" s="26"/>
      <c r="T94" s="26"/>
      <c r="U94" s="26"/>
      <c r="V94" s="26"/>
      <c r="W94" s="26"/>
      <c r="X94" s="26">
        <f>COUNTIF($L$2:L94,"&lt;&gt;"&amp;"")</f>
        <v>5</v>
      </c>
      <c r="Y94" s="27">
        <f t="shared" si="7"/>
        <v>0</v>
      </c>
      <c r="Z94" s="28"/>
      <c r="AA94" s="29"/>
      <c r="AB94" s="30" t="b">
        <f>TRUE()</f>
        <v>1</v>
      </c>
      <c r="AC94" s="31">
        <f t="shared" si="8"/>
        <v>0</v>
      </c>
      <c r="AD94" s="42"/>
      <c r="AE94" s="42"/>
    </row>
    <row r="95" spans="1:31" ht="15" customHeight="1">
      <c r="A95" s="20">
        <f t="shared" si="6"/>
        <v>0</v>
      </c>
      <c r="B95" s="23"/>
      <c r="C95" s="23"/>
      <c r="D95" s="23"/>
      <c r="E95" s="23"/>
      <c r="F95" s="23"/>
      <c r="G95" s="23"/>
      <c r="H95" s="23"/>
      <c r="I95" s="23"/>
      <c r="J95" s="23"/>
      <c r="K95" s="23"/>
      <c r="L95" s="33"/>
      <c r="M95" s="26"/>
      <c r="N95" s="26"/>
      <c r="O95" s="26"/>
      <c r="P95" s="26"/>
      <c r="Q95" s="26"/>
      <c r="R95" s="26"/>
      <c r="S95" s="26"/>
      <c r="T95" s="26"/>
      <c r="U95" s="26"/>
      <c r="V95" s="26"/>
      <c r="W95" s="26"/>
      <c r="X95" s="26">
        <f>COUNTIF($L$2:L95,"&lt;&gt;"&amp;"")</f>
        <v>5</v>
      </c>
      <c r="Y95" s="27">
        <f t="shared" si="7"/>
        <v>0</v>
      </c>
      <c r="Z95" s="28"/>
      <c r="AA95" s="29"/>
      <c r="AB95" s="30" t="b">
        <f>TRUE()</f>
        <v>1</v>
      </c>
      <c r="AC95" s="31">
        <f t="shared" si="8"/>
        <v>0</v>
      </c>
      <c r="AD95" s="42"/>
      <c r="AE95" s="42"/>
    </row>
    <row r="96" spans="1:31" ht="15" customHeight="1">
      <c r="A96" s="20">
        <f t="shared" si="6"/>
        <v>0</v>
      </c>
      <c r="B96" s="23"/>
      <c r="C96" s="23"/>
      <c r="D96" s="23"/>
      <c r="E96" s="23"/>
      <c r="F96" s="23"/>
      <c r="G96" s="23"/>
      <c r="H96" s="23"/>
      <c r="I96" s="23"/>
      <c r="J96" s="23"/>
      <c r="K96" s="23"/>
      <c r="L96" s="33"/>
      <c r="M96" s="26"/>
      <c r="N96" s="26"/>
      <c r="O96" s="26"/>
      <c r="P96" s="26"/>
      <c r="Q96" s="26"/>
      <c r="R96" s="26"/>
      <c r="S96" s="26"/>
      <c r="T96" s="26"/>
      <c r="U96" s="26"/>
      <c r="V96" s="26"/>
      <c r="W96" s="26"/>
      <c r="X96" s="26">
        <f>COUNTIF($L$2:L96,"&lt;&gt;"&amp;"")</f>
        <v>5</v>
      </c>
      <c r="Y96" s="27">
        <f t="shared" si="7"/>
        <v>0</v>
      </c>
      <c r="Z96" s="28"/>
      <c r="AA96" s="29"/>
      <c r="AB96" s="30" t="b">
        <f>TRUE()</f>
        <v>1</v>
      </c>
      <c r="AC96" s="31">
        <f t="shared" si="8"/>
        <v>0</v>
      </c>
      <c r="AD96" s="42"/>
      <c r="AE96" s="42"/>
    </row>
    <row r="97" spans="1:31" ht="15" customHeight="1">
      <c r="A97" s="20">
        <f t="shared" si="6"/>
        <v>0</v>
      </c>
      <c r="B97" s="23"/>
      <c r="C97" s="23"/>
      <c r="D97" s="23"/>
      <c r="E97" s="23"/>
      <c r="F97" s="23"/>
      <c r="G97" s="23"/>
      <c r="H97" s="23"/>
      <c r="I97" s="23"/>
      <c r="J97" s="23"/>
      <c r="K97" s="23"/>
      <c r="L97" s="33"/>
      <c r="M97" s="26"/>
      <c r="N97" s="26"/>
      <c r="O97" s="26"/>
      <c r="P97" s="26"/>
      <c r="Q97" s="26"/>
      <c r="R97" s="26"/>
      <c r="S97" s="26"/>
      <c r="T97" s="26"/>
      <c r="U97" s="26"/>
      <c r="V97" s="26"/>
      <c r="W97" s="26"/>
      <c r="X97" s="26">
        <f>COUNTIF($L$2:L97,"&lt;&gt;"&amp;"")</f>
        <v>5</v>
      </c>
      <c r="Y97" s="27">
        <f t="shared" si="7"/>
        <v>0</v>
      </c>
      <c r="Z97" s="28"/>
      <c r="AA97" s="29"/>
      <c r="AB97" s="30" t="b">
        <f>TRUE()</f>
        <v>1</v>
      </c>
      <c r="AC97" s="31">
        <f t="shared" si="8"/>
        <v>0</v>
      </c>
      <c r="AD97" s="42"/>
      <c r="AE97" s="42"/>
    </row>
    <row r="98" spans="1:31" ht="15" customHeight="1">
      <c r="A98" s="20">
        <f t="shared" ref="A98:A129" si="9">(B98*$P$125+C98*$P$126+D98*$P$127+E98*$P$128+F98*$P$129+G98*$P$130+H98*$P$131+I98*$P$132+J98*$P$133+K98*$P$134)*$T$123</f>
        <v>0</v>
      </c>
      <c r="B98" s="23"/>
      <c r="C98" s="23"/>
      <c r="D98" s="23"/>
      <c r="E98" s="23"/>
      <c r="F98" s="23"/>
      <c r="G98" s="23"/>
      <c r="H98" s="23"/>
      <c r="I98" s="23"/>
      <c r="J98" s="23"/>
      <c r="K98" s="23"/>
      <c r="L98" s="33"/>
      <c r="M98" s="26"/>
      <c r="N98" s="26"/>
      <c r="O98" s="26"/>
      <c r="P98" s="26"/>
      <c r="Q98" s="26"/>
      <c r="R98" s="26"/>
      <c r="S98" s="26"/>
      <c r="T98" s="26"/>
      <c r="U98" s="26"/>
      <c r="V98" s="26"/>
      <c r="W98" s="26"/>
      <c r="X98" s="26">
        <f>COUNTIF($L$2:L98,"&lt;&gt;"&amp;"")</f>
        <v>5</v>
      </c>
      <c r="Y98" s="27">
        <f t="shared" ref="Y98:Y129" si="10">SUMIF($X$2:$X$120,X98,$A$2:$A$120)</f>
        <v>0</v>
      </c>
      <c r="Z98" s="28"/>
      <c r="AA98" s="29"/>
      <c r="AB98" s="30" t="b">
        <f>TRUE()</f>
        <v>1</v>
      </c>
      <c r="AC98" s="31">
        <f t="shared" ref="AC98:AC129" si="11">IF(L98="",0,IF(AB98=FALSE(),0,Y98))</f>
        <v>0</v>
      </c>
      <c r="AD98" s="42"/>
      <c r="AE98" s="42"/>
    </row>
    <row r="99" spans="1:31" ht="15" customHeight="1">
      <c r="A99" s="20">
        <f t="shared" si="9"/>
        <v>0</v>
      </c>
      <c r="B99" s="23"/>
      <c r="C99" s="23"/>
      <c r="D99" s="23"/>
      <c r="E99" s="23"/>
      <c r="F99" s="23"/>
      <c r="G99" s="23"/>
      <c r="H99" s="23"/>
      <c r="I99" s="23"/>
      <c r="J99" s="23"/>
      <c r="K99" s="23"/>
      <c r="L99" s="33"/>
      <c r="M99" s="26"/>
      <c r="N99" s="26"/>
      <c r="O99" s="26"/>
      <c r="P99" s="26"/>
      <c r="Q99" s="26"/>
      <c r="R99" s="26"/>
      <c r="S99" s="26"/>
      <c r="T99" s="26"/>
      <c r="U99" s="26"/>
      <c r="V99" s="26"/>
      <c r="W99" s="26"/>
      <c r="X99" s="26">
        <f>COUNTIF($L$2:L99,"&lt;&gt;"&amp;"")</f>
        <v>5</v>
      </c>
      <c r="Y99" s="27">
        <f t="shared" si="10"/>
        <v>0</v>
      </c>
      <c r="Z99" s="28"/>
      <c r="AA99" s="29"/>
      <c r="AB99" s="30" t="b">
        <f>TRUE()</f>
        <v>1</v>
      </c>
      <c r="AC99" s="31">
        <f t="shared" si="11"/>
        <v>0</v>
      </c>
      <c r="AD99" s="42"/>
      <c r="AE99" s="42"/>
    </row>
    <row r="100" spans="1:31" ht="15" customHeight="1">
      <c r="A100" s="20">
        <f t="shared" si="9"/>
        <v>0</v>
      </c>
      <c r="B100" s="23"/>
      <c r="C100" s="23"/>
      <c r="D100" s="23"/>
      <c r="E100" s="23"/>
      <c r="F100" s="23"/>
      <c r="G100" s="23"/>
      <c r="H100" s="23"/>
      <c r="I100" s="23"/>
      <c r="J100" s="23"/>
      <c r="K100" s="23"/>
      <c r="L100" s="33"/>
      <c r="M100" s="26"/>
      <c r="N100" s="26"/>
      <c r="O100" s="26"/>
      <c r="P100" s="26"/>
      <c r="Q100" s="26"/>
      <c r="R100" s="26"/>
      <c r="S100" s="26"/>
      <c r="T100" s="26"/>
      <c r="U100" s="26"/>
      <c r="V100" s="26"/>
      <c r="W100" s="26"/>
      <c r="X100" s="26">
        <f>COUNTIF($L$2:L100,"&lt;&gt;"&amp;"")</f>
        <v>5</v>
      </c>
      <c r="Y100" s="27">
        <f t="shared" si="10"/>
        <v>0</v>
      </c>
      <c r="Z100" s="28"/>
      <c r="AA100" s="29"/>
      <c r="AB100" s="30" t="b">
        <f>TRUE()</f>
        <v>1</v>
      </c>
      <c r="AC100" s="31">
        <f t="shared" si="11"/>
        <v>0</v>
      </c>
      <c r="AD100" s="42"/>
      <c r="AE100" s="42"/>
    </row>
    <row r="101" spans="1:31" ht="15" customHeight="1">
      <c r="A101" s="20">
        <f t="shared" si="9"/>
        <v>0</v>
      </c>
      <c r="B101" s="23"/>
      <c r="C101" s="23"/>
      <c r="D101" s="23"/>
      <c r="E101" s="23"/>
      <c r="F101" s="23"/>
      <c r="G101" s="23"/>
      <c r="H101" s="23"/>
      <c r="I101" s="23"/>
      <c r="J101" s="23"/>
      <c r="K101" s="23"/>
      <c r="L101" s="33"/>
      <c r="M101" s="26"/>
      <c r="N101" s="26"/>
      <c r="O101" s="26"/>
      <c r="P101" s="26"/>
      <c r="Q101" s="26"/>
      <c r="R101" s="26"/>
      <c r="S101" s="26"/>
      <c r="T101" s="26"/>
      <c r="U101" s="26"/>
      <c r="V101" s="26"/>
      <c r="W101" s="26"/>
      <c r="X101" s="26">
        <f>COUNTIF($L$2:L101,"&lt;&gt;"&amp;"")</f>
        <v>5</v>
      </c>
      <c r="Y101" s="27">
        <f t="shared" si="10"/>
        <v>0</v>
      </c>
      <c r="Z101" s="28"/>
      <c r="AA101" s="29"/>
      <c r="AB101" s="30" t="b">
        <f>TRUE()</f>
        <v>1</v>
      </c>
      <c r="AC101" s="31">
        <f t="shared" si="11"/>
        <v>0</v>
      </c>
      <c r="AD101" s="23"/>
      <c r="AE101" s="23"/>
    </row>
    <row r="102" spans="1:31" ht="15" customHeight="1">
      <c r="A102" s="20">
        <f t="shared" si="9"/>
        <v>0</v>
      </c>
      <c r="B102" s="23"/>
      <c r="C102" s="23"/>
      <c r="D102" s="23"/>
      <c r="E102" s="23"/>
      <c r="F102" s="23"/>
      <c r="G102" s="23"/>
      <c r="H102" s="23"/>
      <c r="I102" s="23"/>
      <c r="J102" s="23"/>
      <c r="K102" s="23"/>
      <c r="L102" s="33"/>
      <c r="M102" s="26"/>
      <c r="N102" s="26"/>
      <c r="O102" s="26"/>
      <c r="P102" s="26"/>
      <c r="Q102" s="26"/>
      <c r="R102" s="26"/>
      <c r="S102" s="26"/>
      <c r="T102" s="26"/>
      <c r="U102" s="26"/>
      <c r="V102" s="26"/>
      <c r="W102" s="26"/>
      <c r="X102" s="26">
        <f>COUNTIF($L$2:L106,"&lt;&gt;"&amp;"")</f>
        <v>5</v>
      </c>
      <c r="Y102" s="27">
        <f t="shared" si="10"/>
        <v>0</v>
      </c>
      <c r="Z102" s="28"/>
      <c r="AA102" s="29"/>
      <c r="AB102" s="30" t="b">
        <f>TRUE()</f>
        <v>1</v>
      </c>
      <c r="AC102" s="31">
        <f t="shared" si="11"/>
        <v>0</v>
      </c>
      <c r="AD102" s="23"/>
      <c r="AE102" s="23"/>
    </row>
    <row r="103" spans="1:31" ht="15" customHeight="1">
      <c r="A103" s="20">
        <f t="shared" si="9"/>
        <v>0</v>
      </c>
      <c r="B103" s="23"/>
      <c r="C103" s="23"/>
      <c r="D103" s="23"/>
      <c r="E103" s="23"/>
      <c r="F103" s="23"/>
      <c r="G103" s="23"/>
      <c r="H103" s="23"/>
      <c r="I103" s="23"/>
      <c r="J103" s="23"/>
      <c r="K103" s="23"/>
      <c r="L103" s="33"/>
      <c r="M103" s="26"/>
      <c r="N103" s="26"/>
      <c r="O103" s="26"/>
      <c r="P103" s="26"/>
      <c r="Q103" s="26"/>
      <c r="R103" s="26"/>
      <c r="S103" s="26"/>
      <c r="T103" s="26"/>
      <c r="U103" s="26"/>
      <c r="V103" s="26"/>
      <c r="W103" s="26"/>
      <c r="X103" s="26">
        <f>COUNTIF($L$2:L103,"&lt;&gt;"&amp;"")</f>
        <v>5</v>
      </c>
      <c r="Y103" s="27">
        <f t="shared" si="10"/>
        <v>0</v>
      </c>
      <c r="Z103" s="28"/>
      <c r="AA103" s="29"/>
      <c r="AB103" s="30" t="b">
        <f>TRUE()</f>
        <v>1</v>
      </c>
      <c r="AC103" s="31">
        <f t="shared" si="11"/>
        <v>0</v>
      </c>
      <c r="AD103" s="42"/>
      <c r="AE103" s="42"/>
    </row>
    <row r="104" spans="1:31" ht="15" customHeight="1">
      <c r="A104" s="20">
        <f t="shared" si="9"/>
        <v>0</v>
      </c>
      <c r="B104" s="23"/>
      <c r="C104" s="23"/>
      <c r="D104" s="23"/>
      <c r="E104" s="23"/>
      <c r="F104" s="23"/>
      <c r="G104" s="23"/>
      <c r="H104" s="23"/>
      <c r="I104" s="23"/>
      <c r="J104" s="23"/>
      <c r="K104" s="23"/>
      <c r="L104" s="33"/>
      <c r="M104" s="26"/>
      <c r="N104" s="26"/>
      <c r="O104" s="26"/>
      <c r="P104" s="26"/>
      <c r="Q104" s="26"/>
      <c r="R104" s="26"/>
      <c r="S104" s="26"/>
      <c r="T104" s="26"/>
      <c r="U104" s="26"/>
      <c r="V104" s="26"/>
      <c r="W104" s="26"/>
      <c r="X104" s="26">
        <f>COUNTIF($L$2:L104,"&lt;&gt;"&amp;"")</f>
        <v>5</v>
      </c>
      <c r="Y104" s="27">
        <f t="shared" si="10"/>
        <v>0</v>
      </c>
      <c r="Z104" s="28"/>
      <c r="AA104" s="29"/>
      <c r="AB104" s="30" t="b">
        <f>TRUE()</f>
        <v>1</v>
      </c>
      <c r="AC104" s="31">
        <f t="shared" si="11"/>
        <v>0</v>
      </c>
      <c r="AD104" s="42"/>
      <c r="AE104" s="42"/>
    </row>
    <row r="105" spans="1:31" ht="15" customHeight="1">
      <c r="A105" s="20">
        <f t="shared" si="9"/>
        <v>0</v>
      </c>
      <c r="B105" s="23"/>
      <c r="C105" s="23"/>
      <c r="D105" s="23"/>
      <c r="E105" s="23"/>
      <c r="F105" s="23"/>
      <c r="G105" s="23"/>
      <c r="H105" s="23"/>
      <c r="I105" s="23"/>
      <c r="J105" s="23"/>
      <c r="K105" s="23"/>
      <c r="L105" s="33"/>
      <c r="M105" s="26"/>
      <c r="N105" s="26"/>
      <c r="O105" s="26"/>
      <c r="P105" s="26"/>
      <c r="Q105" s="26"/>
      <c r="R105" s="26"/>
      <c r="S105" s="26"/>
      <c r="T105" s="26"/>
      <c r="U105" s="26"/>
      <c r="V105" s="26"/>
      <c r="W105" s="26"/>
      <c r="X105" s="26">
        <f>COUNTIF($L$2:L105,"&lt;&gt;"&amp;"")</f>
        <v>5</v>
      </c>
      <c r="Y105" s="27">
        <f t="shared" si="10"/>
        <v>0</v>
      </c>
      <c r="Z105" s="28"/>
      <c r="AA105" s="29"/>
      <c r="AB105" s="30" t="b">
        <f>TRUE()</f>
        <v>1</v>
      </c>
      <c r="AC105" s="31">
        <f t="shared" si="11"/>
        <v>0</v>
      </c>
      <c r="AD105" s="42"/>
      <c r="AE105" s="42"/>
    </row>
    <row r="106" spans="1:31" ht="15" customHeight="1">
      <c r="A106" s="20">
        <f t="shared" si="9"/>
        <v>0</v>
      </c>
      <c r="B106" s="23"/>
      <c r="C106" s="23"/>
      <c r="D106" s="23"/>
      <c r="E106" s="23"/>
      <c r="F106" s="23"/>
      <c r="G106" s="23"/>
      <c r="H106" s="23"/>
      <c r="I106" s="23"/>
      <c r="J106" s="23"/>
      <c r="K106" s="23"/>
      <c r="L106" s="33"/>
      <c r="M106" s="26"/>
      <c r="N106" s="26"/>
      <c r="O106" s="26"/>
      <c r="P106" s="26"/>
      <c r="Q106" s="26"/>
      <c r="R106" s="26"/>
      <c r="S106" s="26"/>
      <c r="T106" s="26"/>
      <c r="U106" s="26"/>
      <c r="V106" s="26"/>
      <c r="W106" s="26"/>
      <c r="X106" s="26">
        <f>COUNTIF($L$2:L106,"&lt;&gt;"&amp;"")</f>
        <v>5</v>
      </c>
      <c r="Y106" s="27">
        <f t="shared" si="10"/>
        <v>0</v>
      </c>
      <c r="Z106" s="28"/>
      <c r="AA106" s="29"/>
      <c r="AB106" s="30" t="b">
        <f>TRUE()</f>
        <v>1</v>
      </c>
      <c r="AC106" s="31">
        <f t="shared" si="11"/>
        <v>0</v>
      </c>
      <c r="AD106" s="42"/>
      <c r="AE106" s="42"/>
    </row>
    <row r="107" spans="1:31" ht="15" customHeight="1">
      <c r="A107" s="20">
        <f t="shared" si="9"/>
        <v>0</v>
      </c>
      <c r="B107" s="23"/>
      <c r="C107" s="23"/>
      <c r="D107" s="23"/>
      <c r="E107" s="23"/>
      <c r="F107" s="23"/>
      <c r="G107" s="23"/>
      <c r="H107" s="23"/>
      <c r="I107" s="23"/>
      <c r="J107" s="23"/>
      <c r="K107" s="23"/>
      <c r="L107" s="33"/>
      <c r="M107" s="26"/>
      <c r="N107" s="26"/>
      <c r="O107" s="26"/>
      <c r="P107" s="26"/>
      <c r="Q107" s="26"/>
      <c r="R107" s="26"/>
      <c r="S107" s="26"/>
      <c r="T107" s="26"/>
      <c r="U107" s="26"/>
      <c r="V107" s="26"/>
      <c r="W107" s="26"/>
      <c r="X107" s="26">
        <f>COUNTIF($L$2:L107,"&lt;&gt;"&amp;"")</f>
        <v>5</v>
      </c>
      <c r="Y107" s="27">
        <f t="shared" si="10"/>
        <v>0</v>
      </c>
      <c r="Z107" s="28"/>
      <c r="AA107" s="29"/>
      <c r="AB107" s="30" t="b">
        <f>TRUE()</f>
        <v>1</v>
      </c>
      <c r="AC107" s="31">
        <f t="shared" si="11"/>
        <v>0</v>
      </c>
      <c r="AD107" s="23"/>
      <c r="AE107" s="23"/>
    </row>
    <row r="108" spans="1:31" ht="15" customHeight="1">
      <c r="A108" s="20">
        <f t="shared" si="9"/>
        <v>0</v>
      </c>
      <c r="B108" s="23"/>
      <c r="C108" s="23"/>
      <c r="D108" s="23"/>
      <c r="E108" s="23"/>
      <c r="F108" s="23"/>
      <c r="G108" s="23"/>
      <c r="H108" s="23"/>
      <c r="I108" s="23"/>
      <c r="J108" s="23"/>
      <c r="K108" s="23"/>
      <c r="L108" s="33"/>
      <c r="M108" s="26"/>
      <c r="N108" s="26"/>
      <c r="O108" s="26"/>
      <c r="P108" s="26"/>
      <c r="Q108" s="26"/>
      <c r="R108" s="26"/>
      <c r="S108" s="26"/>
      <c r="T108" s="26"/>
      <c r="U108" s="26"/>
      <c r="V108" s="26"/>
      <c r="W108" s="26"/>
      <c r="X108" s="26">
        <f>COUNTIF($L$2:L108,"&lt;&gt;"&amp;"")</f>
        <v>5</v>
      </c>
      <c r="Y108" s="27">
        <f t="shared" si="10"/>
        <v>0</v>
      </c>
      <c r="Z108" s="28"/>
      <c r="AA108" s="29"/>
      <c r="AB108" s="30" t="b">
        <f>TRUE()</f>
        <v>1</v>
      </c>
      <c r="AC108" s="31">
        <f t="shared" si="11"/>
        <v>0</v>
      </c>
      <c r="AD108" s="23"/>
      <c r="AE108" s="23"/>
    </row>
    <row r="109" spans="1:31" ht="15" customHeight="1">
      <c r="A109" s="20">
        <f t="shared" si="9"/>
        <v>0</v>
      </c>
      <c r="B109" s="23"/>
      <c r="C109" s="23"/>
      <c r="D109" s="23"/>
      <c r="E109" s="23"/>
      <c r="F109" s="23"/>
      <c r="G109" s="23"/>
      <c r="H109" s="23"/>
      <c r="I109" s="23"/>
      <c r="J109" s="23"/>
      <c r="K109" s="23"/>
      <c r="L109" s="33"/>
      <c r="M109" s="26"/>
      <c r="N109" s="26"/>
      <c r="O109" s="26"/>
      <c r="P109" s="26"/>
      <c r="Q109" s="26"/>
      <c r="R109" s="26"/>
      <c r="S109" s="26"/>
      <c r="T109" s="26"/>
      <c r="U109" s="26"/>
      <c r="V109" s="26"/>
      <c r="W109" s="26"/>
      <c r="X109" s="26">
        <f>COUNTIF($L$2:L109,"&lt;&gt;"&amp;"")</f>
        <v>5</v>
      </c>
      <c r="Y109" s="27">
        <f t="shared" si="10"/>
        <v>0</v>
      </c>
      <c r="Z109" s="28"/>
      <c r="AA109" s="29"/>
      <c r="AB109" s="30" t="b">
        <f>TRUE()</f>
        <v>1</v>
      </c>
      <c r="AC109" s="31">
        <f t="shared" si="11"/>
        <v>0</v>
      </c>
      <c r="AD109" s="23"/>
      <c r="AE109" s="23"/>
    </row>
    <row r="110" spans="1:31" ht="15" customHeight="1">
      <c r="A110" s="20">
        <f t="shared" si="9"/>
        <v>0</v>
      </c>
      <c r="B110" s="23"/>
      <c r="C110" s="23"/>
      <c r="D110" s="23"/>
      <c r="E110" s="23"/>
      <c r="F110" s="23"/>
      <c r="G110" s="23"/>
      <c r="H110" s="23"/>
      <c r="I110" s="23"/>
      <c r="J110" s="23"/>
      <c r="K110" s="23"/>
      <c r="L110" s="33"/>
      <c r="M110" s="26"/>
      <c r="N110" s="26"/>
      <c r="O110" s="26"/>
      <c r="P110" s="26"/>
      <c r="Q110" s="26"/>
      <c r="R110" s="26"/>
      <c r="S110" s="26"/>
      <c r="T110" s="26"/>
      <c r="U110" s="26"/>
      <c r="V110" s="26"/>
      <c r="W110" s="26"/>
      <c r="X110" s="26">
        <f>COUNTIF($L$2:L110,"&lt;&gt;"&amp;"")</f>
        <v>5</v>
      </c>
      <c r="Y110" s="27">
        <f t="shared" si="10"/>
        <v>0</v>
      </c>
      <c r="Z110" s="28"/>
      <c r="AA110" s="29"/>
      <c r="AB110" s="30" t="b">
        <f>TRUE()</f>
        <v>1</v>
      </c>
      <c r="AC110" s="31">
        <f t="shared" si="11"/>
        <v>0</v>
      </c>
      <c r="AD110" s="23"/>
      <c r="AE110" s="23"/>
    </row>
    <row r="111" spans="1:31" ht="15" customHeight="1">
      <c r="A111" s="20">
        <f t="shared" si="9"/>
        <v>0</v>
      </c>
      <c r="B111" s="23"/>
      <c r="C111" s="23"/>
      <c r="D111" s="23"/>
      <c r="E111" s="23"/>
      <c r="F111" s="23"/>
      <c r="G111" s="23"/>
      <c r="H111" s="23"/>
      <c r="I111" s="23"/>
      <c r="J111" s="23"/>
      <c r="K111" s="23"/>
      <c r="L111" s="33"/>
      <c r="M111" s="26"/>
      <c r="N111" s="26"/>
      <c r="O111" s="26"/>
      <c r="P111" s="26"/>
      <c r="Q111" s="26"/>
      <c r="R111" s="26"/>
      <c r="S111" s="26"/>
      <c r="T111" s="26"/>
      <c r="U111" s="26"/>
      <c r="V111" s="26"/>
      <c r="W111" s="26"/>
      <c r="X111" s="26">
        <f>COUNTIF($L$2:L111,"&lt;&gt;"&amp;"")</f>
        <v>5</v>
      </c>
      <c r="Y111" s="27">
        <f t="shared" si="10"/>
        <v>0</v>
      </c>
      <c r="Z111" s="28"/>
      <c r="AA111" s="29"/>
      <c r="AB111" s="30" t="b">
        <f>TRUE()</f>
        <v>1</v>
      </c>
      <c r="AC111" s="31">
        <f t="shared" si="11"/>
        <v>0</v>
      </c>
      <c r="AD111" s="23"/>
      <c r="AE111" s="23"/>
    </row>
    <row r="112" spans="1:31" ht="15" customHeight="1">
      <c r="A112" s="20">
        <f t="shared" si="9"/>
        <v>0</v>
      </c>
      <c r="B112" s="23"/>
      <c r="C112" s="23"/>
      <c r="D112" s="23"/>
      <c r="E112" s="23"/>
      <c r="F112" s="23"/>
      <c r="G112" s="23"/>
      <c r="H112" s="23"/>
      <c r="I112" s="23"/>
      <c r="J112" s="23"/>
      <c r="K112" s="23"/>
      <c r="L112" s="33"/>
      <c r="M112" s="26"/>
      <c r="N112" s="26"/>
      <c r="O112" s="26"/>
      <c r="P112" s="26"/>
      <c r="Q112" s="26"/>
      <c r="R112" s="26"/>
      <c r="S112" s="26"/>
      <c r="T112" s="26"/>
      <c r="U112" s="26"/>
      <c r="V112" s="26"/>
      <c r="W112" s="26"/>
      <c r="X112" s="26">
        <f>COUNTIF($L$2:L112,"&lt;&gt;"&amp;"")</f>
        <v>5</v>
      </c>
      <c r="Y112" s="27">
        <f t="shared" si="10"/>
        <v>0</v>
      </c>
      <c r="Z112" s="28"/>
      <c r="AA112" s="29"/>
      <c r="AB112" s="30" t="b">
        <f>TRUE()</f>
        <v>1</v>
      </c>
      <c r="AC112" s="31">
        <f t="shared" si="11"/>
        <v>0</v>
      </c>
      <c r="AD112" s="23"/>
      <c r="AE112" s="23"/>
    </row>
    <row r="113" spans="1:31" ht="15" customHeight="1">
      <c r="A113" s="20">
        <f t="shared" si="9"/>
        <v>0</v>
      </c>
      <c r="B113" s="23"/>
      <c r="C113" s="23"/>
      <c r="D113" s="23"/>
      <c r="E113" s="23"/>
      <c r="F113" s="23"/>
      <c r="G113" s="23"/>
      <c r="H113" s="23"/>
      <c r="I113" s="23"/>
      <c r="J113" s="23"/>
      <c r="K113" s="23"/>
      <c r="L113" s="33"/>
      <c r="M113" s="26"/>
      <c r="N113" s="26"/>
      <c r="O113" s="26"/>
      <c r="P113" s="26"/>
      <c r="Q113" s="26"/>
      <c r="R113" s="26"/>
      <c r="S113" s="26"/>
      <c r="T113" s="26"/>
      <c r="U113" s="26"/>
      <c r="V113" s="26"/>
      <c r="W113" s="26"/>
      <c r="X113" s="26">
        <f>COUNTIF($L$2:L113,"&lt;&gt;"&amp;"")</f>
        <v>5</v>
      </c>
      <c r="Y113" s="27">
        <f t="shared" si="10"/>
        <v>0</v>
      </c>
      <c r="Z113" s="28"/>
      <c r="AA113" s="29"/>
      <c r="AB113" s="30" t="b">
        <f>TRUE()</f>
        <v>1</v>
      </c>
      <c r="AC113" s="31">
        <f t="shared" si="11"/>
        <v>0</v>
      </c>
      <c r="AD113" s="23"/>
      <c r="AE113" s="23"/>
    </row>
    <row r="114" spans="1:31" ht="15" customHeight="1">
      <c r="A114" s="20">
        <f t="shared" si="9"/>
        <v>0</v>
      </c>
      <c r="B114" s="23"/>
      <c r="C114" s="23"/>
      <c r="D114" s="23"/>
      <c r="E114" s="23"/>
      <c r="F114" s="23"/>
      <c r="G114" s="23"/>
      <c r="H114" s="23"/>
      <c r="I114" s="23"/>
      <c r="J114" s="23"/>
      <c r="K114" s="23"/>
      <c r="L114" s="33"/>
      <c r="M114" s="26"/>
      <c r="N114" s="26"/>
      <c r="O114" s="26"/>
      <c r="P114" s="26"/>
      <c r="Q114" s="26"/>
      <c r="R114" s="26"/>
      <c r="S114" s="26"/>
      <c r="T114" s="26"/>
      <c r="U114" s="26"/>
      <c r="V114" s="26"/>
      <c r="W114" s="26"/>
      <c r="X114" s="26">
        <f>COUNTIF($L$2:L114,"&lt;&gt;"&amp;"")</f>
        <v>5</v>
      </c>
      <c r="Y114" s="27">
        <f t="shared" si="10"/>
        <v>0</v>
      </c>
      <c r="Z114" s="28"/>
      <c r="AA114" s="29"/>
      <c r="AB114" s="30" t="b">
        <f>TRUE()</f>
        <v>1</v>
      </c>
      <c r="AC114" s="31">
        <f t="shared" si="11"/>
        <v>0</v>
      </c>
      <c r="AD114" s="23"/>
      <c r="AE114" s="23"/>
    </row>
    <row r="115" spans="1:31" ht="15" customHeight="1">
      <c r="A115" s="20">
        <f t="shared" si="9"/>
        <v>0</v>
      </c>
      <c r="B115" s="23"/>
      <c r="C115" s="23"/>
      <c r="D115" s="23"/>
      <c r="E115" s="23"/>
      <c r="F115" s="23"/>
      <c r="G115" s="23"/>
      <c r="H115" s="23"/>
      <c r="I115" s="23"/>
      <c r="J115" s="23"/>
      <c r="K115" s="23"/>
      <c r="L115" s="33"/>
      <c r="M115" s="26"/>
      <c r="N115" s="26"/>
      <c r="O115" s="26"/>
      <c r="P115" s="26"/>
      <c r="Q115" s="26"/>
      <c r="R115" s="26"/>
      <c r="S115" s="26"/>
      <c r="T115" s="26"/>
      <c r="U115" s="26"/>
      <c r="V115" s="26"/>
      <c r="W115" s="26"/>
      <c r="X115" s="26">
        <f>COUNTIF($L$2:L115,"&lt;&gt;"&amp;"")</f>
        <v>5</v>
      </c>
      <c r="Y115" s="27">
        <f t="shared" si="10"/>
        <v>0</v>
      </c>
      <c r="Z115" s="28"/>
      <c r="AA115" s="29"/>
      <c r="AB115" s="30" t="b">
        <f>TRUE()</f>
        <v>1</v>
      </c>
      <c r="AC115" s="31">
        <f t="shared" si="11"/>
        <v>0</v>
      </c>
      <c r="AD115" s="23"/>
      <c r="AE115" s="23"/>
    </row>
    <row r="116" spans="1:31" ht="15" customHeight="1">
      <c r="A116" s="20">
        <f t="shared" si="9"/>
        <v>0</v>
      </c>
      <c r="B116" s="23"/>
      <c r="C116" s="23"/>
      <c r="D116" s="23"/>
      <c r="E116" s="23"/>
      <c r="F116" s="23"/>
      <c r="G116" s="23"/>
      <c r="H116" s="23"/>
      <c r="I116" s="23"/>
      <c r="J116" s="23"/>
      <c r="K116" s="23"/>
      <c r="L116" s="33"/>
      <c r="M116" s="26"/>
      <c r="N116" s="26"/>
      <c r="O116" s="26"/>
      <c r="P116" s="26"/>
      <c r="Q116" s="26"/>
      <c r="R116" s="26"/>
      <c r="S116" s="26"/>
      <c r="T116" s="26"/>
      <c r="U116" s="26"/>
      <c r="V116" s="26"/>
      <c r="W116" s="26"/>
      <c r="X116" s="26">
        <f>COUNTIF($L$2:L116,"&lt;&gt;"&amp;"")</f>
        <v>5</v>
      </c>
      <c r="Y116" s="27">
        <f t="shared" si="10"/>
        <v>0</v>
      </c>
      <c r="Z116" s="28"/>
      <c r="AA116" s="29"/>
      <c r="AB116" s="30" t="b">
        <f>TRUE()</f>
        <v>1</v>
      </c>
      <c r="AC116" s="31">
        <f t="shared" si="11"/>
        <v>0</v>
      </c>
      <c r="AD116" s="23"/>
      <c r="AE116" s="23"/>
    </row>
    <row r="117" spans="1:31" ht="15" customHeight="1">
      <c r="A117" s="20">
        <f t="shared" si="9"/>
        <v>0</v>
      </c>
      <c r="B117" s="23"/>
      <c r="C117" s="23"/>
      <c r="D117" s="23"/>
      <c r="E117" s="23"/>
      <c r="F117" s="23"/>
      <c r="G117" s="23"/>
      <c r="H117" s="23"/>
      <c r="I117" s="23"/>
      <c r="J117" s="23"/>
      <c r="K117" s="23"/>
      <c r="L117" s="33"/>
      <c r="M117" s="26"/>
      <c r="N117" s="26"/>
      <c r="O117" s="26"/>
      <c r="P117" s="26"/>
      <c r="Q117" s="26"/>
      <c r="R117" s="26"/>
      <c r="S117" s="26"/>
      <c r="T117" s="26"/>
      <c r="U117" s="26"/>
      <c r="V117" s="26"/>
      <c r="W117" s="26"/>
      <c r="X117" s="26">
        <f>COUNTIF($L$2:L117,"&lt;&gt;"&amp;"")</f>
        <v>5</v>
      </c>
      <c r="Y117" s="27">
        <f t="shared" si="10"/>
        <v>0</v>
      </c>
      <c r="Z117" s="28"/>
      <c r="AA117" s="29"/>
      <c r="AB117" s="30" t="b">
        <f>TRUE()</f>
        <v>1</v>
      </c>
      <c r="AC117" s="31">
        <f t="shared" si="11"/>
        <v>0</v>
      </c>
      <c r="AD117" s="23"/>
      <c r="AE117" s="23"/>
    </row>
    <row r="118" spans="1:31" ht="15" customHeight="1">
      <c r="A118" s="20">
        <f t="shared" si="9"/>
        <v>0</v>
      </c>
      <c r="B118" s="23"/>
      <c r="C118" s="23"/>
      <c r="D118" s="23"/>
      <c r="E118" s="23"/>
      <c r="F118" s="23"/>
      <c r="G118" s="23"/>
      <c r="H118" s="23"/>
      <c r="I118" s="23"/>
      <c r="J118" s="23"/>
      <c r="K118" s="23"/>
      <c r="L118" s="33"/>
      <c r="M118" s="26"/>
      <c r="N118" s="26"/>
      <c r="O118" s="26"/>
      <c r="P118" s="26"/>
      <c r="Q118" s="26"/>
      <c r="R118" s="26"/>
      <c r="S118" s="26"/>
      <c r="T118" s="26"/>
      <c r="U118" s="26"/>
      <c r="V118" s="26"/>
      <c r="W118" s="26"/>
      <c r="X118" s="26">
        <f>COUNTIF($L$2:L118,"&lt;&gt;"&amp;"")</f>
        <v>5</v>
      </c>
      <c r="Y118" s="27">
        <f t="shared" si="10"/>
        <v>0</v>
      </c>
      <c r="Z118" s="28"/>
      <c r="AA118" s="29"/>
      <c r="AB118" s="30" t="b">
        <f>TRUE()</f>
        <v>1</v>
      </c>
      <c r="AC118" s="31">
        <f t="shared" si="11"/>
        <v>0</v>
      </c>
      <c r="AD118" s="23"/>
      <c r="AE118" s="23"/>
    </row>
    <row r="119" spans="1:31" ht="15" customHeight="1">
      <c r="A119" s="20">
        <f t="shared" si="9"/>
        <v>0</v>
      </c>
      <c r="B119" s="23"/>
      <c r="C119" s="23"/>
      <c r="D119" s="23"/>
      <c r="E119" s="23"/>
      <c r="F119" s="23"/>
      <c r="G119" s="23"/>
      <c r="H119" s="23"/>
      <c r="I119" s="23"/>
      <c r="J119" s="23"/>
      <c r="K119" s="23"/>
      <c r="L119" s="33"/>
      <c r="M119" s="26"/>
      <c r="N119" s="26"/>
      <c r="O119" s="26"/>
      <c r="P119" s="26"/>
      <c r="Q119" s="26"/>
      <c r="R119" s="26"/>
      <c r="S119" s="26"/>
      <c r="T119" s="26"/>
      <c r="U119" s="26"/>
      <c r="V119" s="26"/>
      <c r="W119" s="26"/>
      <c r="X119" s="26">
        <f>COUNTIF($L$2:L119,"&lt;&gt;"&amp;"")</f>
        <v>5</v>
      </c>
      <c r="Y119" s="27">
        <f t="shared" si="10"/>
        <v>0</v>
      </c>
      <c r="Z119" s="28"/>
      <c r="AA119" s="29"/>
      <c r="AB119" s="30" t="b">
        <f>TRUE()</f>
        <v>1</v>
      </c>
      <c r="AC119" s="31">
        <f t="shared" si="11"/>
        <v>0</v>
      </c>
      <c r="AD119" s="23"/>
      <c r="AE119" s="23"/>
    </row>
    <row r="120" spans="1:31" ht="12.75" customHeight="1">
      <c r="A120" s="43"/>
      <c r="B120" s="43"/>
      <c r="C120" s="43"/>
      <c r="D120" s="43"/>
      <c r="E120" s="43"/>
      <c r="F120" s="43"/>
      <c r="G120" s="43"/>
      <c r="H120" s="43"/>
      <c r="I120" s="43"/>
      <c r="J120" s="43"/>
      <c r="K120" s="43"/>
      <c r="L120" s="44"/>
      <c r="M120" s="44"/>
      <c r="N120" s="45"/>
      <c r="O120" s="45" t="s">
        <v>43</v>
      </c>
      <c r="P120" s="44"/>
      <c r="Q120" s="44"/>
      <c r="R120" s="44"/>
      <c r="S120" s="44"/>
      <c r="T120" s="44"/>
      <c r="U120" s="44"/>
      <c r="V120" s="44"/>
      <c r="W120" s="44"/>
      <c r="X120" s="44"/>
      <c r="Y120" s="44"/>
      <c r="Z120" s="44"/>
      <c r="AA120" s="44"/>
      <c r="AB120" s="44"/>
      <c r="AC120" s="44"/>
      <c r="AD120" s="23"/>
      <c r="AE120" s="23"/>
    </row>
    <row r="121" spans="1:31" ht="15" customHeight="1">
      <c r="A121" s="46">
        <f>ROW()</f>
        <v>121</v>
      </c>
      <c r="B121" s="23">
        <f t="shared" ref="B121:K121" si="12">SUM(B2:B120)</f>
        <v>0</v>
      </c>
      <c r="C121" s="23">
        <f t="shared" si="12"/>
        <v>0</v>
      </c>
      <c r="D121" s="23">
        <f t="shared" si="12"/>
        <v>0</v>
      </c>
      <c r="E121" s="23">
        <f t="shared" si="12"/>
        <v>0</v>
      </c>
      <c r="F121" s="23">
        <f t="shared" si="12"/>
        <v>0</v>
      </c>
      <c r="G121" s="23">
        <f t="shared" si="12"/>
        <v>0</v>
      </c>
      <c r="H121" s="23">
        <f t="shared" si="12"/>
        <v>0</v>
      </c>
      <c r="I121" s="23">
        <f t="shared" si="12"/>
        <v>0</v>
      </c>
      <c r="J121" s="23">
        <f t="shared" si="12"/>
        <v>0</v>
      </c>
      <c r="K121" s="23">
        <f t="shared" si="12"/>
        <v>0</v>
      </c>
      <c r="L121" s="33"/>
      <c r="M121" s="26"/>
      <c r="N121" s="26"/>
      <c r="O121" s="26"/>
      <c r="P121" s="23"/>
      <c r="Q121" s="23"/>
      <c r="R121" s="23"/>
      <c r="S121" s="23"/>
      <c r="T121" s="23"/>
      <c r="U121" s="23"/>
      <c r="V121" s="23"/>
      <c r="W121" s="23"/>
      <c r="X121" s="23"/>
      <c r="Y121" s="23"/>
      <c r="Z121" s="23"/>
      <c r="AA121" s="23"/>
      <c r="AB121" s="23"/>
      <c r="AC121" s="47"/>
      <c r="AD121" s="23"/>
      <c r="AE121" s="23"/>
    </row>
    <row r="122" spans="1:31" ht="12.75" customHeight="1">
      <c r="A122" s="23"/>
      <c r="B122" s="23"/>
      <c r="C122" s="48"/>
      <c r="D122" s="48"/>
      <c r="E122" s="48"/>
      <c r="F122" s="48"/>
      <c r="G122" s="48"/>
      <c r="H122" s="48"/>
      <c r="I122" s="9" t="s">
        <v>44</v>
      </c>
      <c r="J122" s="9"/>
      <c r="K122" s="9"/>
      <c r="L122" s="9"/>
      <c r="M122" s="8">
        <f>400000+120000</f>
        <v>520000</v>
      </c>
      <c r="N122" s="8"/>
      <c r="O122" s="8"/>
      <c r="P122" s="23"/>
      <c r="Q122" s="23"/>
      <c r="R122" s="23"/>
      <c r="S122" s="48"/>
      <c r="T122" s="48"/>
      <c r="U122" s="48"/>
      <c r="V122" s="23"/>
      <c r="W122" s="23"/>
      <c r="X122" s="23"/>
      <c r="Y122" s="23"/>
      <c r="Z122" s="23"/>
      <c r="AA122" s="23"/>
      <c r="AB122" s="23"/>
      <c r="AC122" s="47"/>
      <c r="AD122" s="23"/>
      <c r="AE122" s="23"/>
    </row>
    <row r="123" spans="1:31" ht="15" customHeight="1">
      <c r="A123" s="23"/>
      <c r="B123" s="23"/>
      <c r="C123" s="48"/>
      <c r="D123" s="49" t="s">
        <v>45</v>
      </c>
      <c r="E123" s="50">
        <v>1750905</v>
      </c>
      <c r="F123" s="51" t="s">
        <v>46</v>
      </c>
      <c r="G123" s="52">
        <v>249095</v>
      </c>
      <c r="H123" s="48"/>
      <c r="I123" s="53" t="s">
        <v>47</v>
      </c>
      <c r="J123" s="54">
        <v>0.18</v>
      </c>
      <c r="K123" s="54"/>
      <c r="L123" s="55" t="s">
        <v>48</v>
      </c>
      <c r="M123" s="56">
        <f>2.7/12</f>
        <v>0.22500000000000001</v>
      </c>
      <c r="N123" s="57" t="s">
        <v>49</v>
      </c>
      <c r="O123" s="58">
        <f>40*4.2*((244-2)/260)</f>
        <v>156.36923076923077</v>
      </c>
      <c r="P123" s="48"/>
      <c r="Q123" s="53" t="s">
        <v>50</v>
      </c>
      <c r="R123" s="59">
        <v>0.4</v>
      </c>
      <c r="S123" s="48"/>
      <c r="T123" s="60">
        <v>8</v>
      </c>
      <c r="U123" s="61" t="s">
        <v>51</v>
      </c>
      <c r="V123" s="62"/>
      <c r="W123" s="23"/>
      <c r="X123" s="23"/>
      <c r="Y123" s="23"/>
      <c r="Z123" s="23"/>
      <c r="AA123" s="23"/>
      <c r="AB123" s="23"/>
      <c r="AC123" s="47"/>
      <c r="AD123" s="23"/>
      <c r="AE123" s="23"/>
    </row>
    <row r="124" spans="1:31" ht="12.75" customHeight="1">
      <c r="A124" s="23"/>
      <c r="B124" s="23"/>
      <c r="C124" s="7" t="s">
        <v>52</v>
      </c>
      <c r="D124" s="7"/>
      <c r="E124" s="7"/>
      <c r="F124" s="7" t="s">
        <v>53</v>
      </c>
      <c r="G124" s="7"/>
      <c r="H124" s="7"/>
      <c r="I124" s="7" t="s">
        <v>54</v>
      </c>
      <c r="J124" s="7"/>
      <c r="K124" s="7"/>
      <c r="L124" s="7"/>
      <c r="M124" s="7" t="s">
        <v>55</v>
      </c>
      <c r="N124" s="7"/>
      <c r="O124" s="7"/>
      <c r="P124" s="7" t="s">
        <v>56</v>
      </c>
      <c r="Q124" s="7"/>
      <c r="R124" s="7"/>
      <c r="S124" s="48"/>
      <c r="T124" s="48"/>
      <c r="U124" s="63" t="s">
        <v>49</v>
      </c>
      <c r="V124" s="7" t="s">
        <v>57</v>
      </c>
      <c r="W124" s="7"/>
      <c r="X124" s="7"/>
      <c r="Y124" s="23"/>
      <c r="Z124" s="23"/>
      <c r="AA124" s="23"/>
      <c r="AB124" s="23"/>
      <c r="AC124" s="47"/>
      <c r="AD124" s="23"/>
      <c r="AE124" s="23"/>
    </row>
    <row r="125" spans="1:31" ht="12.75" customHeight="1">
      <c r="A125" s="35" t="s">
        <v>58</v>
      </c>
      <c r="B125" s="63" t="str">
        <f>B1</f>
        <v>DB</v>
      </c>
      <c r="C125" s="6">
        <v>6480000</v>
      </c>
      <c r="D125" s="6"/>
      <c r="E125" s="6"/>
      <c r="F125" s="6">
        <v>1080000</v>
      </c>
      <c r="G125" s="6"/>
      <c r="H125" s="6"/>
      <c r="I125" s="6">
        <v>0</v>
      </c>
      <c r="J125" s="6"/>
      <c r="K125" s="6"/>
      <c r="L125" s="6"/>
      <c r="M125" s="6">
        <f t="shared" ref="M125:M134" si="13">C125*(1+$J$123+$M$123)+F125+I125+$M$122+IF(($E$123*2)&gt;=C125,$G$123,0)</f>
        <v>10704400</v>
      </c>
      <c r="N125" s="6"/>
      <c r="O125" s="6"/>
      <c r="P125" s="5">
        <f t="shared" ref="P125:P134" si="14">M125/$O$123*(1+$R$123)</f>
        <v>95838.292011019294</v>
      </c>
      <c r="Q125" s="5"/>
      <c r="R125" s="5"/>
      <c r="S125" s="48"/>
      <c r="T125" s="48"/>
      <c r="U125" s="23">
        <f t="shared" ref="U125:U134" si="15">HLOOKUP(B125,$B$1:$K$121,$A$121,0)*$T$123</f>
        <v>0</v>
      </c>
      <c r="W125" s="64">
        <f t="shared" ref="W125:W134" si="16">P125*U125</f>
        <v>0</v>
      </c>
      <c r="Y125" s="23"/>
      <c r="Z125" s="23"/>
      <c r="AA125" s="23"/>
      <c r="AB125" s="23"/>
      <c r="AC125" s="47"/>
      <c r="AD125" s="23"/>
      <c r="AE125" s="23"/>
    </row>
    <row r="126" spans="1:31" ht="12.75" customHeight="1">
      <c r="A126" s="35" t="s">
        <v>59</v>
      </c>
      <c r="B126" s="63" t="str">
        <f>C1</f>
        <v>UX</v>
      </c>
      <c r="C126" s="6">
        <v>3240000</v>
      </c>
      <c r="D126" s="6"/>
      <c r="E126" s="6"/>
      <c r="F126" s="6">
        <v>540000</v>
      </c>
      <c r="G126" s="6"/>
      <c r="H126" s="6"/>
      <c r="I126" s="6">
        <v>0</v>
      </c>
      <c r="J126" s="6"/>
      <c r="K126" s="6"/>
      <c r="L126" s="6"/>
      <c r="M126" s="6">
        <f t="shared" si="13"/>
        <v>5861295</v>
      </c>
      <c r="N126" s="6"/>
      <c r="O126" s="6"/>
      <c r="P126" s="5">
        <f t="shared" si="14"/>
        <v>52477.159090909088</v>
      </c>
      <c r="Q126" s="5"/>
      <c r="R126" s="5"/>
      <c r="S126" s="48"/>
      <c r="T126" s="48"/>
      <c r="U126" s="23">
        <f t="shared" si="15"/>
        <v>0</v>
      </c>
      <c r="W126" s="64">
        <f t="shared" si="16"/>
        <v>0</v>
      </c>
      <c r="Y126" s="23"/>
      <c r="Z126" s="23"/>
      <c r="AA126" s="23"/>
      <c r="AB126" s="23"/>
      <c r="AC126" s="47"/>
      <c r="AD126" s="23"/>
      <c r="AE126" s="23"/>
    </row>
    <row r="127" spans="1:31" ht="12.75" customHeight="1">
      <c r="A127" s="35" t="s">
        <v>60</v>
      </c>
      <c r="B127" s="63" t="str">
        <f>D1</f>
        <v>FM</v>
      </c>
      <c r="C127" s="6">
        <v>3240000</v>
      </c>
      <c r="D127" s="6"/>
      <c r="E127" s="6"/>
      <c r="F127" s="6">
        <v>540000</v>
      </c>
      <c r="G127" s="6"/>
      <c r="H127" s="6"/>
      <c r="I127" s="6">
        <v>0</v>
      </c>
      <c r="J127" s="6"/>
      <c r="K127" s="6"/>
      <c r="L127" s="6"/>
      <c r="M127" s="6">
        <f t="shared" si="13"/>
        <v>5861295</v>
      </c>
      <c r="N127" s="6"/>
      <c r="O127" s="6"/>
      <c r="P127" s="5">
        <f t="shared" si="14"/>
        <v>52477.159090909088</v>
      </c>
      <c r="Q127" s="5"/>
      <c r="R127" s="5"/>
      <c r="S127" s="48"/>
      <c r="T127" s="48"/>
      <c r="U127" s="23">
        <f t="shared" si="15"/>
        <v>0</v>
      </c>
      <c r="W127" s="64">
        <f t="shared" si="16"/>
        <v>0</v>
      </c>
      <c r="Y127" s="23"/>
      <c r="Z127" s="23"/>
      <c r="AA127" s="23"/>
      <c r="AB127" s="23"/>
      <c r="AC127" s="47"/>
      <c r="AD127" s="23"/>
      <c r="AE127" s="23"/>
    </row>
    <row r="128" spans="1:31" ht="12.75" customHeight="1">
      <c r="A128" s="35" t="s">
        <v>61</v>
      </c>
      <c r="B128" s="63" t="str">
        <f>E1</f>
        <v>BS</v>
      </c>
      <c r="C128" s="6">
        <v>4320000</v>
      </c>
      <c r="D128" s="6"/>
      <c r="E128" s="6"/>
      <c r="F128" s="6">
        <v>1620000</v>
      </c>
      <c r="G128" s="6"/>
      <c r="H128" s="6"/>
      <c r="I128" s="6">
        <v>0</v>
      </c>
      <c r="J128" s="6"/>
      <c r="K128" s="6"/>
      <c r="L128" s="6"/>
      <c r="M128" s="6">
        <f t="shared" si="13"/>
        <v>8209600</v>
      </c>
      <c r="N128" s="6"/>
      <c r="O128" s="6"/>
      <c r="P128" s="5">
        <f t="shared" si="14"/>
        <v>73501.928374655647</v>
      </c>
      <c r="Q128" s="5"/>
      <c r="R128" s="5"/>
      <c r="S128" s="48"/>
      <c r="T128" s="48"/>
      <c r="U128" s="23">
        <f t="shared" si="15"/>
        <v>0</v>
      </c>
      <c r="W128" s="64">
        <f t="shared" si="16"/>
        <v>0</v>
      </c>
      <c r="Y128" s="23"/>
      <c r="Z128" s="23"/>
      <c r="AA128" s="23"/>
      <c r="AB128" s="23"/>
      <c r="AC128" s="47"/>
      <c r="AD128" s="23"/>
      <c r="AE128" s="23"/>
    </row>
    <row r="129" spans="1:31" ht="12.75" customHeight="1">
      <c r="A129" s="35" t="s">
        <v>62</v>
      </c>
      <c r="B129" s="63" t="str">
        <f>F1</f>
        <v>BM</v>
      </c>
      <c r="C129" s="6">
        <v>3780000</v>
      </c>
      <c r="D129" s="6"/>
      <c r="E129" s="6"/>
      <c r="F129" s="6">
        <v>1080000</v>
      </c>
      <c r="G129" s="6"/>
      <c r="H129" s="6"/>
      <c r="I129" s="6">
        <v>0</v>
      </c>
      <c r="J129" s="6"/>
      <c r="K129" s="6"/>
      <c r="L129" s="6"/>
      <c r="M129" s="6">
        <f t="shared" si="13"/>
        <v>6910900</v>
      </c>
      <c r="N129" s="6"/>
      <c r="O129" s="6"/>
      <c r="P129" s="5">
        <f t="shared" si="14"/>
        <v>61874.449035812671</v>
      </c>
      <c r="Q129" s="5"/>
      <c r="R129" s="5"/>
      <c r="S129" s="48"/>
      <c r="T129" s="48"/>
      <c r="U129" s="23">
        <f t="shared" si="15"/>
        <v>0</v>
      </c>
      <c r="W129" s="64">
        <f t="shared" si="16"/>
        <v>0</v>
      </c>
      <c r="Y129" s="23"/>
      <c r="Z129" s="23"/>
      <c r="AA129" s="23"/>
      <c r="AB129" s="23"/>
      <c r="AC129" s="47"/>
      <c r="AD129" s="23"/>
      <c r="AE129" s="23"/>
    </row>
    <row r="130" spans="1:31" ht="12.75" customHeight="1">
      <c r="A130" s="35" t="s">
        <v>63</v>
      </c>
      <c r="B130" s="63" t="str">
        <f>G1</f>
        <v>QA</v>
      </c>
      <c r="C130" s="6">
        <v>2700000</v>
      </c>
      <c r="D130" s="6"/>
      <c r="E130" s="6"/>
      <c r="F130" s="6">
        <v>1080000</v>
      </c>
      <c r="G130" s="6"/>
      <c r="H130" s="6"/>
      <c r="I130" s="6">
        <v>54000</v>
      </c>
      <c r="J130" s="6"/>
      <c r="K130" s="6"/>
      <c r="L130" s="6"/>
      <c r="M130" s="6">
        <f t="shared" si="13"/>
        <v>5696595</v>
      </c>
      <c r="N130" s="6"/>
      <c r="O130" s="6"/>
      <c r="P130" s="5">
        <f t="shared" si="14"/>
        <v>51002.572314049583</v>
      </c>
      <c r="Q130" s="5"/>
      <c r="R130" s="5"/>
      <c r="S130" s="48"/>
      <c r="T130" s="48"/>
      <c r="U130" s="23">
        <f t="shared" si="15"/>
        <v>0</v>
      </c>
      <c r="W130" s="64">
        <f t="shared" si="16"/>
        <v>0</v>
      </c>
      <c r="Y130" s="23"/>
      <c r="Z130" s="23"/>
      <c r="AA130" s="23"/>
      <c r="AB130" s="23"/>
      <c r="AC130" s="47"/>
      <c r="AD130" s="23"/>
      <c r="AE130" s="23"/>
    </row>
    <row r="131" spans="1:31" ht="12.75" customHeight="1">
      <c r="A131" s="35" t="s">
        <v>64</v>
      </c>
      <c r="B131" s="63" t="str">
        <f>H1</f>
        <v>IM</v>
      </c>
      <c r="C131" s="6">
        <v>2700000</v>
      </c>
      <c r="D131" s="6"/>
      <c r="E131" s="6"/>
      <c r="F131" s="6">
        <v>1080000</v>
      </c>
      <c r="G131" s="6"/>
      <c r="H131" s="6"/>
      <c r="I131" s="6">
        <v>0</v>
      </c>
      <c r="J131" s="6"/>
      <c r="K131" s="6"/>
      <c r="L131" s="6"/>
      <c r="M131" s="6">
        <f t="shared" si="13"/>
        <v>5642595</v>
      </c>
      <c r="N131" s="6"/>
      <c r="O131" s="6"/>
      <c r="P131" s="5">
        <f t="shared" si="14"/>
        <v>50519.10123966942</v>
      </c>
      <c r="Q131" s="5"/>
      <c r="R131" s="5"/>
      <c r="S131" s="48"/>
      <c r="T131" s="48"/>
      <c r="U131" s="23">
        <f t="shared" si="15"/>
        <v>0</v>
      </c>
      <c r="W131" s="64">
        <f t="shared" si="16"/>
        <v>0</v>
      </c>
      <c r="Y131" s="23"/>
      <c r="Z131" s="23"/>
      <c r="AA131" s="23"/>
      <c r="AB131" s="23"/>
      <c r="AC131" s="47"/>
      <c r="AD131" s="23"/>
      <c r="AE131" s="23"/>
    </row>
    <row r="132" spans="1:31" ht="12.75" customHeight="1">
      <c r="A132" s="35" t="s">
        <v>65</v>
      </c>
      <c r="B132" s="63" t="str">
        <f>I1</f>
        <v>MS</v>
      </c>
      <c r="C132" s="6">
        <v>8100000</v>
      </c>
      <c r="D132" s="6"/>
      <c r="E132" s="6"/>
      <c r="F132" s="6">
        <v>2160000</v>
      </c>
      <c r="G132" s="6"/>
      <c r="H132" s="6"/>
      <c r="I132" s="6">
        <v>132000</v>
      </c>
      <c r="J132" s="6"/>
      <c r="K132" s="6"/>
      <c r="L132" s="6"/>
      <c r="M132" s="6">
        <f t="shared" si="13"/>
        <v>14192500</v>
      </c>
      <c r="N132" s="6"/>
      <c r="O132" s="6"/>
      <c r="P132" s="5">
        <f t="shared" si="14"/>
        <v>127067.83746556473</v>
      </c>
      <c r="Q132" s="5"/>
      <c r="R132" s="5"/>
      <c r="S132" s="48"/>
      <c r="T132" s="48"/>
      <c r="U132" s="23">
        <f t="shared" si="15"/>
        <v>0</v>
      </c>
      <c r="W132" s="64">
        <f t="shared" si="16"/>
        <v>0</v>
      </c>
      <c r="Y132" s="23"/>
      <c r="Z132" s="23"/>
      <c r="AA132" s="23"/>
      <c r="AB132" s="23"/>
      <c r="AC132" s="47"/>
      <c r="AD132" s="23"/>
      <c r="AE132" s="23"/>
    </row>
    <row r="133" spans="1:31" ht="12.75" customHeight="1">
      <c r="A133" s="35" t="s">
        <v>66</v>
      </c>
      <c r="B133" s="63" t="str">
        <f>J1</f>
        <v>MM</v>
      </c>
      <c r="C133" s="6">
        <v>3240000</v>
      </c>
      <c r="D133" s="6"/>
      <c r="E133" s="6"/>
      <c r="F133" s="6">
        <v>1080000</v>
      </c>
      <c r="G133" s="6"/>
      <c r="H133" s="6"/>
      <c r="I133" s="6">
        <v>132000</v>
      </c>
      <c r="J133" s="6"/>
      <c r="K133" s="6"/>
      <c r="L133" s="6"/>
      <c r="M133" s="6">
        <f t="shared" si="13"/>
        <v>6533295</v>
      </c>
      <c r="N133" s="6"/>
      <c r="O133" s="6"/>
      <c r="P133" s="5">
        <f t="shared" si="14"/>
        <v>58493.688016528926</v>
      </c>
      <c r="Q133" s="5"/>
      <c r="R133" s="5"/>
      <c r="S133" s="48"/>
      <c r="T133" s="48"/>
      <c r="U133" s="23">
        <f t="shared" si="15"/>
        <v>0</v>
      </c>
      <c r="W133" s="64">
        <f t="shared" si="16"/>
        <v>0</v>
      </c>
      <c r="Y133" s="23"/>
      <c r="Z133" s="23"/>
      <c r="AA133" s="23"/>
      <c r="AB133" s="23"/>
      <c r="AC133" s="47"/>
      <c r="AD133" s="23"/>
      <c r="AE133" s="23"/>
    </row>
    <row r="134" spans="1:31" ht="12.75" customHeight="1">
      <c r="A134" s="35" t="s">
        <v>67</v>
      </c>
      <c r="B134" s="63" t="s">
        <v>10</v>
      </c>
      <c r="C134" s="6">
        <v>3240000</v>
      </c>
      <c r="D134" s="6"/>
      <c r="E134" s="6"/>
      <c r="F134" s="6">
        <v>1080000</v>
      </c>
      <c r="G134" s="6"/>
      <c r="H134" s="6"/>
      <c r="I134" s="6"/>
      <c r="J134" s="6"/>
      <c r="K134" s="6"/>
      <c r="L134" s="6"/>
      <c r="M134" s="6">
        <f t="shared" si="13"/>
        <v>6401295</v>
      </c>
      <c r="N134" s="6"/>
      <c r="O134" s="6"/>
      <c r="P134" s="5">
        <f t="shared" si="14"/>
        <v>57311.869834710742</v>
      </c>
      <c r="Q134" s="5"/>
      <c r="R134" s="5"/>
      <c r="S134" s="48"/>
      <c r="T134" s="48"/>
      <c r="U134" s="23">
        <f t="shared" si="15"/>
        <v>0</v>
      </c>
      <c r="W134" s="64">
        <f t="shared" si="16"/>
        <v>0</v>
      </c>
      <c r="Y134" s="23"/>
      <c r="Z134" s="23"/>
      <c r="AA134" s="23"/>
      <c r="AB134" s="23"/>
      <c r="AC134" s="47"/>
      <c r="AD134" s="23"/>
      <c r="AE134" s="23"/>
    </row>
    <row r="135" spans="1:31" ht="12.75" customHeight="1">
      <c r="A135" s="35"/>
      <c r="B135" s="63"/>
      <c r="C135" s="48"/>
      <c r="D135" s="48"/>
      <c r="E135" s="48"/>
      <c r="F135" s="48"/>
      <c r="G135" s="48"/>
      <c r="H135" s="48"/>
      <c r="I135" s="23"/>
      <c r="J135" s="23"/>
      <c r="K135" s="23"/>
      <c r="L135" s="23"/>
      <c r="M135" s="23"/>
      <c r="N135" s="23"/>
      <c r="O135" s="23"/>
      <c r="P135" s="4">
        <f>SUM(P125:P134)</f>
        <v>680564.0564738292</v>
      </c>
      <c r="Q135" s="4"/>
      <c r="R135" s="4"/>
      <c r="S135" s="48"/>
      <c r="T135" s="48"/>
      <c r="U135" s="48"/>
      <c r="W135" s="65">
        <f>SUM(W125:W134)</f>
        <v>0</v>
      </c>
      <c r="Y135" s="23"/>
      <c r="Z135" s="23"/>
      <c r="AA135" s="23"/>
      <c r="AB135" s="23"/>
      <c r="AC135" s="47"/>
      <c r="AD135" s="23"/>
      <c r="AE135" s="23"/>
    </row>
    <row r="136" spans="1:31" ht="12.75" customHeight="1">
      <c r="A136" s="23"/>
      <c r="B136" s="23"/>
      <c r="C136" s="66"/>
      <c r="D136" s="66"/>
      <c r="E136" s="23"/>
      <c r="F136" s="23"/>
      <c r="G136" s="23"/>
      <c r="H136" s="48"/>
      <c r="I136" s="23"/>
      <c r="J136" s="23"/>
      <c r="K136" s="23"/>
      <c r="L136" s="48"/>
      <c r="M136" s="23"/>
      <c r="N136" s="23"/>
      <c r="O136" s="23"/>
      <c r="P136" s="23"/>
      <c r="Q136" s="23"/>
      <c r="R136" s="23"/>
      <c r="S136" s="23"/>
      <c r="T136" s="23"/>
      <c r="U136" s="23"/>
      <c r="V136" s="23"/>
      <c r="W136" s="23"/>
      <c r="X136" s="23"/>
      <c r="Y136" s="23"/>
      <c r="Z136" s="23"/>
      <c r="AA136" s="23"/>
      <c r="AB136" s="23"/>
      <c r="AC136" s="47"/>
      <c r="AD136" s="23"/>
      <c r="AE136" s="23"/>
    </row>
    <row r="137" spans="1:31" ht="12.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47"/>
      <c r="AD137" s="23"/>
      <c r="AE137" s="23"/>
    </row>
    <row r="138" spans="1:31" ht="12.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8"/>
      <c r="AD138" s="67"/>
      <c r="AE138" s="67"/>
    </row>
    <row r="139" spans="1:31" ht="15" customHeight="1">
      <c r="A139" s="67"/>
      <c r="B139" s="67"/>
      <c r="C139" s="3"/>
      <c r="D139" s="3"/>
      <c r="E139" s="3"/>
      <c r="F139" s="3"/>
      <c r="G139" s="2"/>
      <c r="H139" s="2"/>
      <c r="I139" s="2"/>
      <c r="J139" s="2"/>
      <c r="K139" s="69"/>
      <c r="L139" s="1"/>
      <c r="M139" s="1"/>
      <c r="N139" s="1"/>
      <c r="O139" s="1"/>
      <c r="P139" s="2"/>
      <c r="Q139" s="2"/>
      <c r="R139" s="2"/>
      <c r="S139" s="2"/>
      <c r="T139" s="1"/>
      <c r="U139" s="1"/>
      <c r="V139" s="1"/>
      <c r="W139" s="1"/>
      <c r="X139" s="2"/>
      <c r="Y139" s="2"/>
      <c r="Z139" s="2"/>
      <c r="AA139" s="1"/>
      <c r="AB139" s="1"/>
      <c r="AC139" s="1"/>
      <c r="AD139" s="70"/>
      <c r="AE139" s="67"/>
    </row>
    <row r="140" spans="1:31" ht="12.75" customHeight="1">
      <c r="A140" s="71" t="e">
        <f t="array" aca="1" ref="A140:A144" ca="1">unique(L1:L120)</f>
        <v>#NAME?</v>
      </c>
      <c r="B140" s="72"/>
      <c r="C140" s="73"/>
      <c r="D140" s="73"/>
      <c r="E140" s="73"/>
      <c r="F140" s="74"/>
      <c r="G140" s="75" t="s">
        <v>68</v>
      </c>
      <c r="H140" s="75" t="s">
        <v>69</v>
      </c>
      <c r="I140" s="75" t="s">
        <v>70</v>
      </c>
      <c r="J140" s="75" t="s">
        <v>71</v>
      </c>
      <c r="K140" s="75" t="s">
        <v>72</v>
      </c>
      <c r="L140" s="76" t="s">
        <v>73</v>
      </c>
      <c r="M140" s="76" t="s">
        <v>74</v>
      </c>
      <c r="N140" s="76" t="s">
        <v>75</v>
      </c>
      <c r="O140" s="76" t="s">
        <v>76</v>
      </c>
      <c r="P140" s="75" t="s">
        <v>77</v>
      </c>
      <c r="Q140" s="75"/>
      <c r="R140" s="75"/>
      <c r="S140" s="75"/>
      <c r="T140" s="76"/>
      <c r="U140" s="76"/>
      <c r="V140" s="76"/>
      <c r="W140" s="76"/>
      <c r="X140" s="75"/>
      <c r="Y140" s="75"/>
      <c r="Z140" s="75"/>
      <c r="AA140" s="76"/>
      <c r="AB140" s="76"/>
      <c r="AC140" s="77"/>
      <c r="AD140" s="76"/>
      <c r="AE140" s="67"/>
    </row>
    <row r="141" spans="1:31" ht="12.75" customHeight="1">
      <c r="A141" s="78" t="e">
        <f ca="1"/>
        <v>#NAME?</v>
      </c>
      <c r="B141" s="79"/>
      <c r="C141" s="79"/>
      <c r="D141" s="79" t="s">
        <v>78</v>
      </c>
      <c r="E141" s="79"/>
      <c r="F141" s="80"/>
      <c r="G141" s="81"/>
      <c r="H141" s="81"/>
      <c r="I141" s="81"/>
      <c r="J141" s="81"/>
      <c r="K141" s="81"/>
      <c r="L141" s="82"/>
      <c r="M141" s="82"/>
      <c r="N141" s="82"/>
      <c r="O141" s="82"/>
      <c r="P141" s="81"/>
      <c r="Q141" s="81"/>
      <c r="R141" s="81"/>
      <c r="S141" s="81"/>
      <c r="T141" s="82"/>
      <c r="U141" s="82"/>
      <c r="V141" s="82"/>
      <c r="W141" s="82"/>
      <c r="X141" s="81"/>
      <c r="Y141" s="81"/>
      <c r="Z141" s="81"/>
      <c r="AA141" s="82"/>
      <c r="AB141" s="82"/>
      <c r="AC141" s="83"/>
      <c r="AD141" s="82"/>
      <c r="AE141" s="67"/>
    </row>
    <row r="142" spans="1:31" ht="12.75" customHeight="1">
      <c r="A142" s="78" t="e">
        <f ca="1"/>
        <v>#NAME?</v>
      </c>
      <c r="B142" s="79"/>
      <c r="C142" s="79"/>
      <c r="D142" s="79"/>
      <c r="E142" s="79"/>
      <c r="F142" s="80"/>
      <c r="G142" s="81"/>
      <c r="H142" s="81"/>
      <c r="I142" s="81"/>
      <c r="J142" s="81"/>
      <c r="K142" s="81"/>
      <c r="L142" s="82"/>
      <c r="M142" s="82"/>
      <c r="N142" s="82"/>
      <c r="O142" s="82"/>
      <c r="P142" s="81"/>
      <c r="Q142" s="81"/>
      <c r="R142" s="81"/>
      <c r="S142" s="81"/>
      <c r="T142" s="82"/>
      <c r="U142" s="82"/>
      <c r="V142" s="82"/>
      <c r="W142" s="82"/>
      <c r="X142" s="81"/>
      <c r="Y142" s="81"/>
      <c r="Z142" s="81"/>
      <c r="AA142" s="82"/>
      <c r="AB142" s="82"/>
      <c r="AC142" s="83"/>
      <c r="AD142" s="82"/>
      <c r="AE142" s="67"/>
    </row>
    <row r="143" spans="1:31" ht="12.75" customHeight="1">
      <c r="A143" s="78" t="e">
        <f ca="1"/>
        <v>#NAME?</v>
      </c>
      <c r="B143" s="79"/>
      <c r="C143" s="79"/>
      <c r="D143" s="79"/>
      <c r="E143" s="79"/>
      <c r="F143" s="80"/>
      <c r="G143" s="81"/>
      <c r="H143" s="81"/>
      <c r="I143" s="81"/>
      <c r="J143" s="81"/>
      <c r="K143" s="81"/>
      <c r="L143" s="82"/>
      <c r="M143" s="82"/>
      <c r="N143" s="82"/>
      <c r="O143" s="82"/>
      <c r="P143" s="81"/>
      <c r="Q143" s="81"/>
      <c r="R143" s="81"/>
      <c r="S143" s="81"/>
      <c r="T143" s="82"/>
      <c r="U143" s="82"/>
      <c r="V143" s="82"/>
      <c r="W143" s="82"/>
      <c r="X143" s="81"/>
      <c r="Y143" s="81"/>
      <c r="Z143" s="81"/>
      <c r="AA143" s="82"/>
      <c r="AB143" s="82"/>
      <c r="AC143" s="83"/>
      <c r="AD143" s="82"/>
      <c r="AE143" s="67"/>
    </row>
    <row r="144" spans="1:31" ht="12.75" customHeight="1">
      <c r="A144" s="78" t="e">
        <f ca="1"/>
        <v>#NAME?</v>
      </c>
      <c r="B144" s="79"/>
      <c r="C144" s="79"/>
      <c r="D144" s="79"/>
      <c r="E144" s="79"/>
      <c r="F144" s="80"/>
      <c r="G144" s="81"/>
      <c r="H144" s="81"/>
      <c r="I144" s="81"/>
      <c r="J144" s="81"/>
      <c r="K144" s="81"/>
      <c r="L144" s="82"/>
      <c r="M144" s="82"/>
      <c r="N144" s="82"/>
      <c r="O144" s="82"/>
      <c r="P144" s="81"/>
      <c r="Q144" s="81"/>
      <c r="R144" s="81"/>
      <c r="S144" s="81"/>
      <c r="T144" s="82"/>
      <c r="U144" s="82"/>
      <c r="V144" s="82"/>
      <c r="W144" s="82"/>
      <c r="X144" s="81"/>
      <c r="Y144" s="81"/>
      <c r="Z144" s="81"/>
      <c r="AA144" s="82"/>
      <c r="AB144" s="82"/>
      <c r="AC144" s="83"/>
      <c r="AD144" s="82"/>
      <c r="AE144" s="67"/>
    </row>
    <row r="145" spans="1:31" ht="12.75" customHeight="1">
      <c r="A145" s="78"/>
      <c r="B145" s="79"/>
      <c r="C145" s="79"/>
      <c r="D145" s="79"/>
      <c r="E145" s="79"/>
      <c r="F145" s="80"/>
      <c r="G145" s="81"/>
      <c r="H145" s="81"/>
      <c r="I145" s="81"/>
      <c r="J145" s="81"/>
      <c r="K145" s="81"/>
      <c r="L145" s="82"/>
      <c r="M145" s="82"/>
      <c r="N145" s="82"/>
      <c r="O145" s="82"/>
      <c r="P145" s="81"/>
      <c r="Q145" s="81"/>
      <c r="R145" s="81"/>
      <c r="S145" s="81"/>
      <c r="T145" s="82"/>
      <c r="U145" s="82"/>
      <c r="V145" s="82"/>
      <c r="W145" s="82"/>
      <c r="X145" s="81"/>
      <c r="Y145" s="81"/>
      <c r="Z145" s="81"/>
      <c r="AA145" s="82"/>
      <c r="AB145" s="82"/>
      <c r="AC145" s="83"/>
      <c r="AD145" s="82"/>
      <c r="AE145" s="67"/>
    </row>
    <row r="146" spans="1:31" ht="12.75" customHeight="1">
      <c r="A146" s="78"/>
      <c r="B146" s="79"/>
      <c r="C146" s="79"/>
      <c r="D146" s="79"/>
      <c r="E146" s="79"/>
      <c r="F146" s="80"/>
      <c r="G146" s="81"/>
      <c r="H146" s="81"/>
      <c r="I146" s="81"/>
      <c r="J146" s="81"/>
      <c r="K146" s="81"/>
      <c r="L146" s="82"/>
      <c r="M146" s="82"/>
      <c r="N146" s="82"/>
      <c r="O146" s="82"/>
      <c r="P146" s="81"/>
      <c r="Q146" s="81"/>
      <c r="R146" s="81"/>
      <c r="S146" s="81"/>
      <c r="T146" s="82"/>
      <c r="U146" s="82"/>
      <c r="V146" s="82"/>
      <c r="W146" s="82"/>
      <c r="X146" s="81"/>
      <c r="Y146" s="81"/>
      <c r="Z146" s="81"/>
      <c r="AA146" s="82"/>
      <c r="AB146" s="82"/>
      <c r="AC146" s="83"/>
      <c r="AD146" s="82"/>
      <c r="AE146" s="67"/>
    </row>
    <row r="147" spans="1:31" ht="12.75" customHeight="1">
      <c r="A147" s="78"/>
      <c r="B147" s="79"/>
      <c r="C147" s="79"/>
      <c r="D147" s="79"/>
      <c r="E147" s="79"/>
      <c r="F147" s="80"/>
      <c r="G147" s="81"/>
      <c r="H147" s="81"/>
      <c r="I147" s="81"/>
      <c r="J147" s="81"/>
      <c r="K147" s="81"/>
      <c r="L147" s="82"/>
      <c r="M147" s="82"/>
      <c r="N147" s="82"/>
      <c r="O147" s="82"/>
      <c r="P147" s="81"/>
      <c r="Q147" s="81"/>
      <c r="R147" s="81"/>
      <c r="S147" s="81"/>
      <c r="T147" s="82"/>
      <c r="U147" s="82"/>
      <c r="V147" s="82"/>
      <c r="W147" s="82"/>
      <c r="X147" s="81"/>
      <c r="Y147" s="81"/>
      <c r="Z147" s="81"/>
      <c r="AA147" s="82"/>
      <c r="AB147" s="82"/>
      <c r="AC147" s="83"/>
      <c r="AD147" s="82"/>
      <c r="AE147" s="67"/>
    </row>
    <row r="148" spans="1:31" ht="12.75" customHeight="1">
      <c r="A148" s="78"/>
      <c r="B148" s="79"/>
      <c r="C148" s="79"/>
      <c r="D148" s="79"/>
      <c r="E148" s="79"/>
      <c r="F148" s="80"/>
      <c r="G148" s="81"/>
      <c r="H148" s="81"/>
      <c r="I148" s="81"/>
      <c r="J148" s="81"/>
      <c r="K148" s="81"/>
      <c r="L148" s="82"/>
      <c r="M148" s="82"/>
      <c r="N148" s="82"/>
      <c r="O148" s="82"/>
      <c r="P148" s="81"/>
      <c r="Q148" s="81"/>
      <c r="R148" s="81"/>
      <c r="S148" s="81"/>
      <c r="T148" s="82"/>
      <c r="U148" s="82"/>
      <c r="V148" s="82"/>
      <c r="W148" s="82"/>
      <c r="X148" s="81"/>
      <c r="Y148" s="81"/>
      <c r="Z148" s="81"/>
      <c r="AA148" s="82"/>
      <c r="AB148" s="82"/>
      <c r="AC148" s="83"/>
      <c r="AD148" s="82"/>
      <c r="AE148" s="67"/>
    </row>
    <row r="149" spans="1:31" ht="12.75" customHeight="1">
      <c r="A149" s="78"/>
      <c r="B149" s="79"/>
      <c r="C149" s="79"/>
      <c r="D149" s="79"/>
      <c r="E149" s="79"/>
      <c r="F149" s="80"/>
      <c r="G149" s="81"/>
      <c r="H149" s="81"/>
      <c r="I149" s="81"/>
      <c r="J149" s="81"/>
      <c r="K149" s="81"/>
      <c r="L149" s="82"/>
      <c r="M149" s="82"/>
      <c r="N149" s="82"/>
      <c r="O149" s="82"/>
      <c r="P149" s="81"/>
      <c r="Q149" s="81"/>
      <c r="R149" s="81"/>
      <c r="S149" s="81"/>
      <c r="T149" s="82"/>
      <c r="U149" s="82"/>
      <c r="V149" s="82"/>
      <c r="W149" s="82"/>
      <c r="X149" s="81"/>
      <c r="Y149" s="81"/>
      <c r="Z149" s="81"/>
      <c r="AA149" s="82"/>
      <c r="AB149" s="82"/>
      <c r="AC149" s="83"/>
      <c r="AD149" s="82"/>
      <c r="AE149" s="67"/>
    </row>
    <row r="150" spans="1:31" ht="12.75" customHeight="1">
      <c r="A150" s="78"/>
      <c r="B150" s="79"/>
      <c r="C150" s="79"/>
      <c r="D150" s="79"/>
      <c r="E150" s="79"/>
      <c r="F150" s="80"/>
      <c r="G150" s="81"/>
      <c r="H150" s="81"/>
      <c r="I150" s="81"/>
      <c r="J150" s="81"/>
      <c r="K150" s="81"/>
      <c r="L150" s="82"/>
      <c r="M150" s="82"/>
      <c r="N150" s="82"/>
      <c r="O150" s="82"/>
      <c r="P150" s="81"/>
      <c r="Q150" s="81"/>
      <c r="R150" s="81"/>
      <c r="S150" s="81"/>
      <c r="T150" s="82"/>
      <c r="U150" s="82"/>
      <c r="V150" s="82"/>
      <c r="W150" s="82"/>
      <c r="X150" s="81"/>
      <c r="Y150" s="81"/>
      <c r="Z150" s="81"/>
      <c r="AA150" s="82"/>
      <c r="AB150" s="82"/>
      <c r="AC150" s="83"/>
      <c r="AD150" s="82"/>
      <c r="AE150" s="67"/>
    </row>
    <row r="151" spans="1:31" ht="12.75" customHeight="1">
      <c r="A151" s="78"/>
      <c r="B151" s="79"/>
      <c r="C151" s="79"/>
      <c r="D151" s="79"/>
      <c r="E151" s="79"/>
      <c r="F151" s="80"/>
      <c r="G151" s="81"/>
      <c r="H151" s="81"/>
      <c r="I151" s="81"/>
      <c r="J151" s="81"/>
      <c r="K151" s="81"/>
      <c r="L151" s="82"/>
      <c r="M151" s="82"/>
      <c r="N151" s="82"/>
      <c r="O151" s="82"/>
      <c r="P151" s="81"/>
      <c r="Q151" s="81"/>
      <c r="R151" s="81"/>
      <c r="S151" s="81"/>
      <c r="T151" s="82"/>
      <c r="U151" s="82"/>
      <c r="V151" s="82"/>
      <c r="W151" s="82"/>
      <c r="X151" s="81"/>
      <c r="Y151" s="81"/>
      <c r="Z151" s="81"/>
      <c r="AA151" s="82"/>
      <c r="AB151" s="82"/>
      <c r="AC151" s="83"/>
      <c r="AD151" s="82"/>
      <c r="AE151" s="67"/>
    </row>
    <row r="152" spans="1:31" ht="12.75" customHeight="1">
      <c r="A152" s="78"/>
      <c r="B152" s="79"/>
      <c r="C152" s="79"/>
      <c r="D152" s="79"/>
      <c r="E152" s="79"/>
      <c r="F152" s="80"/>
      <c r="G152" s="81"/>
      <c r="H152" s="81"/>
      <c r="I152" s="81"/>
      <c r="J152" s="81"/>
      <c r="K152" s="81"/>
      <c r="L152" s="82"/>
      <c r="M152" s="82"/>
      <c r="N152" s="82"/>
      <c r="O152" s="82"/>
      <c r="P152" s="81"/>
      <c r="Q152" s="81"/>
      <c r="R152" s="81"/>
      <c r="S152" s="81"/>
      <c r="T152" s="82"/>
      <c r="U152" s="82"/>
      <c r="V152" s="82"/>
      <c r="W152" s="82"/>
      <c r="X152" s="81"/>
      <c r="Y152" s="81"/>
      <c r="Z152" s="81"/>
      <c r="AA152" s="82"/>
      <c r="AB152" s="82"/>
      <c r="AC152" s="83"/>
      <c r="AD152" s="82"/>
      <c r="AE152" s="67"/>
    </row>
    <row r="153" spans="1:31" ht="12.75" customHeight="1">
      <c r="A153" s="78"/>
      <c r="B153" s="79"/>
      <c r="C153" s="79"/>
      <c r="D153" s="79"/>
      <c r="E153" s="79"/>
      <c r="F153" s="80"/>
      <c r="G153" s="81"/>
      <c r="H153" s="81"/>
      <c r="I153" s="81"/>
      <c r="J153" s="81"/>
      <c r="K153" s="81"/>
      <c r="L153" s="82"/>
      <c r="M153" s="82"/>
      <c r="N153" s="82"/>
      <c r="O153" s="82"/>
      <c r="P153" s="81"/>
      <c r="Q153" s="81"/>
      <c r="R153" s="81"/>
      <c r="S153" s="81"/>
      <c r="T153" s="82"/>
      <c r="U153" s="82"/>
      <c r="V153" s="82"/>
      <c r="W153" s="82"/>
      <c r="X153" s="81"/>
      <c r="Y153" s="81"/>
      <c r="Z153" s="81"/>
      <c r="AA153" s="82"/>
      <c r="AB153" s="82"/>
      <c r="AC153" s="83"/>
      <c r="AD153" s="82"/>
      <c r="AE153" s="67"/>
    </row>
    <row r="154" spans="1:31" ht="12.75" customHeight="1">
      <c r="A154" s="78"/>
      <c r="B154" s="79"/>
      <c r="C154" s="79"/>
      <c r="D154" s="79"/>
      <c r="E154" s="79"/>
      <c r="F154" s="80"/>
      <c r="G154" s="81"/>
      <c r="H154" s="81"/>
      <c r="I154" s="81"/>
      <c r="J154" s="81"/>
      <c r="K154" s="81"/>
      <c r="L154" s="82"/>
      <c r="M154" s="82"/>
      <c r="N154" s="82"/>
      <c r="O154" s="82"/>
      <c r="P154" s="81"/>
      <c r="Q154" s="81"/>
      <c r="R154" s="81"/>
      <c r="S154" s="81"/>
      <c r="T154" s="82"/>
      <c r="U154" s="82"/>
      <c r="V154" s="82"/>
      <c r="W154" s="82"/>
      <c r="X154" s="81"/>
      <c r="Y154" s="81"/>
      <c r="Z154" s="81"/>
      <c r="AA154" s="82"/>
      <c r="AB154" s="82"/>
      <c r="AC154" s="83"/>
      <c r="AD154" s="82"/>
      <c r="AE154" s="67"/>
    </row>
    <row r="155" spans="1:31" ht="12.75" customHeight="1">
      <c r="A155" s="78"/>
      <c r="B155" s="79"/>
      <c r="C155" s="79"/>
      <c r="D155" s="79"/>
      <c r="E155" s="79"/>
      <c r="F155" s="80"/>
      <c r="G155" s="81"/>
      <c r="H155" s="81"/>
      <c r="I155" s="81"/>
      <c r="J155" s="81"/>
      <c r="K155" s="81"/>
      <c r="L155" s="82"/>
      <c r="M155" s="82"/>
      <c r="N155" s="82"/>
      <c r="O155" s="82"/>
      <c r="P155" s="81"/>
      <c r="Q155" s="81"/>
      <c r="R155" s="81"/>
      <c r="S155" s="81"/>
      <c r="T155" s="82"/>
      <c r="U155" s="82"/>
      <c r="V155" s="82"/>
      <c r="W155" s="82"/>
      <c r="X155" s="81"/>
      <c r="Y155" s="81"/>
      <c r="Z155" s="81"/>
      <c r="AA155" s="82"/>
      <c r="AB155" s="82"/>
      <c r="AC155" s="83"/>
      <c r="AD155" s="82"/>
      <c r="AE155" s="67"/>
    </row>
    <row r="156" spans="1:31" ht="12.75" customHeight="1">
      <c r="A156" s="78"/>
      <c r="B156" s="79"/>
      <c r="C156" s="79"/>
      <c r="D156" s="79"/>
      <c r="E156" s="79"/>
      <c r="F156" s="80"/>
      <c r="G156" s="81"/>
      <c r="H156" s="81"/>
      <c r="I156" s="81"/>
      <c r="J156" s="81"/>
      <c r="K156" s="81"/>
      <c r="L156" s="82"/>
      <c r="M156" s="82"/>
      <c r="N156" s="82"/>
      <c r="O156" s="82"/>
      <c r="P156" s="81"/>
      <c r="Q156" s="81"/>
      <c r="R156" s="81"/>
      <c r="S156" s="81"/>
      <c r="T156" s="82"/>
      <c r="U156" s="82"/>
      <c r="V156" s="82"/>
      <c r="W156" s="82"/>
      <c r="X156" s="81"/>
      <c r="Y156" s="81"/>
      <c r="Z156" s="81"/>
      <c r="AA156" s="82"/>
      <c r="AB156" s="82"/>
      <c r="AC156" s="83"/>
      <c r="AD156" s="82"/>
      <c r="AE156" s="67"/>
    </row>
    <row r="157" spans="1:31" ht="12.75" customHeight="1">
      <c r="A157" s="78"/>
      <c r="B157" s="79"/>
      <c r="C157" s="79"/>
      <c r="D157" s="79"/>
      <c r="E157" s="79"/>
      <c r="F157" s="80"/>
      <c r="G157" s="81"/>
      <c r="H157" s="81"/>
      <c r="I157" s="81"/>
      <c r="J157" s="81"/>
      <c r="K157" s="81"/>
      <c r="L157" s="82"/>
      <c r="M157" s="82"/>
      <c r="N157" s="82"/>
      <c r="O157" s="82"/>
      <c r="P157" s="81"/>
      <c r="Q157" s="81"/>
      <c r="R157" s="81"/>
      <c r="S157" s="81"/>
      <c r="T157" s="82"/>
      <c r="U157" s="82"/>
      <c r="V157" s="82"/>
      <c r="W157" s="82"/>
      <c r="X157" s="81"/>
      <c r="Y157" s="81"/>
      <c r="Z157" s="81"/>
      <c r="AA157" s="82"/>
      <c r="AB157" s="82"/>
      <c r="AC157" s="83"/>
      <c r="AD157" s="82"/>
      <c r="AE157" s="67"/>
    </row>
    <row r="158" spans="1:31" ht="12.75" customHeight="1">
      <c r="A158" s="78"/>
      <c r="B158" s="79"/>
      <c r="C158" s="79"/>
      <c r="D158" s="79"/>
      <c r="E158" s="79"/>
      <c r="F158" s="80"/>
      <c r="G158" s="81"/>
      <c r="H158" s="81"/>
      <c r="I158" s="81"/>
      <c r="J158" s="81"/>
      <c r="K158" s="81"/>
      <c r="L158" s="82"/>
      <c r="M158" s="82"/>
      <c r="N158" s="82"/>
      <c r="O158" s="82"/>
      <c r="P158" s="81"/>
      <c r="Q158" s="81"/>
      <c r="R158" s="81"/>
      <c r="S158" s="81"/>
      <c r="T158" s="82"/>
      <c r="U158" s="82"/>
      <c r="V158" s="82"/>
      <c r="W158" s="82"/>
      <c r="X158" s="81"/>
      <c r="Y158" s="81"/>
      <c r="Z158" s="81"/>
      <c r="AA158" s="82"/>
      <c r="AB158" s="82"/>
      <c r="AC158" s="83"/>
      <c r="AD158" s="82"/>
      <c r="AE158" s="67"/>
    </row>
    <row r="159" spans="1:31" ht="12.75" customHeight="1">
      <c r="A159" s="78"/>
      <c r="B159" s="79"/>
      <c r="C159" s="79"/>
      <c r="D159" s="79"/>
      <c r="E159" s="79"/>
      <c r="F159" s="80"/>
      <c r="G159" s="81"/>
      <c r="H159" s="81"/>
      <c r="I159" s="81"/>
      <c r="J159" s="81"/>
      <c r="K159" s="81"/>
      <c r="L159" s="82"/>
      <c r="M159" s="82"/>
      <c r="N159" s="82"/>
      <c r="O159" s="82"/>
      <c r="P159" s="81"/>
      <c r="Q159" s="81"/>
      <c r="R159" s="81"/>
      <c r="S159" s="81"/>
      <c r="T159" s="82"/>
      <c r="U159" s="82"/>
      <c r="V159" s="82"/>
      <c r="W159" s="82"/>
      <c r="X159" s="81"/>
      <c r="Y159" s="81"/>
      <c r="Z159" s="81"/>
      <c r="AA159" s="82"/>
      <c r="AB159" s="82"/>
      <c r="AC159" s="83"/>
      <c r="AD159" s="82"/>
      <c r="AE159" s="67"/>
    </row>
    <row r="160" spans="1:31" ht="12.75" customHeight="1">
      <c r="A160" s="78"/>
      <c r="B160" s="79"/>
      <c r="C160" s="79"/>
      <c r="D160" s="79"/>
      <c r="E160" s="79"/>
      <c r="F160" s="80"/>
      <c r="G160" s="81"/>
      <c r="H160" s="81"/>
      <c r="I160" s="81"/>
      <c r="J160" s="81"/>
      <c r="K160" s="81"/>
      <c r="L160" s="82"/>
      <c r="M160" s="82"/>
      <c r="N160" s="82"/>
      <c r="O160" s="82"/>
      <c r="P160" s="81"/>
      <c r="Q160" s="81"/>
      <c r="R160" s="81"/>
      <c r="S160" s="81"/>
      <c r="T160" s="82"/>
      <c r="U160" s="82"/>
      <c r="V160" s="82"/>
      <c r="W160" s="82"/>
      <c r="X160" s="81"/>
      <c r="Y160" s="81"/>
      <c r="Z160" s="81"/>
      <c r="AA160" s="82"/>
      <c r="AB160" s="82"/>
      <c r="AC160" s="83"/>
      <c r="AD160" s="82"/>
      <c r="AE160" s="67"/>
    </row>
    <row r="161" spans="1:31" ht="12.75" customHeight="1">
      <c r="A161" s="78"/>
      <c r="B161" s="79"/>
      <c r="C161" s="79"/>
      <c r="D161" s="79"/>
      <c r="E161" s="79"/>
      <c r="F161" s="80"/>
      <c r="G161" s="81"/>
      <c r="H161" s="81"/>
      <c r="I161" s="81"/>
      <c r="J161" s="81"/>
      <c r="K161" s="81"/>
      <c r="L161" s="82"/>
      <c r="M161" s="82"/>
      <c r="N161" s="82"/>
      <c r="O161" s="82"/>
      <c r="P161" s="81"/>
      <c r="Q161" s="81"/>
      <c r="R161" s="81"/>
      <c r="S161" s="81"/>
      <c r="T161" s="82"/>
      <c r="U161" s="82"/>
      <c r="V161" s="82"/>
      <c r="W161" s="82"/>
      <c r="X161" s="81"/>
      <c r="Y161" s="81"/>
      <c r="Z161" s="81"/>
      <c r="AA161" s="82"/>
      <c r="AB161" s="82"/>
      <c r="AC161" s="83"/>
      <c r="AD161" s="82"/>
      <c r="AE161" s="67"/>
    </row>
    <row r="162" spans="1:31" ht="12.75" customHeight="1">
      <c r="A162" s="78"/>
      <c r="B162" s="79"/>
      <c r="C162" s="79"/>
      <c r="D162" s="79"/>
      <c r="E162" s="79"/>
      <c r="F162" s="80"/>
      <c r="G162" s="81"/>
      <c r="H162" s="81"/>
      <c r="I162" s="81"/>
      <c r="J162" s="81"/>
      <c r="K162" s="81"/>
      <c r="L162" s="82"/>
      <c r="M162" s="82"/>
      <c r="N162" s="82"/>
      <c r="O162" s="82"/>
      <c r="P162" s="81"/>
      <c r="Q162" s="81"/>
      <c r="R162" s="81"/>
      <c r="S162" s="81"/>
      <c r="T162" s="82"/>
      <c r="U162" s="82"/>
      <c r="V162" s="82"/>
      <c r="W162" s="82"/>
      <c r="X162" s="81"/>
      <c r="Y162" s="81"/>
      <c r="Z162" s="81"/>
      <c r="AA162" s="82"/>
      <c r="AB162" s="82"/>
      <c r="AC162" s="83"/>
      <c r="AD162" s="82"/>
      <c r="AE162" s="67"/>
    </row>
    <row r="163" spans="1:31" ht="12.75" customHeight="1">
      <c r="A163" s="78"/>
      <c r="B163" s="79"/>
      <c r="C163" s="79"/>
      <c r="D163" s="79"/>
      <c r="E163" s="79"/>
      <c r="F163" s="80"/>
      <c r="G163" s="81"/>
      <c r="H163" s="81"/>
      <c r="I163" s="81"/>
      <c r="J163" s="81"/>
      <c r="K163" s="81"/>
      <c r="L163" s="82"/>
      <c r="M163" s="82"/>
      <c r="N163" s="82"/>
      <c r="O163" s="82"/>
      <c r="P163" s="81"/>
      <c r="Q163" s="81"/>
      <c r="R163" s="81"/>
      <c r="S163" s="81"/>
      <c r="T163" s="82"/>
      <c r="U163" s="82"/>
      <c r="V163" s="82"/>
      <c r="W163" s="82"/>
      <c r="X163" s="81"/>
      <c r="Y163" s="81"/>
      <c r="Z163" s="81"/>
      <c r="AA163" s="82"/>
      <c r="AB163" s="82"/>
      <c r="AC163" s="83"/>
      <c r="AD163" s="82"/>
      <c r="AE163" s="67"/>
    </row>
    <row r="164" spans="1:31" ht="12.75" customHeight="1">
      <c r="A164" s="78"/>
      <c r="B164" s="79"/>
      <c r="C164" s="79"/>
      <c r="D164" s="79"/>
      <c r="E164" s="79"/>
      <c r="F164" s="80"/>
      <c r="G164" s="81"/>
      <c r="H164" s="81"/>
      <c r="I164" s="81"/>
      <c r="J164" s="81"/>
      <c r="K164" s="81"/>
      <c r="L164" s="82"/>
      <c r="M164" s="82"/>
      <c r="N164" s="82"/>
      <c r="O164" s="82"/>
      <c r="P164" s="81"/>
      <c r="Q164" s="81"/>
      <c r="R164" s="81"/>
      <c r="S164" s="81"/>
      <c r="T164" s="82"/>
      <c r="U164" s="82"/>
      <c r="V164" s="82"/>
      <c r="W164" s="82"/>
      <c r="X164" s="81"/>
      <c r="Y164" s="81"/>
      <c r="Z164" s="81"/>
      <c r="AA164" s="82"/>
      <c r="AB164" s="82"/>
      <c r="AC164" s="83"/>
      <c r="AD164" s="82"/>
      <c r="AE164" s="67"/>
    </row>
    <row r="165" spans="1:31" ht="12.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47"/>
      <c r="AD165" s="23"/>
      <c r="AE165" s="67"/>
    </row>
    <row r="166" spans="1:31" ht="12.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47"/>
      <c r="AD166" s="23"/>
      <c r="AE166" s="23"/>
    </row>
    <row r="167" spans="1:31" ht="12.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47"/>
      <c r="AD167" s="23"/>
      <c r="AE167" s="23"/>
    </row>
  </sheetData>
  <mergeCells count="68">
    <mergeCell ref="T139:W139"/>
    <mergeCell ref="X139:Z139"/>
    <mergeCell ref="AA139:AC139"/>
    <mergeCell ref="P135:R135"/>
    <mergeCell ref="C139:F139"/>
    <mergeCell ref="G139:J139"/>
    <mergeCell ref="L139:O139"/>
    <mergeCell ref="P139:S139"/>
    <mergeCell ref="C134:E134"/>
    <mergeCell ref="F134:H134"/>
    <mergeCell ref="I134:L134"/>
    <mergeCell ref="M134:O134"/>
    <mergeCell ref="P134:R134"/>
    <mergeCell ref="C133:E133"/>
    <mergeCell ref="F133:H133"/>
    <mergeCell ref="I133:L133"/>
    <mergeCell ref="M133:O133"/>
    <mergeCell ref="P133:R133"/>
    <mergeCell ref="C132:E132"/>
    <mergeCell ref="F132:H132"/>
    <mergeCell ref="I132:L132"/>
    <mergeCell ref="M132:O132"/>
    <mergeCell ref="P132:R132"/>
    <mergeCell ref="C131:E131"/>
    <mergeCell ref="F131:H131"/>
    <mergeCell ref="I131:L131"/>
    <mergeCell ref="M131:O131"/>
    <mergeCell ref="P131:R131"/>
    <mergeCell ref="C130:E130"/>
    <mergeCell ref="F130:H130"/>
    <mergeCell ref="I130:L130"/>
    <mergeCell ref="M130:O130"/>
    <mergeCell ref="P130:R130"/>
    <mergeCell ref="C129:E129"/>
    <mergeCell ref="F129:H129"/>
    <mergeCell ref="I129:L129"/>
    <mergeCell ref="M129:O129"/>
    <mergeCell ref="P129:R129"/>
    <mergeCell ref="C128:E128"/>
    <mergeCell ref="F128:H128"/>
    <mergeCell ref="I128:L128"/>
    <mergeCell ref="M128:O128"/>
    <mergeCell ref="P128:R128"/>
    <mergeCell ref="C127:E127"/>
    <mergeCell ref="F127:H127"/>
    <mergeCell ref="I127:L127"/>
    <mergeCell ref="M127:O127"/>
    <mergeCell ref="P127:R127"/>
    <mergeCell ref="C126:E126"/>
    <mergeCell ref="F126:H126"/>
    <mergeCell ref="I126:L126"/>
    <mergeCell ref="M126:O126"/>
    <mergeCell ref="P126:R126"/>
    <mergeCell ref="V124:X124"/>
    <mergeCell ref="C125:E125"/>
    <mergeCell ref="F125:H125"/>
    <mergeCell ref="I125:L125"/>
    <mergeCell ref="M125:O125"/>
    <mergeCell ref="P125:R125"/>
    <mergeCell ref="M1:N1"/>
    <mergeCell ref="O1:U1"/>
    <mergeCell ref="I122:L122"/>
    <mergeCell ref="M122:O122"/>
    <mergeCell ref="C124:E124"/>
    <mergeCell ref="F124:H124"/>
    <mergeCell ref="I124:L124"/>
    <mergeCell ref="M124:O124"/>
    <mergeCell ref="P124:R124"/>
  </mergeCell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heetPr>
  <dimension ref="A1:AE167"/>
  <sheetViews>
    <sheetView zoomScaleNormal="100" workbookViewId="0"/>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ustomHeight="1">
      <c r="A1" s="12" t="s">
        <v>0</v>
      </c>
      <c r="B1" s="13" t="s">
        <v>1</v>
      </c>
      <c r="C1" s="13" t="s">
        <v>2</v>
      </c>
      <c r="D1" s="13" t="s">
        <v>3</v>
      </c>
      <c r="E1" s="13" t="s">
        <v>4</v>
      </c>
      <c r="F1" s="13" t="s">
        <v>5</v>
      </c>
      <c r="G1" s="13" t="s">
        <v>6</v>
      </c>
      <c r="H1" s="13" t="s">
        <v>7</v>
      </c>
      <c r="I1" s="13" t="s">
        <v>8</v>
      </c>
      <c r="J1" s="13" t="s">
        <v>9</v>
      </c>
      <c r="K1" s="13" t="s">
        <v>10</v>
      </c>
      <c r="L1" s="14"/>
      <c r="M1" s="11" t="s">
        <v>11</v>
      </c>
      <c r="N1" s="11"/>
      <c r="O1" s="10" t="s">
        <v>12</v>
      </c>
      <c r="P1" s="10"/>
      <c r="Q1" s="10"/>
      <c r="R1" s="10"/>
      <c r="S1" s="10"/>
      <c r="T1" s="10"/>
      <c r="U1" s="10"/>
      <c r="V1" s="14"/>
      <c r="W1" s="15">
        <v>46049</v>
      </c>
      <c r="X1" s="14"/>
      <c r="Y1" s="16">
        <f>SUMIFS(Y2:Y120,L2:L120,"&lt;&gt;"&amp;"")</f>
        <v>0</v>
      </c>
      <c r="Z1" s="14" t="s">
        <v>13</v>
      </c>
      <c r="AA1" s="17" t="s">
        <v>14</v>
      </c>
      <c r="AB1" s="18" t="s">
        <v>15</v>
      </c>
      <c r="AC1" s="19">
        <f>SUM(AC2:AC120)</f>
        <v>0</v>
      </c>
      <c r="AD1" s="14"/>
      <c r="AE1" s="14"/>
    </row>
    <row r="2" spans="1:31" ht="15.75" customHeight="1">
      <c r="A2" s="20">
        <f t="shared" ref="A2:A33" si="0">(B2*$P$125+C2*$P$126+D2*$P$127+E2*$P$128+F2*$P$129+G2*$P$130+H2*$P$131+I2*$P$132+J2*$P$133+K2*$P$134)*$T$123</f>
        <v>0</v>
      </c>
      <c r="B2" s="21"/>
      <c r="C2" s="22"/>
      <c r="D2" s="22"/>
      <c r="E2" s="22"/>
      <c r="F2" s="22"/>
      <c r="G2" s="22"/>
      <c r="H2" s="22"/>
      <c r="I2" s="22"/>
      <c r="J2" s="23"/>
      <c r="K2" s="23"/>
      <c r="L2" s="24" t="s">
        <v>16</v>
      </c>
      <c r="M2" s="25"/>
      <c r="N2" s="26"/>
      <c r="O2" s="26"/>
      <c r="P2" s="26"/>
      <c r="Q2" s="26"/>
      <c r="R2" s="26"/>
      <c r="S2" s="26"/>
      <c r="T2" s="26"/>
      <c r="U2" s="26"/>
      <c r="V2" s="26"/>
      <c r="W2" s="26"/>
      <c r="X2" s="26">
        <f>COUNTIF($L$2:L2,"&lt;&gt;"&amp;"")</f>
        <v>1</v>
      </c>
      <c r="Y2" s="27">
        <f t="shared" ref="Y2:Y33" si="1">SUMIF($X$2:$X$120,X2,$A$2:$A$120)</f>
        <v>0</v>
      </c>
      <c r="Z2" s="28"/>
      <c r="AA2" s="29"/>
      <c r="AB2" s="30" t="b">
        <f>TRUE()</f>
        <v>1</v>
      </c>
      <c r="AC2" s="31">
        <f t="shared" ref="AC2:AC33" si="2">IF(L2="",0,IF(AB2=FALSE(),0,Y2))</f>
        <v>0</v>
      </c>
      <c r="AD2" s="23"/>
      <c r="AE2" s="23"/>
    </row>
    <row r="3" spans="1:31" ht="15.75" customHeight="1">
      <c r="A3" s="20">
        <f t="shared" si="0"/>
        <v>0</v>
      </c>
      <c r="B3" s="22"/>
      <c r="C3" s="21"/>
      <c r="D3" s="21"/>
      <c r="E3" s="22"/>
      <c r="F3" s="22"/>
      <c r="G3" s="22"/>
      <c r="H3" s="22"/>
      <c r="I3" s="22"/>
      <c r="J3" s="23"/>
      <c r="K3" s="23"/>
      <c r="L3" s="24" t="s">
        <v>17</v>
      </c>
      <c r="M3" s="26"/>
      <c r="N3" s="26"/>
      <c r="O3" s="26"/>
      <c r="P3" s="26"/>
      <c r="Q3" s="26"/>
      <c r="R3" s="26"/>
      <c r="S3" s="26"/>
      <c r="T3" s="26"/>
      <c r="U3" s="26"/>
      <c r="V3" s="26"/>
      <c r="W3" s="26"/>
      <c r="X3" s="26">
        <f>COUNTIF($L$2:L3,"&lt;&gt;"&amp;"")</f>
        <v>2</v>
      </c>
      <c r="Y3" s="27">
        <f t="shared" si="1"/>
        <v>0</v>
      </c>
      <c r="Z3" s="28"/>
      <c r="AA3" s="29"/>
      <c r="AB3" s="30" t="b">
        <f>TRUE()</f>
        <v>1</v>
      </c>
      <c r="AC3" s="31">
        <f t="shared" si="2"/>
        <v>0</v>
      </c>
      <c r="AD3" s="23"/>
      <c r="AE3" s="23"/>
    </row>
    <row r="4" spans="1:31" ht="15.75" customHeight="1">
      <c r="A4" s="20">
        <f t="shared" si="0"/>
        <v>0</v>
      </c>
      <c r="B4" s="22"/>
      <c r="C4" s="22"/>
      <c r="D4" s="22"/>
      <c r="E4" s="22"/>
      <c r="F4" s="22"/>
      <c r="G4" s="22"/>
      <c r="H4" s="21"/>
      <c r="I4" s="22"/>
      <c r="J4" s="23"/>
      <c r="K4" s="23"/>
      <c r="L4" s="24" t="s">
        <v>18</v>
      </c>
      <c r="M4" s="26"/>
      <c r="N4" s="26"/>
      <c r="O4" s="26"/>
      <c r="P4" s="26"/>
      <c r="Q4" s="26"/>
      <c r="R4" s="26"/>
      <c r="S4" s="26"/>
      <c r="T4" s="26"/>
      <c r="U4" s="26"/>
      <c r="V4" s="26"/>
      <c r="W4" s="26"/>
      <c r="X4" s="26">
        <f>COUNTIF($L$2:L4,"&lt;&gt;"&amp;"")</f>
        <v>3</v>
      </c>
      <c r="Y4" s="27">
        <f t="shared" si="1"/>
        <v>0</v>
      </c>
      <c r="Z4" s="28"/>
      <c r="AA4" s="32"/>
      <c r="AB4" s="30" t="b">
        <f>TRUE()</f>
        <v>1</v>
      </c>
      <c r="AC4" s="31">
        <f t="shared" si="2"/>
        <v>0</v>
      </c>
      <c r="AD4" s="23"/>
      <c r="AE4" s="23"/>
    </row>
    <row r="5" spans="1:31" ht="15.75" customHeight="1">
      <c r="A5" s="20">
        <f t="shared" si="0"/>
        <v>0</v>
      </c>
      <c r="B5" s="23"/>
      <c r="C5" s="23"/>
      <c r="D5" s="23"/>
      <c r="E5" s="23"/>
      <c r="F5" s="23"/>
      <c r="G5" s="23"/>
      <c r="H5" s="23"/>
      <c r="I5" s="23"/>
      <c r="J5" s="23"/>
      <c r="K5" s="23"/>
      <c r="L5" s="24" t="s">
        <v>19</v>
      </c>
      <c r="M5" s="26"/>
      <c r="N5" s="26"/>
      <c r="O5" s="26"/>
      <c r="P5" s="26"/>
      <c r="Q5" s="26"/>
      <c r="R5" s="26"/>
      <c r="S5" s="26"/>
      <c r="T5" s="26"/>
      <c r="U5" s="26"/>
      <c r="V5" s="26"/>
      <c r="W5" s="26"/>
      <c r="X5" s="26">
        <f>COUNTIF($L$2:L5,"&lt;&gt;"&amp;"")</f>
        <v>4</v>
      </c>
      <c r="Y5" s="27">
        <f t="shared" si="1"/>
        <v>0</v>
      </c>
      <c r="Z5" s="28"/>
      <c r="AA5" s="32"/>
      <c r="AB5" s="30" t="b">
        <f>TRUE()</f>
        <v>1</v>
      </c>
      <c r="AC5" s="31">
        <f t="shared" si="2"/>
        <v>0</v>
      </c>
      <c r="AD5" s="23"/>
      <c r="AE5" s="23"/>
    </row>
    <row r="6" spans="1:31" ht="15" customHeight="1">
      <c r="A6" s="20">
        <f t="shared" si="0"/>
        <v>0</v>
      </c>
      <c r="B6" s="23"/>
      <c r="C6" s="23"/>
      <c r="D6" s="23"/>
      <c r="E6" s="23"/>
      <c r="F6" s="23"/>
      <c r="G6" s="23"/>
      <c r="H6" s="23"/>
      <c r="I6" s="23"/>
      <c r="J6" s="23"/>
      <c r="K6" s="23"/>
      <c r="L6" s="33"/>
      <c r="M6" s="26"/>
      <c r="N6" s="26"/>
      <c r="O6" s="26"/>
      <c r="P6" s="26"/>
      <c r="Q6" s="26"/>
      <c r="R6" s="26"/>
      <c r="S6" s="26"/>
      <c r="T6" s="26"/>
      <c r="U6" s="26"/>
      <c r="V6" s="26"/>
      <c r="W6" s="26"/>
      <c r="X6" s="26">
        <f>COUNTIF($L$2:L6,"&lt;&gt;"&amp;"")</f>
        <v>4</v>
      </c>
      <c r="Y6" s="27">
        <f t="shared" si="1"/>
        <v>0</v>
      </c>
      <c r="Z6" s="28"/>
      <c r="AA6" s="29"/>
      <c r="AB6" s="30" t="b">
        <f>TRUE()</f>
        <v>1</v>
      </c>
      <c r="AC6" s="31">
        <f t="shared" si="2"/>
        <v>0</v>
      </c>
      <c r="AD6" s="23"/>
      <c r="AE6" s="23"/>
    </row>
    <row r="7" spans="1:31" ht="15" customHeight="1">
      <c r="A7" s="20">
        <f t="shared" si="0"/>
        <v>0</v>
      </c>
      <c r="B7" s="23"/>
      <c r="C7" s="23"/>
      <c r="D7" s="23"/>
      <c r="E7" s="23"/>
      <c r="F7" s="23"/>
      <c r="G7" s="23"/>
      <c r="H7" s="23"/>
      <c r="I7" s="23"/>
      <c r="J7" s="23"/>
      <c r="K7" s="23"/>
      <c r="L7" s="33"/>
      <c r="M7" s="26"/>
      <c r="N7" s="26"/>
      <c r="O7" s="26"/>
      <c r="P7" s="26"/>
      <c r="Q7" s="26"/>
      <c r="R7" s="26"/>
      <c r="S7" s="26"/>
      <c r="T7" s="26"/>
      <c r="U7" s="26"/>
      <c r="V7" s="26"/>
      <c r="W7" s="26"/>
      <c r="X7" s="26">
        <f>COUNTIF($L$2:L7,"&lt;&gt;"&amp;"")</f>
        <v>4</v>
      </c>
      <c r="Y7" s="27">
        <f t="shared" si="1"/>
        <v>0</v>
      </c>
      <c r="Z7" s="28"/>
      <c r="AA7" s="32"/>
      <c r="AB7" s="30" t="b">
        <f>TRUE()</f>
        <v>1</v>
      </c>
      <c r="AC7" s="31">
        <f t="shared" si="2"/>
        <v>0</v>
      </c>
      <c r="AD7" s="23"/>
      <c r="AE7" s="23"/>
    </row>
    <row r="8" spans="1:31" ht="15.75" customHeight="1">
      <c r="A8" s="20">
        <f t="shared" si="0"/>
        <v>0</v>
      </c>
      <c r="B8" s="23"/>
      <c r="C8" s="23"/>
      <c r="D8" s="23"/>
      <c r="E8" s="23"/>
      <c r="F8" s="23"/>
      <c r="G8" s="23"/>
      <c r="H8" s="23"/>
      <c r="I8" s="23"/>
      <c r="J8" s="23"/>
      <c r="K8" s="23"/>
      <c r="L8" s="34" t="s">
        <v>117</v>
      </c>
      <c r="M8" s="26"/>
      <c r="N8" s="26"/>
      <c r="O8" s="26"/>
      <c r="P8" s="26"/>
      <c r="Q8" s="26"/>
      <c r="R8" s="26"/>
      <c r="S8" s="26"/>
      <c r="T8" s="26"/>
      <c r="U8" s="26"/>
      <c r="V8" s="26"/>
      <c r="W8" s="26"/>
      <c r="X8" s="26">
        <f>COUNTIF($L$2:L8,"&lt;&gt;"&amp;"")</f>
        <v>5</v>
      </c>
      <c r="Y8" s="27">
        <f t="shared" si="1"/>
        <v>0</v>
      </c>
      <c r="Z8" s="28"/>
      <c r="AA8" s="29"/>
      <c r="AB8" s="30" t="b">
        <f>TRUE()</f>
        <v>1</v>
      </c>
      <c r="AC8" s="31">
        <f t="shared" si="2"/>
        <v>0</v>
      </c>
      <c r="AD8" s="35"/>
      <c r="AE8" s="35"/>
    </row>
    <row r="9" spans="1:31" ht="12.75" customHeight="1">
      <c r="A9" s="20">
        <f t="shared" si="0"/>
        <v>0</v>
      </c>
      <c r="B9" s="23"/>
      <c r="C9" s="23"/>
      <c r="D9" s="23"/>
      <c r="E9" s="23"/>
      <c r="F9" s="23"/>
      <c r="G9" s="23"/>
      <c r="H9" s="23"/>
      <c r="I9" s="23"/>
      <c r="J9" s="23"/>
      <c r="K9" s="23"/>
      <c r="L9" s="26"/>
      <c r="M9" s="36" t="s">
        <v>118</v>
      </c>
      <c r="N9" s="26"/>
      <c r="O9" s="26"/>
      <c r="P9" s="26"/>
      <c r="Q9" s="26"/>
      <c r="R9" s="26"/>
      <c r="S9" s="26"/>
      <c r="T9" s="26"/>
      <c r="U9" s="26"/>
      <c r="V9" s="26"/>
      <c r="W9" s="26"/>
      <c r="X9" s="26">
        <f>COUNTIF($L$2:L9,"&lt;&gt;"&amp;"")</f>
        <v>5</v>
      </c>
      <c r="Y9" s="27">
        <f t="shared" si="1"/>
        <v>0</v>
      </c>
      <c r="Z9" s="28"/>
      <c r="AA9" s="29"/>
      <c r="AB9" s="30" t="b">
        <f>TRUE()</f>
        <v>1</v>
      </c>
      <c r="AC9" s="31">
        <f t="shared" si="2"/>
        <v>0</v>
      </c>
      <c r="AD9" s="35"/>
      <c r="AE9" s="35"/>
    </row>
    <row r="10" spans="1:31" ht="12.75" customHeight="1">
      <c r="A10" s="20">
        <f t="shared" si="0"/>
        <v>0</v>
      </c>
      <c r="B10" s="23"/>
      <c r="C10" s="23"/>
      <c r="D10" s="23"/>
      <c r="E10" s="23"/>
      <c r="F10" s="23"/>
      <c r="G10" s="23"/>
      <c r="H10" s="23"/>
      <c r="I10" s="23"/>
      <c r="J10" s="23"/>
      <c r="K10" s="23"/>
      <c r="L10" s="26"/>
      <c r="M10" s="26"/>
      <c r="N10" s="37" t="s">
        <v>119</v>
      </c>
      <c r="O10" s="26"/>
      <c r="P10" s="26"/>
      <c r="Q10" s="26"/>
      <c r="R10" s="26"/>
      <c r="S10" s="26"/>
      <c r="T10" s="26"/>
      <c r="U10" s="26"/>
      <c r="V10" s="26"/>
      <c r="W10" s="26"/>
      <c r="X10" s="26">
        <f>COUNTIF($L$2:L10,"&lt;&gt;"&amp;"")</f>
        <v>5</v>
      </c>
      <c r="Y10" s="27">
        <f t="shared" si="1"/>
        <v>0</v>
      </c>
      <c r="Z10" s="28"/>
      <c r="AA10" s="29"/>
      <c r="AB10" s="30" t="b">
        <f>TRUE()</f>
        <v>1</v>
      </c>
      <c r="AC10" s="31">
        <f t="shared" si="2"/>
        <v>0</v>
      </c>
      <c r="AD10" s="35"/>
      <c r="AE10" s="35"/>
    </row>
    <row r="11" spans="1:31" ht="12.75" customHeight="1">
      <c r="A11" s="20">
        <f t="shared" si="0"/>
        <v>0</v>
      </c>
      <c r="B11" s="23"/>
      <c r="C11" s="23"/>
      <c r="D11" s="23"/>
      <c r="E11" s="23"/>
      <c r="F11" s="23"/>
      <c r="G11" s="23"/>
      <c r="H11" s="23"/>
      <c r="I11" s="23"/>
      <c r="J11" s="23"/>
      <c r="K11" s="23"/>
      <c r="L11" s="26"/>
      <c r="M11" s="36" t="s">
        <v>120</v>
      </c>
      <c r="N11" s="38"/>
      <c r="O11" s="26"/>
      <c r="P11" s="26"/>
      <c r="Q11" s="26"/>
      <c r="R11" s="26"/>
      <c r="S11" s="26"/>
      <c r="T11" s="26"/>
      <c r="U11" s="26"/>
      <c r="V11" s="26"/>
      <c r="W11" s="26"/>
      <c r="X11" s="26">
        <f>COUNTIF($L$2:L11,"&lt;&gt;"&amp;"")</f>
        <v>5</v>
      </c>
      <c r="Y11" s="27">
        <f t="shared" si="1"/>
        <v>0</v>
      </c>
      <c r="Z11" s="28"/>
      <c r="AA11" s="29"/>
      <c r="AB11" s="30" t="b">
        <f>TRUE()</f>
        <v>1</v>
      </c>
      <c r="AC11" s="31">
        <f t="shared" si="2"/>
        <v>0</v>
      </c>
      <c r="AD11" s="35"/>
      <c r="AE11" s="35"/>
    </row>
    <row r="12" spans="1:31" ht="12.75" customHeight="1">
      <c r="A12" s="20">
        <f t="shared" si="0"/>
        <v>0</v>
      </c>
      <c r="B12" s="23"/>
      <c r="C12" s="23"/>
      <c r="D12" s="23"/>
      <c r="E12" s="23"/>
      <c r="F12" s="23"/>
      <c r="G12" s="23"/>
      <c r="H12" s="23"/>
      <c r="I12" s="23"/>
      <c r="J12" s="23"/>
      <c r="K12" s="23"/>
      <c r="L12" s="26"/>
      <c r="M12" s="39"/>
      <c r="N12" s="37" t="s">
        <v>121</v>
      </c>
      <c r="O12" s="26"/>
      <c r="P12" s="26"/>
      <c r="Q12" s="26"/>
      <c r="R12" s="26"/>
      <c r="S12" s="26"/>
      <c r="T12" s="26"/>
      <c r="U12" s="26"/>
      <c r="V12" s="26"/>
      <c r="W12" s="26"/>
      <c r="X12" s="26">
        <f>COUNTIF($L$2:L12,"&lt;&gt;"&amp;"")</f>
        <v>5</v>
      </c>
      <c r="Y12" s="27">
        <f t="shared" si="1"/>
        <v>0</v>
      </c>
      <c r="Z12" s="28"/>
      <c r="AA12" s="29"/>
      <c r="AB12" s="30" t="b">
        <f>TRUE()</f>
        <v>1</v>
      </c>
      <c r="AC12" s="31">
        <f t="shared" si="2"/>
        <v>0</v>
      </c>
      <c r="AD12" s="35"/>
      <c r="AE12" s="35"/>
    </row>
    <row r="13" spans="1:31" ht="12.75" customHeight="1">
      <c r="A13" s="20">
        <f t="shared" si="0"/>
        <v>0</v>
      </c>
      <c r="B13" s="23"/>
      <c r="C13" s="23"/>
      <c r="D13" s="23"/>
      <c r="E13" s="23"/>
      <c r="F13" s="23"/>
      <c r="G13" s="23"/>
      <c r="H13" s="23"/>
      <c r="I13" s="23"/>
      <c r="J13" s="23"/>
      <c r="K13" s="23"/>
      <c r="L13" s="26"/>
      <c r="M13" s="36" t="s">
        <v>122</v>
      </c>
      <c r="N13" s="38"/>
      <c r="O13" s="26"/>
      <c r="P13" s="26"/>
      <c r="Q13" s="26"/>
      <c r="R13" s="26"/>
      <c r="S13" s="26"/>
      <c r="T13" s="26"/>
      <c r="U13" s="26"/>
      <c r="V13" s="26"/>
      <c r="W13" s="26"/>
      <c r="X13" s="26">
        <f>COUNTIF($L$2:L13,"&lt;&gt;"&amp;"")</f>
        <v>5</v>
      </c>
      <c r="Y13" s="27">
        <f t="shared" si="1"/>
        <v>0</v>
      </c>
      <c r="Z13" s="28"/>
      <c r="AA13" s="29"/>
      <c r="AB13" s="30" t="b">
        <f>TRUE()</f>
        <v>1</v>
      </c>
      <c r="AC13" s="31">
        <f t="shared" si="2"/>
        <v>0</v>
      </c>
      <c r="AD13" s="35"/>
      <c r="AE13" s="35"/>
    </row>
    <row r="14" spans="1:31" ht="15" customHeight="1">
      <c r="A14" s="20">
        <f t="shared" si="0"/>
        <v>0</v>
      </c>
      <c r="B14" s="23"/>
      <c r="C14" s="23"/>
      <c r="D14" s="23"/>
      <c r="E14" s="23"/>
      <c r="F14" s="23"/>
      <c r="G14" s="23"/>
      <c r="H14" s="23"/>
      <c r="I14" s="23"/>
      <c r="J14" s="23"/>
      <c r="K14" s="23"/>
      <c r="L14" s="33"/>
      <c r="M14" s="26"/>
      <c r="N14" s="37" t="s">
        <v>123</v>
      </c>
      <c r="O14" s="26"/>
      <c r="P14" s="26"/>
      <c r="Q14" s="26"/>
      <c r="R14" s="26"/>
      <c r="S14" s="26"/>
      <c r="T14" s="26"/>
      <c r="U14" s="26"/>
      <c r="V14" s="26"/>
      <c r="W14" s="26"/>
      <c r="X14" s="26">
        <f>COUNTIF($L$2:L14,"&lt;&gt;"&amp;"")</f>
        <v>5</v>
      </c>
      <c r="Y14" s="27">
        <f t="shared" si="1"/>
        <v>0</v>
      </c>
      <c r="Z14" s="28"/>
      <c r="AA14" s="29"/>
      <c r="AB14" s="30" t="b">
        <f>TRUE()</f>
        <v>1</v>
      </c>
      <c r="AC14" s="31">
        <f t="shared" si="2"/>
        <v>0</v>
      </c>
      <c r="AD14" s="35"/>
      <c r="AE14" s="35"/>
    </row>
    <row r="15" spans="1:31" ht="12.75" customHeight="1">
      <c r="A15" s="20">
        <f t="shared" si="0"/>
        <v>0</v>
      </c>
      <c r="B15" s="23"/>
      <c r="C15" s="23"/>
      <c r="D15" s="23"/>
      <c r="E15" s="23"/>
      <c r="F15" s="23"/>
      <c r="G15" s="23"/>
      <c r="H15" s="23"/>
      <c r="I15" s="23"/>
      <c r="J15" s="23"/>
      <c r="K15" s="23"/>
      <c r="L15" s="26"/>
      <c r="M15" s="26"/>
      <c r="N15" s="26"/>
      <c r="O15" s="26"/>
      <c r="P15" s="26"/>
      <c r="Q15" s="26"/>
      <c r="R15" s="26"/>
      <c r="S15" s="26"/>
      <c r="T15" s="26"/>
      <c r="U15" s="26"/>
      <c r="V15" s="26"/>
      <c r="W15" s="26"/>
      <c r="X15" s="26">
        <f>COUNTIF($L$2:L15,"&lt;&gt;"&amp;"")</f>
        <v>5</v>
      </c>
      <c r="Y15" s="27">
        <f t="shared" si="1"/>
        <v>0</v>
      </c>
      <c r="Z15" s="28"/>
      <c r="AA15" s="29"/>
      <c r="AB15" s="30" t="b">
        <f>TRUE()</f>
        <v>1</v>
      </c>
      <c r="AC15" s="31">
        <f t="shared" si="2"/>
        <v>0</v>
      </c>
      <c r="AD15" s="35"/>
      <c r="AE15" s="35"/>
    </row>
    <row r="16" spans="1:31" ht="12.75" customHeight="1">
      <c r="A16" s="20">
        <f t="shared" si="0"/>
        <v>0</v>
      </c>
      <c r="B16" s="23"/>
      <c r="C16" s="23"/>
      <c r="D16" s="23"/>
      <c r="E16" s="23"/>
      <c r="F16" s="23"/>
      <c r="G16" s="23"/>
      <c r="H16" s="23"/>
      <c r="I16" s="23"/>
      <c r="J16" s="23"/>
      <c r="K16" s="23"/>
      <c r="L16" s="26"/>
      <c r="M16" s="26"/>
      <c r="N16" s="26"/>
      <c r="O16" s="26"/>
      <c r="P16" s="26"/>
      <c r="Q16" s="26"/>
      <c r="R16" s="26"/>
      <c r="S16" s="26"/>
      <c r="T16" s="26"/>
      <c r="U16" s="26"/>
      <c r="V16" s="26"/>
      <c r="W16" s="26"/>
      <c r="X16" s="26">
        <f>COUNTIF($L$2:L16,"&lt;&gt;"&amp;"")</f>
        <v>5</v>
      </c>
      <c r="Y16" s="27">
        <f t="shared" si="1"/>
        <v>0</v>
      </c>
      <c r="Z16" s="28"/>
      <c r="AA16" s="29"/>
      <c r="AB16" s="30" t="b">
        <f>TRUE()</f>
        <v>1</v>
      </c>
      <c r="AC16" s="31">
        <f t="shared" si="2"/>
        <v>0</v>
      </c>
      <c r="AD16" s="35"/>
      <c r="AE16" s="35"/>
    </row>
    <row r="17" spans="1:31" ht="12.75" customHeight="1">
      <c r="A17" s="20">
        <f t="shared" si="0"/>
        <v>0</v>
      </c>
      <c r="B17" s="23"/>
      <c r="C17" s="23"/>
      <c r="D17" s="23"/>
      <c r="E17" s="23"/>
      <c r="F17" s="23"/>
      <c r="G17" s="23"/>
      <c r="H17" s="23"/>
      <c r="I17" s="23"/>
      <c r="J17" s="23"/>
      <c r="K17" s="23"/>
      <c r="L17" s="26"/>
      <c r="M17" s="26"/>
      <c r="N17" s="26"/>
      <c r="O17" s="26"/>
      <c r="P17" s="26"/>
      <c r="Q17" s="26"/>
      <c r="R17" s="26"/>
      <c r="S17" s="26"/>
      <c r="T17" s="26"/>
      <c r="U17" s="26"/>
      <c r="V17" s="26"/>
      <c r="W17" s="26"/>
      <c r="X17" s="26">
        <f>COUNTIF($L$2:L17,"&lt;&gt;"&amp;"")</f>
        <v>5</v>
      </c>
      <c r="Y17" s="27">
        <f t="shared" si="1"/>
        <v>0</v>
      </c>
      <c r="Z17" s="28"/>
      <c r="AA17" s="29"/>
      <c r="AB17" s="30" t="b">
        <f>TRUE()</f>
        <v>1</v>
      </c>
      <c r="AC17" s="31">
        <f t="shared" si="2"/>
        <v>0</v>
      </c>
      <c r="AD17" s="35"/>
      <c r="AE17" s="35"/>
    </row>
    <row r="18" spans="1:31" ht="12.75" customHeight="1">
      <c r="A18" s="20">
        <f t="shared" si="0"/>
        <v>0</v>
      </c>
      <c r="B18" s="23"/>
      <c r="C18" s="23"/>
      <c r="D18" s="23"/>
      <c r="E18" s="23"/>
      <c r="F18" s="23"/>
      <c r="G18" s="23"/>
      <c r="H18" s="23"/>
      <c r="I18" s="23"/>
      <c r="J18" s="23"/>
      <c r="K18" s="23"/>
      <c r="L18" s="26"/>
      <c r="M18" s="26"/>
      <c r="N18" s="26"/>
      <c r="O18" s="26"/>
      <c r="P18" s="26"/>
      <c r="Q18" s="26"/>
      <c r="R18" s="26"/>
      <c r="S18" s="26"/>
      <c r="T18" s="26"/>
      <c r="U18" s="26"/>
      <c r="V18" s="26"/>
      <c r="W18" s="26"/>
      <c r="X18" s="26">
        <f>COUNTIF($L$2:L18,"&lt;&gt;"&amp;"")</f>
        <v>5</v>
      </c>
      <c r="Y18" s="27">
        <f t="shared" si="1"/>
        <v>0</v>
      </c>
      <c r="Z18" s="28"/>
      <c r="AA18" s="29"/>
      <c r="AB18" s="30" t="b">
        <f>TRUE()</f>
        <v>1</v>
      </c>
      <c r="AC18" s="31">
        <f t="shared" si="2"/>
        <v>0</v>
      </c>
      <c r="AD18" s="35"/>
      <c r="AE18" s="35"/>
    </row>
    <row r="19" spans="1:31" ht="15" customHeight="1">
      <c r="A19" s="20">
        <f t="shared" si="0"/>
        <v>0</v>
      </c>
      <c r="B19" s="23"/>
      <c r="C19" s="23"/>
      <c r="D19" s="23"/>
      <c r="E19" s="23"/>
      <c r="F19" s="23"/>
      <c r="G19" s="23"/>
      <c r="H19" s="23"/>
      <c r="I19" s="23"/>
      <c r="J19" s="23"/>
      <c r="K19" s="23"/>
      <c r="L19" s="33"/>
      <c r="M19" s="26"/>
      <c r="N19" s="26"/>
      <c r="O19" s="26"/>
      <c r="P19" s="26"/>
      <c r="Q19" s="26"/>
      <c r="R19" s="26"/>
      <c r="S19" s="26"/>
      <c r="T19" s="26"/>
      <c r="U19" s="26"/>
      <c r="V19" s="26"/>
      <c r="W19" s="26"/>
      <c r="X19" s="26">
        <f>COUNTIF($L$2:L19,"&lt;&gt;"&amp;"")</f>
        <v>5</v>
      </c>
      <c r="Y19" s="27">
        <f t="shared" si="1"/>
        <v>0</v>
      </c>
      <c r="Z19" s="28"/>
      <c r="AA19" s="29"/>
      <c r="AB19" s="30" t="b">
        <f>TRUE()</f>
        <v>1</v>
      </c>
      <c r="AC19" s="31">
        <f t="shared" si="2"/>
        <v>0</v>
      </c>
      <c r="AD19" s="35"/>
      <c r="AE19" s="35"/>
    </row>
    <row r="20" spans="1:31" ht="12.75" customHeight="1">
      <c r="A20" s="20">
        <f t="shared" si="0"/>
        <v>0</v>
      </c>
      <c r="B20" s="23"/>
      <c r="C20" s="23"/>
      <c r="D20" s="23"/>
      <c r="E20" s="23"/>
      <c r="F20" s="23"/>
      <c r="G20" s="23"/>
      <c r="H20" s="23"/>
      <c r="I20" s="23"/>
      <c r="J20" s="23"/>
      <c r="K20" s="23"/>
      <c r="L20" s="26"/>
      <c r="M20" s="26"/>
      <c r="N20" s="26"/>
      <c r="O20" s="26"/>
      <c r="P20" s="26"/>
      <c r="Q20" s="26"/>
      <c r="R20" s="26"/>
      <c r="S20" s="26"/>
      <c r="T20" s="26"/>
      <c r="U20" s="26"/>
      <c r="V20" s="26"/>
      <c r="W20" s="26"/>
      <c r="X20" s="26">
        <f>COUNTIF($L$2:L20,"&lt;&gt;"&amp;"")</f>
        <v>5</v>
      </c>
      <c r="Y20" s="27">
        <f t="shared" si="1"/>
        <v>0</v>
      </c>
      <c r="Z20" s="28"/>
      <c r="AA20" s="29"/>
      <c r="AB20" s="30" t="b">
        <f>TRUE()</f>
        <v>1</v>
      </c>
      <c r="AC20" s="31">
        <f t="shared" si="2"/>
        <v>0</v>
      </c>
      <c r="AD20" s="35"/>
      <c r="AE20" s="35"/>
    </row>
    <row r="21" spans="1:31" ht="12.75" customHeight="1">
      <c r="A21" s="20">
        <f t="shared" si="0"/>
        <v>0</v>
      </c>
      <c r="B21" s="23"/>
      <c r="C21" s="23"/>
      <c r="D21" s="23"/>
      <c r="E21" s="23"/>
      <c r="F21" s="23"/>
      <c r="G21" s="23"/>
      <c r="H21" s="23"/>
      <c r="I21" s="23"/>
      <c r="J21" s="23"/>
      <c r="K21" s="23"/>
      <c r="L21" s="26"/>
      <c r="M21" s="26"/>
      <c r="N21" s="26"/>
      <c r="O21" s="26"/>
      <c r="P21" s="26"/>
      <c r="Q21" s="26"/>
      <c r="R21" s="26"/>
      <c r="S21" s="26"/>
      <c r="T21" s="26"/>
      <c r="U21" s="26"/>
      <c r="V21" s="26"/>
      <c r="W21" s="26"/>
      <c r="X21" s="26">
        <f>COUNTIF($L$2:L21,"&lt;&gt;"&amp;"")</f>
        <v>5</v>
      </c>
      <c r="Y21" s="27">
        <f t="shared" si="1"/>
        <v>0</v>
      </c>
      <c r="Z21" s="28"/>
      <c r="AA21" s="29"/>
      <c r="AB21" s="30" t="b">
        <f>TRUE()</f>
        <v>1</v>
      </c>
      <c r="AC21" s="31">
        <f t="shared" si="2"/>
        <v>0</v>
      </c>
      <c r="AD21" s="35"/>
      <c r="AE21" s="35"/>
    </row>
    <row r="22" spans="1:31" ht="12.75" customHeight="1">
      <c r="A22" s="20">
        <f t="shared" si="0"/>
        <v>0</v>
      </c>
      <c r="B22" s="23"/>
      <c r="C22" s="23"/>
      <c r="D22" s="23"/>
      <c r="E22" s="23"/>
      <c r="F22" s="23"/>
      <c r="G22" s="23"/>
      <c r="H22" s="23"/>
      <c r="I22" s="23"/>
      <c r="J22" s="23"/>
      <c r="K22" s="23"/>
      <c r="L22" s="26"/>
      <c r="M22" s="26"/>
      <c r="N22" s="26"/>
      <c r="O22" s="26"/>
      <c r="P22" s="26"/>
      <c r="Q22" s="26"/>
      <c r="R22" s="26"/>
      <c r="S22" s="26"/>
      <c r="T22" s="26"/>
      <c r="U22" s="26"/>
      <c r="V22" s="26"/>
      <c r="W22" s="26"/>
      <c r="X22" s="26">
        <f>COUNTIF($L$2:L22,"&lt;&gt;"&amp;"")</f>
        <v>5</v>
      </c>
      <c r="Y22" s="27">
        <f t="shared" si="1"/>
        <v>0</v>
      </c>
      <c r="Z22" s="28"/>
      <c r="AA22" s="29"/>
      <c r="AB22" s="30" t="b">
        <f>TRUE()</f>
        <v>1</v>
      </c>
      <c r="AC22" s="31">
        <f t="shared" si="2"/>
        <v>0</v>
      </c>
      <c r="AD22" s="35"/>
      <c r="AE22" s="35"/>
    </row>
    <row r="23" spans="1:31" ht="12.75" customHeight="1">
      <c r="A23" s="20">
        <f t="shared" si="0"/>
        <v>0</v>
      </c>
      <c r="B23" s="23"/>
      <c r="C23" s="23"/>
      <c r="D23" s="23"/>
      <c r="E23" s="23"/>
      <c r="F23" s="23"/>
      <c r="G23" s="23"/>
      <c r="H23" s="23"/>
      <c r="I23" s="23"/>
      <c r="J23" s="23"/>
      <c r="K23" s="23"/>
      <c r="L23" s="26"/>
      <c r="M23" s="26"/>
      <c r="N23" s="26"/>
      <c r="O23" s="26"/>
      <c r="P23" s="26"/>
      <c r="Q23" s="26"/>
      <c r="R23" s="26"/>
      <c r="S23" s="26"/>
      <c r="T23" s="26"/>
      <c r="U23" s="26"/>
      <c r="V23" s="26"/>
      <c r="W23" s="26"/>
      <c r="X23" s="26">
        <f>COUNTIF($L$2:L23,"&lt;&gt;"&amp;"")</f>
        <v>5</v>
      </c>
      <c r="Y23" s="27">
        <f t="shared" si="1"/>
        <v>0</v>
      </c>
      <c r="Z23" s="28"/>
      <c r="AA23" s="29"/>
      <c r="AB23" s="30" t="b">
        <f>TRUE()</f>
        <v>1</v>
      </c>
      <c r="AC23" s="31">
        <f t="shared" si="2"/>
        <v>0</v>
      </c>
      <c r="AD23" s="35"/>
      <c r="AE23" s="35"/>
    </row>
    <row r="24" spans="1:31" ht="12.75" customHeight="1">
      <c r="A24" s="20">
        <f t="shared" si="0"/>
        <v>0</v>
      </c>
      <c r="B24" s="23"/>
      <c r="C24" s="23"/>
      <c r="D24" s="23"/>
      <c r="E24" s="23"/>
      <c r="F24" s="23"/>
      <c r="G24" s="23"/>
      <c r="H24" s="23"/>
      <c r="I24" s="23"/>
      <c r="J24" s="23"/>
      <c r="K24" s="23"/>
      <c r="L24" s="26"/>
      <c r="M24" s="40"/>
      <c r="N24" s="26"/>
      <c r="O24" s="26"/>
      <c r="P24" s="26"/>
      <c r="Q24" s="26"/>
      <c r="R24" s="26"/>
      <c r="S24" s="26"/>
      <c r="T24" s="26"/>
      <c r="U24" s="26"/>
      <c r="V24" s="26"/>
      <c r="W24" s="26"/>
      <c r="X24" s="26">
        <f>COUNTIF($L$2:L24,"&lt;&gt;"&amp;"")</f>
        <v>5</v>
      </c>
      <c r="Y24" s="27">
        <f t="shared" si="1"/>
        <v>0</v>
      </c>
      <c r="Z24" s="28"/>
      <c r="AA24" s="29"/>
      <c r="AB24" s="30" t="b">
        <f>TRUE()</f>
        <v>1</v>
      </c>
      <c r="AC24" s="31">
        <f t="shared" si="2"/>
        <v>0</v>
      </c>
      <c r="AD24" s="35"/>
      <c r="AE24" s="35"/>
    </row>
    <row r="25" spans="1:31" ht="15" customHeight="1">
      <c r="A25" s="20">
        <f t="shared" si="0"/>
        <v>0</v>
      </c>
      <c r="B25" s="23"/>
      <c r="C25" s="23"/>
      <c r="D25" s="23"/>
      <c r="E25" s="23"/>
      <c r="F25" s="23"/>
      <c r="G25" s="23"/>
      <c r="H25" s="23"/>
      <c r="I25" s="23"/>
      <c r="J25" s="23"/>
      <c r="K25" s="23"/>
      <c r="L25" s="33"/>
      <c r="M25" s="26"/>
      <c r="N25" s="26"/>
      <c r="O25" s="26"/>
      <c r="P25" s="26"/>
      <c r="Q25" s="26"/>
      <c r="R25" s="26"/>
      <c r="S25" s="26"/>
      <c r="T25" s="26"/>
      <c r="U25" s="26"/>
      <c r="V25" s="26"/>
      <c r="W25" s="26"/>
      <c r="X25" s="26">
        <f>COUNTIF($L$2:L25,"&lt;&gt;"&amp;"")</f>
        <v>5</v>
      </c>
      <c r="Y25" s="27">
        <f t="shared" si="1"/>
        <v>0</v>
      </c>
      <c r="Z25" s="28"/>
      <c r="AA25" s="29"/>
      <c r="AB25" s="30" t="b">
        <f>TRUE()</f>
        <v>1</v>
      </c>
      <c r="AC25" s="31">
        <f t="shared" si="2"/>
        <v>0</v>
      </c>
      <c r="AD25" s="35"/>
      <c r="AE25" s="35"/>
    </row>
    <row r="26" spans="1:31" ht="15" customHeight="1">
      <c r="A26" s="20">
        <f t="shared" si="0"/>
        <v>0</v>
      </c>
      <c r="B26" s="23"/>
      <c r="C26" s="23"/>
      <c r="D26" s="23"/>
      <c r="E26" s="23"/>
      <c r="F26" s="23"/>
      <c r="G26" s="23"/>
      <c r="H26" s="23"/>
      <c r="I26" s="23"/>
      <c r="J26" s="23"/>
      <c r="K26" s="23"/>
      <c r="L26" s="33"/>
      <c r="M26" s="26"/>
      <c r="N26" s="26"/>
      <c r="O26" s="26"/>
      <c r="P26" s="26"/>
      <c r="Q26" s="26"/>
      <c r="R26" s="26"/>
      <c r="S26" s="26"/>
      <c r="T26" s="26"/>
      <c r="U26" s="26"/>
      <c r="V26" s="26"/>
      <c r="W26" s="26"/>
      <c r="X26" s="26">
        <f>COUNTIF($L$2:L26,"&lt;&gt;"&amp;"")</f>
        <v>5</v>
      </c>
      <c r="Y26" s="27">
        <f t="shared" si="1"/>
        <v>0</v>
      </c>
      <c r="Z26" s="28"/>
      <c r="AA26" s="29"/>
      <c r="AB26" s="30" t="b">
        <f>TRUE()</f>
        <v>1</v>
      </c>
      <c r="AC26" s="31">
        <f t="shared" si="2"/>
        <v>0</v>
      </c>
      <c r="AD26" s="35"/>
      <c r="AE26" s="35"/>
    </row>
    <row r="27" spans="1:31" ht="15" customHeight="1">
      <c r="A27" s="20">
        <f t="shared" si="0"/>
        <v>0</v>
      </c>
      <c r="B27" s="23"/>
      <c r="C27" s="23"/>
      <c r="D27" s="23"/>
      <c r="E27" s="23"/>
      <c r="F27" s="23"/>
      <c r="G27" s="23"/>
      <c r="H27" s="23"/>
      <c r="I27" s="23"/>
      <c r="J27" s="23"/>
      <c r="K27" s="23"/>
      <c r="L27" s="33"/>
      <c r="M27" s="26"/>
      <c r="N27" s="26"/>
      <c r="O27" s="26"/>
      <c r="P27" s="26"/>
      <c r="Q27" s="26"/>
      <c r="R27" s="26"/>
      <c r="S27" s="26"/>
      <c r="T27" s="26"/>
      <c r="U27" s="26"/>
      <c r="V27" s="26"/>
      <c r="W27" s="26"/>
      <c r="X27" s="26">
        <f>COUNTIF($L$2:L27,"&lt;&gt;"&amp;"")</f>
        <v>5</v>
      </c>
      <c r="Y27" s="27">
        <f t="shared" si="1"/>
        <v>0</v>
      </c>
      <c r="Z27" s="28"/>
      <c r="AA27" s="29"/>
      <c r="AB27" s="30" t="b">
        <f>TRUE()</f>
        <v>1</v>
      </c>
      <c r="AC27" s="31">
        <f t="shared" si="2"/>
        <v>0</v>
      </c>
      <c r="AD27" s="35"/>
      <c r="AE27" s="35"/>
    </row>
    <row r="28" spans="1:31" ht="15" customHeight="1">
      <c r="A28" s="20">
        <f t="shared" si="0"/>
        <v>0</v>
      </c>
      <c r="B28" s="23"/>
      <c r="C28" s="23"/>
      <c r="D28" s="23"/>
      <c r="E28" s="23"/>
      <c r="F28" s="23"/>
      <c r="G28" s="23"/>
      <c r="H28" s="23"/>
      <c r="I28" s="23"/>
      <c r="J28" s="23"/>
      <c r="K28" s="23"/>
      <c r="L28" s="33"/>
      <c r="M28" s="26"/>
      <c r="N28" s="26"/>
      <c r="O28" s="26"/>
      <c r="P28" s="26"/>
      <c r="Q28" s="26"/>
      <c r="R28" s="26"/>
      <c r="S28" s="26"/>
      <c r="T28" s="26"/>
      <c r="U28" s="26"/>
      <c r="V28" s="26"/>
      <c r="W28" s="26"/>
      <c r="X28" s="26">
        <f>COUNTIF($L$2:L28,"&lt;&gt;"&amp;"")</f>
        <v>5</v>
      </c>
      <c r="Y28" s="27">
        <f t="shared" si="1"/>
        <v>0</v>
      </c>
      <c r="Z28" s="28"/>
      <c r="AA28" s="29"/>
      <c r="AB28" s="30" t="b">
        <f>TRUE()</f>
        <v>1</v>
      </c>
      <c r="AC28" s="31">
        <f t="shared" si="2"/>
        <v>0</v>
      </c>
      <c r="AD28" s="35"/>
      <c r="AE28" s="35"/>
    </row>
    <row r="29" spans="1:31" ht="15" customHeight="1">
      <c r="A29" s="20">
        <f t="shared" si="0"/>
        <v>0</v>
      </c>
      <c r="B29" s="23"/>
      <c r="C29" s="23"/>
      <c r="D29" s="23"/>
      <c r="E29" s="23"/>
      <c r="F29" s="23"/>
      <c r="G29" s="23"/>
      <c r="H29" s="23"/>
      <c r="I29" s="23"/>
      <c r="J29" s="23"/>
      <c r="K29" s="23"/>
      <c r="L29" s="33"/>
      <c r="M29" s="26"/>
      <c r="N29" s="26"/>
      <c r="O29" s="26"/>
      <c r="P29" s="26"/>
      <c r="Q29" s="26"/>
      <c r="R29" s="26"/>
      <c r="S29" s="26"/>
      <c r="T29" s="26"/>
      <c r="U29" s="26"/>
      <c r="V29" s="26"/>
      <c r="W29" s="26"/>
      <c r="X29" s="26">
        <f>COUNTIF($L$2:L29,"&lt;&gt;"&amp;"")</f>
        <v>5</v>
      </c>
      <c r="Y29" s="27">
        <f t="shared" si="1"/>
        <v>0</v>
      </c>
      <c r="Z29" s="28"/>
      <c r="AA29" s="29"/>
      <c r="AB29" s="30" t="b">
        <f>TRUE()</f>
        <v>1</v>
      </c>
      <c r="AC29" s="31">
        <f t="shared" si="2"/>
        <v>0</v>
      </c>
      <c r="AD29" s="35"/>
      <c r="AE29" s="35"/>
    </row>
    <row r="30" spans="1:31" ht="15" customHeight="1">
      <c r="A30" s="20">
        <f t="shared" si="0"/>
        <v>0</v>
      </c>
      <c r="B30" s="23"/>
      <c r="C30" s="23"/>
      <c r="D30" s="23"/>
      <c r="E30" s="23"/>
      <c r="F30" s="23"/>
      <c r="G30" s="23"/>
      <c r="H30" s="23"/>
      <c r="I30" s="23"/>
      <c r="J30" s="23"/>
      <c r="K30" s="23"/>
      <c r="L30" s="33"/>
      <c r="M30" s="26"/>
      <c r="N30" s="26"/>
      <c r="O30" s="26"/>
      <c r="P30" s="26"/>
      <c r="Q30" s="26"/>
      <c r="R30" s="26"/>
      <c r="S30" s="26"/>
      <c r="T30" s="26"/>
      <c r="U30" s="26"/>
      <c r="V30" s="26"/>
      <c r="W30" s="26"/>
      <c r="X30" s="26">
        <f>COUNTIF($L$2:L30,"&lt;&gt;"&amp;"")</f>
        <v>5</v>
      </c>
      <c r="Y30" s="27">
        <f t="shared" si="1"/>
        <v>0</v>
      </c>
      <c r="Z30" s="28"/>
      <c r="AA30" s="29"/>
      <c r="AB30" s="30" t="b">
        <f>TRUE()</f>
        <v>1</v>
      </c>
      <c r="AC30" s="31">
        <f t="shared" si="2"/>
        <v>0</v>
      </c>
      <c r="AD30" s="35"/>
      <c r="AE30" s="35"/>
    </row>
    <row r="31" spans="1:31" ht="15" customHeight="1">
      <c r="A31" s="20">
        <f t="shared" si="0"/>
        <v>0</v>
      </c>
      <c r="B31" s="23"/>
      <c r="C31" s="23"/>
      <c r="D31" s="23"/>
      <c r="E31" s="23"/>
      <c r="F31" s="23"/>
      <c r="G31" s="23"/>
      <c r="H31" s="23"/>
      <c r="I31" s="23"/>
      <c r="J31" s="23"/>
      <c r="K31" s="23"/>
      <c r="L31" s="33"/>
      <c r="M31" s="26"/>
      <c r="N31" s="26"/>
      <c r="O31" s="26"/>
      <c r="P31" s="26"/>
      <c r="Q31" s="26"/>
      <c r="R31" s="26"/>
      <c r="S31" s="26"/>
      <c r="T31" s="26"/>
      <c r="U31" s="26"/>
      <c r="V31" s="26"/>
      <c r="W31" s="26"/>
      <c r="X31" s="26">
        <f>COUNTIF($L$2:L31,"&lt;&gt;"&amp;"")</f>
        <v>5</v>
      </c>
      <c r="Y31" s="27">
        <f t="shared" si="1"/>
        <v>0</v>
      </c>
      <c r="Z31" s="28"/>
      <c r="AA31" s="29"/>
      <c r="AB31" s="30" t="b">
        <f>TRUE()</f>
        <v>1</v>
      </c>
      <c r="AC31" s="31">
        <f t="shared" si="2"/>
        <v>0</v>
      </c>
      <c r="AD31" s="35"/>
      <c r="AE31" s="35"/>
    </row>
    <row r="32" spans="1:31" ht="15" customHeight="1">
      <c r="A32" s="20">
        <f t="shared" si="0"/>
        <v>0</v>
      </c>
      <c r="B32" s="23"/>
      <c r="C32" s="23"/>
      <c r="D32" s="23"/>
      <c r="E32" s="23"/>
      <c r="F32" s="23"/>
      <c r="G32" s="23"/>
      <c r="H32" s="23"/>
      <c r="I32" s="23"/>
      <c r="J32" s="23"/>
      <c r="K32" s="23"/>
      <c r="L32" s="33"/>
      <c r="M32" s="26"/>
      <c r="N32" s="26"/>
      <c r="O32" s="26"/>
      <c r="P32" s="26"/>
      <c r="Q32" s="26"/>
      <c r="R32" s="26"/>
      <c r="S32" s="26"/>
      <c r="T32" s="26"/>
      <c r="U32" s="26"/>
      <c r="V32" s="26"/>
      <c r="W32" s="26"/>
      <c r="X32" s="26">
        <f>COUNTIF($L$2:L32,"&lt;&gt;"&amp;"")</f>
        <v>5</v>
      </c>
      <c r="Y32" s="27">
        <f t="shared" si="1"/>
        <v>0</v>
      </c>
      <c r="Z32" s="28"/>
      <c r="AA32" s="29"/>
      <c r="AB32" s="30" t="b">
        <f>TRUE()</f>
        <v>1</v>
      </c>
      <c r="AC32" s="31">
        <f t="shared" si="2"/>
        <v>0</v>
      </c>
      <c r="AD32" s="35"/>
      <c r="AE32" s="35"/>
    </row>
    <row r="33" spans="1:31" ht="15" customHeight="1">
      <c r="A33" s="20">
        <f t="shared" si="0"/>
        <v>0</v>
      </c>
      <c r="B33" s="23"/>
      <c r="C33" s="23"/>
      <c r="D33" s="23"/>
      <c r="E33" s="23"/>
      <c r="F33" s="23"/>
      <c r="G33" s="23"/>
      <c r="H33" s="23"/>
      <c r="I33" s="23"/>
      <c r="J33" s="23"/>
      <c r="K33" s="23"/>
      <c r="L33" s="33"/>
      <c r="M33" s="26"/>
      <c r="N33" s="26"/>
      <c r="O33" s="26"/>
      <c r="P33" s="26"/>
      <c r="Q33" s="26"/>
      <c r="R33" s="26"/>
      <c r="S33" s="26"/>
      <c r="T33" s="26"/>
      <c r="U33" s="26"/>
      <c r="V33" s="26"/>
      <c r="W33" s="26"/>
      <c r="X33" s="26">
        <f>COUNTIF($L$2:L33,"&lt;&gt;"&amp;"")</f>
        <v>5</v>
      </c>
      <c r="Y33" s="27">
        <f t="shared" si="1"/>
        <v>0</v>
      </c>
      <c r="Z33" s="28"/>
      <c r="AA33" s="29"/>
      <c r="AB33" s="30" t="b">
        <f>TRUE()</f>
        <v>1</v>
      </c>
      <c r="AC33" s="31">
        <f t="shared" si="2"/>
        <v>0</v>
      </c>
      <c r="AD33" s="35"/>
      <c r="AE33" s="35"/>
    </row>
    <row r="34" spans="1:31" ht="15" customHeight="1">
      <c r="A34" s="20">
        <f t="shared" ref="A34:A65" si="3">(B34*$P$125+C34*$P$126+D34*$P$127+E34*$P$128+F34*$P$129+G34*$P$130+H34*$P$131+I34*$P$132+J34*$P$133+K34*$P$134)*$T$123</f>
        <v>0</v>
      </c>
      <c r="B34" s="23"/>
      <c r="C34" s="23"/>
      <c r="D34" s="23"/>
      <c r="E34" s="23"/>
      <c r="F34" s="23"/>
      <c r="G34" s="23"/>
      <c r="H34" s="23"/>
      <c r="I34" s="23"/>
      <c r="J34" s="23"/>
      <c r="K34" s="23"/>
      <c r="L34" s="33"/>
      <c r="M34" s="33"/>
      <c r="N34" s="26"/>
      <c r="O34" s="26"/>
      <c r="P34" s="26"/>
      <c r="Q34" s="26"/>
      <c r="R34" s="26"/>
      <c r="S34" s="26"/>
      <c r="T34" s="26"/>
      <c r="U34" s="26"/>
      <c r="V34" s="26"/>
      <c r="W34" s="26"/>
      <c r="X34" s="26">
        <f>COUNTIF($L$2:L34,"&lt;&gt;"&amp;"")</f>
        <v>5</v>
      </c>
      <c r="Y34" s="27">
        <f t="shared" ref="Y34:Y65" si="4">SUMIF($X$2:$X$120,X34,$A$2:$A$120)</f>
        <v>0</v>
      </c>
      <c r="Z34" s="28"/>
      <c r="AA34" s="29"/>
      <c r="AB34" s="30" t="b">
        <f>TRUE()</f>
        <v>1</v>
      </c>
      <c r="AC34" s="31">
        <f t="shared" ref="AC34:AC65" si="5">IF(L34="",0,IF(AB34=FALSE(),0,Y34))</f>
        <v>0</v>
      </c>
      <c r="AD34" s="35"/>
      <c r="AE34" s="35"/>
    </row>
    <row r="35" spans="1:31" ht="15" customHeight="1">
      <c r="A35" s="20">
        <f t="shared" si="3"/>
        <v>0</v>
      </c>
      <c r="B35" s="23"/>
      <c r="C35" s="23"/>
      <c r="D35" s="23"/>
      <c r="E35" s="23"/>
      <c r="F35" s="23"/>
      <c r="G35" s="23"/>
      <c r="H35" s="23"/>
      <c r="I35" s="23"/>
      <c r="J35" s="23"/>
      <c r="K35" s="23"/>
      <c r="L35" s="33"/>
      <c r="M35" s="26"/>
      <c r="N35" s="41"/>
      <c r="O35" s="26"/>
      <c r="P35" s="26"/>
      <c r="Q35" s="26"/>
      <c r="R35" s="26"/>
      <c r="S35" s="26"/>
      <c r="T35" s="26"/>
      <c r="U35" s="26"/>
      <c r="V35" s="26"/>
      <c r="W35" s="26"/>
      <c r="X35" s="26">
        <f>COUNTIF($L$2:L35,"&lt;&gt;"&amp;"")</f>
        <v>5</v>
      </c>
      <c r="Y35" s="27">
        <f t="shared" si="4"/>
        <v>0</v>
      </c>
      <c r="Z35" s="28"/>
      <c r="AA35" s="29"/>
      <c r="AB35" s="30" t="b">
        <f>TRUE()</f>
        <v>1</v>
      </c>
      <c r="AC35" s="31">
        <f t="shared" si="5"/>
        <v>0</v>
      </c>
      <c r="AD35" s="35"/>
      <c r="AE35" s="35"/>
    </row>
    <row r="36" spans="1:31" ht="15" customHeight="1">
      <c r="A36" s="20">
        <f t="shared" si="3"/>
        <v>0</v>
      </c>
      <c r="B36" s="23"/>
      <c r="C36" s="23"/>
      <c r="D36" s="23"/>
      <c r="E36" s="23"/>
      <c r="F36" s="23"/>
      <c r="G36" s="23"/>
      <c r="H36" s="23"/>
      <c r="I36" s="23"/>
      <c r="J36" s="23"/>
      <c r="K36" s="23"/>
      <c r="L36" s="33"/>
      <c r="M36" s="26"/>
      <c r="N36" s="26"/>
      <c r="O36" s="26"/>
      <c r="P36" s="26"/>
      <c r="Q36" s="26"/>
      <c r="R36" s="26"/>
      <c r="S36" s="26"/>
      <c r="T36" s="26"/>
      <c r="U36" s="26"/>
      <c r="V36" s="26"/>
      <c r="W36" s="26"/>
      <c r="X36" s="26">
        <f>COUNTIF($L$2:L36,"&lt;&gt;"&amp;"")</f>
        <v>5</v>
      </c>
      <c r="Y36" s="27">
        <f t="shared" si="4"/>
        <v>0</v>
      </c>
      <c r="Z36" s="28"/>
      <c r="AA36" s="29"/>
      <c r="AB36" s="30" t="b">
        <f>TRUE()</f>
        <v>1</v>
      </c>
      <c r="AC36" s="31">
        <f t="shared" si="5"/>
        <v>0</v>
      </c>
      <c r="AD36" s="35"/>
      <c r="AE36" s="35"/>
    </row>
    <row r="37" spans="1:31" ht="15" customHeight="1">
      <c r="A37" s="20">
        <f t="shared" si="3"/>
        <v>0</v>
      </c>
      <c r="B37" s="23"/>
      <c r="C37" s="23"/>
      <c r="D37" s="23"/>
      <c r="E37" s="23"/>
      <c r="F37" s="23"/>
      <c r="G37" s="23"/>
      <c r="H37" s="23"/>
      <c r="I37" s="23"/>
      <c r="J37" s="23"/>
      <c r="K37" s="23"/>
      <c r="L37" s="33"/>
      <c r="M37" s="26"/>
      <c r="N37" s="26"/>
      <c r="O37" s="26"/>
      <c r="P37" s="26"/>
      <c r="Q37" s="26"/>
      <c r="R37" s="26"/>
      <c r="S37" s="26"/>
      <c r="T37" s="26"/>
      <c r="U37" s="26"/>
      <c r="V37" s="26"/>
      <c r="W37" s="26"/>
      <c r="X37" s="26">
        <f>COUNTIF($L$2:L37,"&lt;&gt;"&amp;"")</f>
        <v>5</v>
      </c>
      <c r="Y37" s="27">
        <f t="shared" si="4"/>
        <v>0</v>
      </c>
      <c r="Z37" s="28"/>
      <c r="AA37" s="29"/>
      <c r="AB37" s="30" t="b">
        <f>TRUE()</f>
        <v>1</v>
      </c>
      <c r="AC37" s="31">
        <f t="shared" si="5"/>
        <v>0</v>
      </c>
      <c r="AD37" s="35"/>
      <c r="AE37" s="35"/>
    </row>
    <row r="38" spans="1:31" ht="15" customHeight="1">
      <c r="A38" s="20">
        <f t="shared" si="3"/>
        <v>0</v>
      </c>
      <c r="B38" s="23"/>
      <c r="C38" s="23"/>
      <c r="D38" s="23"/>
      <c r="E38" s="23"/>
      <c r="F38" s="23"/>
      <c r="G38" s="23"/>
      <c r="H38" s="23"/>
      <c r="I38" s="23"/>
      <c r="J38" s="23"/>
      <c r="K38" s="23"/>
      <c r="L38" s="33"/>
      <c r="M38" s="26"/>
      <c r="N38" s="26"/>
      <c r="O38" s="26"/>
      <c r="P38" s="26"/>
      <c r="Q38" s="26"/>
      <c r="R38" s="26"/>
      <c r="S38" s="26"/>
      <c r="T38" s="26"/>
      <c r="U38" s="26"/>
      <c r="V38" s="26"/>
      <c r="W38" s="26"/>
      <c r="X38" s="26">
        <f>COUNTIF($L$2:L38,"&lt;&gt;"&amp;"")</f>
        <v>5</v>
      </c>
      <c r="Y38" s="27">
        <f t="shared" si="4"/>
        <v>0</v>
      </c>
      <c r="Z38" s="28"/>
      <c r="AA38" s="29"/>
      <c r="AB38" s="30" t="b">
        <f>TRUE()</f>
        <v>1</v>
      </c>
      <c r="AC38" s="31">
        <f t="shared" si="5"/>
        <v>0</v>
      </c>
      <c r="AD38" s="42"/>
      <c r="AE38" s="42"/>
    </row>
    <row r="39" spans="1:31" ht="15" customHeight="1">
      <c r="A39" s="20">
        <f t="shared" si="3"/>
        <v>0</v>
      </c>
      <c r="B39" s="23"/>
      <c r="C39" s="23"/>
      <c r="D39" s="23"/>
      <c r="E39" s="23"/>
      <c r="F39" s="23"/>
      <c r="G39" s="23"/>
      <c r="H39" s="23"/>
      <c r="I39" s="23"/>
      <c r="J39" s="23"/>
      <c r="K39" s="23"/>
      <c r="L39" s="33"/>
      <c r="M39" s="26"/>
      <c r="N39" s="26"/>
      <c r="O39" s="26"/>
      <c r="P39" s="26"/>
      <c r="Q39" s="26"/>
      <c r="R39" s="26"/>
      <c r="S39" s="26"/>
      <c r="T39" s="26"/>
      <c r="U39" s="26"/>
      <c r="V39" s="26"/>
      <c r="W39" s="26"/>
      <c r="X39" s="26">
        <f>COUNTIF($L$2:L39,"&lt;&gt;"&amp;"")</f>
        <v>5</v>
      </c>
      <c r="Y39" s="27">
        <f t="shared" si="4"/>
        <v>0</v>
      </c>
      <c r="Z39" s="28"/>
      <c r="AA39" s="29"/>
      <c r="AB39" s="30" t="b">
        <f>TRUE()</f>
        <v>1</v>
      </c>
      <c r="AC39" s="31">
        <f t="shared" si="5"/>
        <v>0</v>
      </c>
      <c r="AD39" s="35"/>
      <c r="AE39" s="35"/>
    </row>
    <row r="40" spans="1:31" ht="15" customHeight="1">
      <c r="A40" s="20">
        <f t="shared" si="3"/>
        <v>0</v>
      </c>
      <c r="B40" s="23"/>
      <c r="C40" s="23"/>
      <c r="D40" s="23"/>
      <c r="E40" s="23"/>
      <c r="F40" s="23"/>
      <c r="G40" s="23"/>
      <c r="H40" s="23"/>
      <c r="I40" s="23"/>
      <c r="J40" s="23"/>
      <c r="K40" s="23"/>
      <c r="L40" s="33"/>
      <c r="M40" s="26"/>
      <c r="N40" s="26"/>
      <c r="O40" s="26"/>
      <c r="P40" s="26"/>
      <c r="Q40" s="26"/>
      <c r="R40" s="26"/>
      <c r="S40" s="26"/>
      <c r="T40" s="26"/>
      <c r="U40" s="26"/>
      <c r="V40" s="26"/>
      <c r="W40" s="26"/>
      <c r="X40" s="26">
        <f>COUNTIF($L$2:L40,"&lt;&gt;"&amp;"")</f>
        <v>5</v>
      </c>
      <c r="Y40" s="27">
        <f t="shared" si="4"/>
        <v>0</v>
      </c>
      <c r="Z40" s="28"/>
      <c r="AA40" s="29"/>
      <c r="AB40" s="30" t="b">
        <f>TRUE()</f>
        <v>1</v>
      </c>
      <c r="AC40" s="31">
        <f t="shared" si="5"/>
        <v>0</v>
      </c>
      <c r="AD40" s="42"/>
      <c r="AE40" s="42"/>
    </row>
    <row r="41" spans="1:31" ht="15" customHeight="1">
      <c r="A41" s="20">
        <f t="shared" si="3"/>
        <v>0</v>
      </c>
      <c r="B41" s="23"/>
      <c r="C41" s="23"/>
      <c r="D41" s="23"/>
      <c r="E41" s="23"/>
      <c r="F41" s="23"/>
      <c r="G41" s="23"/>
      <c r="H41" s="23"/>
      <c r="I41" s="23"/>
      <c r="J41" s="23"/>
      <c r="K41" s="23"/>
      <c r="L41" s="33"/>
      <c r="M41" s="26"/>
      <c r="N41" s="26"/>
      <c r="O41" s="26"/>
      <c r="P41" s="26"/>
      <c r="Q41" s="26"/>
      <c r="R41" s="26"/>
      <c r="S41" s="26"/>
      <c r="T41" s="26"/>
      <c r="U41" s="26"/>
      <c r="V41" s="26"/>
      <c r="W41" s="26"/>
      <c r="X41" s="26">
        <f>COUNTIF($L$2:L41,"&lt;&gt;"&amp;"")</f>
        <v>5</v>
      </c>
      <c r="Y41" s="27">
        <f t="shared" si="4"/>
        <v>0</v>
      </c>
      <c r="Z41" s="28"/>
      <c r="AA41" s="29"/>
      <c r="AB41" s="30" t="b">
        <f>TRUE()</f>
        <v>1</v>
      </c>
      <c r="AC41" s="31">
        <f t="shared" si="5"/>
        <v>0</v>
      </c>
      <c r="AD41" s="42"/>
      <c r="AE41" s="42"/>
    </row>
    <row r="42" spans="1:31" ht="15" customHeight="1">
      <c r="A42" s="20">
        <f t="shared" si="3"/>
        <v>0</v>
      </c>
      <c r="B42" s="23"/>
      <c r="C42" s="23"/>
      <c r="D42" s="23"/>
      <c r="E42" s="23"/>
      <c r="F42" s="23"/>
      <c r="G42" s="23"/>
      <c r="H42" s="23"/>
      <c r="I42" s="23"/>
      <c r="J42" s="23"/>
      <c r="K42" s="23"/>
      <c r="L42" s="33"/>
      <c r="M42" s="26"/>
      <c r="N42" s="40"/>
      <c r="O42" s="26"/>
      <c r="P42" s="26"/>
      <c r="Q42" s="26"/>
      <c r="R42" s="26"/>
      <c r="S42" s="26"/>
      <c r="T42" s="26"/>
      <c r="U42" s="26"/>
      <c r="V42" s="26"/>
      <c r="W42" s="26"/>
      <c r="X42" s="26">
        <f>COUNTIF($L$2:L42,"&lt;&gt;"&amp;"")</f>
        <v>5</v>
      </c>
      <c r="Y42" s="27">
        <f t="shared" si="4"/>
        <v>0</v>
      </c>
      <c r="Z42" s="28"/>
      <c r="AA42" s="29"/>
      <c r="AB42" s="30" t="b">
        <f>TRUE()</f>
        <v>1</v>
      </c>
      <c r="AC42" s="31">
        <f t="shared" si="5"/>
        <v>0</v>
      </c>
      <c r="AD42" s="35"/>
      <c r="AE42" s="35"/>
    </row>
    <row r="43" spans="1:31" ht="15" customHeight="1">
      <c r="A43" s="20">
        <f t="shared" si="3"/>
        <v>0</v>
      </c>
      <c r="B43" s="23"/>
      <c r="C43" s="23"/>
      <c r="D43" s="23"/>
      <c r="E43" s="23"/>
      <c r="F43" s="23"/>
      <c r="G43" s="23"/>
      <c r="H43" s="23"/>
      <c r="I43" s="23"/>
      <c r="J43" s="23"/>
      <c r="K43" s="23"/>
      <c r="L43" s="33"/>
      <c r="M43" s="33"/>
      <c r="N43" s="26"/>
      <c r="O43" s="26"/>
      <c r="P43" s="26"/>
      <c r="Q43" s="26"/>
      <c r="R43" s="26"/>
      <c r="S43" s="26"/>
      <c r="T43" s="26"/>
      <c r="U43" s="26"/>
      <c r="V43" s="26"/>
      <c r="W43" s="26"/>
      <c r="X43" s="26">
        <f>COUNTIF($L$2:L43,"&lt;&gt;"&amp;"")</f>
        <v>5</v>
      </c>
      <c r="Y43" s="27">
        <f t="shared" si="4"/>
        <v>0</v>
      </c>
      <c r="Z43" s="28"/>
      <c r="AA43" s="29"/>
      <c r="AB43" s="30" t="b">
        <f>TRUE()</f>
        <v>1</v>
      </c>
      <c r="AC43" s="31">
        <f t="shared" si="5"/>
        <v>0</v>
      </c>
      <c r="AD43" s="35"/>
      <c r="AE43" s="35"/>
    </row>
    <row r="44" spans="1:31" ht="15" customHeight="1">
      <c r="A44" s="20">
        <f t="shared" si="3"/>
        <v>0</v>
      </c>
      <c r="B44" s="23"/>
      <c r="C44" s="23"/>
      <c r="D44" s="23"/>
      <c r="E44" s="23"/>
      <c r="F44" s="23"/>
      <c r="G44" s="23"/>
      <c r="H44" s="23"/>
      <c r="I44" s="23"/>
      <c r="J44" s="23"/>
      <c r="K44" s="23"/>
      <c r="L44" s="33"/>
      <c r="M44" s="26"/>
      <c r="N44" s="26"/>
      <c r="O44" s="26"/>
      <c r="P44" s="26"/>
      <c r="Q44" s="26"/>
      <c r="R44" s="26"/>
      <c r="S44" s="26"/>
      <c r="T44" s="26"/>
      <c r="U44" s="26"/>
      <c r="V44" s="26"/>
      <c r="W44" s="26"/>
      <c r="X44" s="26">
        <f>COUNTIF($L$2:L44,"&lt;&gt;"&amp;"")</f>
        <v>5</v>
      </c>
      <c r="Y44" s="27">
        <f t="shared" si="4"/>
        <v>0</v>
      </c>
      <c r="Z44" s="28"/>
      <c r="AA44" s="29"/>
      <c r="AB44" s="30" t="b">
        <f>TRUE()</f>
        <v>1</v>
      </c>
      <c r="AC44" s="31">
        <f t="shared" si="5"/>
        <v>0</v>
      </c>
      <c r="AD44" s="35"/>
      <c r="AE44" s="35"/>
    </row>
    <row r="45" spans="1:31" ht="15" customHeight="1">
      <c r="A45" s="20">
        <f t="shared" si="3"/>
        <v>0</v>
      </c>
      <c r="B45" s="23"/>
      <c r="C45" s="23"/>
      <c r="D45" s="23"/>
      <c r="E45" s="23"/>
      <c r="F45" s="23"/>
      <c r="G45" s="23"/>
      <c r="H45" s="23"/>
      <c r="I45" s="23"/>
      <c r="J45" s="23"/>
      <c r="K45" s="23"/>
      <c r="L45" s="33"/>
      <c r="M45" s="26"/>
      <c r="N45" s="26"/>
      <c r="O45" s="26"/>
      <c r="P45" s="26"/>
      <c r="Q45" s="26"/>
      <c r="R45" s="26"/>
      <c r="S45" s="26"/>
      <c r="T45" s="26"/>
      <c r="U45" s="26"/>
      <c r="V45" s="26"/>
      <c r="W45" s="26"/>
      <c r="X45" s="26">
        <f>COUNTIF($L$2:L45,"&lt;&gt;"&amp;"")</f>
        <v>5</v>
      </c>
      <c r="Y45" s="27">
        <f t="shared" si="4"/>
        <v>0</v>
      </c>
      <c r="Z45" s="28"/>
      <c r="AA45" s="29"/>
      <c r="AB45" s="30" t="b">
        <f>TRUE()</f>
        <v>1</v>
      </c>
      <c r="AC45" s="31">
        <f t="shared" si="5"/>
        <v>0</v>
      </c>
      <c r="AD45" s="35"/>
      <c r="AE45" s="35"/>
    </row>
    <row r="46" spans="1:31" ht="15" customHeight="1">
      <c r="A46" s="20">
        <f t="shared" si="3"/>
        <v>0</v>
      </c>
      <c r="B46" s="23"/>
      <c r="C46" s="23"/>
      <c r="D46" s="23"/>
      <c r="E46" s="23"/>
      <c r="F46" s="23"/>
      <c r="G46" s="23"/>
      <c r="H46" s="23"/>
      <c r="I46" s="23"/>
      <c r="J46" s="23"/>
      <c r="K46" s="23"/>
      <c r="L46" s="33"/>
      <c r="M46" s="26"/>
      <c r="N46" s="26"/>
      <c r="O46" s="26"/>
      <c r="P46" s="26"/>
      <c r="Q46" s="26"/>
      <c r="R46" s="26"/>
      <c r="S46" s="26"/>
      <c r="T46" s="26"/>
      <c r="U46" s="26"/>
      <c r="V46" s="26"/>
      <c r="W46" s="26"/>
      <c r="X46" s="26">
        <f>COUNTIF($L$2:L46,"&lt;&gt;"&amp;"")</f>
        <v>5</v>
      </c>
      <c r="Y46" s="27">
        <f t="shared" si="4"/>
        <v>0</v>
      </c>
      <c r="Z46" s="28"/>
      <c r="AA46" s="29"/>
      <c r="AB46" s="30" t="b">
        <f>TRUE()</f>
        <v>1</v>
      </c>
      <c r="AC46" s="31">
        <f t="shared" si="5"/>
        <v>0</v>
      </c>
      <c r="AD46" s="35"/>
      <c r="AE46" s="35"/>
    </row>
    <row r="47" spans="1:31" ht="15" customHeight="1">
      <c r="A47" s="20">
        <f t="shared" si="3"/>
        <v>0</v>
      </c>
      <c r="B47" s="23"/>
      <c r="C47" s="23"/>
      <c r="D47" s="23"/>
      <c r="E47" s="23"/>
      <c r="F47" s="23"/>
      <c r="G47" s="23"/>
      <c r="H47" s="23"/>
      <c r="I47" s="23"/>
      <c r="J47" s="23"/>
      <c r="K47" s="23"/>
      <c r="L47" s="33"/>
      <c r="M47" s="26"/>
      <c r="N47" s="26"/>
      <c r="O47" s="26"/>
      <c r="P47" s="26"/>
      <c r="Q47" s="26"/>
      <c r="R47" s="26"/>
      <c r="S47" s="26"/>
      <c r="T47" s="26"/>
      <c r="U47" s="26"/>
      <c r="V47" s="26"/>
      <c r="W47" s="26"/>
      <c r="X47" s="26">
        <f>COUNTIF($L$2:L47,"&lt;&gt;"&amp;"")</f>
        <v>5</v>
      </c>
      <c r="Y47" s="27">
        <f t="shared" si="4"/>
        <v>0</v>
      </c>
      <c r="Z47" s="28"/>
      <c r="AA47" s="29"/>
      <c r="AB47" s="30" t="b">
        <f>TRUE()</f>
        <v>1</v>
      </c>
      <c r="AC47" s="31">
        <f t="shared" si="5"/>
        <v>0</v>
      </c>
      <c r="AD47" s="35"/>
      <c r="AE47" s="35"/>
    </row>
    <row r="48" spans="1:31" ht="15" customHeight="1">
      <c r="A48" s="20">
        <f t="shared" si="3"/>
        <v>0</v>
      </c>
      <c r="B48" s="23"/>
      <c r="C48" s="23"/>
      <c r="D48" s="23"/>
      <c r="E48" s="23"/>
      <c r="F48" s="23"/>
      <c r="G48" s="23"/>
      <c r="H48" s="23"/>
      <c r="I48" s="23"/>
      <c r="J48" s="23"/>
      <c r="K48" s="23"/>
      <c r="L48" s="33"/>
      <c r="M48" s="26"/>
      <c r="N48" s="26"/>
      <c r="O48" s="26"/>
      <c r="P48" s="26"/>
      <c r="Q48" s="26"/>
      <c r="R48" s="26"/>
      <c r="S48" s="26"/>
      <c r="T48" s="26"/>
      <c r="U48" s="26"/>
      <c r="V48" s="26"/>
      <c r="W48" s="26"/>
      <c r="X48" s="26">
        <f>COUNTIF($L$2:L48,"&lt;&gt;"&amp;"")</f>
        <v>5</v>
      </c>
      <c r="Y48" s="27">
        <f t="shared" si="4"/>
        <v>0</v>
      </c>
      <c r="Z48" s="28"/>
      <c r="AA48" s="29"/>
      <c r="AB48" s="30" t="b">
        <f>TRUE()</f>
        <v>1</v>
      </c>
      <c r="AC48" s="31">
        <f t="shared" si="5"/>
        <v>0</v>
      </c>
      <c r="AD48" s="42"/>
      <c r="AE48" s="42"/>
    </row>
    <row r="49" spans="1:31" ht="15" customHeight="1">
      <c r="A49" s="20">
        <f t="shared" si="3"/>
        <v>0</v>
      </c>
      <c r="B49" s="23"/>
      <c r="C49" s="23"/>
      <c r="D49" s="23"/>
      <c r="E49" s="23"/>
      <c r="F49" s="23"/>
      <c r="G49" s="23"/>
      <c r="H49" s="23"/>
      <c r="I49" s="23"/>
      <c r="J49" s="23"/>
      <c r="K49" s="23"/>
      <c r="L49" s="33"/>
      <c r="M49" s="26"/>
      <c r="N49" s="26"/>
      <c r="O49" s="26"/>
      <c r="P49" s="26"/>
      <c r="Q49" s="26"/>
      <c r="R49" s="26"/>
      <c r="S49" s="26"/>
      <c r="T49" s="26"/>
      <c r="U49" s="26"/>
      <c r="V49" s="26"/>
      <c r="W49" s="26"/>
      <c r="X49" s="26">
        <f>COUNTIF($L$2:L49,"&lt;&gt;"&amp;"")</f>
        <v>5</v>
      </c>
      <c r="Y49" s="27">
        <f t="shared" si="4"/>
        <v>0</v>
      </c>
      <c r="Z49" s="28"/>
      <c r="AA49" s="29"/>
      <c r="AB49" s="30" t="b">
        <f>TRUE()</f>
        <v>1</v>
      </c>
      <c r="AC49" s="31">
        <f t="shared" si="5"/>
        <v>0</v>
      </c>
      <c r="AD49" s="42"/>
      <c r="AE49" s="42"/>
    </row>
    <row r="50" spans="1:31" ht="15" customHeight="1">
      <c r="A50" s="20">
        <f t="shared" si="3"/>
        <v>0</v>
      </c>
      <c r="B50" s="23"/>
      <c r="C50" s="23"/>
      <c r="D50" s="23"/>
      <c r="E50" s="23"/>
      <c r="F50" s="23"/>
      <c r="G50" s="23"/>
      <c r="H50" s="23"/>
      <c r="I50" s="23"/>
      <c r="J50" s="23"/>
      <c r="K50" s="23"/>
      <c r="L50" s="33"/>
      <c r="M50" s="33"/>
      <c r="N50" s="26"/>
      <c r="O50" s="26"/>
      <c r="P50" s="26"/>
      <c r="Q50" s="26"/>
      <c r="R50" s="26"/>
      <c r="S50" s="26"/>
      <c r="T50" s="26"/>
      <c r="U50" s="26"/>
      <c r="V50" s="26"/>
      <c r="W50" s="26"/>
      <c r="X50" s="26">
        <f>COUNTIF($L$2:L50,"&lt;&gt;"&amp;"")</f>
        <v>5</v>
      </c>
      <c r="Y50" s="27">
        <f t="shared" si="4"/>
        <v>0</v>
      </c>
      <c r="Z50" s="28"/>
      <c r="AA50" s="29"/>
      <c r="AB50" s="30" t="b">
        <f>TRUE()</f>
        <v>1</v>
      </c>
      <c r="AC50" s="31">
        <f t="shared" si="5"/>
        <v>0</v>
      </c>
      <c r="AD50" s="42"/>
      <c r="AE50" s="42"/>
    </row>
    <row r="51" spans="1:31" ht="15" customHeight="1">
      <c r="A51" s="20">
        <f t="shared" si="3"/>
        <v>0</v>
      </c>
      <c r="B51" s="23"/>
      <c r="C51" s="23"/>
      <c r="D51" s="23"/>
      <c r="E51" s="23"/>
      <c r="F51" s="23"/>
      <c r="G51" s="23"/>
      <c r="H51" s="23"/>
      <c r="I51" s="23"/>
      <c r="J51" s="23"/>
      <c r="K51" s="23"/>
      <c r="L51" s="33"/>
      <c r="M51" s="26"/>
      <c r="N51" s="26"/>
      <c r="O51" s="26"/>
      <c r="P51" s="26"/>
      <c r="Q51" s="26"/>
      <c r="R51" s="26"/>
      <c r="S51" s="26"/>
      <c r="T51" s="26"/>
      <c r="U51" s="26"/>
      <c r="V51" s="26"/>
      <c r="W51" s="26"/>
      <c r="X51" s="26">
        <f>COUNTIF($L$2:L51,"&lt;&gt;"&amp;"")</f>
        <v>5</v>
      </c>
      <c r="Y51" s="27">
        <f t="shared" si="4"/>
        <v>0</v>
      </c>
      <c r="Z51" s="28"/>
      <c r="AA51" s="29"/>
      <c r="AB51" s="30" t="b">
        <f>TRUE()</f>
        <v>1</v>
      </c>
      <c r="AC51" s="31">
        <f t="shared" si="5"/>
        <v>0</v>
      </c>
      <c r="AD51" s="42"/>
      <c r="AE51" s="42"/>
    </row>
    <row r="52" spans="1:31" ht="15" customHeight="1">
      <c r="A52" s="20">
        <f t="shared" si="3"/>
        <v>0</v>
      </c>
      <c r="B52" s="23"/>
      <c r="C52" s="23"/>
      <c r="D52" s="23"/>
      <c r="E52" s="23"/>
      <c r="F52" s="23"/>
      <c r="G52" s="23"/>
      <c r="H52" s="23"/>
      <c r="I52" s="23"/>
      <c r="J52" s="23"/>
      <c r="K52" s="23"/>
      <c r="L52" s="33"/>
      <c r="M52" s="26"/>
      <c r="N52" s="26"/>
      <c r="O52" s="26"/>
      <c r="P52" s="26"/>
      <c r="Q52" s="26"/>
      <c r="R52" s="26"/>
      <c r="S52" s="26"/>
      <c r="T52" s="26"/>
      <c r="U52" s="26"/>
      <c r="V52" s="26"/>
      <c r="W52" s="26"/>
      <c r="X52" s="26">
        <f>COUNTIF($L$2:L52,"&lt;&gt;"&amp;"")</f>
        <v>5</v>
      </c>
      <c r="Y52" s="27">
        <f t="shared" si="4"/>
        <v>0</v>
      </c>
      <c r="Z52" s="28"/>
      <c r="AA52" s="29"/>
      <c r="AB52" s="30" t="b">
        <f>TRUE()</f>
        <v>1</v>
      </c>
      <c r="AC52" s="31">
        <f t="shared" si="5"/>
        <v>0</v>
      </c>
      <c r="AD52" s="42"/>
      <c r="AE52" s="42"/>
    </row>
    <row r="53" spans="1:31" ht="15" customHeight="1">
      <c r="A53" s="20">
        <f t="shared" si="3"/>
        <v>0</v>
      </c>
      <c r="B53" s="23"/>
      <c r="C53" s="23"/>
      <c r="D53" s="23"/>
      <c r="E53" s="23"/>
      <c r="F53" s="23"/>
      <c r="G53" s="23"/>
      <c r="H53" s="23"/>
      <c r="I53" s="23"/>
      <c r="J53" s="23"/>
      <c r="K53" s="23"/>
      <c r="L53" s="33"/>
      <c r="M53" s="33"/>
      <c r="N53" s="26"/>
      <c r="O53" s="26"/>
      <c r="P53" s="26"/>
      <c r="Q53" s="26"/>
      <c r="R53" s="26"/>
      <c r="S53" s="26"/>
      <c r="T53" s="26"/>
      <c r="U53" s="26"/>
      <c r="V53" s="26"/>
      <c r="W53" s="26"/>
      <c r="X53" s="26">
        <f>COUNTIF($L$2:L53,"&lt;&gt;"&amp;"")</f>
        <v>5</v>
      </c>
      <c r="Y53" s="27">
        <f t="shared" si="4"/>
        <v>0</v>
      </c>
      <c r="Z53" s="28"/>
      <c r="AA53" s="29"/>
      <c r="AB53" s="30" t="b">
        <f>TRUE()</f>
        <v>1</v>
      </c>
      <c r="AC53" s="31">
        <f t="shared" si="5"/>
        <v>0</v>
      </c>
      <c r="AD53" s="42"/>
      <c r="AE53" s="42"/>
    </row>
    <row r="54" spans="1:31" ht="15" customHeight="1">
      <c r="A54" s="20">
        <f t="shared" si="3"/>
        <v>0</v>
      </c>
      <c r="B54" s="23"/>
      <c r="C54" s="23"/>
      <c r="D54" s="23"/>
      <c r="E54" s="23"/>
      <c r="F54" s="23"/>
      <c r="G54" s="23"/>
      <c r="H54" s="23"/>
      <c r="I54" s="23"/>
      <c r="J54" s="23"/>
      <c r="K54" s="23"/>
      <c r="L54" s="33"/>
      <c r="M54" s="26"/>
      <c r="N54" s="26"/>
      <c r="O54" s="26"/>
      <c r="P54" s="26"/>
      <c r="Q54" s="26"/>
      <c r="R54" s="26"/>
      <c r="S54" s="26"/>
      <c r="T54" s="26"/>
      <c r="U54" s="26"/>
      <c r="V54" s="26"/>
      <c r="W54" s="26"/>
      <c r="X54" s="26">
        <f>COUNTIF($L$2:L54,"&lt;&gt;"&amp;"")</f>
        <v>5</v>
      </c>
      <c r="Y54" s="27">
        <f t="shared" si="4"/>
        <v>0</v>
      </c>
      <c r="Z54" s="28"/>
      <c r="AA54" s="29"/>
      <c r="AB54" s="30" t="b">
        <f>TRUE()</f>
        <v>1</v>
      </c>
      <c r="AC54" s="31">
        <f t="shared" si="5"/>
        <v>0</v>
      </c>
      <c r="AD54" s="42"/>
      <c r="AE54" s="42"/>
    </row>
    <row r="55" spans="1:31" ht="15" customHeight="1">
      <c r="A55" s="20">
        <f t="shared" si="3"/>
        <v>0</v>
      </c>
      <c r="B55" s="23"/>
      <c r="C55" s="23"/>
      <c r="D55" s="23"/>
      <c r="E55" s="23"/>
      <c r="F55" s="23"/>
      <c r="G55" s="23"/>
      <c r="H55" s="23"/>
      <c r="I55" s="23"/>
      <c r="J55" s="23"/>
      <c r="K55" s="23"/>
      <c r="L55" s="33"/>
      <c r="M55" s="26"/>
      <c r="N55" s="26"/>
      <c r="O55" s="26"/>
      <c r="P55" s="26"/>
      <c r="Q55" s="26"/>
      <c r="R55" s="26"/>
      <c r="S55" s="26"/>
      <c r="T55" s="26"/>
      <c r="U55" s="26"/>
      <c r="V55" s="26"/>
      <c r="W55" s="26"/>
      <c r="X55" s="26">
        <f>COUNTIF($L$2:L55,"&lt;&gt;"&amp;"")</f>
        <v>5</v>
      </c>
      <c r="Y55" s="27">
        <f t="shared" si="4"/>
        <v>0</v>
      </c>
      <c r="Z55" s="28"/>
      <c r="AA55" s="29"/>
      <c r="AB55" s="30" t="b">
        <f>TRUE()</f>
        <v>1</v>
      </c>
      <c r="AC55" s="31">
        <f t="shared" si="5"/>
        <v>0</v>
      </c>
      <c r="AD55" s="42"/>
      <c r="AE55" s="42"/>
    </row>
    <row r="56" spans="1:31" ht="15" customHeight="1">
      <c r="A56" s="20">
        <f t="shared" si="3"/>
        <v>0</v>
      </c>
      <c r="B56" s="23"/>
      <c r="C56" s="23"/>
      <c r="D56" s="23"/>
      <c r="E56" s="23"/>
      <c r="F56" s="23"/>
      <c r="G56" s="23"/>
      <c r="H56" s="23"/>
      <c r="I56" s="23"/>
      <c r="J56" s="23"/>
      <c r="K56" s="23"/>
      <c r="L56" s="33"/>
      <c r="M56" s="26"/>
      <c r="N56" s="26"/>
      <c r="O56" s="26"/>
      <c r="P56" s="26"/>
      <c r="Q56" s="26"/>
      <c r="R56" s="26"/>
      <c r="S56" s="26"/>
      <c r="T56" s="26"/>
      <c r="U56" s="26"/>
      <c r="V56" s="26"/>
      <c r="W56" s="26"/>
      <c r="X56" s="26">
        <f>COUNTIF($L$2:L56,"&lt;&gt;"&amp;"")</f>
        <v>5</v>
      </c>
      <c r="Y56" s="27">
        <f t="shared" si="4"/>
        <v>0</v>
      </c>
      <c r="Z56" s="28"/>
      <c r="AA56" s="29"/>
      <c r="AB56" s="30" t="b">
        <f>TRUE()</f>
        <v>1</v>
      </c>
      <c r="AC56" s="31">
        <f t="shared" si="5"/>
        <v>0</v>
      </c>
      <c r="AD56" s="42"/>
      <c r="AE56" s="42"/>
    </row>
    <row r="57" spans="1:31" ht="15" customHeight="1">
      <c r="A57" s="20">
        <f t="shared" si="3"/>
        <v>0</v>
      </c>
      <c r="B57" s="23"/>
      <c r="C57" s="23"/>
      <c r="D57" s="23"/>
      <c r="E57" s="23"/>
      <c r="F57" s="23"/>
      <c r="G57" s="23"/>
      <c r="H57" s="23"/>
      <c r="I57" s="23"/>
      <c r="J57" s="23"/>
      <c r="K57" s="23"/>
      <c r="L57" s="33"/>
      <c r="M57" s="26"/>
      <c r="N57" s="26"/>
      <c r="O57" s="26"/>
      <c r="P57" s="26"/>
      <c r="Q57" s="26"/>
      <c r="R57" s="26"/>
      <c r="S57" s="26"/>
      <c r="T57" s="26"/>
      <c r="U57" s="26"/>
      <c r="V57" s="26"/>
      <c r="W57" s="26"/>
      <c r="X57" s="26">
        <f>COUNTIF($L$2:L57,"&lt;&gt;"&amp;"")</f>
        <v>5</v>
      </c>
      <c r="Y57" s="27">
        <f t="shared" si="4"/>
        <v>0</v>
      </c>
      <c r="Z57" s="28"/>
      <c r="AA57" s="29"/>
      <c r="AB57" s="30" t="b">
        <f>TRUE()</f>
        <v>1</v>
      </c>
      <c r="AC57" s="31">
        <f t="shared" si="5"/>
        <v>0</v>
      </c>
      <c r="AD57" s="42"/>
      <c r="AE57" s="42"/>
    </row>
    <row r="58" spans="1:31" ht="15" customHeight="1">
      <c r="A58" s="20">
        <f t="shared" si="3"/>
        <v>0</v>
      </c>
      <c r="B58" s="23"/>
      <c r="C58" s="23"/>
      <c r="D58" s="23"/>
      <c r="E58" s="23"/>
      <c r="F58" s="23"/>
      <c r="G58" s="23"/>
      <c r="H58" s="23"/>
      <c r="I58" s="23"/>
      <c r="J58" s="23"/>
      <c r="K58" s="23"/>
      <c r="L58" s="33"/>
      <c r="M58" s="26"/>
      <c r="N58" s="26"/>
      <c r="O58" s="26"/>
      <c r="P58" s="26"/>
      <c r="Q58" s="26"/>
      <c r="R58" s="26"/>
      <c r="S58" s="26"/>
      <c r="T58" s="26"/>
      <c r="U58" s="26"/>
      <c r="V58" s="26"/>
      <c r="W58" s="26"/>
      <c r="X58" s="26">
        <f>COUNTIF($L$2:L58,"&lt;&gt;"&amp;"")</f>
        <v>5</v>
      </c>
      <c r="Y58" s="27">
        <f t="shared" si="4"/>
        <v>0</v>
      </c>
      <c r="Z58" s="28"/>
      <c r="AA58" s="29"/>
      <c r="AB58" s="30" t="b">
        <f>TRUE()</f>
        <v>1</v>
      </c>
      <c r="AC58" s="31">
        <f t="shared" si="5"/>
        <v>0</v>
      </c>
      <c r="AD58" s="42"/>
      <c r="AE58" s="42"/>
    </row>
    <row r="59" spans="1:31" ht="15" customHeight="1">
      <c r="A59" s="20">
        <f t="shared" si="3"/>
        <v>0</v>
      </c>
      <c r="B59" s="23"/>
      <c r="C59" s="23"/>
      <c r="D59" s="23"/>
      <c r="E59" s="23"/>
      <c r="F59" s="23"/>
      <c r="G59" s="23"/>
      <c r="H59" s="23"/>
      <c r="I59" s="23"/>
      <c r="J59" s="23"/>
      <c r="K59" s="23"/>
      <c r="L59" s="33"/>
      <c r="M59" s="26"/>
      <c r="N59" s="26"/>
      <c r="O59" s="26"/>
      <c r="P59" s="26"/>
      <c r="Q59" s="26"/>
      <c r="R59" s="26"/>
      <c r="S59" s="26"/>
      <c r="T59" s="26"/>
      <c r="U59" s="26"/>
      <c r="V59" s="26"/>
      <c r="W59" s="26"/>
      <c r="X59" s="26">
        <f>COUNTIF($L$2:L59,"&lt;&gt;"&amp;"")</f>
        <v>5</v>
      </c>
      <c r="Y59" s="27">
        <f t="shared" si="4"/>
        <v>0</v>
      </c>
      <c r="Z59" s="28"/>
      <c r="AA59" s="29"/>
      <c r="AB59" s="30" t="b">
        <f>TRUE()</f>
        <v>1</v>
      </c>
      <c r="AC59" s="31">
        <f t="shared" si="5"/>
        <v>0</v>
      </c>
      <c r="AD59" s="42"/>
      <c r="AE59" s="42"/>
    </row>
    <row r="60" spans="1:31" ht="15" customHeight="1">
      <c r="A60" s="20">
        <f t="shared" si="3"/>
        <v>0</v>
      </c>
      <c r="B60" s="23"/>
      <c r="C60" s="23"/>
      <c r="D60" s="23"/>
      <c r="E60" s="23"/>
      <c r="F60" s="23"/>
      <c r="G60" s="23"/>
      <c r="H60" s="23"/>
      <c r="I60" s="23"/>
      <c r="J60" s="23"/>
      <c r="K60" s="23"/>
      <c r="L60" s="33"/>
      <c r="M60" s="26"/>
      <c r="N60" s="26"/>
      <c r="O60" s="26"/>
      <c r="P60" s="26"/>
      <c r="Q60" s="26"/>
      <c r="R60" s="26"/>
      <c r="S60" s="26"/>
      <c r="T60" s="26"/>
      <c r="U60" s="26"/>
      <c r="V60" s="26"/>
      <c r="W60" s="26"/>
      <c r="X60" s="26">
        <f>COUNTIF($L$2:L60,"&lt;&gt;"&amp;"")</f>
        <v>5</v>
      </c>
      <c r="Y60" s="27">
        <f t="shared" si="4"/>
        <v>0</v>
      </c>
      <c r="Z60" s="28"/>
      <c r="AA60" s="29"/>
      <c r="AB60" s="30" t="b">
        <f>TRUE()</f>
        <v>1</v>
      </c>
      <c r="AC60" s="31">
        <f t="shared" si="5"/>
        <v>0</v>
      </c>
      <c r="AD60" s="42"/>
      <c r="AE60" s="42"/>
    </row>
    <row r="61" spans="1:31" ht="15" customHeight="1">
      <c r="A61" s="20">
        <f t="shared" si="3"/>
        <v>0</v>
      </c>
      <c r="B61" s="23"/>
      <c r="C61" s="23"/>
      <c r="D61" s="23"/>
      <c r="E61" s="23"/>
      <c r="F61" s="23"/>
      <c r="G61" s="23"/>
      <c r="H61" s="23"/>
      <c r="I61" s="23"/>
      <c r="J61" s="23"/>
      <c r="K61" s="23"/>
      <c r="L61" s="33"/>
      <c r="M61" s="26"/>
      <c r="N61" s="26"/>
      <c r="O61" s="26"/>
      <c r="P61" s="26"/>
      <c r="Q61" s="26"/>
      <c r="R61" s="26"/>
      <c r="S61" s="26"/>
      <c r="T61" s="26"/>
      <c r="U61" s="26"/>
      <c r="V61" s="26"/>
      <c r="W61" s="26"/>
      <c r="X61" s="26">
        <f>COUNTIF($L$2:L61,"&lt;&gt;"&amp;"")</f>
        <v>5</v>
      </c>
      <c r="Y61" s="27">
        <f t="shared" si="4"/>
        <v>0</v>
      </c>
      <c r="Z61" s="28"/>
      <c r="AA61" s="29"/>
      <c r="AB61" s="30" t="b">
        <f>TRUE()</f>
        <v>1</v>
      </c>
      <c r="AC61" s="31">
        <f t="shared" si="5"/>
        <v>0</v>
      </c>
      <c r="AD61" s="42"/>
      <c r="AE61" s="42"/>
    </row>
    <row r="62" spans="1:31" ht="15" customHeight="1">
      <c r="A62" s="20">
        <f t="shared" si="3"/>
        <v>0</v>
      </c>
      <c r="B62" s="23"/>
      <c r="C62" s="23"/>
      <c r="D62" s="23"/>
      <c r="E62" s="23"/>
      <c r="F62" s="23"/>
      <c r="G62" s="23"/>
      <c r="H62" s="23"/>
      <c r="I62" s="23"/>
      <c r="J62" s="23"/>
      <c r="K62" s="23"/>
      <c r="L62" s="33"/>
      <c r="M62" s="26"/>
      <c r="N62" s="26"/>
      <c r="O62" s="26"/>
      <c r="P62" s="26"/>
      <c r="Q62" s="26"/>
      <c r="R62" s="26"/>
      <c r="S62" s="26"/>
      <c r="T62" s="26"/>
      <c r="U62" s="26"/>
      <c r="V62" s="26"/>
      <c r="W62" s="26"/>
      <c r="X62" s="26">
        <f>COUNTIF($L$2:L62,"&lt;&gt;"&amp;"")</f>
        <v>5</v>
      </c>
      <c r="Y62" s="27">
        <f t="shared" si="4"/>
        <v>0</v>
      </c>
      <c r="Z62" s="28"/>
      <c r="AA62" s="29"/>
      <c r="AB62" s="30" t="b">
        <f>TRUE()</f>
        <v>1</v>
      </c>
      <c r="AC62" s="31">
        <f t="shared" si="5"/>
        <v>0</v>
      </c>
      <c r="AD62" s="42"/>
      <c r="AE62" s="42"/>
    </row>
    <row r="63" spans="1:31" ht="15" customHeight="1">
      <c r="A63" s="20">
        <f t="shared" si="3"/>
        <v>0</v>
      </c>
      <c r="B63" s="23"/>
      <c r="C63" s="23"/>
      <c r="D63" s="23"/>
      <c r="E63" s="23"/>
      <c r="F63" s="23"/>
      <c r="G63" s="23"/>
      <c r="H63" s="23"/>
      <c r="I63" s="23"/>
      <c r="J63" s="23"/>
      <c r="K63" s="23"/>
      <c r="L63" s="33"/>
      <c r="M63" s="26"/>
      <c r="N63" s="26"/>
      <c r="O63" s="26"/>
      <c r="P63" s="26"/>
      <c r="Q63" s="26"/>
      <c r="R63" s="26"/>
      <c r="S63" s="26"/>
      <c r="T63" s="26"/>
      <c r="U63" s="26"/>
      <c r="V63" s="26"/>
      <c r="W63" s="26"/>
      <c r="X63" s="26">
        <f>COUNTIF($L$2:L63,"&lt;&gt;"&amp;"")</f>
        <v>5</v>
      </c>
      <c r="Y63" s="27">
        <f t="shared" si="4"/>
        <v>0</v>
      </c>
      <c r="Z63" s="28"/>
      <c r="AA63" s="29"/>
      <c r="AB63" s="30" t="b">
        <f>TRUE()</f>
        <v>1</v>
      </c>
      <c r="AC63" s="31">
        <f t="shared" si="5"/>
        <v>0</v>
      </c>
      <c r="AD63" s="42"/>
      <c r="AE63" s="42"/>
    </row>
    <row r="64" spans="1:31" ht="15" customHeight="1">
      <c r="A64" s="20">
        <f t="shared" si="3"/>
        <v>0</v>
      </c>
      <c r="B64" s="23"/>
      <c r="C64" s="23"/>
      <c r="D64" s="23"/>
      <c r="E64" s="23"/>
      <c r="F64" s="23"/>
      <c r="G64" s="23"/>
      <c r="H64" s="23"/>
      <c r="I64" s="23"/>
      <c r="J64" s="23"/>
      <c r="K64" s="23"/>
      <c r="L64" s="33"/>
      <c r="M64" s="26"/>
      <c r="N64" s="26"/>
      <c r="O64" s="26"/>
      <c r="P64" s="26"/>
      <c r="Q64" s="26"/>
      <c r="R64" s="26"/>
      <c r="S64" s="26"/>
      <c r="T64" s="26"/>
      <c r="U64" s="26"/>
      <c r="V64" s="26"/>
      <c r="W64" s="26"/>
      <c r="X64" s="26">
        <f>COUNTIF($L$2:L64,"&lt;&gt;"&amp;"")</f>
        <v>5</v>
      </c>
      <c r="Y64" s="27">
        <f t="shared" si="4"/>
        <v>0</v>
      </c>
      <c r="Z64" s="28"/>
      <c r="AA64" s="29"/>
      <c r="AB64" s="30" t="b">
        <f>TRUE()</f>
        <v>1</v>
      </c>
      <c r="AC64" s="31">
        <f t="shared" si="5"/>
        <v>0</v>
      </c>
      <c r="AD64" s="35"/>
      <c r="AE64" s="35"/>
    </row>
    <row r="65" spans="1:31" ht="15" customHeight="1">
      <c r="A65" s="20">
        <f t="shared" si="3"/>
        <v>0</v>
      </c>
      <c r="B65" s="23"/>
      <c r="C65" s="23"/>
      <c r="D65" s="23"/>
      <c r="E65" s="23"/>
      <c r="F65" s="23"/>
      <c r="G65" s="23"/>
      <c r="H65" s="23"/>
      <c r="I65" s="23"/>
      <c r="J65" s="23"/>
      <c r="K65" s="23"/>
      <c r="L65" s="33"/>
      <c r="M65" s="26"/>
      <c r="N65" s="26"/>
      <c r="O65" s="26"/>
      <c r="P65" s="26"/>
      <c r="Q65" s="26"/>
      <c r="R65" s="26"/>
      <c r="S65" s="26"/>
      <c r="T65" s="26"/>
      <c r="U65" s="26"/>
      <c r="V65" s="26"/>
      <c r="W65" s="26"/>
      <c r="X65" s="26">
        <f>COUNTIF($L$2:L65,"&lt;&gt;"&amp;"")</f>
        <v>5</v>
      </c>
      <c r="Y65" s="27">
        <f t="shared" si="4"/>
        <v>0</v>
      </c>
      <c r="Z65" s="28"/>
      <c r="AA65" s="29"/>
      <c r="AB65" s="30" t="b">
        <f>TRUE()</f>
        <v>1</v>
      </c>
      <c r="AC65" s="31">
        <f t="shared" si="5"/>
        <v>0</v>
      </c>
      <c r="AD65" s="42"/>
      <c r="AE65" s="42"/>
    </row>
    <row r="66" spans="1:31" ht="15" customHeight="1">
      <c r="A66" s="20">
        <f t="shared" ref="A66:A97" si="6">(B66*$P$125+C66*$P$126+D66*$P$127+E66*$P$128+F66*$P$129+G66*$P$130+H66*$P$131+I66*$P$132+J66*$P$133+K66*$P$134)*$T$123</f>
        <v>0</v>
      </c>
      <c r="B66" s="23"/>
      <c r="C66" s="23"/>
      <c r="D66" s="23"/>
      <c r="E66" s="23"/>
      <c r="F66" s="23"/>
      <c r="G66" s="23"/>
      <c r="H66" s="23"/>
      <c r="I66" s="23"/>
      <c r="J66" s="23"/>
      <c r="K66" s="23"/>
      <c r="L66" s="33"/>
      <c r="M66" s="33"/>
      <c r="N66" s="26"/>
      <c r="O66" s="26"/>
      <c r="P66" s="26"/>
      <c r="Q66" s="26"/>
      <c r="R66" s="26"/>
      <c r="S66" s="26"/>
      <c r="T66" s="26"/>
      <c r="U66" s="26"/>
      <c r="V66" s="26"/>
      <c r="W66" s="26"/>
      <c r="X66" s="26">
        <f>COUNTIF($L$2:L66,"&lt;&gt;"&amp;"")</f>
        <v>5</v>
      </c>
      <c r="Y66" s="27">
        <f t="shared" ref="Y66:Y97" si="7">SUMIF($X$2:$X$120,X66,$A$2:$A$120)</f>
        <v>0</v>
      </c>
      <c r="Z66" s="28"/>
      <c r="AA66" s="29"/>
      <c r="AB66" s="30" t="b">
        <f>TRUE()</f>
        <v>1</v>
      </c>
      <c r="AC66" s="31">
        <f t="shared" ref="AC66:AC97" si="8">IF(L66="",0,IF(AB66=FALSE(),0,Y66))</f>
        <v>0</v>
      </c>
      <c r="AD66" s="42"/>
      <c r="AE66" s="42"/>
    </row>
    <row r="67" spans="1:31" ht="15" customHeight="1">
      <c r="A67" s="20">
        <f t="shared" si="6"/>
        <v>0</v>
      </c>
      <c r="B67" s="23"/>
      <c r="C67" s="23"/>
      <c r="D67" s="23"/>
      <c r="E67" s="23"/>
      <c r="F67" s="23"/>
      <c r="G67" s="23"/>
      <c r="H67" s="23"/>
      <c r="I67" s="23"/>
      <c r="J67" s="23"/>
      <c r="K67" s="23"/>
      <c r="L67" s="33"/>
      <c r="M67" s="26"/>
      <c r="N67" s="33"/>
      <c r="O67" s="26"/>
      <c r="P67" s="26"/>
      <c r="Q67" s="26"/>
      <c r="R67" s="26"/>
      <c r="S67" s="26"/>
      <c r="T67" s="26"/>
      <c r="U67" s="26"/>
      <c r="V67" s="26"/>
      <c r="W67" s="26"/>
      <c r="X67" s="26">
        <f>COUNTIF($L$2:L67,"&lt;&gt;"&amp;"")</f>
        <v>5</v>
      </c>
      <c r="Y67" s="27">
        <f t="shared" si="7"/>
        <v>0</v>
      </c>
      <c r="Z67" s="28"/>
      <c r="AA67" s="29"/>
      <c r="AB67" s="30" t="b">
        <f>TRUE()</f>
        <v>1</v>
      </c>
      <c r="AC67" s="31">
        <f t="shared" si="8"/>
        <v>0</v>
      </c>
      <c r="AD67" s="42"/>
      <c r="AE67" s="42"/>
    </row>
    <row r="68" spans="1:31" ht="15" customHeight="1">
      <c r="A68" s="20">
        <f t="shared" si="6"/>
        <v>0</v>
      </c>
      <c r="B68" s="23"/>
      <c r="C68" s="23"/>
      <c r="D68" s="23"/>
      <c r="E68" s="23"/>
      <c r="F68" s="23"/>
      <c r="G68" s="23"/>
      <c r="H68" s="23"/>
      <c r="I68" s="23"/>
      <c r="J68" s="23"/>
      <c r="K68" s="23"/>
      <c r="L68" s="33"/>
      <c r="M68" s="26"/>
      <c r="N68" s="26"/>
      <c r="O68" s="26"/>
      <c r="P68" s="26"/>
      <c r="Q68" s="26"/>
      <c r="R68" s="26"/>
      <c r="S68" s="26"/>
      <c r="T68" s="26"/>
      <c r="U68" s="26"/>
      <c r="V68" s="26"/>
      <c r="W68" s="26"/>
      <c r="X68" s="26">
        <f>COUNTIF($L$2:L68,"&lt;&gt;"&amp;"")</f>
        <v>5</v>
      </c>
      <c r="Y68" s="27">
        <f t="shared" si="7"/>
        <v>0</v>
      </c>
      <c r="Z68" s="28"/>
      <c r="AA68" s="29"/>
      <c r="AB68" s="30" t="b">
        <f>TRUE()</f>
        <v>1</v>
      </c>
      <c r="AC68" s="31">
        <f t="shared" si="8"/>
        <v>0</v>
      </c>
      <c r="AD68" s="42"/>
      <c r="AE68" s="42"/>
    </row>
    <row r="69" spans="1:31" ht="15" customHeight="1">
      <c r="A69" s="20">
        <f t="shared" si="6"/>
        <v>0</v>
      </c>
      <c r="B69" s="23"/>
      <c r="C69" s="23"/>
      <c r="D69" s="23"/>
      <c r="E69" s="23"/>
      <c r="F69" s="23"/>
      <c r="G69" s="23"/>
      <c r="H69" s="23"/>
      <c r="I69" s="23"/>
      <c r="J69" s="23"/>
      <c r="K69" s="23"/>
      <c r="L69" s="33"/>
      <c r="M69" s="26"/>
      <c r="N69" s="26"/>
      <c r="O69" s="26"/>
      <c r="P69" s="26"/>
      <c r="Q69" s="26"/>
      <c r="R69" s="26"/>
      <c r="S69" s="26"/>
      <c r="T69" s="26"/>
      <c r="U69" s="26"/>
      <c r="V69" s="26"/>
      <c r="W69" s="26"/>
      <c r="X69" s="26">
        <f>COUNTIF($L$2:L69,"&lt;&gt;"&amp;"")</f>
        <v>5</v>
      </c>
      <c r="Y69" s="27">
        <f t="shared" si="7"/>
        <v>0</v>
      </c>
      <c r="Z69" s="28"/>
      <c r="AA69" s="29"/>
      <c r="AB69" s="30" t="b">
        <f>TRUE()</f>
        <v>1</v>
      </c>
      <c r="AC69" s="31">
        <f t="shared" si="8"/>
        <v>0</v>
      </c>
      <c r="AD69" s="42"/>
      <c r="AE69" s="42"/>
    </row>
    <row r="70" spans="1:31" ht="15" customHeight="1">
      <c r="A70" s="20">
        <f t="shared" si="6"/>
        <v>0</v>
      </c>
      <c r="B70" s="23"/>
      <c r="C70" s="23"/>
      <c r="D70" s="23"/>
      <c r="E70" s="23"/>
      <c r="F70" s="23"/>
      <c r="G70" s="23"/>
      <c r="H70" s="23"/>
      <c r="I70" s="23"/>
      <c r="J70" s="23"/>
      <c r="K70" s="23"/>
      <c r="L70" s="33"/>
      <c r="M70" s="26"/>
      <c r="N70" s="26"/>
      <c r="O70" s="26"/>
      <c r="P70" s="26"/>
      <c r="Q70" s="26"/>
      <c r="R70" s="26"/>
      <c r="S70" s="26"/>
      <c r="T70" s="26"/>
      <c r="U70" s="26"/>
      <c r="V70" s="26"/>
      <c r="W70" s="26"/>
      <c r="X70" s="26">
        <f>COUNTIF($L$2:L70,"&lt;&gt;"&amp;"")</f>
        <v>5</v>
      </c>
      <c r="Y70" s="27">
        <f t="shared" si="7"/>
        <v>0</v>
      </c>
      <c r="Z70" s="28"/>
      <c r="AA70" s="29"/>
      <c r="AB70" s="30" t="b">
        <f>TRUE()</f>
        <v>1</v>
      </c>
      <c r="AC70" s="31">
        <f t="shared" si="8"/>
        <v>0</v>
      </c>
      <c r="AD70" s="42"/>
      <c r="AE70" s="42"/>
    </row>
    <row r="71" spans="1:31" ht="15" customHeight="1">
      <c r="A71" s="20">
        <f t="shared" si="6"/>
        <v>0</v>
      </c>
      <c r="B71" s="23"/>
      <c r="C71" s="23"/>
      <c r="D71" s="23"/>
      <c r="E71" s="23"/>
      <c r="F71" s="23"/>
      <c r="G71" s="23"/>
      <c r="H71" s="23"/>
      <c r="I71" s="23"/>
      <c r="J71" s="23"/>
      <c r="K71" s="23"/>
      <c r="L71" s="33"/>
      <c r="M71" s="26"/>
      <c r="N71" s="26"/>
      <c r="O71" s="26"/>
      <c r="P71" s="26"/>
      <c r="Q71" s="26"/>
      <c r="R71" s="26"/>
      <c r="S71" s="26"/>
      <c r="T71" s="26"/>
      <c r="U71" s="26"/>
      <c r="V71" s="26"/>
      <c r="W71" s="26"/>
      <c r="X71" s="26">
        <f>COUNTIF($L$2:L71,"&lt;&gt;"&amp;"")</f>
        <v>5</v>
      </c>
      <c r="Y71" s="27">
        <f t="shared" si="7"/>
        <v>0</v>
      </c>
      <c r="Z71" s="28"/>
      <c r="AA71" s="29"/>
      <c r="AB71" s="30" t="b">
        <f>TRUE()</f>
        <v>1</v>
      </c>
      <c r="AC71" s="31">
        <f t="shared" si="8"/>
        <v>0</v>
      </c>
      <c r="AD71" s="42"/>
      <c r="AE71" s="42"/>
    </row>
    <row r="72" spans="1:31" ht="15" customHeight="1">
      <c r="A72" s="20">
        <f t="shared" si="6"/>
        <v>0</v>
      </c>
      <c r="B72" s="23"/>
      <c r="C72" s="23"/>
      <c r="D72" s="23"/>
      <c r="E72" s="23"/>
      <c r="F72" s="23"/>
      <c r="G72" s="23"/>
      <c r="H72" s="23"/>
      <c r="I72" s="23"/>
      <c r="J72" s="23"/>
      <c r="K72" s="23"/>
      <c r="L72" s="33"/>
      <c r="M72" s="26"/>
      <c r="N72" s="26"/>
      <c r="O72" s="26"/>
      <c r="P72" s="26"/>
      <c r="Q72" s="26"/>
      <c r="R72" s="26"/>
      <c r="S72" s="26"/>
      <c r="T72" s="26"/>
      <c r="U72" s="26"/>
      <c r="V72" s="26"/>
      <c r="W72" s="26"/>
      <c r="X72" s="26">
        <f>COUNTIF($L$2:L72,"&lt;&gt;"&amp;"")</f>
        <v>5</v>
      </c>
      <c r="Y72" s="27">
        <f t="shared" si="7"/>
        <v>0</v>
      </c>
      <c r="Z72" s="28"/>
      <c r="AA72" s="29"/>
      <c r="AB72" s="30" t="b">
        <f>TRUE()</f>
        <v>1</v>
      </c>
      <c r="AC72" s="31">
        <f t="shared" si="8"/>
        <v>0</v>
      </c>
      <c r="AD72" s="42"/>
      <c r="AE72" s="42"/>
    </row>
    <row r="73" spans="1:31" ht="15" customHeight="1">
      <c r="A73" s="20">
        <f t="shared" si="6"/>
        <v>0</v>
      </c>
      <c r="B73" s="23"/>
      <c r="C73" s="23"/>
      <c r="D73" s="23"/>
      <c r="E73" s="23"/>
      <c r="F73" s="23"/>
      <c r="G73" s="23"/>
      <c r="H73" s="23"/>
      <c r="I73" s="23"/>
      <c r="J73" s="23"/>
      <c r="K73" s="23"/>
      <c r="L73" s="33"/>
      <c r="M73" s="26"/>
      <c r="N73" s="26"/>
      <c r="O73" s="26"/>
      <c r="P73" s="26"/>
      <c r="Q73" s="26"/>
      <c r="R73" s="26"/>
      <c r="S73" s="26"/>
      <c r="T73" s="26"/>
      <c r="U73" s="26"/>
      <c r="V73" s="26"/>
      <c r="W73" s="26"/>
      <c r="X73" s="26">
        <f>COUNTIF($L$2:L73,"&lt;&gt;"&amp;"")</f>
        <v>5</v>
      </c>
      <c r="Y73" s="27">
        <f t="shared" si="7"/>
        <v>0</v>
      </c>
      <c r="Z73" s="28"/>
      <c r="AA73" s="29"/>
      <c r="AB73" s="30" t="b">
        <f>TRUE()</f>
        <v>1</v>
      </c>
      <c r="AC73" s="31">
        <f t="shared" si="8"/>
        <v>0</v>
      </c>
      <c r="AD73" s="42"/>
      <c r="AE73" s="42"/>
    </row>
    <row r="74" spans="1:31" ht="15" customHeight="1">
      <c r="A74" s="20">
        <f t="shared" si="6"/>
        <v>0</v>
      </c>
      <c r="B74" s="23"/>
      <c r="C74" s="23"/>
      <c r="D74" s="23"/>
      <c r="E74" s="23"/>
      <c r="F74" s="23"/>
      <c r="G74" s="23"/>
      <c r="H74" s="23"/>
      <c r="I74" s="23"/>
      <c r="J74" s="23"/>
      <c r="K74" s="23"/>
      <c r="L74" s="33"/>
      <c r="M74" s="33"/>
      <c r="N74" s="26"/>
      <c r="O74" s="26"/>
      <c r="P74" s="26"/>
      <c r="Q74" s="26"/>
      <c r="R74" s="26"/>
      <c r="S74" s="26"/>
      <c r="T74" s="26"/>
      <c r="U74" s="26"/>
      <c r="V74" s="26"/>
      <c r="W74" s="26"/>
      <c r="X74" s="26">
        <f>COUNTIF($L$2:L74,"&lt;&gt;"&amp;"")</f>
        <v>5</v>
      </c>
      <c r="Y74" s="27">
        <f t="shared" si="7"/>
        <v>0</v>
      </c>
      <c r="Z74" s="28"/>
      <c r="AA74" s="29"/>
      <c r="AB74" s="30" t="b">
        <f>TRUE()</f>
        <v>1</v>
      </c>
      <c r="AC74" s="31">
        <f t="shared" si="8"/>
        <v>0</v>
      </c>
      <c r="AD74" s="42"/>
      <c r="AE74" s="42"/>
    </row>
    <row r="75" spans="1:31" ht="15" customHeight="1">
      <c r="A75" s="20">
        <f t="shared" si="6"/>
        <v>0</v>
      </c>
      <c r="B75" s="23"/>
      <c r="C75" s="23"/>
      <c r="D75" s="23"/>
      <c r="E75" s="23"/>
      <c r="F75" s="23"/>
      <c r="G75" s="23"/>
      <c r="H75" s="23"/>
      <c r="I75" s="23"/>
      <c r="J75" s="23"/>
      <c r="K75" s="23"/>
      <c r="L75" s="33"/>
      <c r="M75" s="26"/>
      <c r="N75" s="26"/>
      <c r="O75" s="26"/>
      <c r="P75" s="26"/>
      <c r="Q75" s="26"/>
      <c r="R75" s="26"/>
      <c r="S75" s="26"/>
      <c r="T75" s="26"/>
      <c r="U75" s="26"/>
      <c r="V75" s="26"/>
      <c r="W75" s="26"/>
      <c r="X75" s="26">
        <f>COUNTIF($L$2:L75,"&lt;&gt;"&amp;"")</f>
        <v>5</v>
      </c>
      <c r="Y75" s="27">
        <f t="shared" si="7"/>
        <v>0</v>
      </c>
      <c r="Z75" s="28"/>
      <c r="AA75" s="29"/>
      <c r="AB75" s="30" t="b">
        <f>TRUE()</f>
        <v>1</v>
      </c>
      <c r="AC75" s="31">
        <f t="shared" si="8"/>
        <v>0</v>
      </c>
      <c r="AD75" s="35"/>
      <c r="AE75" s="35"/>
    </row>
    <row r="76" spans="1:31" ht="15" customHeight="1">
      <c r="A76" s="20">
        <f t="shared" si="6"/>
        <v>0</v>
      </c>
      <c r="B76" s="23"/>
      <c r="C76" s="23"/>
      <c r="D76" s="23"/>
      <c r="E76" s="23"/>
      <c r="F76" s="23"/>
      <c r="G76" s="23"/>
      <c r="H76" s="23"/>
      <c r="I76" s="23"/>
      <c r="J76" s="23"/>
      <c r="K76" s="23"/>
      <c r="L76" s="33"/>
      <c r="M76" s="26"/>
      <c r="N76" s="26"/>
      <c r="O76" s="26"/>
      <c r="P76" s="26"/>
      <c r="Q76" s="26"/>
      <c r="R76" s="26"/>
      <c r="S76" s="26"/>
      <c r="T76" s="26"/>
      <c r="U76" s="26"/>
      <c r="V76" s="26"/>
      <c r="W76" s="26"/>
      <c r="X76" s="26">
        <f>COUNTIF($L$2:L76,"&lt;&gt;"&amp;"")</f>
        <v>5</v>
      </c>
      <c r="Y76" s="27">
        <f t="shared" si="7"/>
        <v>0</v>
      </c>
      <c r="Z76" s="28"/>
      <c r="AA76" s="29"/>
      <c r="AB76" s="30" t="b">
        <f>TRUE()</f>
        <v>1</v>
      </c>
      <c r="AC76" s="31">
        <f t="shared" si="8"/>
        <v>0</v>
      </c>
      <c r="AD76" s="35"/>
      <c r="AE76" s="35"/>
    </row>
    <row r="77" spans="1:31" ht="15" customHeight="1">
      <c r="A77" s="20">
        <f t="shared" si="6"/>
        <v>0</v>
      </c>
      <c r="B77" s="23"/>
      <c r="C77" s="23"/>
      <c r="D77" s="23"/>
      <c r="E77" s="23"/>
      <c r="F77" s="23"/>
      <c r="G77" s="23"/>
      <c r="H77" s="23"/>
      <c r="I77" s="23"/>
      <c r="J77" s="23"/>
      <c r="K77" s="23"/>
      <c r="L77" s="33"/>
      <c r="M77" s="26"/>
      <c r="N77" s="26"/>
      <c r="O77" s="26"/>
      <c r="P77" s="26"/>
      <c r="Q77" s="26"/>
      <c r="R77" s="26"/>
      <c r="S77" s="26"/>
      <c r="T77" s="26"/>
      <c r="U77" s="26"/>
      <c r="V77" s="26"/>
      <c r="W77" s="26"/>
      <c r="X77" s="26">
        <f>COUNTIF($L$2:L77,"&lt;&gt;"&amp;"")</f>
        <v>5</v>
      </c>
      <c r="Y77" s="27">
        <f t="shared" si="7"/>
        <v>0</v>
      </c>
      <c r="Z77" s="28"/>
      <c r="AA77" s="29"/>
      <c r="AB77" s="30" t="b">
        <f>TRUE()</f>
        <v>1</v>
      </c>
      <c r="AC77" s="31">
        <f t="shared" si="8"/>
        <v>0</v>
      </c>
      <c r="AD77" s="35"/>
      <c r="AE77" s="35"/>
    </row>
    <row r="78" spans="1:31" ht="15" customHeight="1">
      <c r="A78" s="20">
        <f t="shared" si="6"/>
        <v>0</v>
      </c>
      <c r="B78" s="23"/>
      <c r="C78" s="23"/>
      <c r="D78" s="23"/>
      <c r="E78" s="23"/>
      <c r="F78" s="23"/>
      <c r="G78" s="23"/>
      <c r="H78" s="23"/>
      <c r="I78" s="23"/>
      <c r="J78" s="23"/>
      <c r="K78" s="23"/>
      <c r="L78" s="33"/>
      <c r="M78" s="26"/>
      <c r="N78" s="26"/>
      <c r="O78" s="26"/>
      <c r="P78" s="26"/>
      <c r="Q78" s="26"/>
      <c r="R78" s="26"/>
      <c r="S78" s="26"/>
      <c r="T78" s="26"/>
      <c r="U78" s="26"/>
      <c r="V78" s="26"/>
      <c r="W78" s="26"/>
      <c r="X78" s="26">
        <f>COUNTIF($L$2:L78,"&lt;&gt;"&amp;"")</f>
        <v>5</v>
      </c>
      <c r="Y78" s="27">
        <f t="shared" si="7"/>
        <v>0</v>
      </c>
      <c r="Z78" s="28"/>
      <c r="AA78" s="29"/>
      <c r="AB78" s="30" t="b">
        <f>TRUE()</f>
        <v>1</v>
      </c>
      <c r="AC78" s="31">
        <f t="shared" si="8"/>
        <v>0</v>
      </c>
      <c r="AD78" s="35"/>
      <c r="AE78" s="35"/>
    </row>
    <row r="79" spans="1:31" ht="15" customHeight="1">
      <c r="A79" s="20">
        <f t="shared" si="6"/>
        <v>0</v>
      </c>
      <c r="B79" s="23"/>
      <c r="C79" s="23"/>
      <c r="D79" s="23"/>
      <c r="E79" s="23"/>
      <c r="F79" s="23"/>
      <c r="G79" s="23"/>
      <c r="H79" s="23"/>
      <c r="I79" s="23"/>
      <c r="J79" s="23"/>
      <c r="K79" s="23"/>
      <c r="L79" s="33"/>
      <c r="M79" s="26"/>
      <c r="N79" s="26"/>
      <c r="O79" s="26"/>
      <c r="P79" s="26"/>
      <c r="Q79" s="26"/>
      <c r="R79" s="26"/>
      <c r="S79" s="26"/>
      <c r="T79" s="26"/>
      <c r="U79" s="26"/>
      <c r="V79" s="26"/>
      <c r="W79" s="26"/>
      <c r="X79" s="26">
        <f>COUNTIF($L$2:L79,"&lt;&gt;"&amp;"")</f>
        <v>5</v>
      </c>
      <c r="Y79" s="27">
        <f t="shared" si="7"/>
        <v>0</v>
      </c>
      <c r="Z79" s="28"/>
      <c r="AA79" s="29"/>
      <c r="AB79" s="30" t="b">
        <f>TRUE()</f>
        <v>1</v>
      </c>
      <c r="AC79" s="31">
        <f t="shared" si="8"/>
        <v>0</v>
      </c>
      <c r="AD79" s="35"/>
      <c r="AE79" s="35"/>
    </row>
    <row r="80" spans="1:31" ht="15" customHeight="1">
      <c r="A80" s="20">
        <f t="shared" si="6"/>
        <v>0</v>
      </c>
      <c r="B80" s="23"/>
      <c r="C80" s="23"/>
      <c r="D80" s="23"/>
      <c r="E80" s="23"/>
      <c r="F80" s="23"/>
      <c r="G80" s="23"/>
      <c r="H80" s="23"/>
      <c r="I80" s="23"/>
      <c r="J80" s="23"/>
      <c r="K80" s="23"/>
      <c r="L80" s="33"/>
      <c r="M80" s="26"/>
      <c r="N80" s="26"/>
      <c r="O80" s="26"/>
      <c r="P80" s="26"/>
      <c r="Q80" s="26"/>
      <c r="R80" s="26"/>
      <c r="S80" s="26"/>
      <c r="T80" s="26"/>
      <c r="U80" s="26"/>
      <c r="V80" s="26"/>
      <c r="W80" s="26"/>
      <c r="X80" s="26">
        <f>COUNTIF($L$2:L80,"&lt;&gt;"&amp;"")</f>
        <v>5</v>
      </c>
      <c r="Y80" s="27">
        <f t="shared" si="7"/>
        <v>0</v>
      </c>
      <c r="Z80" s="28"/>
      <c r="AA80" s="29"/>
      <c r="AB80" s="30" t="b">
        <f>TRUE()</f>
        <v>1</v>
      </c>
      <c r="AC80" s="31">
        <f t="shared" si="8"/>
        <v>0</v>
      </c>
      <c r="AD80" s="23"/>
      <c r="AE80" s="23"/>
    </row>
    <row r="81" spans="1:31" ht="15" customHeight="1">
      <c r="A81" s="20">
        <f t="shared" si="6"/>
        <v>0</v>
      </c>
      <c r="B81" s="23"/>
      <c r="C81" s="23"/>
      <c r="D81" s="23"/>
      <c r="E81" s="23"/>
      <c r="F81" s="23"/>
      <c r="G81" s="23"/>
      <c r="H81" s="23"/>
      <c r="I81" s="23"/>
      <c r="J81" s="23"/>
      <c r="K81" s="23"/>
      <c r="L81" s="33"/>
      <c r="M81" s="26"/>
      <c r="N81" s="26"/>
      <c r="O81" s="26"/>
      <c r="P81" s="26"/>
      <c r="Q81" s="26"/>
      <c r="R81" s="26"/>
      <c r="S81" s="26"/>
      <c r="T81" s="26"/>
      <c r="U81" s="26"/>
      <c r="V81" s="26"/>
      <c r="W81" s="26"/>
      <c r="X81" s="26">
        <f>COUNTIF($L$2:L81,"&lt;&gt;"&amp;"")</f>
        <v>5</v>
      </c>
      <c r="Y81" s="27">
        <f t="shared" si="7"/>
        <v>0</v>
      </c>
      <c r="Z81" s="28"/>
      <c r="AA81" s="29"/>
      <c r="AB81" s="30" t="b">
        <f>TRUE()</f>
        <v>1</v>
      </c>
      <c r="AC81" s="31">
        <f t="shared" si="8"/>
        <v>0</v>
      </c>
      <c r="AD81" s="23"/>
      <c r="AE81" s="23"/>
    </row>
    <row r="82" spans="1:31" ht="15" customHeight="1">
      <c r="A82" s="20">
        <f t="shared" si="6"/>
        <v>0</v>
      </c>
      <c r="B82" s="23"/>
      <c r="C82" s="23"/>
      <c r="D82" s="23"/>
      <c r="E82" s="23"/>
      <c r="F82" s="23"/>
      <c r="G82" s="23"/>
      <c r="H82" s="23"/>
      <c r="I82" s="23"/>
      <c r="J82" s="23"/>
      <c r="K82" s="23"/>
      <c r="L82" s="33"/>
      <c r="M82" s="26"/>
      <c r="N82" s="26"/>
      <c r="O82" s="26"/>
      <c r="P82" s="26"/>
      <c r="Q82" s="26"/>
      <c r="R82" s="26"/>
      <c r="S82" s="26"/>
      <c r="T82" s="26"/>
      <c r="U82" s="26"/>
      <c r="V82" s="26"/>
      <c r="W82" s="26"/>
      <c r="X82" s="26">
        <f>COUNTIF($L$2:L82,"&lt;&gt;"&amp;"")</f>
        <v>5</v>
      </c>
      <c r="Y82" s="27">
        <f t="shared" si="7"/>
        <v>0</v>
      </c>
      <c r="Z82" s="28"/>
      <c r="AA82" s="29"/>
      <c r="AB82" s="30" t="b">
        <f>TRUE()</f>
        <v>1</v>
      </c>
      <c r="AC82" s="31">
        <f t="shared" si="8"/>
        <v>0</v>
      </c>
      <c r="AD82" s="23"/>
      <c r="AE82" s="23"/>
    </row>
    <row r="83" spans="1:31" ht="15" customHeight="1">
      <c r="A83" s="20">
        <f t="shared" si="6"/>
        <v>0</v>
      </c>
      <c r="B83" s="23"/>
      <c r="C83" s="23"/>
      <c r="D83" s="23"/>
      <c r="E83" s="23"/>
      <c r="F83" s="23"/>
      <c r="G83" s="23"/>
      <c r="H83" s="23"/>
      <c r="I83" s="23"/>
      <c r="J83" s="23"/>
      <c r="K83" s="23"/>
      <c r="L83" s="33"/>
      <c r="M83" s="26"/>
      <c r="N83" s="26"/>
      <c r="O83" s="26"/>
      <c r="P83" s="26"/>
      <c r="Q83" s="26"/>
      <c r="R83" s="26"/>
      <c r="S83" s="26"/>
      <c r="T83" s="26"/>
      <c r="U83" s="26"/>
      <c r="V83" s="26"/>
      <c r="W83" s="26"/>
      <c r="X83" s="26">
        <f>COUNTIF($L$2:L83,"&lt;&gt;"&amp;"")</f>
        <v>5</v>
      </c>
      <c r="Y83" s="27">
        <f t="shared" si="7"/>
        <v>0</v>
      </c>
      <c r="Z83" s="28"/>
      <c r="AA83" s="29"/>
      <c r="AB83" s="30" t="b">
        <f>TRUE()</f>
        <v>1</v>
      </c>
      <c r="AC83" s="31">
        <f t="shared" si="8"/>
        <v>0</v>
      </c>
      <c r="AD83" s="23"/>
      <c r="AE83" s="23"/>
    </row>
    <row r="84" spans="1:31" ht="15" customHeight="1">
      <c r="A84" s="20">
        <f t="shared" si="6"/>
        <v>0</v>
      </c>
      <c r="B84" s="23"/>
      <c r="C84" s="23"/>
      <c r="D84" s="23"/>
      <c r="E84" s="23"/>
      <c r="F84" s="23"/>
      <c r="G84" s="23"/>
      <c r="H84" s="23"/>
      <c r="I84" s="23"/>
      <c r="J84" s="23"/>
      <c r="K84" s="23"/>
      <c r="L84" s="33"/>
      <c r="M84" s="26"/>
      <c r="N84" s="26"/>
      <c r="O84" s="26"/>
      <c r="P84" s="26"/>
      <c r="Q84" s="26"/>
      <c r="R84" s="26"/>
      <c r="S84" s="26"/>
      <c r="T84" s="26"/>
      <c r="U84" s="26"/>
      <c r="V84" s="26"/>
      <c r="W84" s="26"/>
      <c r="X84" s="26">
        <f>COUNTIF($L$2:L84,"&lt;&gt;"&amp;"")</f>
        <v>5</v>
      </c>
      <c r="Y84" s="27">
        <f t="shared" si="7"/>
        <v>0</v>
      </c>
      <c r="Z84" s="28"/>
      <c r="AA84" s="29"/>
      <c r="AB84" s="30" t="b">
        <f>TRUE()</f>
        <v>1</v>
      </c>
      <c r="AC84" s="31">
        <f t="shared" si="8"/>
        <v>0</v>
      </c>
      <c r="AD84" s="23"/>
      <c r="AE84" s="23"/>
    </row>
    <row r="85" spans="1:31" ht="15" customHeight="1">
      <c r="A85" s="20">
        <f t="shared" si="6"/>
        <v>0</v>
      </c>
      <c r="B85" s="23"/>
      <c r="C85" s="23"/>
      <c r="D85" s="23"/>
      <c r="E85" s="23"/>
      <c r="F85" s="23"/>
      <c r="G85" s="23"/>
      <c r="H85" s="23"/>
      <c r="I85" s="23"/>
      <c r="J85" s="23"/>
      <c r="K85" s="23"/>
      <c r="L85" s="33"/>
      <c r="M85" s="26"/>
      <c r="N85" s="26"/>
      <c r="O85" s="26"/>
      <c r="P85" s="26"/>
      <c r="Q85" s="26"/>
      <c r="R85" s="26"/>
      <c r="S85" s="26"/>
      <c r="T85" s="26"/>
      <c r="U85" s="26"/>
      <c r="V85" s="26"/>
      <c r="W85" s="26"/>
      <c r="X85" s="26">
        <f>COUNTIF($L$2:L85,"&lt;&gt;"&amp;"")</f>
        <v>5</v>
      </c>
      <c r="Y85" s="27">
        <f t="shared" si="7"/>
        <v>0</v>
      </c>
      <c r="Z85" s="28"/>
      <c r="AA85" s="29"/>
      <c r="AB85" s="30" t="b">
        <f>TRUE()</f>
        <v>1</v>
      </c>
      <c r="AC85" s="31">
        <f t="shared" si="8"/>
        <v>0</v>
      </c>
      <c r="AD85" s="42"/>
      <c r="AE85" s="42"/>
    </row>
    <row r="86" spans="1:31" ht="15" customHeight="1">
      <c r="A86" s="20">
        <f t="shared" si="6"/>
        <v>0</v>
      </c>
      <c r="B86" s="23"/>
      <c r="C86" s="23"/>
      <c r="D86" s="23"/>
      <c r="E86" s="23"/>
      <c r="F86" s="23"/>
      <c r="G86" s="23"/>
      <c r="H86" s="23"/>
      <c r="I86" s="23"/>
      <c r="J86" s="23"/>
      <c r="K86" s="23"/>
      <c r="L86" s="33"/>
      <c r="M86" s="26"/>
      <c r="N86" s="26"/>
      <c r="O86" s="26"/>
      <c r="P86" s="26"/>
      <c r="Q86" s="26"/>
      <c r="R86" s="26"/>
      <c r="S86" s="26"/>
      <c r="T86" s="26"/>
      <c r="U86" s="26"/>
      <c r="V86" s="26"/>
      <c r="W86" s="26"/>
      <c r="X86" s="26">
        <f>COUNTIF($L$2:L86,"&lt;&gt;"&amp;"")</f>
        <v>5</v>
      </c>
      <c r="Y86" s="27">
        <f t="shared" si="7"/>
        <v>0</v>
      </c>
      <c r="Z86" s="28"/>
      <c r="AA86" s="29"/>
      <c r="AB86" s="30" t="b">
        <f>TRUE()</f>
        <v>1</v>
      </c>
      <c r="AC86" s="31">
        <f t="shared" si="8"/>
        <v>0</v>
      </c>
      <c r="AD86" s="42"/>
      <c r="AE86" s="42"/>
    </row>
    <row r="87" spans="1:31" ht="15" customHeight="1">
      <c r="A87" s="20">
        <f t="shared" si="6"/>
        <v>0</v>
      </c>
      <c r="B87" s="23"/>
      <c r="C87" s="23"/>
      <c r="D87" s="23"/>
      <c r="E87" s="23"/>
      <c r="F87" s="23"/>
      <c r="G87" s="23"/>
      <c r="H87" s="23"/>
      <c r="I87" s="23"/>
      <c r="J87" s="23"/>
      <c r="K87" s="23"/>
      <c r="L87" s="33"/>
      <c r="M87" s="26"/>
      <c r="N87" s="26"/>
      <c r="O87" s="26"/>
      <c r="P87" s="26"/>
      <c r="Q87" s="26"/>
      <c r="R87" s="26"/>
      <c r="S87" s="26"/>
      <c r="T87" s="26"/>
      <c r="U87" s="26"/>
      <c r="V87" s="26"/>
      <c r="W87" s="26"/>
      <c r="X87" s="26">
        <f>COUNTIF($L$2:L87,"&lt;&gt;"&amp;"")</f>
        <v>5</v>
      </c>
      <c r="Y87" s="27">
        <f t="shared" si="7"/>
        <v>0</v>
      </c>
      <c r="Z87" s="28"/>
      <c r="AA87" s="29"/>
      <c r="AB87" s="30" t="b">
        <f>TRUE()</f>
        <v>1</v>
      </c>
      <c r="AC87" s="31">
        <f t="shared" si="8"/>
        <v>0</v>
      </c>
      <c r="AD87" s="42"/>
      <c r="AE87" s="42"/>
    </row>
    <row r="88" spans="1:31" ht="15" customHeight="1">
      <c r="A88" s="20">
        <f t="shared" si="6"/>
        <v>0</v>
      </c>
      <c r="B88" s="23"/>
      <c r="C88" s="23"/>
      <c r="D88" s="23"/>
      <c r="E88" s="23"/>
      <c r="F88" s="23"/>
      <c r="G88" s="23"/>
      <c r="H88" s="23"/>
      <c r="I88" s="23"/>
      <c r="J88" s="23"/>
      <c r="K88" s="23"/>
      <c r="L88" s="33"/>
      <c r="M88" s="26"/>
      <c r="N88" s="26"/>
      <c r="O88" s="26"/>
      <c r="P88" s="26"/>
      <c r="Q88" s="26"/>
      <c r="R88" s="26"/>
      <c r="S88" s="26"/>
      <c r="T88" s="26"/>
      <c r="U88" s="26"/>
      <c r="V88" s="26"/>
      <c r="W88" s="26"/>
      <c r="X88" s="26">
        <f>COUNTIF($L$2:L88,"&lt;&gt;"&amp;"")</f>
        <v>5</v>
      </c>
      <c r="Y88" s="27">
        <f t="shared" si="7"/>
        <v>0</v>
      </c>
      <c r="Z88" s="28"/>
      <c r="AA88" s="29"/>
      <c r="AB88" s="30" t="b">
        <f>TRUE()</f>
        <v>1</v>
      </c>
      <c r="AC88" s="31">
        <f t="shared" si="8"/>
        <v>0</v>
      </c>
      <c r="AD88" s="42"/>
      <c r="AE88" s="42"/>
    </row>
    <row r="89" spans="1:31" ht="15" customHeight="1">
      <c r="A89" s="20">
        <f t="shared" si="6"/>
        <v>0</v>
      </c>
      <c r="B89" s="23"/>
      <c r="C89" s="23"/>
      <c r="D89" s="23"/>
      <c r="E89" s="23"/>
      <c r="F89" s="23"/>
      <c r="G89" s="23"/>
      <c r="H89" s="23"/>
      <c r="I89" s="23"/>
      <c r="J89" s="23"/>
      <c r="K89" s="23"/>
      <c r="L89" s="33"/>
      <c r="M89" s="26"/>
      <c r="N89" s="26"/>
      <c r="O89" s="26"/>
      <c r="P89" s="26"/>
      <c r="Q89" s="26"/>
      <c r="R89" s="26"/>
      <c r="S89" s="26"/>
      <c r="T89" s="26"/>
      <c r="U89" s="26"/>
      <c r="V89" s="26"/>
      <c r="W89" s="26"/>
      <c r="X89" s="26">
        <f>COUNTIF($L$2:L89,"&lt;&gt;"&amp;"")</f>
        <v>5</v>
      </c>
      <c r="Y89" s="27">
        <f t="shared" si="7"/>
        <v>0</v>
      </c>
      <c r="Z89" s="28"/>
      <c r="AA89" s="29"/>
      <c r="AB89" s="30" t="b">
        <f>TRUE()</f>
        <v>1</v>
      </c>
      <c r="AC89" s="31">
        <f t="shared" si="8"/>
        <v>0</v>
      </c>
      <c r="AD89" s="42"/>
      <c r="AE89" s="42"/>
    </row>
    <row r="90" spans="1:31" ht="15" customHeight="1">
      <c r="A90" s="20">
        <f t="shared" si="6"/>
        <v>0</v>
      </c>
      <c r="B90" s="23"/>
      <c r="C90" s="23"/>
      <c r="D90" s="23"/>
      <c r="E90" s="23"/>
      <c r="F90" s="23"/>
      <c r="G90" s="23"/>
      <c r="H90" s="23"/>
      <c r="I90" s="23"/>
      <c r="J90" s="23"/>
      <c r="K90" s="23"/>
      <c r="L90" s="33"/>
      <c r="M90" s="26"/>
      <c r="N90" s="26"/>
      <c r="O90" s="26"/>
      <c r="P90" s="26"/>
      <c r="Q90" s="26"/>
      <c r="R90" s="26"/>
      <c r="S90" s="26"/>
      <c r="T90" s="26"/>
      <c r="U90" s="26"/>
      <c r="V90" s="26"/>
      <c r="W90" s="26"/>
      <c r="X90" s="26">
        <f>COUNTIF($L$2:L90,"&lt;&gt;"&amp;"")</f>
        <v>5</v>
      </c>
      <c r="Y90" s="27">
        <f t="shared" si="7"/>
        <v>0</v>
      </c>
      <c r="Z90" s="28"/>
      <c r="AA90" s="29"/>
      <c r="AB90" s="30" t="b">
        <f>TRUE()</f>
        <v>1</v>
      </c>
      <c r="AC90" s="31">
        <f t="shared" si="8"/>
        <v>0</v>
      </c>
      <c r="AD90" s="42"/>
      <c r="AE90" s="42"/>
    </row>
    <row r="91" spans="1:31" ht="15" customHeight="1">
      <c r="A91" s="20">
        <f t="shared" si="6"/>
        <v>0</v>
      </c>
      <c r="B91" s="23"/>
      <c r="C91" s="23"/>
      <c r="D91" s="23"/>
      <c r="E91" s="23"/>
      <c r="F91" s="23"/>
      <c r="G91" s="23"/>
      <c r="H91" s="23"/>
      <c r="I91" s="23"/>
      <c r="J91" s="23"/>
      <c r="K91" s="23"/>
      <c r="L91" s="33"/>
      <c r="M91" s="26"/>
      <c r="N91" s="26"/>
      <c r="O91" s="26"/>
      <c r="P91" s="26"/>
      <c r="Q91" s="26"/>
      <c r="R91" s="26"/>
      <c r="S91" s="26"/>
      <c r="T91" s="26"/>
      <c r="U91" s="26"/>
      <c r="V91" s="26"/>
      <c r="W91" s="26"/>
      <c r="X91" s="26">
        <f>COUNTIF($L$2:L91,"&lt;&gt;"&amp;"")</f>
        <v>5</v>
      </c>
      <c r="Y91" s="27">
        <f t="shared" si="7"/>
        <v>0</v>
      </c>
      <c r="Z91" s="28"/>
      <c r="AA91" s="29"/>
      <c r="AB91" s="30" t="b">
        <f>TRUE()</f>
        <v>1</v>
      </c>
      <c r="AC91" s="31">
        <f t="shared" si="8"/>
        <v>0</v>
      </c>
      <c r="AD91" s="42"/>
      <c r="AE91" s="42"/>
    </row>
    <row r="92" spans="1:31" ht="15" customHeight="1">
      <c r="A92" s="20">
        <f t="shared" si="6"/>
        <v>0</v>
      </c>
      <c r="B92" s="23"/>
      <c r="C92" s="23"/>
      <c r="D92" s="23"/>
      <c r="E92" s="23"/>
      <c r="F92" s="23"/>
      <c r="G92" s="23"/>
      <c r="H92" s="23"/>
      <c r="I92" s="23"/>
      <c r="J92" s="23"/>
      <c r="K92" s="23"/>
      <c r="L92" s="33"/>
      <c r="M92" s="26"/>
      <c r="N92" s="26"/>
      <c r="O92" s="26"/>
      <c r="P92" s="26"/>
      <c r="Q92" s="26"/>
      <c r="R92" s="26"/>
      <c r="S92" s="26"/>
      <c r="T92" s="26"/>
      <c r="U92" s="26"/>
      <c r="V92" s="26"/>
      <c r="W92" s="26"/>
      <c r="X92" s="26">
        <f>COUNTIF($L$2:L92,"&lt;&gt;"&amp;"")</f>
        <v>5</v>
      </c>
      <c r="Y92" s="27">
        <f t="shared" si="7"/>
        <v>0</v>
      </c>
      <c r="Z92" s="28"/>
      <c r="AA92" s="29"/>
      <c r="AB92" s="30" t="b">
        <f>TRUE()</f>
        <v>1</v>
      </c>
      <c r="AC92" s="31">
        <f t="shared" si="8"/>
        <v>0</v>
      </c>
      <c r="AD92" s="42"/>
      <c r="AE92" s="42"/>
    </row>
    <row r="93" spans="1:31" ht="15" customHeight="1">
      <c r="A93" s="20">
        <f t="shared" si="6"/>
        <v>0</v>
      </c>
      <c r="B93" s="23"/>
      <c r="C93" s="23"/>
      <c r="D93" s="23"/>
      <c r="E93" s="23"/>
      <c r="F93" s="23"/>
      <c r="G93" s="23"/>
      <c r="H93" s="23"/>
      <c r="I93" s="23"/>
      <c r="J93" s="23"/>
      <c r="K93" s="23"/>
      <c r="L93" s="33"/>
      <c r="M93" s="26"/>
      <c r="N93" s="26"/>
      <c r="O93" s="26"/>
      <c r="P93" s="26"/>
      <c r="Q93" s="26"/>
      <c r="R93" s="26"/>
      <c r="S93" s="26"/>
      <c r="T93" s="26"/>
      <c r="U93" s="26"/>
      <c r="V93" s="26"/>
      <c r="W93" s="26"/>
      <c r="X93" s="26">
        <f>COUNTIF($L$2:L95,"&lt;&gt;"&amp;"")</f>
        <v>5</v>
      </c>
      <c r="Y93" s="27">
        <f t="shared" si="7"/>
        <v>0</v>
      </c>
      <c r="Z93" s="28"/>
      <c r="AA93" s="29"/>
      <c r="AB93" s="30" t="b">
        <f>TRUE()</f>
        <v>1</v>
      </c>
      <c r="AC93" s="31">
        <f t="shared" si="8"/>
        <v>0</v>
      </c>
      <c r="AD93" s="42"/>
      <c r="AE93" s="42"/>
    </row>
    <row r="94" spans="1:31" ht="15" customHeight="1">
      <c r="A94" s="20">
        <f t="shared" si="6"/>
        <v>0</v>
      </c>
      <c r="B94" s="23"/>
      <c r="C94" s="23"/>
      <c r="D94" s="23"/>
      <c r="E94" s="23"/>
      <c r="F94" s="23"/>
      <c r="G94" s="23"/>
      <c r="H94" s="23"/>
      <c r="I94" s="23"/>
      <c r="J94" s="23"/>
      <c r="K94" s="23"/>
      <c r="L94" s="33"/>
      <c r="M94" s="26"/>
      <c r="N94" s="26"/>
      <c r="O94" s="26"/>
      <c r="P94" s="26"/>
      <c r="Q94" s="26"/>
      <c r="R94" s="26"/>
      <c r="S94" s="26"/>
      <c r="T94" s="26"/>
      <c r="U94" s="26"/>
      <c r="V94" s="26"/>
      <c r="W94" s="26"/>
      <c r="X94" s="26">
        <f>COUNTIF($L$2:L94,"&lt;&gt;"&amp;"")</f>
        <v>5</v>
      </c>
      <c r="Y94" s="27">
        <f t="shared" si="7"/>
        <v>0</v>
      </c>
      <c r="Z94" s="28"/>
      <c r="AA94" s="29"/>
      <c r="AB94" s="30" t="b">
        <f>TRUE()</f>
        <v>1</v>
      </c>
      <c r="AC94" s="31">
        <f t="shared" si="8"/>
        <v>0</v>
      </c>
      <c r="AD94" s="42"/>
      <c r="AE94" s="42"/>
    </row>
    <row r="95" spans="1:31" ht="15" customHeight="1">
      <c r="A95" s="20">
        <f t="shared" si="6"/>
        <v>0</v>
      </c>
      <c r="B95" s="23"/>
      <c r="C95" s="23"/>
      <c r="D95" s="23"/>
      <c r="E95" s="23"/>
      <c r="F95" s="23"/>
      <c r="G95" s="23"/>
      <c r="H95" s="23"/>
      <c r="I95" s="23"/>
      <c r="J95" s="23"/>
      <c r="K95" s="23"/>
      <c r="L95" s="33"/>
      <c r="M95" s="26"/>
      <c r="N95" s="26"/>
      <c r="O95" s="26"/>
      <c r="P95" s="26"/>
      <c r="Q95" s="26"/>
      <c r="R95" s="26"/>
      <c r="S95" s="26"/>
      <c r="T95" s="26"/>
      <c r="U95" s="26"/>
      <c r="V95" s="26"/>
      <c r="W95" s="26"/>
      <c r="X95" s="26">
        <f>COUNTIF($L$2:L95,"&lt;&gt;"&amp;"")</f>
        <v>5</v>
      </c>
      <c r="Y95" s="27">
        <f t="shared" si="7"/>
        <v>0</v>
      </c>
      <c r="Z95" s="28"/>
      <c r="AA95" s="29"/>
      <c r="AB95" s="30" t="b">
        <f>TRUE()</f>
        <v>1</v>
      </c>
      <c r="AC95" s="31">
        <f t="shared" si="8"/>
        <v>0</v>
      </c>
      <c r="AD95" s="42"/>
      <c r="AE95" s="42"/>
    </row>
    <row r="96" spans="1:31" ht="15" customHeight="1">
      <c r="A96" s="20">
        <f t="shared" si="6"/>
        <v>0</v>
      </c>
      <c r="B96" s="23"/>
      <c r="C96" s="23"/>
      <c r="D96" s="23"/>
      <c r="E96" s="23"/>
      <c r="F96" s="23"/>
      <c r="G96" s="23"/>
      <c r="H96" s="23"/>
      <c r="I96" s="23"/>
      <c r="J96" s="23"/>
      <c r="K96" s="23"/>
      <c r="L96" s="33"/>
      <c r="M96" s="26"/>
      <c r="N96" s="26"/>
      <c r="O96" s="26"/>
      <c r="P96" s="26"/>
      <c r="Q96" s="26"/>
      <c r="R96" s="26"/>
      <c r="S96" s="26"/>
      <c r="T96" s="26"/>
      <c r="U96" s="26"/>
      <c r="V96" s="26"/>
      <c r="W96" s="26"/>
      <c r="X96" s="26">
        <f>COUNTIF($L$2:L96,"&lt;&gt;"&amp;"")</f>
        <v>5</v>
      </c>
      <c r="Y96" s="27">
        <f t="shared" si="7"/>
        <v>0</v>
      </c>
      <c r="Z96" s="28"/>
      <c r="AA96" s="29"/>
      <c r="AB96" s="30" t="b">
        <f>TRUE()</f>
        <v>1</v>
      </c>
      <c r="AC96" s="31">
        <f t="shared" si="8"/>
        <v>0</v>
      </c>
      <c r="AD96" s="42"/>
      <c r="AE96" s="42"/>
    </row>
    <row r="97" spans="1:31" ht="15" customHeight="1">
      <c r="A97" s="20">
        <f t="shared" si="6"/>
        <v>0</v>
      </c>
      <c r="B97" s="23"/>
      <c r="C97" s="23"/>
      <c r="D97" s="23"/>
      <c r="E97" s="23"/>
      <c r="F97" s="23"/>
      <c r="G97" s="23"/>
      <c r="H97" s="23"/>
      <c r="I97" s="23"/>
      <c r="J97" s="23"/>
      <c r="K97" s="23"/>
      <c r="L97" s="33"/>
      <c r="M97" s="26"/>
      <c r="N97" s="26"/>
      <c r="O97" s="26"/>
      <c r="P97" s="26"/>
      <c r="Q97" s="26"/>
      <c r="R97" s="26"/>
      <c r="S97" s="26"/>
      <c r="T97" s="26"/>
      <c r="U97" s="26"/>
      <c r="V97" s="26"/>
      <c r="W97" s="26"/>
      <c r="X97" s="26">
        <f>COUNTIF($L$2:L97,"&lt;&gt;"&amp;"")</f>
        <v>5</v>
      </c>
      <c r="Y97" s="27">
        <f t="shared" si="7"/>
        <v>0</v>
      </c>
      <c r="Z97" s="28"/>
      <c r="AA97" s="29"/>
      <c r="AB97" s="30" t="b">
        <f>TRUE()</f>
        <v>1</v>
      </c>
      <c r="AC97" s="31">
        <f t="shared" si="8"/>
        <v>0</v>
      </c>
      <c r="AD97" s="42"/>
      <c r="AE97" s="42"/>
    </row>
    <row r="98" spans="1:31" ht="15" customHeight="1">
      <c r="A98" s="20">
        <f t="shared" ref="A98:A129" si="9">(B98*$P$125+C98*$P$126+D98*$P$127+E98*$P$128+F98*$P$129+G98*$P$130+H98*$P$131+I98*$P$132+J98*$P$133+K98*$P$134)*$T$123</f>
        <v>0</v>
      </c>
      <c r="B98" s="23"/>
      <c r="C98" s="23"/>
      <c r="D98" s="23"/>
      <c r="E98" s="23"/>
      <c r="F98" s="23"/>
      <c r="G98" s="23"/>
      <c r="H98" s="23"/>
      <c r="I98" s="23"/>
      <c r="J98" s="23"/>
      <c r="K98" s="23"/>
      <c r="L98" s="33"/>
      <c r="M98" s="26"/>
      <c r="N98" s="26"/>
      <c r="O98" s="26"/>
      <c r="P98" s="26"/>
      <c r="Q98" s="26"/>
      <c r="R98" s="26"/>
      <c r="S98" s="26"/>
      <c r="T98" s="26"/>
      <c r="U98" s="26"/>
      <c r="V98" s="26"/>
      <c r="W98" s="26"/>
      <c r="X98" s="26">
        <f>COUNTIF($L$2:L98,"&lt;&gt;"&amp;"")</f>
        <v>5</v>
      </c>
      <c r="Y98" s="27">
        <f t="shared" ref="Y98:Y129" si="10">SUMIF($X$2:$X$120,X98,$A$2:$A$120)</f>
        <v>0</v>
      </c>
      <c r="Z98" s="28"/>
      <c r="AA98" s="29"/>
      <c r="AB98" s="30" t="b">
        <f>TRUE()</f>
        <v>1</v>
      </c>
      <c r="AC98" s="31">
        <f t="shared" ref="AC98:AC129" si="11">IF(L98="",0,IF(AB98=FALSE(),0,Y98))</f>
        <v>0</v>
      </c>
      <c r="AD98" s="42"/>
      <c r="AE98" s="42"/>
    </row>
    <row r="99" spans="1:31" ht="15" customHeight="1">
      <c r="A99" s="20">
        <f t="shared" si="9"/>
        <v>0</v>
      </c>
      <c r="B99" s="23"/>
      <c r="C99" s="23"/>
      <c r="D99" s="23"/>
      <c r="E99" s="23"/>
      <c r="F99" s="23"/>
      <c r="G99" s="23"/>
      <c r="H99" s="23"/>
      <c r="I99" s="23"/>
      <c r="J99" s="23"/>
      <c r="K99" s="23"/>
      <c r="L99" s="33"/>
      <c r="M99" s="26"/>
      <c r="N99" s="26"/>
      <c r="O99" s="26"/>
      <c r="P99" s="26"/>
      <c r="Q99" s="26"/>
      <c r="R99" s="26"/>
      <c r="S99" s="26"/>
      <c r="T99" s="26"/>
      <c r="U99" s="26"/>
      <c r="V99" s="26"/>
      <c r="W99" s="26"/>
      <c r="X99" s="26">
        <f>COUNTIF($L$2:L99,"&lt;&gt;"&amp;"")</f>
        <v>5</v>
      </c>
      <c r="Y99" s="27">
        <f t="shared" si="10"/>
        <v>0</v>
      </c>
      <c r="Z99" s="28"/>
      <c r="AA99" s="29"/>
      <c r="AB99" s="30" t="b">
        <f>TRUE()</f>
        <v>1</v>
      </c>
      <c r="AC99" s="31">
        <f t="shared" si="11"/>
        <v>0</v>
      </c>
      <c r="AD99" s="42"/>
      <c r="AE99" s="42"/>
    </row>
    <row r="100" spans="1:31" ht="15" customHeight="1">
      <c r="A100" s="20">
        <f t="shared" si="9"/>
        <v>0</v>
      </c>
      <c r="B100" s="23"/>
      <c r="C100" s="23"/>
      <c r="D100" s="23"/>
      <c r="E100" s="23"/>
      <c r="F100" s="23"/>
      <c r="G100" s="23"/>
      <c r="H100" s="23"/>
      <c r="I100" s="23"/>
      <c r="J100" s="23"/>
      <c r="K100" s="23"/>
      <c r="L100" s="33"/>
      <c r="M100" s="26"/>
      <c r="N100" s="26"/>
      <c r="O100" s="26"/>
      <c r="P100" s="26"/>
      <c r="Q100" s="26"/>
      <c r="R100" s="26"/>
      <c r="S100" s="26"/>
      <c r="T100" s="26"/>
      <c r="U100" s="26"/>
      <c r="V100" s="26"/>
      <c r="W100" s="26"/>
      <c r="X100" s="26">
        <f>COUNTIF($L$2:L100,"&lt;&gt;"&amp;"")</f>
        <v>5</v>
      </c>
      <c r="Y100" s="27">
        <f t="shared" si="10"/>
        <v>0</v>
      </c>
      <c r="Z100" s="28"/>
      <c r="AA100" s="29"/>
      <c r="AB100" s="30" t="b">
        <f>TRUE()</f>
        <v>1</v>
      </c>
      <c r="AC100" s="31">
        <f t="shared" si="11"/>
        <v>0</v>
      </c>
      <c r="AD100" s="42"/>
      <c r="AE100" s="42"/>
    </row>
    <row r="101" spans="1:31" ht="15" customHeight="1">
      <c r="A101" s="20">
        <f t="shared" si="9"/>
        <v>0</v>
      </c>
      <c r="B101" s="23"/>
      <c r="C101" s="23"/>
      <c r="D101" s="23"/>
      <c r="E101" s="23"/>
      <c r="F101" s="23"/>
      <c r="G101" s="23"/>
      <c r="H101" s="23"/>
      <c r="I101" s="23"/>
      <c r="J101" s="23"/>
      <c r="K101" s="23"/>
      <c r="L101" s="33"/>
      <c r="M101" s="26"/>
      <c r="N101" s="26"/>
      <c r="O101" s="26"/>
      <c r="P101" s="26"/>
      <c r="Q101" s="26"/>
      <c r="R101" s="26"/>
      <c r="S101" s="26"/>
      <c r="T101" s="26"/>
      <c r="U101" s="26"/>
      <c r="V101" s="26"/>
      <c r="W101" s="26"/>
      <c r="X101" s="26">
        <f>COUNTIF($L$2:L101,"&lt;&gt;"&amp;"")</f>
        <v>5</v>
      </c>
      <c r="Y101" s="27">
        <f t="shared" si="10"/>
        <v>0</v>
      </c>
      <c r="Z101" s="28"/>
      <c r="AA101" s="29"/>
      <c r="AB101" s="30" t="b">
        <f>TRUE()</f>
        <v>1</v>
      </c>
      <c r="AC101" s="31">
        <f t="shared" si="11"/>
        <v>0</v>
      </c>
      <c r="AD101" s="23"/>
      <c r="AE101" s="23"/>
    </row>
    <row r="102" spans="1:31" ht="15" customHeight="1">
      <c r="A102" s="20">
        <f t="shared" si="9"/>
        <v>0</v>
      </c>
      <c r="B102" s="23"/>
      <c r="C102" s="23"/>
      <c r="D102" s="23"/>
      <c r="E102" s="23"/>
      <c r="F102" s="23"/>
      <c r="G102" s="23"/>
      <c r="H102" s="23"/>
      <c r="I102" s="23"/>
      <c r="J102" s="23"/>
      <c r="K102" s="23"/>
      <c r="L102" s="33"/>
      <c r="M102" s="26"/>
      <c r="N102" s="26"/>
      <c r="O102" s="26"/>
      <c r="P102" s="26"/>
      <c r="Q102" s="26"/>
      <c r="R102" s="26"/>
      <c r="S102" s="26"/>
      <c r="T102" s="26"/>
      <c r="U102" s="26"/>
      <c r="V102" s="26"/>
      <c r="W102" s="26"/>
      <c r="X102" s="26">
        <f>COUNTIF($L$2:L106,"&lt;&gt;"&amp;"")</f>
        <v>5</v>
      </c>
      <c r="Y102" s="27">
        <f t="shared" si="10"/>
        <v>0</v>
      </c>
      <c r="Z102" s="28"/>
      <c r="AA102" s="29"/>
      <c r="AB102" s="30" t="b">
        <f>TRUE()</f>
        <v>1</v>
      </c>
      <c r="AC102" s="31">
        <f t="shared" si="11"/>
        <v>0</v>
      </c>
      <c r="AD102" s="23"/>
      <c r="AE102" s="23"/>
    </row>
    <row r="103" spans="1:31" ht="15" customHeight="1">
      <c r="A103" s="20">
        <f t="shared" si="9"/>
        <v>0</v>
      </c>
      <c r="B103" s="23"/>
      <c r="C103" s="23"/>
      <c r="D103" s="23"/>
      <c r="E103" s="23"/>
      <c r="F103" s="23"/>
      <c r="G103" s="23"/>
      <c r="H103" s="23"/>
      <c r="I103" s="23"/>
      <c r="J103" s="23"/>
      <c r="K103" s="23"/>
      <c r="L103" s="33"/>
      <c r="M103" s="26"/>
      <c r="N103" s="26"/>
      <c r="O103" s="26"/>
      <c r="P103" s="26"/>
      <c r="Q103" s="26"/>
      <c r="R103" s="26"/>
      <c r="S103" s="26"/>
      <c r="T103" s="26"/>
      <c r="U103" s="26"/>
      <c r="V103" s="26"/>
      <c r="W103" s="26"/>
      <c r="X103" s="26">
        <f>COUNTIF($L$2:L103,"&lt;&gt;"&amp;"")</f>
        <v>5</v>
      </c>
      <c r="Y103" s="27">
        <f t="shared" si="10"/>
        <v>0</v>
      </c>
      <c r="Z103" s="28"/>
      <c r="AA103" s="29"/>
      <c r="AB103" s="30" t="b">
        <f>TRUE()</f>
        <v>1</v>
      </c>
      <c r="AC103" s="31">
        <f t="shared" si="11"/>
        <v>0</v>
      </c>
      <c r="AD103" s="42"/>
      <c r="AE103" s="42"/>
    </row>
    <row r="104" spans="1:31" ht="15" customHeight="1">
      <c r="A104" s="20">
        <f t="shared" si="9"/>
        <v>0</v>
      </c>
      <c r="B104" s="23"/>
      <c r="C104" s="23"/>
      <c r="D104" s="23"/>
      <c r="E104" s="23"/>
      <c r="F104" s="23"/>
      <c r="G104" s="23"/>
      <c r="H104" s="23"/>
      <c r="I104" s="23"/>
      <c r="J104" s="23"/>
      <c r="K104" s="23"/>
      <c r="L104" s="33"/>
      <c r="M104" s="26"/>
      <c r="N104" s="26"/>
      <c r="O104" s="26"/>
      <c r="P104" s="26"/>
      <c r="Q104" s="26"/>
      <c r="R104" s="26"/>
      <c r="S104" s="26"/>
      <c r="T104" s="26"/>
      <c r="U104" s="26"/>
      <c r="V104" s="26"/>
      <c r="W104" s="26"/>
      <c r="X104" s="26">
        <f>COUNTIF($L$2:L104,"&lt;&gt;"&amp;"")</f>
        <v>5</v>
      </c>
      <c r="Y104" s="27">
        <f t="shared" si="10"/>
        <v>0</v>
      </c>
      <c r="Z104" s="28"/>
      <c r="AA104" s="29"/>
      <c r="AB104" s="30" t="b">
        <f>TRUE()</f>
        <v>1</v>
      </c>
      <c r="AC104" s="31">
        <f t="shared" si="11"/>
        <v>0</v>
      </c>
      <c r="AD104" s="42"/>
      <c r="AE104" s="42"/>
    </row>
    <row r="105" spans="1:31" ht="15" customHeight="1">
      <c r="A105" s="20">
        <f t="shared" si="9"/>
        <v>0</v>
      </c>
      <c r="B105" s="23"/>
      <c r="C105" s="23"/>
      <c r="D105" s="23"/>
      <c r="E105" s="23"/>
      <c r="F105" s="23"/>
      <c r="G105" s="23"/>
      <c r="H105" s="23"/>
      <c r="I105" s="23"/>
      <c r="J105" s="23"/>
      <c r="K105" s="23"/>
      <c r="L105" s="33"/>
      <c r="M105" s="26"/>
      <c r="N105" s="26"/>
      <c r="O105" s="26"/>
      <c r="P105" s="26"/>
      <c r="Q105" s="26"/>
      <c r="R105" s="26"/>
      <c r="S105" s="26"/>
      <c r="T105" s="26"/>
      <c r="U105" s="26"/>
      <c r="V105" s="26"/>
      <c r="W105" s="26"/>
      <c r="X105" s="26">
        <f>COUNTIF($L$2:L105,"&lt;&gt;"&amp;"")</f>
        <v>5</v>
      </c>
      <c r="Y105" s="27">
        <f t="shared" si="10"/>
        <v>0</v>
      </c>
      <c r="Z105" s="28"/>
      <c r="AA105" s="29"/>
      <c r="AB105" s="30" t="b">
        <f>TRUE()</f>
        <v>1</v>
      </c>
      <c r="AC105" s="31">
        <f t="shared" si="11"/>
        <v>0</v>
      </c>
      <c r="AD105" s="42"/>
      <c r="AE105" s="42"/>
    </row>
    <row r="106" spans="1:31" ht="15" customHeight="1">
      <c r="A106" s="20">
        <f t="shared" si="9"/>
        <v>0</v>
      </c>
      <c r="B106" s="23"/>
      <c r="C106" s="23"/>
      <c r="D106" s="23"/>
      <c r="E106" s="23"/>
      <c r="F106" s="23"/>
      <c r="G106" s="23"/>
      <c r="H106" s="23"/>
      <c r="I106" s="23"/>
      <c r="J106" s="23"/>
      <c r="K106" s="23"/>
      <c r="L106" s="33"/>
      <c r="M106" s="26"/>
      <c r="N106" s="26"/>
      <c r="O106" s="26"/>
      <c r="P106" s="26"/>
      <c r="Q106" s="26"/>
      <c r="R106" s="26"/>
      <c r="S106" s="26"/>
      <c r="T106" s="26"/>
      <c r="U106" s="26"/>
      <c r="V106" s="26"/>
      <c r="W106" s="26"/>
      <c r="X106" s="26">
        <f>COUNTIF($L$2:L106,"&lt;&gt;"&amp;"")</f>
        <v>5</v>
      </c>
      <c r="Y106" s="27">
        <f t="shared" si="10"/>
        <v>0</v>
      </c>
      <c r="Z106" s="28"/>
      <c r="AA106" s="29"/>
      <c r="AB106" s="30" t="b">
        <f>TRUE()</f>
        <v>1</v>
      </c>
      <c r="AC106" s="31">
        <f t="shared" si="11"/>
        <v>0</v>
      </c>
      <c r="AD106" s="42"/>
      <c r="AE106" s="42"/>
    </row>
    <row r="107" spans="1:31" ht="15" customHeight="1">
      <c r="A107" s="20">
        <f t="shared" si="9"/>
        <v>0</v>
      </c>
      <c r="B107" s="23"/>
      <c r="C107" s="23"/>
      <c r="D107" s="23"/>
      <c r="E107" s="23"/>
      <c r="F107" s="23"/>
      <c r="G107" s="23"/>
      <c r="H107" s="23"/>
      <c r="I107" s="23"/>
      <c r="J107" s="23"/>
      <c r="K107" s="23"/>
      <c r="L107" s="33"/>
      <c r="M107" s="26"/>
      <c r="N107" s="26"/>
      <c r="O107" s="26"/>
      <c r="P107" s="26"/>
      <c r="Q107" s="26"/>
      <c r="R107" s="26"/>
      <c r="S107" s="26"/>
      <c r="T107" s="26"/>
      <c r="U107" s="26"/>
      <c r="V107" s="26"/>
      <c r="W107" s="26"/>
      <c r="X107" s="26">
        <f>COUNTIF($L$2:L107,"&lt;&gt;"&amp;"")</f>
        <v>5</v>
      </c>
      <c r="Y107" s="27">
        <f t="shared" si="10"/>
        <v>0</v>
      </c>
      <c r="Z107" s="28"/>
      <c r="AA107" s="29"/>
      <c r="AB107" s="30" t="b">
        <f>TRUE()</f>
        <v>1</v>
      </c>
      <c r="AC107" s="31">
        <f t="shared" si="11"/>
        <v>0</v>
      </c>
      <c r="AD107" s="23"/>
      <c r="AE107" s="23"/>
    </row>
    <row r="108" spans="1:31" ht="15" customHeight="1">
      <c r="A108" s="20">
        <f t="shared" si="9"/>
        <v>0</v>
      </c>
      <c r="B108" s="23"/>
      <c r="C108" s="23"/>
      <c r="D108" s="23"/>
      <c r="E108" s="23"/>
      <c r="F108" s="23"/>
      <c r="G108" s="23"/>
      <c r="H108" s="23"/>
      <c r="I108" s="23"/>
      <c r="J108" s="23"/>
      <c r="K108" s="23"/>
      <c r="L108" s="33"/>
      <c r="M108" s="26"/>
      <c r="N108" s="26"/>
      <c r="O108" s="26"/>
      <c r="P108" s="26"/>
      <c r="Q108" s="26"/>
      <c r="R108" s="26"/>
      <c r="S108" s="26"/>
      <c r="T108" s="26"/>
      <c r="U108" s="26"/>
      <c r="V108" s="26"/>
      <c r="W108" s="26"/>
      <c r="X108" s="26">
        <f>COUNTIF($L$2:L108,"&lt;&gt;"&amp;"")</f>
        <v>5</v>
      </c>
      <c r="Y108" s="27">
        <f t="shared" si="10"/>
        <v>0</v>
      </c>
      <c r="Z108" s="28"/>
      <c r="AA108" s="29"/>
      <c r="AB108" s="30" t="b">
        <f>TRUE()</f>
        <v>1</v>
      </c>
      <c r="AC108" s="31">
        <f t="shared" si="11"/>
        <v>0</v>
      </c>
      <c r="AD108" s="23"/>
      <c r="AE108" s="23"/>
    </row>
    <row r="109" spans="1:31" ht="15" customHeight="1">
      <c r="A109" s="20">
        <f t="shared" si="9"/>
        <v>0</v>
      </c>
      <c r="B109" s="23"/>
      <c r="C109" s="23"/>
      <c r="D109" s="23"/>
      <c r="E109" s="23"/>
      <c r="F109" s="23"/>
      <c r="G109" s="23"/>
      <c r="H109" s="23"/>
      <c r="I109" s="23"/>
      <c r="J109" s="23"/>
      <c r="K109" s="23"/>
      <c r="L109" s="33"/>
      <c r="M109" s="26"/>
      <c r="N109" s="26"/>
      <c r="O109" s="26"/>
      <c r="P109" s="26"/>
      <c r="Q109" s="26"/>
      <c r="R109" s="26"/>
      <c r="S109" s="26"/>
      <c r="T109" s="26"/>
      <c r="U109" s="26"/>
      <c r="V109" s="26"/>
      <c r="W109" s="26"/>
      <c r="X109" s="26">
        <f>COUNTIF($L$2:L109,"&lt;&gt;"&amp;"")</f>
        <v>5</v>
      </c>
      <c r="Y109" s="27">
        <f t="shared" si="10"/>
        <v>0</v>
      </c>
      <c r="Z109" s="28"/>
      <c r="AA109" s="29"/>
      <c r="AB109" s="30" t="b">
        <f>TRUE()</f>
        <v>1</v>
      </c>
      <c r="AC109" s="31">
        <f t="shared" si="11"/>
        <v>0</v>
      </c>
      <c r="AD109" s="23"/>
      <c r="AE109" s="23"/>
    </row>
    <row r="110" spans="1:31" ht="15" customHeight="1">
      <c r="A110" s="20">
        <f t="shared" si="9"/>
        <v>0</v>
      </c>
      <c r="B110" s="23"/>
      <c r="C110" s="23"/>
      <c r="D110" s="23"/>
      <c r="E110" s="23"/>
      <c r="F110" s="23"/>
      <c r="G110" s="23"/>
      <c r="H110" s="23"/>
      <c r="I110" s="23"/>
      <c r="J110" s="23"/>
      <c r="K110" s="23"/>
      <c r="L110" s="33"/>
      <c r="M110" s="26"/>
      <c r="N110" s="26"/>
      <c r="O110" s="26"/>
      <c r="P110" s="26"/>
      <c r="Q110" s="26"/>
      <c r="R110" s="26"/>
      <c r="S110" s="26"/>
      <c r="T110" s="26"/>
      <c r="U110" s="26"/>
      <c r="V110" s="26"/>
      <c r="W110" s="26"/>
      <c r="X110" s="26">
        <f>COUNTIF($L$2:L110,"&lt;&gt;"&amp;"")</f>
        <v>5</v>
      </c>
      <c r="Y110" s="27">
        <f t="shared" si="10"/>
        <v>0</v>
      </c>
      <c r="Z110" s="28"/>
      <c r="AA110" s="29"/>
      <c r="AB110" s="30" t="b">
        <f>TRUE()</f>
        <v>1</v>
      </c>
      <c r="AC110" s="31">
        <f t="shared" si="11"/>
        <v>0</v>
      </c>
      <c r="AD110" s="23"/>
      <c r="AE110" s="23"/>
    </row>
    <row r="111" spans="1:31" ht="15" customHeight="1">
      <c r="A111" s="20">
        <f t="shared" si="9"/>
        <v>0</v>
      </c>
      <c r="B111" s="23"/>
      <c r="C111" s="23"/>
      <c r="D111" s="23"/>
      <c r="E111" s="23"/>
      <c r="F111" s="23"/>
      <c r="G111" s="23"/>
      <c r="H111" s="23"/>
      <c r="I111" s="23"/>
      <c r="J111" s="23"/>
      <c r="K111" s="23"/>
      <c r="L111" s="33"/>
      <c r="M111" s="26"/>
      <c r="N111" s="26"/>
      <c r="O111" s="26"/>
      <c r="P111" s="26"/>
      <c r="Q111" s="26"/>
      <c r="R111" s="26"/>
      <c r="S111" s="26"/>
      <c r="T111" s="26"/>
      <c r="U111" s="26"/>
      <c r="V111" s="26"/>
      <c r="W111" s="26"/>
      <c r="X111" s="26">
        <f>COUNTIF($L$2:L111,"&lt;&gt;"&amp;"")</f>
        <v>5</v>
      </c>
      <c r="Y111" s="27">
        <f t="shared" si="10"/>
        <v>0</v>
      </c>
      <c r="Z111" s="28"/>
      <c r="AA111" s="29"/>
      <c r="AB111" s="30" t="b">
        <f>TRUE()</f>
        <v>1</v>
      </c>
      <c r="AC111" s="31">
        <f t="shared" si="11"/>
        <v>0</v>
      </c>
      <c r="AD111" s="23"/>
      <c r="AE111" s="23"/>
    </row>
    <row r="112" spans="1:31" ht="15" customHeight="1">
      <c r="A112" s="20">
        <f t="shared" si="9"/>
        <v>0</v>
      </c>
      <c r="B112" s="23"/>
      <c r="C112" s="23"/>
      <c r="D112" s="23"/>
      <c r="E112" s="23"/>
      <c r="F112" s="23"/>
      <c r="G112" s="23"/>
      <c r="H112" s="23"/>
      <c r="I112" s="23"/>
      <c r="J112" s="23"/>
      <c r="K112" s="23"/>
      <c r="L112" s="33"/>
      <c r="M112" s="26"/>
      <c r="N112" s="26"/>
      <c r="O112" s="26"/>
      <c r="P112" s="26"/>
      <c r="Q112" s="26"/>
      <c r="R112" s="26"/>
      <c r="S112" s="26"/>
      <c r="T112" s="26"/>
      <c r="U112" s="26"/>
      <c r="V112" s="26"/>
      <c r="W112" s="26"/>
      <c r="X112" s="26">
        <f>COUNTIF($L$2:L112,"&lt;&gt;"&amp;"")</f>
        <v>5</v>
      </c>
      <c r="Y112" s="27">
        <f t="shared" si="10"/>
        <v>0</v>
      </c>
      <c r="Z112" s="28"/>
      <c r="AA112" s="29"/>
      <c r="AB112" s="30" t="b">
        <f>TRUE()</f>
        <v>1</v>
      </c>
      <c r="AC112" s="31">
        <f t="shared" si="11"/>
        <v>0</v>
      </c>
      <c r="AD112" s="23"/>
      <c r="AE112" s="23"/>
    </row>
    <row r="113" spans="1:31" ht="15" customHeight="1">
      <c r="A113" s="20">
        <f t="shared" si="9"/>
        <v>0</v>
      </c>
      <c r="B113" s="23"/>
      <c r="C113" s="23"/>
      <c r="D113" s="23"/>
      <c r="E113" s="23"/>
      <c r="F113" s="23"/>
      <c r="G113" s="23"/>
      <c r="H113" s="23"/>
      <c r="I113" s="23"/>
      <c r="J113" s="23"/>
      <c r="K113" s="23"/>
      <c r="L113" s="33"/>
      <c r="M113" s="26"/>
      <c r="N113" s="26"/>
      <c r="O113" s="26"/>
      <c r="P113" s="26"/>
      <c r="Q113" s="26"/>
      <c r="R113" s="26"/>
      <c r="S113" s="26"/>
      <c r="T113" s="26"/>
      <c r="U113" s="26"/>
      <c r="V113" s="26"/>
      <c r="W113" s="26"/>
      <c r="X113" s="26">
        <f>COUNTIF($L$2:L113,"&lt;&gt;"&amp;"")</f>
        <v>5</v>
      </c>
      <c r="Y113" s="27">
        <f t="shared" si="10"/>
        <v>0</v>
      </c>
      <c r="Z113" s="28"/>
      <c r="AA113" s="29"/>
      <c r="AB113" s="30" t="b">
        <f>TRUE()</f>
        <v>1</v>
      </c>
      <c r="AC113" s="31">
        <f t="shared" si="11"/>
        <v>0</v>
      </c>
      <c r="AD113" s="23"/>
      <c r="AE113" s="23"/>
    </row>
    <row r="114" spans="1:31" ht="15" customHeight="1">
      <c r="A114" s="20">
        <f t="shared" si="9"/>
        <v>0</v>
      </c>
      <c r="B114" s="23"/>
      <c r="C114" s="23"/>
      <c r="D114" s="23"/>
      <c r="E114" s="23"/>
      <c r="F114" s="23"/>
      <c r="G114" s="23"/>
      <c r="H114" s="23"/>
      <c r="I114" s="23"/>
      <c r="J114" s="23"/>
      <c r="K114" s="23"/>
      <c r="L114" s="33"/>
      <c r="M114" s="26"/>
      <c r="N114" s="26"/>
      <c r="O114" s="26"/>
      <c r="P114" s="26"/>
      <c r="Q114" s="26"/>
      <c r="R114" s="26"/>
      <c r="S114" s="26"/>
      <c r="T114" s="26"/>
      <c r="U114" s="26"/>
      <c r="V114" s="26"/>
      <c r="W114" s="26"/>
      <c r="X114" s="26">
        <f>COUNTIF($L$2:L114,"&lt;&gt;"&amp;"")</f>
        <v>5</v>
      </c>
      <c r="Y114" s="27">
        <f t="shared" si="10"/>
        <v>0</v>
      </c>
      <c r="Z114" s="28"/>
      <c r="AA114" s="29"/>
      <c r="AB114" s="30" t="b">
        <f>TRUE()</f>
        <v>1</v>
      </c>
      <c r="AC114" s="31">
        <f t="shared" si="11"/>
        <v>0</v>
      </c>
      <c r="AD114" s="23"/>
      <c r="AE114" s="23"/>
    </row>
    <row r="115" spans="1:31" ht="15" customHeight="1">
      <c r="A115" s="20">
        <f t="shared" si="9"/>
        <v>0</v>
      </c>
      <c r="B115" s="23"/>
      <c r="C115" s="23"/>
      <c r="D115" s="23"/>
      <c r="E115" s="23"/>
      <c r="F115" s="23"/>
      <c r="G115" s="23"/>
      <c r="H115" s="23"/>
      <c r="I115" s="23"/>
      <c r="J115" s="23"/>
      <c r="K115" s="23"/>
      <c r="L115" s="33"/>
      <c r="M115" s="26"/>
      <c r="N115" s="26"/>
      <c r="O115" s="26"/>
      <c r="P115" s="26"/>
      <c r="Q115" s="26"/>
      <c r="R115" s="26"/>
      <c r="S115" s="26"/>
      <c r="T115" s="26"/>
      <c r="U115" s="26"/>
      <c r="V115" s="26"/>
      <c r="W115" s="26"/>
      <c r="X115" s="26">
        <f>COUNTIF($L$2:L115,"&lt;&gt;"&amp;"")</f>
        <v>5</v>
      </c>
      <c r="Y115" s="27">
        <f t="shared" si="10"/>
        <v>0</v>
      </c>
      <c r="Z115" s="28"/>
      <c r="AA115" s="29"/>
      <c r="AB115" s="30" t="b">
        <f>TRUE()</f>
        <v>1</v>
      </c>
      <c r="AC115" s="31">
        <f t="shared" si="11"/>
        <v>0</v>
      </c>
      <c r="AD115" s="23"/>
      <c r="AE115" s="23"/>
    </row>
    <row r="116" spans="1:31" ht="15" customHeight="1">
      <c r="A116" s="20">
        <f t="shared" si="9"/>
        <v>0</v>
      </c>
      <c r="B116" s="23"/>
      <c r="C116" s="23"/>
      <c r="D116" s="23"/>
      <c r="E116" s="23"/>
      <c r="F116" s="23"/>
      <c r="G116" s="23"/>
      <c r="H116" s="23"/>
      <c r="I116" s="23"/>
      <c r="J116" s="23"/>
      <c r="K116" s="23"/>
      <c r="L116" s="33"/>
      <c r="M116" s="26"/>
      <c r="N116" s="26"/>
      <c r="O116" s="26"/>
      <c r="P116" s="26"/>
      <c r="Q116" s="26"/>
      <c r="R116" s="26"/>
      <c r="S116" s="26"/>
      <c r="T116" s="26"/>
      <c r="U116" s="26"/>
      <c r="V116" s="26"/>
      <c r="W116" s="26"/>
      <c r="X116" s="26">
        <f>COUNTIF($L$2:L116,"&lt;&gt;"&amp;"")</f>
        <v>5</v>
      </c>
      <c r="Y116" s="27">
        <f t="shared" si="10"/>
        <v>0</v>
      </c>
      <c r="Z116" s="28"/>
      <c r="AA116" s="29"/>
      <c r="AB116" s="30" t="b">
        <f>TRUE()</f>
        <v>1</v>
      </c>
      <c r="AC116" s="31">
        <f t="shared" si="11"/>
        <v>0</v>
      </c>
      <c r="AD116" s="23"/>
      <c r="AE116" s="23"/>
    </row>
    <row r="117" spans="1:31" ht="15" customHeight="1">
      <c r="A117" s="20">
        <f t="shared" si="9"/>
        <v>0</v>
      </c>
      <c r="B117" s="23"/>
      <c r="C117" s="23"/>
      <c r="D117" s="23"/>
      <c r="E117" s="23"/>
      <c r="F117" s="23"/>
      <c r="G117" s="23"/>
      <c r="H117" s="23"/>
      <c r="I117" s="23"/>
      <c r="J117" s="23"/>
      <c r="K117" s="23"/>
      <c r="L117" s="33"/>
      <c r="M117" s="26"/>
      <c r="N117" s="26"/>
      <c r="O117" s="26"/>
      <c r="P117" s="26"/>
      <c r="Q117" s="26"/>
      <c r="R117" s="26"/>
      <c r="S117" s="26"/>
      <c r="T117" s="26"/>
      <c r="U117" s="26"/>
      <c r="V117" s="26"/>
      <c r="W117" s="26"/>
      <c r="X117" s="26">
        <f>COUNTIF($L$2:L117,"&lt;&gt;"&amp;"")</f>
        <v>5</v>
      </c>
      <c r="Y117" s="27">
        <f t="shared" si="10"/>
        <v>0</v>
      </c>
      <c r="Z117" s="28"/>
      <c r="AA117" s="29"/>
      <c r="AB117" s="30" t="b">
        <f>TRUE()</f>
        <v>1</v>
      </c>
      <c r="AC117" s="31">
        <f t="shared" si="11"/>
        <v>0</v>
      </c>
      <c r="AD117" s="23"/>
      <c r="AE117" s="23"/>
    </row>
    <row r="118" spans="1:31" ht="15" customHeight="1">
      <c r="A118" s="20">
        <f t="shared" si="9"/>
        <v>0</v>
      </c>
      <c r="B118" s="23"/>
      <c r="C118" s="23"/>
      <c r="D118" s="23"/>
      <c r="E118" s="23"/>
      <c r="F118" s="23"/>
      <c r="G118" s="23"/>
      <c r="H118" s="23"/>
      <c r="I118" s="23"/>
      <c r="J118" s="23"/>
      <c r="K118" s="23"/>
      <c r="L118" s="33"/>
      <c r="M118" s="26"/>
      <c r="N118" s="26"/>
      <c r="O118" s="26"/>
      <c r="P118" s="26"/>
      <c r="Q118" s="26"/>
      <c r="R118" s="26"/>
      <c r="S118" s="26"/>
      <c r="T118" s="26"/>
      <c r="U118" s="26"/>
      <c r="V118" s="26"/>
      <c r="W118" s="26"/>
      <c r="X118" s="26">
        <f>COUNTIF($L$2:L118,"&lt;&gt;"&amp;"")</f>
        <v>5</v>
      </c>
      <c r="Y118" s="27">
        <f t="shared" si="10"/>
        <v>0</v>
      </c>
      <c r="Z118" s="28"/>
      <c r="AA118" s="29"/>
      <c r="AB118" s="30" t="b">
        <f>TRUE()</f>
        <v>1</v>
      </c>
      <c r="AC118" s="31">
        <f t="shared" si="11"/>
        <v>0</v>
      </c>
      <c r="AD118" s="23"/>
      <c r="AE118" s="23"/>
    </row>
    <row r="119" spans="1:31" ht="15" customHeight="1">
      <c r="A119" s="20">
        <f t="shared" si="9"/>
        <v>0</v>
      </c>
      <c r="B119" s="23"/>
      <c r="C119" s="23"/>
      <c r="D119" s="23"/>
      <c r="E119" s="23"/>
      <c r="F119" s="23"/>
      <c r="G119" s="23"/>
      <c r="H119" s="23"/>
      <c r="I119" s="23"/>
      <c r="J119" s="23"/>
      <c r="K119" s="23"/>
      <c r="L119" s="33"/>
      <c r="M119" s="26"/>
      <c r="N119" s="26"/>
      <c r="O119" s="26"/>
      <c r="P119" s="26"/>
      <c r="Q119" s="26"/>
      <c r="R119" s="26"/>
      <c r="S119" s="26"/>
      <c r="T119" s="26"/>
      <c r="U119" s="26"/>
      <c r="V119" s="26"/>
      <c r="W119" s="26"/>
      <c r="X119" s="26">
        <f>COUNTIF($L$2:L119,"&lt;&gt;"&amp;"")</f>
        <v>5</v>
      </c>
      <c r="Y119" s="27">
        <f t="shared" si="10"/>
        <v>0</v>
      </c>
      <c r="Z119" s="28"/>
      <c r="AA119" s="29"/>
      <c r="AB119" s="30" t="b">
        <f>TRUE()</f>
        <v>1</v>
      </c>
      <c r="AC119" s="31">
        <f t="shared" si="11"/>
        <v>0</v>
      </c>
      <c r="AD119" s="23"/>
      <c r="AE119" s="23"/>
    </row>
    <row r="120" spans="1:31" ht="12.75" customHeight="1">
      <c r="A120" s="43"/>
      <c r="B120" s="43"/>
      <c r="C120" s="43"/>
      <c r="D120" s="43"/>
      <c r="E120" s="43"/>
      <c r="F120" s="43"/>
      <c r="G120" s="43"/>
      <c r="H120" s="43"/>
      <c r="I120" s="43"/>
      <c r="J120" s="43"/>
      <c r="K120" s="43"/>
      <c r="L120" s="44"/>
      <c r="M120" s="44"/>
      <c r="N120" s="45"/>
      <c r="O120" s="45" t="s">
        <v>43</v>
      </c>
      <c r="P120" s="44"/>
      <c r="Q120" s="44"/>
      <c r="R120" s="44"/>
      <c r="S120" s="44"/>
      <c r="T120" s="44"/>
      <c r="U120" s="44"/>
      <c r="V120" s="44"/>
      <c r="W120" s="44"/>
      <c r="X120" s="44"/>
      <c r="Y120" s="44"/>
      <c r="Z120" s="44"/>
      <c r="AA120" s="44"/>
      <c r="AB120" s="44"/>
      <c r="AC120" s="44"/>
      <c r="AD120" s="23"/>
      <c r="AE120" s="23"/>
    </row>
    <row r="121" spans="1:31" ht="15" customHeight="1">
      <c r="A121" s="46">
        <f>ROW()</f>
        <v>121</v>
      </c>
      <c r="B121" s="23">
        <f t="shared" ref="B121:K121" si="12">SUM(B2:B120)</f>
        <v>0</v>
      </c>
      <c r="C121" s="23">
        <f t="shared" si="12"/>
        <v>0</v>
      </c>
      <c r="D121" s="23">
        <f t="shared" si="12"/>
        <v>0</v>
      </c>
      <c r="E121" s="23">
        <f t="shared" si="12"/>
        <v>0</v>
      </c>
      <c r="F121" s="23">
        <f t="shared" si="12"/>
        <v>0</v>
      </c>
      <c r="G121" s="23">
        <f t="shared" si="12"/>
        <v>0</v>
      </c>
      <c r="H121" s="23">
        <f t="shared" si="12"/>
        <v>0</v>
      </c>
      <c r="I121" s="23">
        <f t="shared" si="12"/>
        <v>0</v>
      </c>
      <c r="J121" s="23">
        <f t="shared" si="12"/>
        <v>0</v>
      </c>
      <c r="K121" s="23">
        <f t="shared" si="12"/>
        <v>0</v>
      </c>
      <c r="L121" s="33"/>
      <c r="M121" s="26"/>
      <c r="N121" s="26"/>
      <c r="O121" s="26"/>
      <c r="P121" s="23"/>
      <c r="Q121" s="23"/>
      <c r="R121" s="23"/>
      <c r="S121" s="23"/>
      <c r="T121" s="23"/>
      <c r="U121" s="23"/>
      <c r="V121" s="23"/>
      <c r="W121" s="23"/>
      <c r="X121" s="23"/>
      <c r="Y121" s="23"/>
      <c r="Z121" s="23"/>
      <c r="AA121" s="23"/>
      <c r="AB121" s="23"/>
      <c r="AC121" s="47"/>
      <c r="AD121" s="23"/>
      <c r="AE121" s="23"/>
    </row>
    <row r="122" spans="1:31" ht="12.75" customHeight="1">
      <c r="A122" s="23"/>
      <c r="B122" s="23"/>
      <c r="C122" s="48"/>
      <c r="D122" s="48"/>
      <c r="E122" s="48"/>
      <c r="F122" s="48"/>
      <c r="G122" s="48"/>
      <c r="H122" s="48"/>
      <c r="I122" s="9" t="s">
        <v>44</v>
      </c>
      <c r="J122" s="9"/>
      <c r="K122" s="9"/>
      <c r="L122" s="9"/>
      <c r="M122" s="8">
        <f>400000+120000</f>
        <v>520000</v>
      </c>
      <c r="N122" s="8"/>
      <c r="O122" s="8"/>
      <c r="P122" s="23"/>
      <c r="Q122" s="23"/>
      <c r="R122" s="23"/>
      <c r="S122" s="48"/>
      <c r="T122" s="48"/>
      <c r="U122" s="48"/>
      <c r="V122" s="23"/>
      <c r="W122" s="23"/>
      <c r="X122" s="23"/>
      <c r="Y122" s="23"/>
      <c r="Z122" s="23"/>
      <c r="AA122" s="23"/>
      <c r="AB122" s="23"/>
      <c r="AC122" s="47"/>
      <c r="AD122" s="23"/>
      <c r="AE122" s="23"/>
    </row>
    <row r="123" spans="1:31" ht="15" customHeight="1">
      <c r="A123" s="23"/>
      <c r="B123" s="23"/>
      <c r="C123" s="48"/>
      <c r="D123" s="49" t="s">
        <v>45</v>
      </c>
      <c r="E123" s="50">
        <v>1750905</v>
      </c>
      <c r="F123" s="51" t="s">
        <v>46</v>
      </c>
      <c r="G123" s="52">
        <v>249095</v>
      </c>
      <c r="H123" s="48"/>
      <c r="I123" s="53" t="s">
        <v>47</v>
      </c>
      <c r="J123" s="54">
        <v>0.18</v>
      </c>
      <c r="K123" s="54"/>
      <c r="L123" s="55" t="s">
        <v>48</v>
      </c>
      <c r="M123" s="56">
        <f>2.7/12</f>
        <v>0.22500000000000001</v>
      </c>
      <c r="N123" s="57" t="s">
        <v>49</v>
      </c>
      <c r="O123" s="58">
        <f>40*4.2*((244-2)/260)</f>
        <v>156.36923076923077</v>
      </c>
      <c r="P123" s="48"/>
      <c r="Q123" s="53" t="s">
        <v>50</v>
      </c>
      <c r="R123" s="59">
        <v>0.4</v>
      </c>
      <c r="S123" s="48"/>
      <c r="T123" s="60">
        <v>8</v>
      </c>
      <c r="U123" s="61" t="s">
        <v>51</v>
      </c>
      <c r="V123" s="62"/>
      <c r="W123" s="23"/>
      <c r="X123" s="23"/>
      <c r="Y123" s="23"/>
      <c r="Z123" s="23"/>
      <c r="AA123" s="23"/>
      <c r="AB123" s="23"/>
      <c r="AC123" s="47"/>
      <c r="AD123" s="23"/>
      <c r="AE123" s="23"/>
    </row>
    <row r="124" spans="1:31" ht="12.75" customHeight="1">
      <c r="A124" s="23"/>
      <c r="B124" s="23"/>
      <c r="C124" s="7" t="s">
        <v>52</v>
      </c>
      <c r="D124" s="7"/>
      <c r="E124" s="7"/>
      <c r="F124" s="7" t="s">
        <v>53</v>
      </c>
      <c r="G124" s="7"/>
      <c r="H124" s="7"/>
      <c r="I124" s="7" t="s">
        <v>54</v>
      </c>
      <c r="J124" s="7"/>
      <c r="K124" s="7"/>
      <c r="L124" s="7"/>
      <c r="M124" s="7" t="s">
        <v>55</v>
      </c>
      <c r="N124" s="7"/>
      <c r="O124" s="7"/>
      <c r="P124" s="7" t="s">
        <v>56</v>
      </c>
      <c r="Q124" s="7"/>
      <c r="R124" s="7"/>
      <c r="S124" s="48"/>
      <c r="T124" s="48"/>
      <c r="U124" s="63" t="s">
        <v>49</v>
      </c>
      <c r="V124" s="7" t="s">
        <v>57</v>
      </c>
      <c r="W124" s="7"/>
      <c r="X124" s="7"/>
      <c r="Y124" s="23"/>
      <c r="Z124" s="23"/>
      <c r="AA124" s="23"/>
      <c r="AB124" s="23"/>
      <c r="AC124" s="47"/>
      <c r="AD124" s="23"/>
      <c r="AE124" s="23"/>
    </row>
    <row r="125" spans="1:31" ht="12.75" customHeight="1">
      <c r="A125" s="35" t="s">
        <v>58</v>
      </c>
      <c r="B125" s="63" t="str">
        <f>B1</f>
        <v>DB</v>
      </c>
      <c r="C125" s="6">
        <v>6480000</v>
      </c>
      <c r="D125" s="6"/>
      <c r="E125" s="6"/>
      <c r="F125" s="6">
        <v>1080000</v>
      </c>
      <c r="G125" s="6"/>
      <c r="H125" s="6"/>
      <c r="I125" s="6">
        <v>0</v>
      </c>
      <c r="J125" s="6"/>
      <c r="K125" s="6"/>
      <c r="L125" s="6"/>
      <c r="M125" s="6">
        <f t="shared" ref="M125:M134" si="13">C125*(1+$J$123+$M$123)+F125+I125+$M$122+IF(($E$123*2)&gt;=C125,$G$123,0)</f>
        <v>10704400</v>
      </c>
      <c r="N125" s="6"/>
      <c r="O125" s="6"/>
      <c r="P125" s="5">
        <f t="shared" ref="P125:P134" si="14">M125/$O$123*(1+$R$123)</f>
        <v>95838.292011019294</v>
      </c>
      <c r="Q125" s="5"/>
      <c r="R125" s="5"/>
      <c r="S125" s="48"/>
      <c r="T125" s="48"/>
      <c r="U125" s="23">
        <f t="shared" ref="U125:U134" si="15">HLOOKUP(B125,$B$1:$K$121,$A$121,0)*$T$123</f>
        <v>0</v>
      </c>
      <c r="W125" s="64">
        <f t="shared" ref="W125:W134" si="16">P125*U125</f>
        <v>0</v>
      </c>
      <c r="Y125" s="23"/>
      <c r="Z125" s="23"/>
      <c r="AA125" s="23"/>
      <c r="AB125" s="23"/>
      <c r="AC125" s="47"/>
      <c r="AD125" s="23"/>
      <c r="AE125" s="23"/>
    </row>
    <row r="126" spans="1:31" ht="12.75" customHeight="1">
      <c r="A126" s="35" t="s">
        <v>59</v>
      </c>
      <c r="B126" s="63" t="str">
        <f>C1</f>
        <v>UX</v>
      </c>
      <c r="C126" s="6">
        <v>3240000</v>
      </c>
      <c r="D126" s="6"/>
      <c r="E126" s="6"/>
      <c r="F126" s="6">
        <v>540000</v>
      </c>
      <c r="G126" s="6"/>
      <c r="H126" s="6"/>
      <c r="I126" s="6">
        <v>0</v>
      </c>
      <c r="J126" s="6"/>
      <c r="K126" s="6"/>
      <c r="L126" s="6"/>
      <c r="M126" s="6">
        <f t="shared" si="13"/>
        <v>5861295</v>
      </c>
      <c r="N126" s="6"/>
      <c r="O126" s="6"/>
      <c r="P126" s="5">
        <f t="shared" si="14"/>
        <v>52477.159090909088</v>
      </c>
      <c r="Q126" s="5"/>
      <c r="R126" s="5"/>
      <c r="S126" s="48"/>
      <c r="T126" s="48"/>
      <c r="U126" s="23">
        <f t="shared" si="15"/>
        <v>0</v>
      </c>
      <c r="W126" s="64">
        <f t="shared" si="16"/>
        <v>0</v>
      </c>
      <c r="Y126" s="23"/>
      <c r="Z126" s="23"/>
      <c r="AA126" s="23"/>
      <c r="AB126" s="23"/>
      <c r="AC126" s="47"/>
      <c r="AD126" s="23"/>
      <c r="AE126" s="23"/>
    </row>
    <row r="127" spans="1:31" ht="12.75" customHeight="1">
      <c r="A127" s="35" t="s">
        <v>60</v>
      </c>
      <c r="B127" s="63" t="str">
        <f>D1</f>
        <v>FM</v>
      </c>
      <c r="C127" s="6">
        <v>3240000</v>
      </c>
      <c r="D127" s="6"/>
      <c r="E127" s="6"/>
      <c r="F127" s="6">
        <v>540000</v>
      </c>
      <c r="G127" s="6"/>
      <c r="H127" s="6"/>
      <c r="I127" s="6">
        <v>0</v>
      </c>
      <c r="J127" s="6"/>
      <c r="K127" s="6"/>
      <c r="L127" s="6"/>
      <c r="M127" s="6">
        <f t="shared" si="13"/>
        <v>5861295</v>
      </c>
      <c r="N127" s="6"/>
      <c r="O127" s="6"/>
      <c r="P127" s="5">
        <f t="shared" si="14"/>
        <v>52477.159090909088</v>
      </c>
      <c r="Q127" s="5"/>
      <c r="R127" s="5"/>
      <c r="S127" s="48"/>
      <c r="T127" s="48"/>
      <c r="U127" s="23">
        <f t="shared" si="15"/>
        <v>0</v>
      </c>
      <c r="W127" s="64">
        <f t="shared" si="16"/>
        <v>0</v>
      </c>
      <c r="Y127" s="23"/>
      <c r="Z127" s="23"/>
      <c r="AA127" s="23"/>
      <c r="AB127" s="23"/>
      <c r="AC127" s="47"/>
      <c r="AD127" s="23"/>
      <c r="AE127" s="23"/>
    </row>
    <row r="128" spans="1:31" ht="12.75" customHeight="1">
      <c r="A128" s="35" t="s">
        <v>61</v>
      </c>
      <c r="B128" s="63" t="str">
        <f>E1</f>
        <v>BS</v>
      </c>
      <c r="C128" s="6">
        <v>4320000</v>
      </c>
      <c r="D128" s="6"/>
      <c r="E128" s="6"/>
      <c r="F128" s="6">
        <v>1620000</v>
      </c>
      <c r="G128" s="6"/>
      <c r="H128" s="6"/>
      <c r="I128" s="6">
        <v>0</v>
      </c>
      <c r="J128" s="6"/>
      <c r="K128" s="6"/>
      <c r="L128" s="6"/>
      <c r="M128" s="6">
        <f t="shared" si="13"/>
        <v>8209600</v>
      </c>
      <c r="N128" s="6"/>
      <c r="O128" s="6"/>
      <c r="P128" s="5">
        <f t="shared" si="14"/>
        <v>73501.928374655647</v>
      </c>
      <c r="Q128" s="5"/>
      <c r="R128" s="5"/>
      <c r="S128" s="48"/>
      <c r="T128" s="48"/>
      <c r="U128" s="23">
        <f t="shared" si="15"/>
        <v>0</v>
      </c>
      <c r="W128" s="64">
        <f t="shared" si="16"/>
        <v>0</v>
      </c>
      <c r="Y128" s="23"/>
      <c r="Z128" s="23"/>
      <c r="AA128" s="23"/>
      <c r="AB128" s="23"/>
      <c r="AC128" s="47"/>
      <c r="AD128" s="23"/>
      <c r="AE128" s="23"/>
    </row>
    <row r="129" spans="1:31" ht="12.75" customHeight="1">
      <c r="A129" s="35" t="s">
        <v>62</v>
      </c>
      <c r="B129" s="63" t="str">
        <f>F1</f>
        <v>BM</v>
      </c>
      <c r="C129" s="6">
        <v>3780000</v>
      </c>
      <c r="D129" s="6"/>
      <c r="E129" s="6"/>
      <c r="F129" s="6">
        <v>1080000</v>
      </c>
      <c r="G129" s="6"/>
      <c r="H129" s="6"/>
      <c r="I129" s="6">
        <v>0</v>
      </c>
      <c r="J129" s="6"/>
      <c r="K129" s="6"/>
      <c r="L129" s="6"/>
      <c r="M129" s="6">
        <f t="shared" si="13"/>
        <v>6910900</v>
      </c>
      <c r="N129" s="6"/>
      <c r="O129" s="6"/>
      <c r="P129" s="5">
        <f t="shared" si="14"/>
        <v>61874.449035812671</v>
      </c>
      <c r="Q129" s="5"/>
      <c r="R129" s="5"/>
      <c r="S129" s="48"/>
      <c r="T129" s="48"/>
      <c r="U129" s="23">
        <f t="shared" si="15"/>
        <v>0</v>
      </c>
      <c r="W129" s="64">
        <f t="shared" si="16"/>
        <v>0</v>
      </c>
      <c r="Y129" s="23"/>
      <c r="Z129" s="23"/>
      <c r="AA129" s="23"/>
      <c r="AB129" s="23"/>
      <c r="AC129" s="47"/>
      <c r="AD129" s="23"/>
      <c r="AE129" s="23"/>
    </row>
    <row r="130" spans="1:31" ht="12.75" customHeight="1">
      <c r="A130" s="35" t="s">
        <v>63</v>
      </c>
      <c r="B130" s="63" t="str">
        <f>G1</f>
        <v>QA</v>
      </c>
      <c r="C130" s="6">
        <v>2700000</v>
      </c>
      <c r="D130" s="6"/>
      <c r="E130" s="6"/>
      <c r="F130" s="6">
        <v>1080000</v>
      </c>
      <c r="G130" s="6"/>
      <c r="H130" s="6"/>
      <c r="I130" s="6">
        <v>54000</v>
      </c>
      <c r="J130" s="6"/>
      <c r="K130" s="6"/>
      <c r="L130" s="6"/>
      <c r="M130" s="6">
        <f t="shared" si="13"/>
        <v>5696595</v>
      </c>
      <c r="N130" s="6"/>
      <c r="O130" s="6"/>
      <c r="P130" s="5">
        <f t="shared" si="14"/>
        <v>51002.572314049583</v>
      </c>
      <c r="Q130" s="5"/>
      <c r="R130" s="5"/>
      <c r="S130" s="48"/>
      <c r="T130" s="48"/>
      <c r="U130" s="23">
        <f t="shared" si="15"/>
        <v>0</v>
      </c>
      <c r="W130" s="64">
        <f t="shared" si="16"/>
        <v>0</v>
      </c>
      <c r="Y130" s="23"/>
      <c r="Z130" s="23"/>
      <c r="AA130" s="23"/>
      <c r="AB130" s="23"/>
      <c r="AC130" s="47"/>
      <c r="AD130" s="23"/>
      <c r="AE130" s="23"/>
    </row>
    <row r="131" spans="1:31" ht="12.75" customHeight="1">
      <c r="A131" s="35" t="s">
        <v>64</v>
      </c>
      <c r="B131" s="63" t="str">
        <f>H1</f>
        <v>IM</v>
      </c>
      <c r="C131" s="6">
        <v>2700000</v>
      </c>
      <c r="D131" s="6"/>
      <c r="E131" s="6"/>
      <c r="F131" s="6">
        <v>1080000</v>
      </c>
      <c r="G131" s="6"/>
      <c r="H131" s="6"/>
      <c r="I131" s="6">
        <v>0</v>
      </c>
      <c r="J131" s="6"/>
      <c r="K131" s="6"/>
      <c r="L131" s="6"/>
      <c r="M131" s="6">
        <f t="shared" si="13"/>
        <v>5642595</v>
      </c>
      <c r="N131" s="6"/>
      <c r="O131" s="6"/>
      <c r="P131" s="5">
        <f t="shared" si="14"/>
        <v>50519.10123966942</v>
      </c>
      <c r="Q131" s="5"/>
      <c r="R131" s="5"/>
      <c r="S131" s="48"/>
      <c r="T131" s="48"/>
      <c r="U131" s="23">
        <f t="shared" si="15"/>
        <v>0</v>
      </c>
      <c r="W131" s="64">
        <f t="shared" si="16"/>
        <v>0</v>
      </c>
      <c r="Y131" s="23"/>
      <c r="Z131" s="23"/>
      <c r="AA131" s="23"/>
      <c r="AB131" s="23"/>
      <c r="AC131" s="47"/>
      <c r="AD131" s="23"/>
      <c r="AE131" s="23"/>
    </row>
    <row r="132" spans="1:31" ht="12.75" customHeight="1">
      <c r="A132" s="35" t="s">
        <v>65</v>
      </c>
      <c r="B132" s="63" t="str">
        <f>I1</f>
        <v>MS</v>
      </c>
      <c r="C132" s="6">
        <v>8100000</v>
      </c>
      <c r="D132" s="6"/>
      <c r="E132" s="6"/>
      <c r="F132" s="6">
        <v>2160000</v>
      </c>
      <c r="G132" s="6"/>
      <c r="H132" s="6"/>
      <c r="I132" s="6">
        <v>132000</v>
      </c>
      <c r="J132" s="6"/>
      <c r="K132" s="6"/>
      <c r="L132" s="6"/>
      <c r="M132" s="6">
        <f t="shared" si="13"/>
        <v>14192500</v>
      </c>
      <c r="N132" s="6"/>
      <c r="O132" s="6"/>
      <c r="P132" s="5">
        <f t="shared" si="14"/>
        <v>127067.83746556473</v>
      </c>
      <c r="Q132" s="5"/>
      <c r="R132" s="5"/>
      <c r="S132" s="48"/>
      <c r="T132" s="48"/>
      <c r="U132" s="23">
        <f t="shared" si="15"/>
        <v>0</v>
      </c>
      <c r="W132" s="64">
        <f t="shared" si="16"/>
        <v>0</v>
      </c>
      <c r="Y132" s="23"/>
      <c r="Z132" s="23"/>
      <c r="AA132" s="23"/>
      <c r="AB132" s="23"/>
      <c r="AC132" s="47"/>
      <c r="AD132" s="23"/>
      <c r="AE132" s="23"/>
    </row>
    <row r="133" spans="1:31" ht="12.75" customHeight="1">
      <c r="A133" s="35" t="s">
        <v>66</v>
      </c>
      <c r="B133" s="63" t="str">
        <f>J1</f>
        <v>MM</v>
      </c>
      <c r="C133" s="6">
        <v>3240000</v>
      </c>
      <c r="D133" s="6"/>
      <c r="E133" s="6"/>
      <c r="F133" s="6">
        <v>1080000</v>
      </c>
      <c r="G133" s="6"/>
      <c r="H133" s="6"/>
      <c r="I133" s="6">
        <v>132000</v>
      </c>
      <c r="J133" s="6"/>
      <c r="K133" s="6"/>
      <c r="L133" s="6"/>
      <c r="M133" s="6">
        <f t="shared" si="13"/>
        <v>6533295</v>
      </c>
      <c r="N133" s="6"/>
      <c r="O133" s="6"/>
      <c r="P133" s="5">
        <f t="shared" si="14"/>
        <v>58493.688016528926</v>
      </c>
      <c r="Q133" s="5"/>
      <c r="R133" s="5"/>
      <c r="S133" s="48"/>
      <c r="T133" s="48"/>
      <c r="U133" s="23">
        <f t="shared" si="15"/>
        <v>0</v>
      </c>
      <c r="W133" s="64">
        <f t="shared" si="16"/>
        <v>0</v>
      </c>
      <c r="Y133" s="23"/>
      <c r="Z133" s="23"/>
      <c r="AA133" s="23"/>
      <c r="AB133" s="23"/>
      <c r="AC133" s="47"/>
      <c r="AD133" s="23"/>
      <c r="AE133" s="23"/>
    </row>
    <row r="134" spans="1:31" ht="12.75" customHeight="1">
      <c r="A134" s="35" t="s">
        <v>67</v>
      </c>
      <c r="B134" s="63" t="s">
        <v>10</v>
      </c>
      <c r="C134" s="6">
        <v>3240000</v>
      </c>
      <c r="D134" s="6"/>
      <c r="E134" s="6"/>
      <c r="F134" s="6">
        <v>1080000</v>
      </c>
      <c r="G134" s="6"/>
      <c r="H134" s="6"/>
      <c r="I134" s="6"/>
      <c r="J134" s="6"/>
      <c r="K134" s="6"/>
      <c r="L134" s="6"/>
      <c r="M134" s="6">
        <f t="shared" si="13"/>
        <v>6401295</v>
      </c>
      <c r="N134" s="6"/>
      <c r="O134" s="6"/>
      <c r="P134" s="5">
        <f t="shared" si="14"/>
        <v>57311.869834710742</v>
      </c>
      <c r="Q134" s="5"/>
      <c r="R134" s="5"/>
      <c r="S134" s="48"/>
      <c r="T134" s="48"/>
      <c r="U134" s="23">
        <f t="shared" si="15"/>
        <v>0</v>
      </c>
      <c r="W134" s="64">
        <f t="shared" si="16"/>
        <v>0</v>
      </c>
      <c r="Y134" s="23"/>
      <c r="Z134" s="23"/>
      <c r="AA134" s="23"/>
      <c r="AB134" s="23"/>
      <c r="AC134" s="47"/>
      <c r="AD134" s="23"/>
      <c r="AE134" s="23"/>
    </row>
    <row r="135" spans="1:31" ht="12.75" customHeight="1">
      <c r="A135" s="35"/>
      <c r="B135" s="63"/>
      <c r="C135" s="48"/>
      <c r="D135" s="48"/>
      <c r="E135" s="48"/>
      <c r="F135" s="48"/>
      <c r="G135" s="48"/>
      <c r="H135" s="48"/>
      <c r="I135" s="23"/>
      <c r="J135" s="23"/>
      <c r="K135" s="23"/>
      <c r="L135" s="23"/>
      <c r="M135" s="23"/>
      <c r="N135" s="23"/>
      <c r="O135" s="23"/>
      <c r="P135" s="4">
        <f>SUM(P125:P134)</f>
        <v>680564.0564738292</v>
      </c>
      <c r="Q135" s="4"/>
      <c r="R135" s="4"/>
      <c r="S135" s="48"/>
      <c r="T135" s="48"/>
      <c r="U135" s="48"/>
      <c r="W135" s="65">
        <f>SUM(W125:W134)</f>
        <v>0</v>
      </c>
      <c r="Y135" s="23"/>
      <c r="Z135" s="23"/>
      <c r="AA135" s="23"/>
      <c r="AB135" s="23"/>
      <c r="AC135" s="47"/>
      <c r="AD135" s="23"/>
      <c r="AE135" s="23"/>
    </row>
    <row r="136" spans="1:31" ht="12.75" customHeight="1">
      <c r="A136" s="23"/>
      <c r="B136" s="23"/>
      <c r="C136" s="66"/>
      <c r="D136" s="66"/>
      <c r="E136" s="23"/>
      <c r="F136" s="23"/>
      <c r="G136" s="23"/>
      <c r="H136" s="48"/>
      <c r="I136" s="23"/>
      <c r="J136" s="23"/>
      <c r="K136" s="23"/>
      <c r="L136" s="48"/>
      <c r="M136" s="23"/>
      <c r="N136" s="23"/>
      <c r="O136" s="23"/>
      <c r="P136" s="23"/>
      <c r="Q136" s="23"/>
      <c r="R136" s="23"/>
      <c r="S136" s="23"/>
      <c r="T136" s="23"/>
      <c r="U136" s="23"/>
      <c r="V136" s="23"/>
      <c r="W136" s="23"/>
      <c r="X136" s="23"/>
      <c r="Y136" s="23"/>
      <c r="Z136" s="23"/>
      <c r="AA136" s="23"/>
      <c r="AB136" s="23"/>
      <c r="AC136" s="47"/>
      <c r="AD136" s="23"/>
      <c r="AE136" s="23"/>
    </row>
    <row r="137" spans="1:31" ht="12.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47"/>
      <c r="AD137" s="23"/>
      <c r="AE137" s="23"/>
    </row>
    <row r="138" spans="1:31" ht="12.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8"/>
      <c r="AD138" s="67"/>
      <c r="AE138" s="67"/>
    </row>
    <row r="139" spans="1:31" ht="15" customHeight="1">
      <c r="A139" s="67"/>
      <c r="B139" s="67"/>
      <c r="C139" s="3"/>
      <c r="D139" s="3"/>
      <c r="E139" s="3"/>
      <c r="F139" s="3"/>
      <c r="G139" s="2"/>
      <c r="H139" s="2"/>
      <c r="I139" s="2"/>
      <c r="J139" s="2"/>
      <c r="K139" s="69"/>
      <c r="L139" s="1"/>
      <c r="M139" s="1"/>
      <c r="N139" s="1"/>
      <c r="O139" s="1"/>
      <c r="P139" s="2"/>
      <c r="Q139" s="2"/>
      <c r="R139" s="2"/>
      <c r="S139" s="2"/>
      <c r="T139" s="1"/>
      <c r="U139" s="1"/>
      <c r="V139" s="1"/>
      <c r="W139" s="1"/>
      <c r="X139" s="2"/>
      <c r="Y139" s="2"/>
      <c r="Z139" s="2"/>
      <c r="AA139" s="1"/>
      <c r="AB139" s="1"/>
      <c r="AC139" s="1"/>
      <c r="AD139" s="70"/>
      <c r="AE139" s="67"/>
    </row>
    <row r="140" spans="1:31" ht="12.75" customHeight="1">
      <c r="A140" s="71" t="e">
        <f t="array" aca="1" ref="A140:A144" ca="1">unique(L1:L120)</f>
        <v>#NAME?</v>
      </c>
      <c r="B140" s="72"/>
      <c r="C140" s="73"/>
      <c r="D140" s="73"/>
      <c r="E140" s="73"/>
      <c r="F140" s="74"/>
      <c r="G140" s="75" t="s">
        <v>68</v>
      </c>
      <c r="H140" s="75" t="s">
        <v>69</v>
      </c>
      <c r="I140" s="75" t="s">
        <v>70</v>
      </c>
      <c r="J140" s="75" t="s">
        <v>71</v>
      </c>
      <c r="K140" s="75" t="s">
        <v>72</v>
      </c>
      <c r="L140" s="76" t="s">
        <v>73</v>
      </c>
      <c r="M140" s="76" t="s">
        <v>74</v>
      </c>
      <c r="N140" s="76" t="s">
        <v>75</v>
      </c>
      <c r="O140" s="76" t="s">
        <v>76</v>
      </c>
      <c r="P140" s="75" t="s">
        <v>77</v>
      </c>
      <c r="Q140" s="75"/>
      <c r="R140" s="75"/>
      <c r="S140" s="75"/>
      <c r="T140" s="76"/>
      <c r="U140" s="76"/>
      <c r="V140" s="76"/>
      <c r="W140" s="76"/>
      <c r="X140" s="75"/>
      <c r="Y140" s="75"/>
      <c r="Z140" s="75"/>
      <c r="AA140" s="76"/>
      <c r="AB140" s="76"/>
      <c r="AC140" s="77"/>
      <c r="AD140" s="76"/>
      <c r="AE140" s="67"/>
    </row>
    <row r="141" spans="1:31" ht="12.75" customHeight="1">
      <c r="A141" s="78" t="e">
        <f ca="1"/>
        <v>#NAME?</v>
      </c>
      <c r="B141" s="79"/>
      <c r="C141" s="79"/>
      <c r="D141" s="79" t="s">
        <v>78</v>
      </c>
      <c r="E141" s="79"/>
      <c r="F141" s="80"/>
      <c r="G141" s="81"/>
      <c r="H141" s="81"/>
      <c r="I141" s="81"/>
      <c r="J141" s="81"/>
      <c r="K141" s="81"/>
      <c r="L141" s="82"/>
      <c r="M141" s="82"/>
      <c r="N141" s="82"/>
      <c r="O141" s="82"/>
      <c r="P141" s="81"/>
      <c r="Q141" s="81"/>
      <c r="R141" s="81"/>
      <c r="S141" s="81"/>
      <c r="T141" s="82"/>
      <c r="U141" s="82"/>
      <c r="V141" s="82"/>
      <c r="W141" s="82"/>
      <c r="X141" s="81"/>
      <c r="Y141" s="81"/>
      <c r="Z141" s="81"/>
      <c r="AA141" s="82"/>
      <c r="AB141" s="82"/>
      <c r="AC141" s="83"/>
      <c r="AD141" s="82"/>
      <c r="AE141" s="67"/>
    </row>
    <row r="142" spans="1:31" ht="12.75" customHeight="1">
      <c r="A142" s="78" t="e">
        <f ca="1"/>
        <v>#NAME?</v>
      </c>
      <c r="B142" s="79"/>
      <c r="C142" s="79"/>
      <c r="D142" s="79"/>
      <c r="E142" s="79"/>
      <c r="F142" s="80"/>
      <c r="G142" s="81"/>
      <c r="H142" s="81"/>
      <c r="I142" s="81"/>
      <c r="J142" s="81"/>
      <c r="K142" s="81"/>
      <c r="L142" s="82"/>
      <c r="M142" s="82"/>
      <c r="N142" s="82"/>
      <c r="O142" s="82"/>
      <c r="P142" s="81"/>
      <c r="Q142" s="81"/>
      <c r="R142" s="81"/>
      <c r="S142" s="81"/>
      <c r="T142" s="82"/>
      <c r="U142" s="82"/>
      <c r="V142" s="82"/>
      <c r="W142" s="82"/>
      <c r="X142" s="81"/>
      <c r="Y142" s="81"/>
      <c r="Z142" s="81"/>
      <c r="AA142" s="82"/>
      <c r="AB142" s="82"/>
      <c r="AC142" s="83"/>
      <c r="AD142" s="82"/>
      <c r="AE142" s="67"/>
    </row>
    <row r="143" spans="1:31" ht="12.75" customHeight="1">
      <c r="A143" s="78" t="e">
        <f ca="1"/>
        <v>#NAME?</v>
      </c>
      <c r="B143" s="79"/>
      <c r="C143" s="79"/>
      <c r="D143" s="79"/>
      <c r="E143" s="79"/>
      <c r="F143" s="80"/>
      <c r="G143" s="81"/>
      <c r="H143" s="81"/>
      <c r="I143" s="81"/>
      <c r="J143" s="81"/>
      <c r="K143" s="81"/>
      <c r="L143" s="82"/>
      <c r="M143" s="82"/>
      <c r="N143" s="82"/>
      <c r="O143" s="82"/>
      <c r="P143" s="81"/>
      <c r="Q143" s="81"/>
      <c r="R143" s="81"/>
      <c r="S143" s="81"/>
      <c r="T143" s="82"/>
      <c r="U143" s="82"/>
      <c r="V143" s="82"/>
      <c r="W143" s="82"/>
      <c r="X143" s="81"/>
      <c r="Y143" s="81"/>
      <c r="Z143" s="81"/>
      <c r="AA143" s="82"/>
      <c r="AB143" s="82"/>
      <c r="AC143" s="83"/>
      <c r="AD143" s="82"/>
      <c r="AE143" s="67"/>
    </row>
    <row r="144" spans="1:31" ht="12.75" customHeight="1">
      <c r="A144" s="78" t="e">
        <f ca="1"/>
        <v>#NAME?</v>
      </c>
      <c r="B144" s="79"/>
      <c r="C144" s="79"/>
      <c r="D144" s="79"/>
      <c r="E144" s="79"/>
      <c r="F144" s="80"/>
      <c r="G144" s="81"/>
      <c r="H144" s="81"/>
      <c r="I144" s="81"/>
      <c r="J144" s="81"/>
      <c r="K144" s="81"/>
      <c r="L144" s="82"/>
      <c r="M144" s="82"/>
      <c r="N144" s="82"/>
      <c r="O144" s="82"/>
      <c r="P144" s="81"/>
      <c r="Q144" s="81"/>
      <c r="R144" s="81"/>
      <c r="S144" s="81"/>
      <c r="T144" s="82"/>
      <c r="U144" s="82"/>
      <c r="V144" s="82"/>
      <c r="W144" s="82"/>
      <c r="X144" s="81"/>
      <c r="Y144" s="81"/>
      <c r="Z144" s="81"/>
      <c r="AA144" s="82"/>
      <c r="AB144" s="82"/>
      <c r="AC144" s="83"/>
      <c r="AD144" s="82"/>
      <c r="AE144" s="67"/>
    </row>
    <row r="145" spans="1:31" ht="12.75" customHeight="1">
      <c r="A145" s="78"/>
      <c r="B145" s="79"/>
      <c r="C145" s="79"/>
      <c r="D145" s="79"/>
      <c r="E145" s="79"/>
      <c r="F145" s="80"/>
      <c r="G145" s="81"/>
      <c r="H145" s="81"/>
      <c r="I145" s="81"/>
      <c r="J145" s="81"/>
      <c r="K145" s="81"/>
      <c r="L145" s="82"/>
      <c r="M145" s="82"/>
      <c r="N145" s="82"/>
      <c r="O145" s="82"/>
      <c r="P145" s="81"/>
      <c r="Q145" s="81"/>
      <c r="R145" s="81"/>
      <c r="S145" s="81"/>
      <c r="T145" s="82"/>
      <c r="U145" s="82"/>
      <c r="V145" s="82"/>
      <c r="W145" s="82"/>
      <c r="X145" s="81"/>
      <c r="Y145" s="81"/>
      <c r="Z145" s="81"/>
      <c r="AA145" s="82"/>
      <c r="AB145" s="82"/>
      <c r="AC145" s="83"/>
      <c r="AD145" s="82"/>
      <c r="AE145" s="67"/>
    </row>
    <row r="146" spans="1:31" ht="12.75" customHeight="1">
      <c r="A146" s="78"/>
      <c r="B146" s="79"/>
      <c r="C146" s="79"/>
      <c r="D146" s="79"/>
      <c r="E146" s="79"/>
      <c r="F146" s="80"/>
      <c r="G146" s="81"/>
      <c r="H146" s="81"/>
      <c r="I146" s="81"/>
      <c r="J146" s="81"/>
      <c r="K146" s="81"/>
      <c r="L146" s="82"/>
      <c r="M146" s="82"/>
      <c r="N146" s="82"/>
      <c r="O146" s="82"/>
      <c r="P146" s="81"/>
      <c r="Q146" s="81"/>
      <c r="R146" s="81"/>
      <c r="S146" s="81"/>
      <c r="T146" s="82"/>
      <c r="U146" s="82"/>
      <c r="V146" s="82"/>
      <c r="W146" s="82"/>
      <c r="X146" s="81"/>
      <c r="Y146" s="81"/>
      <c r="Z146" s="81"/>
      <c r="AA146" s="82"/>
      <c r="AB146" s="82"/>
      <c r="AC146" s="83"/>
      <c r="AD146" s="82"/>
      <c r="AE146" s="67"/>
    </row>
    <row r="147" spans="1:31" ht="12.75" customHeight="1">
      <c r="A147" s="78"/>
      <c r="B147" s="79"/>
      <c r="C147" s="79"/>
      <c r="D147" s="79"/>
      <c r="E147" s="79"/>
      <c r="F147" s="80"/>
      <c r="G147" s="81"/>
      <c r="H147" s="81"/>
      <c r="I147" s="81"/>
      <c r="J147" s="81"/>
      <c r="K147" s="81"/>
      <c r="L147" s="82"/>
      <c r="M147" s="82"/>
      <c r="N147" s="82"/>
      <c r="O147" s="82"/>
      <c r="P147" s="81"/>
      <c r="Q147" s="81"/>
      <c r="R147" s="81"/>
      <c r="S147" s="81"/>
      <c r="T147" s="82"/>
      <c r="U147" s="82"/>
      <c r="V147" s="82"/>
      <c r="W147" s="82"/>
      <c r="X147" s="81"/>
      <c r="Y147" s="81"/>
      <c r="Z147" s="81"/>
      <c r="AA147" s="82"/>
      <c r="AB147" s="82"/>
      <c r="AC147" s="83"/>
      <c r="AD147" s="82"/>
      <c r="AE147" s="67"/>
    </row>
    <row r="148" spans="1:31" ht="12.75" customHeight="1">
      <c r="A148" s="78"/>
      <c r="B148" s="79"/>
      <c r="C148" s="79"/>
      <c r="D148" s="79"/>
      <c r="E148" s="79"/>
      <c r="F148" s="80"/>
      <c r="G148" s="81"/>
      <c r="H148" s="81"/>
      <c r="I148" s="81"/>
      <c r="J148" s="81"/>
      <c r="K148" s="81"/>
      <c r="L148" s="82"/>
      <c r="M148" s="82"/>
      <c r="N148" s="82"/>
      <c r="O148" s="82"/>
      <c r="P148" s="81"/>
      <c r="Q148" s="81"/>
      <c r="R148" s="81"/>
      <c r="S148" s="81"/>
      <c r="T148" s="82"/>
      <c r="U148" s="82"/>
      <c r="V148" s="82"/>
      <c r="W148" s="82"/>
      <c r="X148" s="81"/>
      <c r="Y148" s="81"/>
      <c r="Z148" s="81"/>
      <c r="AA148" s="82"/>
      <c r="AB148" s="82"/>
      <c r="AC148" s="83"/>
      <c r="AD148" s="82"/>
      <c r="AE148" s="67"/>
    </row>
    <row r="149" spans="1:31" ht="12.75" customHeight="1">
      <c r="A149" s="78"/>
      <c r="B149" s="79"/>
      <c r="C149" s="79"/>
      <c r="D149" s="79"/>
      <c r="E149" s="79"/>
      <c r="F149" s="80"/>
      <c r="G149" s="81"/>
      <c r="H149" s="81"/>
      <c r="I149" s="81"/>
      <c r="J149" s="81"/>
      <c r="K149" s="81"/>
      <c r="L149" s="82"/>
      <c r="M149" s="82"/>
      <c r="N149" s="82"/>
      <c r="O149" s="82"/>
      <c r="P149" s="81"/>
      <c r="Q149" s="81"/>
      <c r="R149" s="81"/>
      <c r="S149" s="81"/>
      <c r="T149" s="82"/>
      <c r="U149" s="82"/>
      <c r="V149" s="82"/>
      <c r="W149" s="82"/>
      <c r="X149" s="81"/>
      <c r="Y149" s="81"/>
      <c r="Z149" s="81"/>
      <c r="AA149" s="82"/>
      <c r="AB149" s="82"/>
      <c r="AC149" s="83"/>
      <c r="AD149" s="82"/>
      <c r="AE149" s="67"/>
    </row>
    <row r="150" spans="1:31" ht="12.75" customHeight="1">
      <c r="A150" s="78"/>
      <c r="B150" s="79"/>
      <c r="C150" s="79"/>
      <c r="D150" s="79"/>
      <c r="E150" s="79"/>
      <c r="F150" s="80"/>
      <c r="G150" s="81"/>
      <c r="H150" s="81"/>
      <c r="I150" s="81"/>
      <c r="J150" s="81"/>
      <c r="K150" s="81"/>
      <c r="L150" s="82"/>
      <c r="M150" s="82"/>
      <c r="N150" s="82"/>
      <c r="O150" s="82"/>
      <c r="P150" s="81"/>
      <c r="Q150" s="81"/>
      <c r="R150" s="81"/>
      <c r="S150" s="81"/>
      <c r="T150" s="82"/>
      <c r="U150" s="82"/>
      <c r="V150" s="82"/>
      <c r="W150" s="82"/>
      <c r="X150" s="81"/>
      <c r="Y150" s="81"/>
      <c r="Z150" s="81"/>
      <c r="AA150" s="82"/>
      <c r="AB150" s="82"/>
      <c r="AC150" s="83"/>
      <c r="AD150" s="82"/>
      <c r="AE150" s="67"/>
    </row>
    <row r="151" spans="1:31" ht="12.75" customHeight="1">
      <c r="A151" s="78"/>
      <c r="B151" s="79"/>
      <c r="C151" s="79"/>
      <c r="D151" s="79"/>
      <c r="E151" s="79"/>
      <c r="F151" s="80"/>
      <c r="G151" s="81"/>
      <c r="H151" s="81"/>
      <c r="I151" s="81"/>
      <c r="J151" s="81"/>
      <c r="K151" s="81"/>
      <c r="L151" s="82"/>
      <c r="M151" s="82"/>
      <c r="N151" s="82"/>
      <c r="O151" s="82"/>
      <c r="P151" s="81"/>
      <c r="Q151" s="81"/>
      <c r="R151" s="81"/>
      <c r="S151" s="81"/>
      <c r="T151" s="82"/>
      <c r="U151" s="82"/>
      <c r="V151" s="82"/>
      <c r="W151" s="82"/>
      <c r="X151" s="81"/>
      <c r="Y151" s="81"/>
      <c r="Z151" s="81"/>
      <c r="AA151" s="82"/>
      <c r="AB151" s="82"/>
      <c r="AC151" s="83"/>
      <c r="AD151" s="82"/>
      <c r="AE151" s="67"/>
    </row>
    <row r="152" spans="1:31" ht="12.75" customHeight="1">
      <c r="A152" s="78"/>
      <c r="B152" s="79"/>
      <c r="C152" s="79"/>
      <c r="D152" s="79"/>
      <c r="E152" s="79"/>
      <c r="F152" s="80"/>
      <c r="G152" s="81"/>
      <c r="H152" s="81"/>
      <c r="I152" s="81"/>
      <c r="J152" s="81"/>
      <c r="K152" s="81"/>
      <c r="L152" s="82"/>
      <c r="M152" s="82"/>
      <c r="N152" s="82"/>
      <c r="O152" s="82"/>
      <c r="P152" s="81"/>
      <c r="Q152" s="81"/>
      <c r="R152" s="81"/>
      <c r="S152" s="81"/>
      <c r="T152" s="82"/>
      <c r="U152" s="82"/>
      <c r="V152" s="82"/>
      <c r="W152" s="82"/>
      <c r="X152" s="81"/>
      <c r="Y152" s="81"/>
      <c r="Z152" s="81"/>
      <c r="AA152" s="82"/>
      <c r="AB152" s="82"/>
      <c r="AC152" s="83"/>
      <c r="AD152" s="82"/>
      <c r="AE152" s="67"/>
    </row>
    <row r="153" spans="1:31" ht="12.75" customHeight="1">
      <c r="A153" s="78"/>
      <c r="B153" s="79"/>
      <c r="C153" s="79"/>
      <c r="D153" s="79"/>
      <c r="E153" s="79"/>
      <c r="F153" s="80"/>
      <c r="G153" s="81"/>
      <c r="H153" s="81"/>
      <c r="I153" s="81"/>
      <c r="J153" s="81"/>
      <c r="K153" s="81"/>
      <c r="L153" s="82"/>
      <c r="M153" s="82"/>
      <c r="N153" s="82"/>
      <c r="O153" s="82"/>
      <c r="P153" s="81"/>
      <c r="Q153" s="81"/>
      <c r="R153" s="81"/>
      <c r="S153" s="81"/>
      <c r="T153" s="82"/>
      <c r="U153" s="82"/>
      <c r="V153" s="82"/>
      <c r="W153" s="82"/>
      <c r="X153" s="81"/>
      <c r="Y153" s="81"/>
      <c r="Z153" s="81"/>
      <c r="AA153" s="82"/>
      <c r="AB153" s="82"/>
      <c r="AC153" s="83"/>
      <c r="AD153" s="82"/>
      <c r="AE153" s="67"/>
    </row>
    <row r="154" spans="1:31" ht="12.75" customHeight="1">
      <c r="A154" s="78"/>
      <c r="B154" s="79"/>
      <c r="C154" s="79"/>
      <c r="D154" s="79"/>
      <c r="E154" s="79"/>
      <c r="F154" s="80"/>
      <c r="G154" s="81"/>
      <c r="H154" s="81"/>
      <c r="I154" s="81"/>
      <c r="J154" s="81"/>
      <c r="K154" s="81"/>
      <c r="L154" s="82"/>
      <c r="M154" s="82"/>
      <c r="N154" s="82"/>
      <c r="O154" s="82"/>
      <c r="P154" s="81"/>
      <c r="Q154" s="81"/>
      <c r="R154" s="81"/>
      <c r="S154" s="81"/>
      <c r="T154" s="82"/>
      <c r="U154" s="82"/>
      <c r="V154" s="82"/>
      <c r="W154" s="82"/>
      <c r="X154" s="81"/>
      <c r="Y154" s="81"/>
      <c r="Z154" s="81"/>
      <c r="AA154" s="82"/>
      <c r="AB154" s="82"/>
      <c r="AC154" s="83"/>
      <c r="AD154" s="82"/>
      <c r="AE154" s="67"/>
    </row>
    <row r="155" spans="1:31" ht="12.75" customHeight="1">
      <c r="A155" s="78"/>
      <c r="B155" s="79"/>
      <c r="C155" s="79"/>
      <c r="D155" s="79"/>
      <c r="E155" s="79"/>
      <c r="F155" s="80"/>
      <c r="G155" s="81"/>
      <c r="H155" s="81"/>
      <c r="I155" s="81"/>
      <c r="J155" s="81"/>
      <c r="K155" s="81"/>
      <c r="L155" s="82"/>
      <c r="M155" s="82"/>
      <c r="N155" s="82"/>
      <c r="O155" s="82"/>
      <c r="P155" s="81"/>
      <c r="Q155" s="81"/>
      <c r="R155" s="81"/>
      <c r="S155" s="81"/>
      <c r="T155" s="82"/>
      <c r="U155" s="82"/>
      <c r="V155" s="82"/>
      <c r="W155" s="82"/>
      <c r="X155" s="81"/>
      <c r="Y155" s="81"/>
      <c r="Z155" s="81"/>
      <c r="AA155" s="82"/>
      <c r="AB155" s="82"/>
      <c r="AC155" s="83"/>
      <c r="AD155" s="82"/>
      <c r="AE155" s="67"/>
    </row>
    <row r="156" spans="1:31" ht="12.75" customHeight="1">
      <c r="A156" s="78"/>
      <c r="B156" s="79"/>
      <c r="C156" s="79"/>
      <c r="D156" s="79"/>
      <c r="E156" s="79"/>
      <c r="F156" s="80"/>
      <c r="G156" s="81"/>
      <c r="H156" s="81"/>
      <c r="I156" s="81"/>
      <c r="J156" s="81"/>
      <c r="K156" s="81"/>
      <c r="L156" s="82"/>
      <c r="M156" s="82"/>
      <c r="N156" s="82"/>
      <c r="O156" s="82"/>
      <c r="P156" s="81"/>
      <c r="Q156" s="81"/>
      <c r="R156" s="81"/>
      <c r="S156" s="81"/>
      <c r="T156" s="82"/>
      <c r="U156" s="82"/>
      <c r="V156" s="82"/>
      <c r="W156" s="82"/>
      <c r="X156" s="81"/>
      <c r="Y156" s="81"/>
      <c r="Z156" s="81"/>
      <c r="AA156" s="82"/>
      <c r="AB156" s="82"/>
      <c r="AC156" s="83"/>
      <c r="AD156" s="82"/>
      <c r="AE156" s="67"/>
    </row>
    <row r="157" spans="1:31" ht="12.75" customHeight="1">
      <c r="A157" s="78"/>
      <c r="B157" s="79"/>
      <c r="C157" s="79"/>
      <c r="D157" s="79"/>
      <c r="E157" s="79"/>
      <c r="F157" s="80"/>
      <c r="G157" s="81"/>
      <c r="H157" s="81"/>
      <c r="I157" s="81"/>
      <c r="J157" s="81"/>
      <c r="K157" s="81"/>
      <c r="L157" s="82"/>
      <c r="M157" s="82"/>
      <c r="N157" s="82"/>
      <c r="O157" s="82"/>
      <c r="P157" s="81"/>
      <c r="Q157" s="81"/>
      <c r="R157" s="81"/>
      <c r="S157" s="81"/>
      <c r="T157" s="82"/>
      <c r="U157" s="82"/>
      <c r="V157" s="82"/>
      <c r="W157" s="82"/>
      <c r="X157" s="81"/>
      <c r="Y157" s="81"/>
      <c r="Z157" s="81"/>
      <c r="AA157" s="82"/>
      <c r="AB157" s="82"/>
      <c r="AC157" s="83"/>
      <c r="AD157" s="82"/>
      <c r="AE157" s="67"/>
    </row>
    <row r="158" spans="1:31" ht="12.75" customHeight="1">
      <c r="A158" s="78"/>
      <c r="B158" s="79"/>
      <c r="C158" s="79"/>
      <c r="D158" s="79"/>
      <c r="E158" s="79"/>
      <c r="F158" s="80"/>
      <c r="G158" s="81"/>
      <c r="H158" s="81"/>
      <c r="I158" s="81"/>
      <c r="J158" s="81"/>
      <c r="K158" s="81"/>
      <c r="L158" s="82"/>
      <c r="M158" s="82"/>
      <c r="N158" s="82"/>
      <c r="O158" s="82"/>
      <c r="P158" s="81"/>
      <c r="Q158" s="81"/>
      <c r="R158" s="81"/>
      <c r="S158" s="81"/>
      <c r="T158" s="82"/>
      <c r="U158" s="82"/>
      <c r="V158" s="82"/>
      <c r="W158" s="82"/>
      <c r="X158" s="81"/>
      <c r="Y158" s="81"/>
      <c r="Z158" s="81"/>
      <c r="AA158" s="82"/>
      <c r="AB158" s="82"/>
      <c r="AC158" s="83"/>
      <c r="AD158" s="82"/>
      <c r="AE158" s="67"/>
    </row>
    <row r="159" spans="1:31" ht="12.75" customHeight="1">
      <c r="A159" s="78"/>
      <c r="B159" s="79"/>
      <c r="C159" s="79"/>
      <c r="D159" s="79"/>
      <c r="E159" s="79"/>
      <c r="F159" s="80"/>
      <c r="G159" s="81"/>
      <c r="H159" s="81"/>
      <c r="I159" s="81"/>
      <c r="J159" s="81"/>
      <c r="K159" s="81"/>
      <c r="L159" s="82"/>
      <c r="M159" s="82"/>
      <c r="N159" s="82"/>
      <c r="O159" s="82"/>
      <c r="P159" s="81"/>
      <c r="Q159" s="81"/>
      <c r="R159" s="81"/>
      <c r="S159" s="81"/>
      <c r="T159" s="82"/>
      <c r="U159" s="82"/>
      <c r="V159" s="82"/>
      <c r="W159" s="82"/>
      <c r="X159" s="81"/>
      <c r="Y159" s="81"/>
      <c r="Z159" s="81"/>
      <c r="AA159" s="82"/>
      <c r="AB159" s="82"/>
      <c r="AC159" s="83"/>
      <c r="AD159" s="82"/>
      <c r="AE159" s="67"/>
    </row>
    <row r="160" spans="1:31" ht="12.75" customHeight="1">
      <c r="A160" s="78"/>
      <c r="B160" s="79"/>
      <c r="C160" s="79"/>
      <c r="D160" s="79"/>
      <c r="E160" s="79"/>
      <c r="F160" s="80"/>
      <c r="G160" s="81"/>
      <c r="H160" s="81"/>
      <c r="I160" s="81"/>
      <c r="J160" s="81"/>
      <c r="K160" s="81"/>
      <c r="L160" s="82"/>
      <c r="M160" s="82"/>
      <c r="N160" s="82"/>
      <c r="O160" s="82"/>
      <c r="P160" s="81"/>
      <c r="Q160" s="81"/>
      <c r="R160" s="81"/>
      <c r="S160" s="81"/>
      <c r="T160" s="82"/>
      <c r="U160" s="82"/>
      <c r="V160" s="82"/>
      <c r="W160" s="82"/>
      <c r="X160" s="81"/>
      <c r="Y160" s="81"/>
      <c r="Z160" s="81"/>
      <c r="AA160" s="82"/>
      <c r="AB160" s="82"/>
      <c r="AC160" s="83"/>
      <c r="AD160" s="82"/>
      <c r="AE160" s="67"/>
    </row>
    <row r="161" spans="1:31" ht="12.75" customHeight="1">
      <c r="A161" s="78"/>
      <c r="B161" s="79"/>
      <c r="C161" s="79"/>
      <c r="D161" s="79"/>
      <c r="E161" s="79"/>
      <c r="F161" s="80"/>
      <c r="G161" s="81"/>
      <c r="H161" s="81"/>
      <c r="I161" s="81"/>
      <c r="J161" s="81"/>
      <c r="K161" s="81"/>
      <c r="L161" s="82"/>
      <c r="M161" s="82"/>
      <c r="N161" s="82"/>
      <c r="O161" s="82"/>
      <c r="P161" s="81"/>
      <c r="Q161" s="81"/>
      <c r="R161" s="81"/>
      <c r="S161" s="81"/>
      <c r="T161" s="82"/>
      <c r="U161" s="82"/>
      <c r="V161" s="82"/>
      <c r="W161" s="82"/>
      <c r="X161" s="81"/>
      <c r="Y161" s="81"/>
      <c r="Z161" s="81"/>
      <c r="AA161" s="82"/>
      <c r="AB161" s="82"/>
      <c r="AC161" s="83"/>
      <c r="AD161" s="82"/>
      <c r="AE161" s="67"/>
    </row>
    <row r="162" spans="1:31" ht="12.75" customHeight="1">
      <c r="A162" s="78"/>
      <c r="B162" s="79"/>
      <c r="C162" s="79"/>
      <c r="D162" s="79"/>
      <c r="E162" s="79"/>
      <c r="F162" s="80"/>
      <c r="G162" s="81"/>
      <c r="H162" s="81"/>
      <c r="I162" s="81"/>
      <c r="J162" s="81"/>
      <c r="K162" s="81"/>
      <c r="L162" s="82"/>
      <c r="M162" s="82"/>
      <c r="N162" s="82"/>
      <c r="O162" s="82"/>
      <c r="P162" s="81"/>
      <c r="Q162" s="81"/>
      <c r="R162" s="81"/>
      <c r="S162" s="81"/>
      <c r="T162" s="82"/>
      <c r="U162" s="82"/>
      <c r="V162" s="82"/>
      <c r="W162" s="82"/>
      <c r="X162" s="81"/>
      <c r="Y162" s="81"/>
      <c r="Z162" s="81"/>
      <c r="AA162" s="82"/>
      <c r="AB162" s="82"/>
      <c r="AC162" s="83"/>
      <c r="AD162" s="82"/>
      <c r="AE162" s="67"/>
    </row>
    <row r="163" spans="1:31" ht="12.75" customHeight="1">
      <c r="A163" s="78"/>
      <c r="B163" s="79"/>
      <c r="C163" s="79"/>
      <c r="D163" s="79"/>
      <c r="E163" s="79"/>
      <c r="F163" s="80"/>
      <c r="G163" s="81"/>
      <c r="H163" s="81"/>
      <c r="I163" s="81"/>
      <c r="J163" s="81"/>
      <c r="K163" s="81"/>
      <c r="L163" s="82"/>
      <c r="M163" s="82"/>
      <c r="N163" s="82"/>
      <c r="O163" s="82"/>
      <c r="P163" s="81"/>
      <c r="Q163" s="81"/>
      <c r="R163" s="81"/>
      <c r="S163" s="81"/>
      <c r="T163" s="82"/>
      <c r="U163" s="82"/>
      <c r="V163" s="82"/>
      <c r="W163" s="82"/>
      <c r="X163" s="81"/>
      <c r="Y163" s="81"/>
      <c r="Z163" s="81"/>
      <c r="AA163" s="82"/>
      <c r="AB163" s="82"/>
      <c r="AC163" s="83"/>
      <c r="AD163" s="82"/>
      <c r="AE163" s="67"/>
    </row>
    <row r="164" spans="1:31" ht="12.75" customHeight="1">
      <c r="A164" s="78"/>
      <c r="B164" s="79"/>
      <c r="C164" s="79"/>
      <c r="D164" s="79"/>
      <c r="E164" s="79"/>
      <c r="F164" s="80"/>
      <c r="G164" s="81"/>
      <c r="H164" s="81"/>
      <c r="I164" s="81"/>
      <c r="J164" s="81"/>
      <c r="K164" s="81"/>
      <c r="L164" s="82"/>
      <c r="M164" s="82"/>
      <c r="N164" s="82"/>
      <c r="O164" s="82"/>
      <c r="P164" s="81"/>
      <c r="Q164" s="81"/>
      <c r="R164" s="81"/>
      <c r="S164" s="81"/>
      <c r="T164" s="82"/>
      <c r="U164" s="82"/>
      <c r="V164" s="82"/>
      <c r="W164" s="82"/>
      <c r="X164" s="81"/>
      <c r="Y164" s="81"/>
      <c r="Z164" s="81"/>
      <c r="AA164" s="82"/>
      <c r="AB164" s="82"/>
      <c r="AC164" s="83"/>
      <c r="AD164" s="82"/>
      <c r="AE164" s="67"/>
    </row>
    <row r="165" spans="1:31" ht="12.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47"/>
      <c r="AD165" s="23"/>
      <c r="AE165" s="67"/>
    </row>
    <row r="166" spans="1:31" ht="12.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47"/>
      <c r="AD166" s="23"/>
      <c r="AE166" s="23"/>
    </row>
    <row r="167" spans="1:31" ht="12.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47"/>
      <c r="AD167" s="23"/>
      <c r="AE167" s="23"/>
    </row>
  </sheetData>
  <mergeCells count="68">
    <mergeCell ref="T139:W139"/>
    <mergeCell ref="X139:Z139"/>
    <mergeCell ref="AA139:AC139"/>
    <mergeCell ref="P135:R135"/>
    <mergeCell ref="C139:F139"/>
    <mergeCell ref="G139:J139"/>
    <mergeCell ref="L139:O139"/>
    <mergeCell ref="P139:S139"/>
    <mergeCell ref="C134:E134"/>
    <mergeCell ref="F134:H134"/>
    <mergeCell ref="I134:L134"/>
    <mergeCell ref="M134:O134"/>
    <mergeCell ref="P134:R134"/>
    <mergeCell ref="C133:E133"/>
    <mergeCell ref="F133:H133"/>
    <mergeCell ref="I133:L133"/>
    <mergeCell ref="M133:O133"/>
    <mergeCell ref="P133:R133"/>
    <mergeCell ref="C132:E132"/>
    <mergeCell ref="F132:H132"/>
    <mergeCell ref="I132:L132"/>
    <mergeCell ref="M132:O132"/>
    <mergeCell ref="P132:R132"/>
    <mergeCell ref="C131:E131"/>
    <mergeCell ref="F131:H131"/>
    <mergeCell ref="I131:L131"/>
    <mergeCell ref="M131:O131"/>
    <mergeCell ref="P131:R131"/>
    <mergeCell ref="C130:E130"/>
    <mergeCell ref="F130:H130"/>
    <mergeCell ref="I130:L130"/>
    <mergeCell ref="M130:O130"/>
    <mergeCell ref="P130:R130"/>
    <mergeCell ref="C129:E129"/>
    <mergeCell ref="F129:H129"/>
    <mergeCell ref="I129:L129"/>
    <mergeCell ref="M129:O129"/>
    <mergeCell ref="P129:R129"/>
    <mergeCell ref="C128:E128"/>
    <mergeCell ref="F128:H128"/>
    <mergeCell ref="I128:L128"/>
    <mergeCell ref="M128:O128"/>
    <mergeCell ref="P128:R128"/>
    <mergeCell ref="C127:E127"/>
    <mergeCell ref="F127:H127"/>
    <mergeCell ref="I127:L127"/>
    <mergeCell ref="M127:O127"/>
    <mergeCell ref="P127:R127"/>
    <mergeCell ref="C126:E126"/>
    <mergeCell ref="F126:H126"/>
    <mergeCell ref="I126:L126"/>
    <mergeCell ref="M126:O126"/>
    <mergeCell ref="P126:R126"/>
    <mergeCell ref="V124:X124"/>
    <mergeCell ref="C125:E125"/>
    <mergeCell ref="F125:H125"/>
    <mergeCell ref="I125:L125"/>
    <mergeCell ref="M125:O125"/>
    <mergeCell ref="P125:R125"/>
    <mergeCell ref="M1:N1"/>
    <mergeCell ref="O1:U1"/>
    <mergeCell ref="I122:L122"/>
    <mergeCell ref="M122:O122"/>
    <mergeCell ref="C124:E124"/>
    <mergeCell ref="F124:H124"/>
    <mergeCell ref="I124:L124"/>
    <mergeCell ref="M124:O124"/>
    <mergeCell ref="P124:R124"/>
  </mergeCells>
  <pageMargins left="0.7" right="0.7" top="0.75" bottom="0.75"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heetPr>
  <dimension ref="A1:AE167"/>
  <sheetViews>
    <sheetView zoomScaleNormal="100" workbookViewId="0"/>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ustomHeight="1">
      <c r="A1" s="12" t="s">
        <v>0</v>
      </c>
      <c r="B1" s="13" t="s">
        <v>1</v>
      </c>
      <c r="C1" s="13" t="s">
        <v>2</v>
      </c>
      <c r="D1" s="13" t="s">
        <v>3</v>
      </c>
      <c r="E1" s="13" t="s">
        <v>4</v>
      </c>
      <c r="F1" s="13" t="s">
        <v>5</v>
      </c>
      <c r="G1" s="13" t="s">
        <v>6</v>
      </c>
      <c r="H1" s="13" t="s">
        <v>7</v>
      </c>
      <c r="I1" s="13" t="s">
        <v>8</v>
      </c>
      <c r="J1" s="13" t="s">
        <v>9</v>
      </c>
      <c r="K1" s="13" t="s">
        <v>10</v>
      </c>
      <c r="L1" s="14"/>
      <c r="M1" s="11" t="s">
        <v>11</v>
      </c>
      <c r="N1" s="11"/>
      <c r="O1" s="10" t="s">
        <v>12</v>
      </c>
      <c r="P1" s="10"/>
      <c r="Q1" s="10"/>
      <c r="R1" s="10"/>
      <c r="S1" s="10"/>
      <c r="T1" s="10"/>
      <c r="U1" s="10"/>
      <c r="V1" s="14"/>
      <c r="W1" s="15">
        <v>46049</v>
      </c>
      <c r="X1" s="14"/>
      <c r="Y1" s="16">
        <f>SUMIFS(Y2:Y120,L2:L120,"&lt;&gt;"&amp;"")</f>
        <v>0</v>
      </c>
      <c r="Z1" s="14" t="s">
        <v>13</v>
      </c>
      <c r="AA1" s="17" t="s">
        <v>14</v>
      </c>
      <c r="AB1" s="18" t="s">
        <v>15</v>
      </c>
      <c r="AC1" s="19">
        <f>SUM(AC2:AC120)</f>
        <v>0</v>
      </c>
      <c r="AD1" s="14"/>
      <c r="AE1" s="14"/>
    </row>
    <row r="2" spans="1:31" ht="15.75" customHeight="1">
      <c r="A2" s="20">
        <f t="shared" ref="A2:A33" si="0">(B2*$P$125+C2*$P$126+D2*$P$127+E2*$P$128+F2*$P$129+G2*$P$130+H2*$P$131+I2*$P$132+J2*$P$133+K2*$P$134)*$T$123</f>
        <v>0</v>
      </c>
      <c r="B2" s="21"/>
      <c r="C2" s="22"/>
      <c r="D2" s="22"/>
      <c r="E2" s="22"/>
      <c r="F2" s="22"/>
      <c r="G2" s="22"/>
      <c r="H2" s="22"/>
      <c r="I2" s="22"/>
      <c r="J2" s="23"/>
      <c r="K2" s="23"/>
      <c r="L2" s="24" t="s">
        <v>16</v>
      </c>
      <c r="M2" s="25"/>
      <c r="N2" s="26"/>
      <c r="O2" s="26"/>
      <c r="P2" s="26"/>
      <c r="Q2" s="26"/>
      <c r="R2" s="26"/>
      <c r="S2" s="26"/>
      <c r="T2" s="26"/>
      <c r="U2" s="26"/>
      <c r="V2" s="26"/>
      <c r="W2" s="26"/>
      <c r="X2" s="26">
        <f>COUNTIF($L$2:L2,"&lt;&gt;"&amp;"")</f>
        <v>1</v>
      </c>
      <c r="Y2" s="27">
        <f t="shared" ref="Y2:Y33" si="1">SUMIF($X$2:$X$120,X2,$A$2:$A$120)</f>
        <v>0</v>
      </c>
      <c r="Z2" s="28"/>
      <c r="AA2" s="29"/>
      <c r="AB2" s="30" t="b">
        <f>TRUE()</f>
        <v>1</v>
      </c>
      <c r="AC2" s="31">
        <f t="shared" ref="AC2:AC33" si="2">IF(L2="",0,IF(AB2=FALSE(),0,Y2))</f>
        <v>0</v>
      </c>
      <c r="AD2" s="23"/>
      <c r="AE2" s="23"/>
    </row>
    <row r="3" spans="1:31" ht="15.75" customHeight="1">
      <c r="A3" s="20">
        <f t="shared" si="0"/>
        <v>0</v>
      </c>
      <c r="B3" s="22"/>
      <c r="C3" s="21"/>
      <c r="D3" s="21"/>
      <c r="E3" s="22"/>
      <c r="F3" s="22"/>
      <c r="G3" s="22"/>
      <c r="H3" s="22"/>
      <c r="I3" s="22"/>
      <c r="J3" s="23"/>
      <c r="K3" s="23"/>
      <c r="L3" s="24" t="s">
        <v>17</v>
      </c>
      <c r="M3" s="26"/>
      <c r="N3" s="26"/>
      <c r="O3" s="26"/>
      <c r="P3" s="26"/>
      <c r="Q3" s="26"/>
      <c r="R3" s="26"/>
      <c r="S3" s="26"/>
      <c r="T3" s="26"/>
      <c r="U3" s="26"/>
      <c r="V3" s="26"/>
      <c r="W3" s="26"/>
      <c r="X3" s="26">
        <f>COUNTIF($L$2:L3,"&lt;&gt;"&amp;"")</f>
        <v>2</v>
      </c>
      <c r="Y3" s="27">
        <f t="shared" si="1"/>
        <v>0</v>
      </c>
      <c r="Z3" s="28"/>
      <c r="AA3" s="29"/>
      <c r="AB3" s="30" t="b">
        <f>TRUE()</f>
        <v>1</v>
      </c>
      <c r="AC3" s="31">
        <f t="shared" si="2"/>
        <v>0</v>
      </c>
      <c r="AD3" s="23"/>
      <c r="AE3" s="23"/>
    </row>
    <row r="4" spans="1:31" ht="15.75" customHeight="1">
      <c r="A4" s="20">
        <f t="shared" si="0"/>
        <v>0</v>
      </c>
      <c r="B4" s="22"/>
      <c r="C4" s="22"/>
      <c r="D4" s="22"/>
      <c r="E4" s="22"/>
      <c r="F4" s="22"/>
      <c r="G4" s="22"/>
      <c r="H4" s="21"/>
      <c r="I4" s="22"/>
      <c r="J4" s="23"/>
      <c r="K4" s="23"/>
      <c r="L4" s="24" t="s">
        <v>18</v>
      </c>
      <c r="M4" s="26"/>
      <c r="N4" s="26"/>
      <c r="O4" s="26"/>
      <c r="P4" s="26"/>
      <c r="Q4" s="26"/>
      <c r="R4" s="26"/>
      <c r="S4" s="26"/>
      <c r="T4" s="26"/>
      <c r="U4" s="26"/>
      <c r="V4" s="26"/>
      <c r="W4" s="26"/>
      <c r="X4" s="26">
        <f>COUNTIF($L$2:L4,"&lt;&gt;"&amp;"")</f>
        <v>3</v>
      </c>
      <c r="Y4" s="27">
        <f t="shared" si="1"/>
        <v>0</v>
      </c>
      <c r="Z4" s="28"/>
      <c r="AA4" s="32"/>
      <c r="AB4" s="30" t="b">
        <f>TRUE()</f>
        <v>1</v>
      </c>
      <c r="AC4" s="31">
        <f t="shared" si="2"/>
        <v>0</v>
      </c>
      <c r="AD4" s="23"/>
      <c r="AE4" s="23"/>
    </row>
    <row r="5" spans="1:31" ht="15.75" customHeight="1">
      <c r="A5" s="20">
        <f t="shared" si="0"/>
        <v>0</v>
      </c>
      <c r="B5" s="23"/>
      <c r="C5" s="23"/>
      <c r="D5" s="23"/>
      <c r="E5" s="23"/>
      <c r="F5" s="23"/>
      <c r="G5" s="23"/>
      <c r="H5" s="23"/>
      <c r="I5" s="23"/>
      <c r="J5" s="23"/>
      <c r="K5" s="23"/>
      <c r="L5" s="24" t="s">
        <v>19</v>
      </c>
      <c r="M5" s="26"/>
      <c r="N5" s="26"/>
      <c r="O5" s="26"/>
      <c r="P5" s="26"/>
      <c r="Q5" s="26"/>
      <c r="R5" s="26"/>
      <c r="S5" s="26"/>
      <c r="T5" s="26"/>
      <c r="U5" s="26"/>
      <c r="V5" s="26"/>
      <c r="W5" s="26"/>
      <c r="X5" s="26">
        <f>COUNTIF($L$2:L5,"&lt;&gt;"&amp;"")</f>
        <v>4</v>
      </c>
      <c r="Y5" s="27">
        <f t="shared" si="1"/>
        <v>0</v>
      </c>
      <c r="Z5" s="28"/>
      <c r="AA5" s="32"/>
      <c r="AB5" s="30" t="b">
        <f>TRUE()</f>
        <v>1</v>
      </c>
      <c r="AC5" s="31">
        <f t="shared" si="2"/>
        <v>0</v>
      </c>
      <c r="AD5" s="23"/>
      <c r="AE5" s="23"/>
    </row>
    <row r="6" spans="1:31" ht="15" customHeight="1">
      <c r="A6" s="20">
        <f t="shared" si="0"/>
        <v>0</v>
      </c>
      <c r="B6" s="23"/>
      <c r="C6" s="23"/>
      <c r="D6" s="23"/>
      <c r="E6" s="23"/>
      <c r="F6" s="23"/>
      <c r="G6" s="23"/>
      <c r="H6" s="23"/>
      <c r="I6" s="23"/>
      <c r="J6" s="23"/>
      <c r="K6" s="23"/>
      <c r="L6" s="33"/>
      <c r="M6" s="26"/>
      <c r="N6" s="26"/>
      <c r="O6" s="26"/>
      <c r="P6" s="26"/>
      <c r="Q6" s="26"/>
      <c r="R6" s="26"/>
      <c r="S6" s="26"/>
      <c r="T6" s="26"/>
      <c r="U6" s="26"/>
      <c r="V6" s="26"/>
      <c r="W6" s="26"/>
      <c r="X6" s="26">
        <f>COUNTIF($L$2:L6,"&lt;&gt;"&amp;"")</f>
        <v>4</v>
      </c>
      <c r="Y6" s="27">
        <f t="shared" si="1"/>
        <v>0</v>
      </c>
      <c r="Z6" s="28"/>
      <c r="AA6" s="29"/>
      <c r="AB6" s="30" t="b">
        <f>TRUE()</f>
        <v>1</v>
      </c>
      <c r="AC6" s="31">
        <f t="shared" si="2"/>
        <v>0</v>
      </c>
      <c r="AD6" s="23"/>
      <c r="AE6" s="23"/>
    </row>
    <row r="7" spans="1:31" ht="15" customHeight="1">
      <c r="A7" s="20">
        <f t="shared" si="0"/>
        <v>0</v>
      </c>
      <c r="B7" s="23"/>
      <c r="C7" s="23"/>
      <c r="D7" s="23"/>
      <c r="E7" s="23"/>
      <c r="F7" s="23"/>
      <c r="G7" s="23"/>
      <c r="H7" s="23"/>
      <c r="I7" s="23"/>
      <c r="J7" s="23"/>
      <c r="K7" s="23"/>
      <c r="L7" s="33"/>
      <c r="M7" s="26"/>
      <c r="N7" s="26"/>
      <c r="O7" s="26"/>
      <c r="P7" s="26"/>
      <c r="Q7" s="26"/>
      <c r="R7" s="26"/>
      <c r="S7" s="26"/>
      <c r="T7" s="26"/>
      <c r="U7" s="26"/>
      <c r="V7" s="26"/>
      <c r="W7" s="26"/>
      <c r="X7" s="26">
        <f>COUNTIF($L$2:L7,"&lt;&gt;"&amp;"")</f>
        <v>4</v>
      </c>
      <c r="Y7" s="27">
        <f t="shared" si="1"/>
        <v>0</v>
      </c>
      <c r="Z7" s="28"/>
      <c r="AA7" s="32"/>
      <c r="AB7" s="30" t="b">
        <f>TRUE()</f>
        <v>1</v>
      </c>
      <c r="AC7" s="31">
        <f t="shared" si="2"/>
        <v>0</v>
      </c>
      <c r="AD7" s="23"/>
      <c r="AE7" s="23"/>
    </row>
    <row r="8" spans="1:31" ht="15.75" customHeight="1">
      <c r="A8" s="20">
        <f t="shared" si="0"/>
        <v>0</v>
      </c>
      <c r="B8" s="23"/>
      <c r="C8" s="23"/>
      <c r="D8" s="23"/>
      <c r="E8" s="23"/>
      <c r="F8" s="23"/>
      <c r="G8" s="23"/>
      <c r="H8" s="23"/>
      <c r="I8" s="23"/>
      <c r="J8" s="23"/>
      <c r="K8" s="23"/>
      <c r="L8" s="34" t="s">
        <v>124</v>
      </c>
      <c r="M8" s="26"/>
      <c r="N8" s="26"/>
      <c r="O8" s="26"/>
      <c r="P8" s="26"/>
      <c r="Q8" s="26"/>
      <c r="R8" s="26"/>
      <c r="S8" s="26"/>
      <c r="T8" s="26"/>
      <c r="U8" s="26"/>
      <c r="V8" s="26"/>
      <c r="W8" s="26"/>
      <c r="X8" s="26">
        <f>COUNTIF($L$2:L8,"&lt;&gt;"&amp;"")</f>
        <v>5</v>
      </c>
      <c r="Y8" s="27">
        <f t="shared" si="1"/>
        <v>0</v>
      </c>
      <c r="Z8" s="28"/>
      <c r="AA8" s="29"/>
      <c r="AB8" s="30" t="b">
        <f>TRUE()</f>
        <v>1</v>
      </c>
      <c r="AC8" s="31">
        <f t="shared" si="2"/>
        <v>0</v>
      </c>
      <c r="AD8" s="35"/>
      <c r="AE8" s="35"/>
    </row>
    <row r="9" spans="1:31" ht="12.75" customHeight="1">
      <c r="A9" s="20">
        <f t="shared" si="0"/>
        <v>0</v>
      </c>
      <c r="B9" s="23"/>
      <c r="C9" s="23"/>
      <c r="D9" s="23"/>
      <c r="E9" s="23"/>
      <c r="F9" s="23"/>
      <c r="G9" s="23"/>
      <c r="H9" s="23"/>
      <c r="I9" s="23"/>
      <c r="J9" s="23"/>
      <c r="K9" s="23"/>
      <c r="L9" s="26"/>
      <c r="M9" s="36" t="s">
        <v>125</v>
      </c>
      <c r="N9" s="26"/>
      <c r="O9" s="26"/>
      <c r="P9" s="26"/>
      <c r="Q9" s="26"/>
      <c r="R9" s="26"/>
      <c r="S9" s="26"/>
      <c r="T9" s="26"/>
      <c r="U9" s="26"/>
      <c r="V9" s="26"/>
      <c r="W9" s="26"/>
      <c r="X9" s="26">
        <f>COUNTIF($L$2:L9,"&lt;&gt;"&amp;"")</f>
        <v>5</v>
      </c>
      <c r="Y9" s="27">
        <f t="shared" si="1"/>
        <v>0</v>
      </c>
      <c r="Z9" s="28"/>
      <c r="AA9" s="29"/>
      <c r="AB9" s="30" t="b">
        <f>TRUE()</f>
        <v>1</v>
      </c>
      <c r="AC9" s="31">
        <f t="shared" si="2"/>
        <v>0</v>
      </c>
      <c r="AD9" s="35"/>
      <c r="AE9" s="35"/>
    </row>
    <row r="10" spans="1:31" ht="12.75" customHeight="1">
      <c r="A10" s="20">
        <f t="shared" si="0"/>
        <v>0</v>
      </c>
      <c r="B10" s="23"/>
      <c r="C10" s="23"/>
      <c r="D10" s="23"/>
      <c r="E10" s="23"/>
      <c r="F10" s="23"/>
      <c r="G10" s="23"/>
      <c r="H10" s="23"/>
      <c r="I10" s="23"/>
      <c r="J10" s="23"/>
      <c r="K10" s="23"/>
      <c r="L10" s="26"/>
      <c r="M10" s="26"/>
      <c r="N10" s="37" t="s">
        <v>126</v>
      </c>
      <c r="O10" s="26"/>
      <c r="P10" s="26"/>
      <c r="Q10" s="26"/>
      <c r="R10" s="26"/>
      <c r="S10" s="26"/>
      <c r="T10" s="26"/>
      <c r="U10" s="26"/>
      <c r="V10" s="26"/>
      <c r="W10" s="26"/>
      <c r="X10" s="26">
        <f>COUNTIF($L$2:L10,"&lt;&gt;"&amp;"")</f>
        <v>5</v>
      </c>
      <c r="Y10" s="27">
        <f t="shared" si="1"/>
        <v>0</v>
      </c>
      <c r="Z10" s="28"/>
      <c r="AA10" s="29"/>
      <c r="AB10" s="30" t="b">
        <f>TRUE()</f>
        <v>1</v>
      </c>
      <c r="AC10" s="31">
        <f t="shared" si="2"/>
        <v>0</v>
      </c>
      <c r="AD10" s="35"/>
      <c r="AE10" s="35"/>
    </row>
    <row r="11" spans="1:31" ht="12.75" customHeight="1">
      <c r="A11" s="20">
        <f t="shared" si="0"/>
        <v>0</v>
      </c>
      <c r="B11" s="23"/>
      <c r="C11" s="23"/>
      <c r="D11" s="23"/>
      <c r="E11" s="23"/>
      <c r="F11" s="23"/>
      <c r="G11" s="23"/>
      <c r="H11" s="23"/>
      <c r="I11" s="23"/>
      <c r="J11" s="23"/>
      <c r="K11" s="23"/>
      <c r="L11" s="26"/>
      <c r="M11" s="26"/>
      <c r="N11" s="38"/>
      <c r="O11" s="26"/>
      <c r="P11" s="26"/>
      <c r="Q11" s="26"/>
      <c r="R11" s="26"/>
      <c r="S11" s="26"/>
      <c r="T11" s="26"/>
      <c r="U11" s="26"/>
      <c r="V11" s="26"/>
      <c r="W11" s="26"/>
      <c r="X11" s="26">
        <f>COUNTIF($L$2:L11,"&lt;&gt;"&amp;"")</f>
        <v>5</v>
      </c>
      <c r="Y11" s="27">
        <f t="shared" si="1"/>
        <v>0</v>
      </c>
      <c r="Z11" s="28"/>
      <c r="AA11" s="29"/>
      <c r="AB11" s="30" t="b">
        <f>TRUE()</f>
        <v>1</v>
      </c>
      <c r="AC11" s="31">
        <f t="shared" si="2"/>
        <v>0</v>
      </c>
      <c r="AD11" s="35"/>
      <c r="AE11" s="35"/>
    </row>
    <row r="12" spans="1:31" ht="12.75" customHeight="1">
      <c r="A12" s="20">
        <f t="shared" si="0"/>
        <v>0</v>
      </c>
      <c r="B12" s="23"/>
      <c r="C12" s="23"/>
      <c r="D12" s="23"/>
      <c r="E12" s="23"/>
      <c r="F12" s="23"/>
      <c r="G12" s="23"/>
      <c r="H12" s="23"/>
      <c r="I12" s="23"/>
      <c r="J12" s="23"/>
      <c r="K12" s="23"/>
      <c r="L12" s="26"/>
      <c r="M12" s="39"/>
      <c r="N12" s="26"/>
      <c r="O12" s="26"/>
      <c r="P12" s="26"/>
      <c r="Q12" s="26"/>
      <c r="R12" s="26"/>
      <c r="S12" s="26"/>
      <c r="T12" s="26"/>
      <c r="U12" s="26"/>
      <c r="V12" s="26"/>
      <c r="W12" s="26"/>
      <c r="X12" s="26">
        <f>COUNTIF($L$2:L12,"&lt;&gt;"&amp;"")</f>
        <v>5</v>
      </c>
      <c r="Y12" s="27">
        <f t="shared" si="1"/>
        <v>0</v>
      </c>
      <c r="Z12" s="28"/>
      <c r="AA12" s="29"/>
      <c r="AB12" s="30" t="b">
        <f>TRUE()</f>
        <v>1</v>
      </c>
      <c r="AC12" s="31">
        <f t="shared" si="2"/>
        <v>0</v>
      </c>
      <c r="AD12" s="35"/>
      <c r="AE12" s="35"/>
    </row>
    <row r="13" spans="1:31" ht="12.75" customHeight="1">
      <c r="A13" s="20">
        <f t="shared" si="0"/>
        <v>0</v>
      </c>
      <c r="B13" s="23"/>
      <c r="C13" s="23"/>
      <c r="D13" s="23"/>
      <c r="E13" s="23"/>
      <c r="F13" s="23"/>
      <c r="G13" s="23"/>
      <c r="H13" s="23"/>
      <c r="I13" s="23"/>
      <c r="J13" s="23"/>
      <c r="K13" s="23"/>
      <c r="L13" s="26"/>
      <c r="M13" s="26"/>
      <c r="N13" s="38"/>
      <c r="O13" s="26"/>
      <c r="P13" s="26"/>
      <c r="Q13" s="26"/>
      <c r="R13" s="26"/>
      <c r="S13" s="26"/>
      <c r="T13" s="26"/>
      <c r="U13" s="26"/>
      <c r="V13" s="26"/>
      <c r="W13" s="26"/>
      <c r="X13" s="26">
        <f>COUNTIF($L$2:L13,"&lt;&gt;"&amp;"")</f>
        <v>5</v>
      </c>
      <c r="Y13" s="27">
        <f t="shared" si="1"/>
        <v>0</v>
      </c>
      <c r="Z13" s="28"/>
      <c r="AA13" s="29"/>
      <c r="AB13" s="30" t="b">
        <f>TRUE()</f>
        <v>1</v>
      </c>
      <c r="AC13" s="31">
        <f t="shared" si="2"/>
        <v>0</v>
      </c>
      <c r="AD13" s="35"/>
      <c r="AE13" s="35"/>
    </row>
    <row r="14" spans="1:31" ht="15" customHeight="1">
      <c r="A14" s="20">
        <f t="shared" si="0"/>
        <v>0</v>
      </c>
      <c r="B14" s="23"/>
      <c r="C14" s="23"/>
      <c r="D14" s="23"/>
      <c r="E14" s="23"/>
      <c r="F14" s="23"/>
      <c r="G14" s="23"/>
      <c r="H14" s="23"/>
      <c r="I14" s="23"/>
      <c r="J14" s="23"/>
      <c r="K14" s="23"/>
      <c r="L14" s="33"/>
      <c r="M14" s="26"/>
      <c r="N14" s="38"/>
      <c r="O14" s="26"/>
      <c r="P14" s="26"/>
      <c r="Q14" s="26"/>
      <c r="R14" s="26"/>
      <c r="S14" s="26"/>
      <c r="T14" s="26"/>
      <c r="U14" s="26"/>
      <c r="V14" s="26"/>
      <c r="W14" s="26"/>
      <c r="X14" s="26">
        <f>COUNTIF($L$2:L14,"&lt;&gt;"&amp;"")</f>
        <v>5</v>
      </c>
      <c r="Y14" s="27">
        <f t="shared" si="1"/>
        <v>0</v>
      </c>
      <c r="Z14" s="28"/>
      <c r="AA14" s="29"/>
      <c r="AB14" s="30" t="b">
        <f>TRUE()</f>
        <v>1</v>
      </c>
      <c r="AC14" s="31">
        <f t="shared" si="2"/>
        <v>0</v>
      </c>
      <c r="AD14" s="35"/>
      <c r="AE14" s="35"/>
    </row>
    <row r="15" spans="1:31" ht="12.75" customHeight="1">
      <c r="A15" s="20">
        <f t="shared" si="0"/>
        <v>0</v>
      </c>
      <c r="B15" s="23"/>
      <c r="C15" s="23"/>
      <c r="D15" s="23"/>
      <c r="E15" s="23"/>
      <c r="F15" s="23"/>
      <c r="G15" s="23"/>
      <c r="H15" s="23"/>
      <c r="I15" s="23"/>
      <c r="J15" s="23"/>
      <c r="K15" s="23"/>
      <c r="L15" s="26"/>
      <c r="M15" s="26"/>
      <c r="N15" s="26"/>
      <c r="O15" s="26"/>
      <c r="P15" s="26"/>
      <c r="Q15" s="26"/>
      <c r="R15" s="26"/>
      <c r="S15" s="26"/>
      <c r="T15" s="26"/>
      <c r="U15" s="26"/>
      <c r="V15" s="26"/>
      <c r="W15" s="26"/>
      <c r="X15" s="26">
        <f>COUNTIF($L$2:L15,"&lt;&gt;"&amp;"")</f>
        <v>5</v>
      </c>
      <c r="Y15" s="27">
        <f t="shared" si="1"/>
        <v>0</v>
      </c>
      <c r="Z15" s="28"/>
      <c r="AA15" s="29"/>
      <c r="AB15" s="30" t="b">
        <f>TRUE()</f>
        <v>1</v>
      </c>
      <c r="AC15" s="31">
        <f t="shared" si="2"/>
        <v>0</v>
      </c>
      <c r="AD15" s="35"/>
      <c r="AE15" s="35"/>
    </row>
    <row r="16" spans="1:31" ht="12.75" customHeight="1">
      <c r="A16" s="20">
        <f t="shared" si="0"/>
        <v>0</v>
      </c>
      <c r="B16" s="23"/>
      <c r="C16" s="23"/>
      <c r="D16" s="23"/>
      <c r="E16" s="23"/>
      <c r="F16" s="23"/>
      <c r="G16" s="23"/>
      <c r="H16" s="23"/>
      <c r="I16" s="23"/>
      <c r="J16" s="23"/>
      <c r="K16" s="23"/>
      <c r="L16" s="26"/>
      <c r="M16" s="26"/>
      <c r="N16" s="26"/>
      <c r="O16" s="26"/>
      <c r="P16" s="26"/>
      <c r="Q16" s="26"/>
      <c r="R16" s="26"/>
      <c r="S16" s="26"/>
      <c r="T16" s="26"/>
      <c r="U16" s="26"/>
      <c r="V16" s="26"/>
      <c r="W16" s="26"/>
      <c r="X16" s="26">
        <f>COUNTIF($L$2:L16,"&lt;&gt;"&amp;"")</f>
        <v>5</v>
      </c>
      <c r="Y16" s="27">
        <f t="shared" si="1"/>
        <v>0</v>
      </c>
      <c r="Z16" s="28"/>
      <c r="AA16" s="29"/>
      <c r="AB16" s="30" t="b">
        <f>TRUE()</f>
        <v>1</v>
      </c>
      <c r="AC16" s="31">
        <f t="shared" si="2"/>
        <v>0</v>
      </c>
      <c r="AD16" s="35"/>
      <c r="AE16" s="35"/>
    </row>
    <row r="17" spans="1:31" ht="12.75" customHeight="1">
      <c r="A17" s="20">
        <f t="shared" si="0"/>
        <v>0</v>
      </c>
      <c r="B17" s="23"/>
      <c r="C17" s="23"/>
      <c r="D17" s="23"/>
      <c r="E17" s="23"/>
      <c r="F17" s="23"/>
      <c r="G17" s="23"/>
      <c r="H17" s="23"/>
      <c r="I17" s="23"/>
      <c r="J17" s="23"/>
      <c r="K17" s="23"/>
      <c r="L17" s="26"/>
      <c r="M17" s="26"/>
      <c r="N17" s="26"/>
      <c r="O17" s="26"/>
      <c r="P17" s="26"/>
      <c r="Q17" s="26"/>
      <c r="R17" s="26"/>
      <c r="S17" s="26"/>
      <c r="T17" s="26"/>
      <c r="U17" s="26"/>
      <c r="V17" s="26"/>
      <c r="W17" s="26"/>
      <c r="X17" s="26">
        <f>COUNTIF($L$2:L17,"&lt;&gt;"&amp;"")</f>
        <v>5</v>
      </c>
      <c r="Y17" s="27">
        <f t="shared" si="1"/>
        <v>0</v>
      </c>
      <c r="Z17" s="28"/>
      <c r="AA17" s="29"/>
      <c r="AB17" s="30" t="b">
        <f>TRUE()</f>
        <v>1</v>
      </c>
      <c r="AC17" s="31">
        <f t="shared" si="2"/>
        <v>0</v>
      </c>
      <c r="AD17" s="35"/>
      <c r="AE17" s="35"/>
    </row>
    <row r="18" spans="1:31" ht="12.75" customHeight="1">
      <c r="A18" s="20">
        <f t="shared" si="0"/>
        <v>0</v>
      </c>
      <c r="B18" s="23"/>
      <c r="C18" s="23"/>
      <c r="D18" s="23"/>
      <c r="E18" s="23"/>
      <c r="F18" s="23"/>
      <c r="G18" s="23"/>
      <c r="H18" s="23"/>
      <c r="I18" s="23"/>
      <c r="J18" s="23"/>
      <c r="K18" s="23"/>
      <c r="L18" s="26"/>
      <c r="M18" s="26"/>
      <c r="N18" s="26"/>
      <c r="O18" s="26"/>
      <c r="P18" s="26"/>
      <c r="Q18" s="26"/>
      <c r="R18" s="26"/>
      <c r="S18" s="26"/>
      <c r="T18" s="26"/>
      <c r="U18" s="26"/>
      <c r="V18" s="26"/>
      <c r="W18" s="26"/>
      <c r="X18" s="26">
        <f>COUNTIF($L$2:L18,"&lt;&gt;"&amp;"")</f>
        <v>5</v>
      </c>
      <c r="Y18" s="27">
        <f t="shared" si="1"/>
        <v>0</v>
      </c>
      <c r="Z18" s="28"/>
      <c r="AA18" s="29"/>
      <c r="AB18" s="30" t="b">
        <f>TRUE()</f>
        <v>1</v>
      </c>
      <c r="AC18" s="31">
        <f t="shared" si="2"/>
        <v>0</v>
      </c>
      <c r="AD18" s="35"/>
      <c r="AE18" s="35"/>
    </row>
    <row r="19" spans="1:31" ht="15" customHeight="1">
      <c r="A19" s="20">
        <f t="shared" si="0"/>
        <v>0</v>
      </c>
      <c r="B19" s="23"/>
      <c r="C19" s="23"/>
      <c r="D19" s="23"/>
      <c r="E19" s="23"/>
      <c r="F19" s="23"/>
      <c r="G19" s="23"/>
      <c r="H19" s="23"/>
      <c r="I19" s="23"/>
      <c r="J19" s="23"/>
      <c r="K19" s="23"/>
      <c r="L19" s="33"/>
      <c r="M19" s="26"/>
      <c r="N19" s="26"/>
      <c r="O19" s="26"/>
      <c r="P19" s="26"/>
      <c r="Q19" s="26"/>
      <c r="R19" s="26"/>
      <c r="S19" s="26"/>
      <c r="T19" s="26"/>
      <c r="U19" s="26"/>
      <c r="V19" s="26"/>
      <c r="W19" s="26"/>
      <c r="X19" s="26">
        <f>COUNTIF($L$2:L19,"&lt;&gt;"&amp;"")</f>
        <v>5</v>
      </c>
      <c r="Y19" s="27">
        <f t="shared" si="1"/>
        <v>0</v>
      </c>
      <c r="Z19" s="28"/>
      <c r="AA19" s="29"/>
      <c r="AB19" s="30" t="b">
        <f>TRUE()</f>
        <v>1</v>
      </c>
      <c r="AC19" s="31">
        <f t="shared" si="2"/>
        <v>0</v>
      </c>
      <c r="AD19" s="35"/>
      <c r="AE19" s="35"/>
    </row>
    <row r="20" spans="1:31" ht="12.75" customHeight="1">
      <c r="A20" s="20">
        <f t="shared" si="0"/>
        <v>0</v>
      </c>
      <c r="B20" s="23"/>
      <c r="C20" s="23"/>
      <c r="D20" s="23"/>
      <c r="E20" s="23"/>
      <c r="F20" s="23"/>
      <c r="G20" s="23"/>
      <c r="H20" s="23"/>
      <c r="I20" s="23"/>
      <c r="J20" s="23"/>
      <c r="K20" s="23"/>
      <c r="L20" s="26"/>
      <c r="M20" s="26"/>
      <c r="N20" s="26"/>
      <c r="O20" s="26"/>
      <c r="P20" s="26"/>
      <c r="Q20" s="26"/>
      <c r="R20" s="26"/>
      <c r="S20" s="26"/>
      <c r="T20" s="26"/>
      <c r="U20" s="26"/>
      <c r="V20" s="26"/>
      <c r="W20" s="26"/>
      <c r="X20" s="26">
        <f>COUNTIF($L$2:L20,"&lt;&gt;"&amp;"")</f>
        <v>5</v>
      </c>
      <c r="Y20" s="27">
        <f t="shared" si="1"/>
        <v>0</v>
      </c>
      <c r="Z20" s="28"/>
      <c r="AA20" s="29"/>
      <c r="AB20" s="30" t="b">
        <f>TRUE()</f>
        <v>1</v>
      </c>
      <c r="AC20" s="31">
        <f t="shared" si="2"/>
        <v>0</v>
      </c>
      <c r="AD20" s="35"/>
      <c r="AE20" s="35"/>
    </row>
    <row r="21" spans="1:31" ht="12.75" customHeight="1">
      <c r="A21" s="20">
        <f t="shared" si="0"/>
        <v>0</v>
      </c>
      <c r="B21" s="23"/>
      <c r="C21" s="23"/>
      <c r="D21" s="23"/>
      <c r="E21" s="23"/>
      <c r="F21" s="23"/>
      <c r="G21" s="23"/>
      <c r="H21" s="23"/>
      <c r="I21" s="23"/>
      <c r="J21" s="23"/>
      <c r="K21" s="23"/>
      <c r="L21" s="26"/>
      <c r="M21" s="26"/>
      <c r="N21" s="26"/>
      <c r="O21" s="26"/>
      <c r="P21" s="26"/>
      <c r="Q21" s="26"/>
      <c r="R21" s="26"/>
      <c r="S21" s="26"/>
      <c r="T21" s="26"/>
      <c r="U21" s="26"/>
      <c r="V21" s="26"/>
      <c r="W21" s="26"/>
      <c r="X21" s="26">
        <f>COUNTIF($L$2:L21,"&lt;&gt;"&amp;"")</f>
        <v>5</v>
      </c>
      <c r="Y21" s="27">
        <f t="shared" si="1"/>
        <v>0</v>
      </c>
      <c r="Z21" s="28"/>
      <c r="AA21" s="29"/>
      <c r="AB21" s="30" t="b">
        <f>TRUE()</f>
        <v>1</v>
      </c>
      <c r="AC21" s="31">
        <f t="shared" si="2"/>
        <v>0</v>
      </c>
      <c r="AD21" s="35"/>
      <c r="AE21" s="35"/>
    </row>
    <row r="22" spans="1:31" ht="12.75" customHeight="1">
      <c r="A22" s="20">
        <f t="shared" si="0"/>
        <v>0</v>
      </c>
      <c r="B22" s="23"/>
      <c r="C22" s="23"/>
      <c r="D22" s="23"/>
      <c r="E22" s="23"/>
      <c r="F22" s="23"/>
      <c r="G22" s="23"/>
      <c r="H22" s="23"/>
      <c r="I22" s="23"/>
      <c r="J22" s="23"/>
      <c r="K22" s="23"/>
      <c r="L22" s="26"/>
      <c r="M22" s="26"/>
      <c r="N22" s="26"/>
      <c r="O22" s="26"/>
      <c r="P22" s="26"/>
      <c r="Q22" s="26"/>
      <c r="R22" s="26"/>
      <c r="S22" s="26"/>
      <c r="T22" s="26"/>
      <c r="U22" s="26"/>
      <c r="V22" s="26"/>
      <c r="W22" s="26"/>
      <c r="X22" s="26">
        <f>COUNTIF($L$2:L22,"&lt;&gt;"&amp;"")</f>
        <v>5</v>
      </c>
      <c r="Y22" s="27">
        <f t="shared" si="1"/>
        <v>0</v>
      </c>
      <c r="Z22" s="28"/>
      <c r="AA22" s="29"/>
      <c r="AB22" s="30" t="b">
        <f>TRUE()</f>
        <v>1</v>
      </c>
      <c r="AC22" s="31">
        <f t="shared" si="2"/>
        <v>0</v>
      </c>
      <c r="AD22" s="35"/>
      <c r="AE22" s="35"/>
    </row>
    <row r="23" spans="1:31" ht="12.75" customHeight="1">
      <c r="A23" s="20">
        <f t="shared" si="0"/>
        <v>0</v>
      </c>
      <c r="B23" s="23"/>
      <c r="C23" s="23"/>
      <c r="D23" s="23"/>
      <c r="E23" s="23"/>
      <c r="F23" s="23"/>
      <c r="G23" s="23"/>
      <c r="H23" s="23"/>
      <c r="I23" s="23"/>
      <c r="J23" s="23"/>
      <c r="K23" s="23"/>
      <c r="L23" s="26"/>
      <c r="M23" s="26"/>
      <c r="N23" s="26"/>
      <c r="O23" s="26"/>
      <c r="P23" s="26"/>
      <c r="Q23" s="26"/>
      <c r="R23" s="26"/>
      <c r="S23" s="26"/>
      <c r="T23" s="26"/>
      <c r="U23" s="26"/>
      <c r="V23" s="26"/>
      <c r="W23" s="26"/>
      <c r="X23" s="26">
        <f>COUNTIF($L$2:L23,"&lt;&gt;"&amp;"")</f>
        <v>5</v>
      </c>
      <c r="Y23" s="27">
        <f t="shared" si="1"/>
        <v>0</v>
      </c>
      <c r="Z23" s="28"/>
      <c r="AA23" s="29"/>
      <c r="AB23" s="30" t="b">
        <f>TRUE()</f>
        <v>1</v>
      </c>
      <c r="AC23" s="31">
        <f t="shared" si="2"/>
        <v>0</v>
      </c>
      <c r="AD23" s="35"/>
      <c r="AE23" s="35"/>
    </row>
    <row r="24" spans="1:31" ht="12.75" customHeight="1">
      <c r="A24" s="20">
        <f t="shared" si="0"/>
        <v>0</v>
      </c>
      <c r="B24" s="23"/>
      <c r="C24" s="23"/>
      <c r="D24" s="23"/>
      <c r="E24" s="23"/>
      <c r="F24" s="23"/>
      <c r="G24" s="23"/>
      <c r="H24" s="23"/>
      <c r="I24" s="23"/>
      <c r="J24" s="23"/>
      <c r="K24" s="23"/>
      <c r="L24" s="26"/>
      <c r="M24" s="40"/>
      <c r="N24" s="26"/>
      <c r="O24" s="26"/>
      <c r="P24" s="26"/>
      <c r="Q24" s="26"/>
      <c r="R24" s="26"/>
      <c r="S24" s="26"/>
      <c r="T24" s="26"/>
      <c r="U24" s="26"/>
      <c r="V24" s="26"/>
      <c r="W24" s="26"/>
      <c r="X24" s="26">
        <f>COUNTIF($L$2:L24,"&lt;&gt;"&amp;"")</f>
        <v>5</v>
      </c>
      <c r="Y24" s="27">
        <f t="shared" si="1"/>
        <v>0</v>
      </c>
      <c r="Z24" s="28"/>
      <c r="AA24" s="29"/>
      <c r="AB24" s="30" t="b">
        <f>TRUE()</f>
        <v>1</v>
      </c>
      <c r="AC24" s="31">
        <f t="shared" si="2"/>
        <v>0</v>
      </c>
      <c r="AD24" s="35"/>
      <c r="AE24" s="35"/>
    </row>
    <row r="25" spans="1:31" ht="15" customHeight="1">
      <c r="A25" s="20">
        <f t="shared" si="0"/>
        <v>0</v>
      </c>
      <c r="B25" s="23"/>
      <c r="C25" s="23"/>
      <c r="D25" s="23"/>
      <c r="E25" s="23"/>
      <c r="F25" s="23"/>
      <c r="G25" s="23"/>
      <c r="H25" s="23"/>
      <c r="I25" s="23"/>
      <c r="J25" s="23"/>
      <c r="K25" s="23"/>
      <c r="L25" s="33"/>
      <c r="M25" s="26"/>
      <c r="N25" s="26"/>
      <c r="O25" s="26"/>
      <c r="P25" s="26"/>
      <c r="Q25" s="26"/>
      <c r="R25" s="26"/>
      <c r="S25" s="26"/>
      <c r="T25" s="26"/>
      <c r="U25" s="26"/>
      <c r="V25" s="26"/>
      <c r="W25" s="26"/>
      <c r="X25" s="26">
        <f>COUNTIF($L$2:L25,"&lt;&gt;"&amp;"")</f>
        <v>5</v>
      </c>
      <c r="Y25" s="27">
        <f t="shared" si="1"/>
        <v>0</v>
      </c>
      <c r="Z25" s="28"/>
      <c r="AA25" s="29"/>
      <c r="AB25" s="30" t="b">
        <f>TRUE()</f>
        <v>1</v>
      </c>
      <c r="AC25" s="31">
        <f t="shared" si="2"/>
        <v>0</v>
      </c>
      <c r="AD25" s="35"/>
      <c r="AE25" s="35"/>
    </row>
    <row r="26" spans="1:31" ht="15" customHeight="1">
      <c r="A26" s="20">
        <f t="shared" si="0"/>
        <v>0</v>
      </c>
      <c r="B26" s="23"/>
      <c r="C26" s="23"/>
      <c r="D26" s="23"/>
      <c r="E26" s="23"/>
      <c r="F26" s="23"/>
      <c r="G26" s="23"/>
      <c r="H26" s="23"/>
      <c r="I26" s="23"/>
      <c r="J26" s="23"/>
      <c r="K26" s="23"/>
      <c r="L26" s="33"/>
      <c r="M26" s="26"/>
      <c r="N26" s="26"/>
      <c r="O26" s="26"/>
      <c r="P26" s="26"/>
      <c r="Q26" s="26"/>
      <c r="R26" s="26"/>
      <c r="S26" s="26"/>
      <c r="T26" s="26"/>
      <c r="U26" s="26"/>
      <c r="V26" s="26"/>
      <c r="W26" s="26"/>
      <c r="X26" s="26">
        <f>COUNTIF($L$2:L26,"&lt;&gt;"&amp;"")</f>
        <v>5</v>
      </c>
      <c r="Y26" s="27">
        <f t="shared" si="1"/>
        <v>0</v>
      </c>
      <c r="Z26" s="28"/>
      <c r="AA26" s="29"/>
      <c r="AB26" s="30" t="b">
        <f>TRUE()</f>
        <v>1</v>
      </c>
      <c r="AC26" s="31">
        <f t="shared" si="2"/>
        <v>0</v>
      </c>
      <c r="AD26" s="35"/>
      <c r="AE26" s="35"/>
    </row>
    <row r="27" spans="1:31" ht="15" customHeight="1">
      <c r="A27" s="20">
        <f t="shared" si="0"/>
        <v>0</v>
      </c>
      <c r="B27" s="23"/>
      <c r="C27" s="23"/>
      <c r="D27" s="23"/>
      <c r="E27" s="23"/>
      <c r="F27" s="23"/>
      <c r="G27" s="23"/>
      <c r="H27" s="23"/>
      <c r="I27" s="23"/>
      <c r="J27" s="23"/>
      <c r="K27" s="23"/>
      <c r="L27" s="33"/>
      <c r="M27" s="26"/>
      <c r="N27" s="26"/>
      <c r="O27" s="26"/>
      <c r="P27" s="26"/>
      <c r="Q27" s="26"/>
      <c r="R27" s="26"/>
      <c r="S27" s="26"/>
      <c r="T27" s="26"/>
      <c r="U27" s="26"/>
      <c r="V27" s="26"/>
      <c r="W27" s="26"/>
      <c r="X27" s="26">
        <f>COUNTIF($L$2:L27,"&lt;&gt;"&amp;"")</f>
        <v>5</v>
      </c>
      <c r="Y27" s="27">
        <f t="shared" si="1"/>
        <v>0</v>
      </c>
      <c r="Z27" s="28"/>
      <c r="AA27" s="29"/>
      <c r="AB27" s="30" t="b">
        <f>TRUE()</f>
        <v>1</v>
      </c>
      <c r="AC27" s="31">
        <f t="shared" si="2"/>
        <v>0</v>
      </c>
      <c r="AD27" s="35"/>
      <c r="AE27" s="35"/>
    </row>
    <row r="28" spans="1:31" ht="15" customHeight="1">
      <c r="A28" s="20">
        <f t="shared" si="0"/>
        <v>0</v>
      </c>
      <c r="B28" s="23"/>
      <c r="C28" s="23"/>
      <c r="D28" s="23"/>
      <c r="E28" s="23"/>
      <c r="F28" s="23"/>
      <c r="G28" s="23"/>
      <c r="H28" s="23"/>
      <c r="I28" s="23"/>
      <c r="J28" s="23"/>
      <c r="K28" s="23"/>
      <c r="L28" s="33"/>
      <c r="M28" s="26"/>
      <c r="N28" s="26"/>
      <c r="O28" s="26"/>
      <c r="P28" s="26"/>
      <c r="Q28" s="26"/>
      <c r="R28" s="26"/>
      <c r="S28" s="26"/>
      <c r="T28" s="26"/>
      <c r="U28" s="26"/>
      <c r="V28" s="26"/>
      <c r="W28" s="26"/>
      <c r="X28" s="26">
        <f>COUNTIF($L$2:L28,"&lt;&gt;"&amp;"")</f>
        <v>5</v>
      </c>
      <c r="Y28" s="27">
        <f t="shared" si="1"/>
        <v>0</v>
      </c>
      <c r="Z28" s="28"/>
      <c r="AA28" s="29"/>
      <c r="AB28" s="30" t="b">
        <f>TRUE()</f>
        <v>1</v>
      </c>
      <c r="AC28" s="31">
        <f t="shared" si="2"/>
        <v>0</v>
      </c>
      <c r="AD28" s="35"/>
      <c r="AE28" s="35"/>
    </row>
    <row r="29" spans="1:31" ht="15" customHeight="1">
      <c r="A29" s="20">
        <f t="shared" si="0"/>
        <v>0</v>
      </c>
      <c r="B29" s="23"/>
      <c r="C29" s="23"/>
      <c r="D29" s="23"/>
      <c r="E29" s="23"/>
      <c r="F29" s="23"/>
      <c r="G29" s="23"/>
      <c r="H29" s="23"/>
      <c r="I29" s="23"/>
      <c r="J29" s="23"/>
      <c r="K29" s="23"/>
      <c r="L29" s="33"/>
      <c r="M29" s="26"/>
      <c r="N29" s="26"/>
      <c r="O29" s="26"/>
      <c r="P29" s="26"/>
      <c r="Q29" s="26"/>
      <c r="R29" s="26"/>
      <c r="S29" s="26"/>
      <c r="T29" s="26"/>
      <c r="U29" s="26"/>
      <c r="V29" s="26"/>
      <c r="W29" s="26"/>
      <c r="X29" s="26">
        <f>COUNTIF($L$2:L29,"&lt;&gt;"&amp;"")</f>
        <v>5</v>
      </c>
      <c r="Y29" s="27">
        <f t="shared" si="1"/>
        <v>0</v>
      </c>
      <c r="Z29" s="28"/>
      <c r="AA29" s="29"/>
      <c r="AB29" s="30" t="b">
        <f>TRUE()</f>
        <v>1</v>
      </c>
      <c r="AC29" s="31">
        <f t="shared" si="2"/>
        <v>0</v>
      </c>
      <c r="AD29" s="35"/>
      <c r="AE29" s="35"/>
    </row>
    <row r="30" spans="1:31" ht="15" customHeight="1">
      <c r="A30" s="20">
        <f t="shared" si="0"/>
        <v>0</v>
      </c>
      <c r="B30" s="23"/>
      <c r="C30" s="23"/>
      <c r="D30" s="23"/>
      <c r="E30" s="23"/>
      <c r="F30" s="23"/>
      <c r="G30" s="23"/>
      <c r="H30" s="23"/>
      <c r="I30" s="23"/>
      <c r="J30" s="23"/>
      <c r="K30" s="23"/>
      <c r="L30" s="33"/>
      <c r="M30" s="26"/>
      <c r="N30" s="26"/>
      <c r="O30" s="26"/>
      <c r="P30" s="26"/>
      <c r="Q30" s="26"/>
      <c r="R30" s="26"/>
      <c r="S30" s="26"/>
      <c r="T30" s="26"/>
      <c r="U30" s="26"/>
      <c r="V30" s="26"/>
      <c r="W30" s="26"/>
      <c r="X30" s="26">
        <f>COUNTIF($L$2:L30,"&lt;&gt;"&amp;"")</f>
        <v>5</v>
      </c>
      <c r="Y30" s="27">
        <f t="shared" si="1"/>
        <v>0</v>
      </c>
      <c r="Z30" s="28"/>
      <c r="AA30" s="29"/>
      <c r="AB30" s="30" t="b">
        <f>TRUE()</f>
        <v>1</v>
      </c>
      <c r="AC30" s="31">
        <f t="shared" si="2"/>
        <v>0</v>
      </c>
      <c r="AD30" s="35"/>
      <c r="AE30" s="35"/>
    </row>
    <row r="31" spans="1:31" ht="15" customHeight="1">
      <c r="A31" s="20">
        <f t="shared" si="0"/>
        <v>0</v>
      </c>
      <c r="B31" s="23"/>
      <c r="C31" s="23"/>
      <c r="D31" s="23"/>
      <c r="E31" s="23"/>
      <c r="F31" s="23"/>
      <c r="G31" s="23"/>
      <c r="H31" s="23"/>
      <c r="I31" s="23"/>
      <c r="J31" s="23"/>
      <c r="K31" s="23"/>
      <c r="L31" s="33"/>
      <c r="M31" s="26"/>
      <c r="N31" s="26"/>
      <c r="O31" s="26"/>
      <c r="P31" s="26"/>
      <c r="Q31" s="26"/>
      <c r="R31" s="26"/>
      <c r="S31" s="26"/>
      <c r="T31" s="26"/>
      <c r="U31" s="26"/>
      <c r="V31" s="26"/>
      <c r="W31" s="26"/>
      <c r="X31" s="26">
        <f>COUNTIF($L$2:L31,"&lt;&gt;"&amp;"")</f>
        <v>5</v>
      </c>
      <c r="Y31" s="27">
        <f t="shared" si="1"/>
        <v>0</v>
      </c>
      <c r="Z31" s="28"/>
      <c r="AA31" s="29"/>
      <c r="AB31" s="30" t="b">
        <f>TRUE()</f>
        <v>1</v>
      </c>
      <c r="AC31" s="31">
        <f t="shared" si="2"/>
        <v>0</v>
      </c>
      <c r="AD31" s="35"/>
      <c r="AE31" s="35"/>
    </row>
    <row r="32" spans="1:31" ht="15" customHeight="1">
      <c r="A32" s="20">
        <f t="shared" si="0"/>
        <v>0</v>
      </c>
      <c r="B32" s="23"/>
      <c r="C32" s="23"/>
      <c r="D32" s="23"/>
      <c r="E32" s="23"/>
      <c r="F32" s="23"/>
      <c r="G32" s="23"/>
      <c r="H32" s="23"/>
      <c r="I32" s="23"/>
      <c r="J32" s="23"/>
      <c r="K32" s="23"/>
      <c r="L32" s="33"/>
      <c r="M32" s="26"/>
      <c r="N32" s="26"/>
      <c r="O32" s="26"/>
      <c r="P32" s="26"/>
      <c r="Q32" s="26"/>
      <c r="R32" s="26"/>
      <c r="S32" s="26"/>
      <c r="T32" s="26"/>
      <c r="U32" s="26"/>
      <c r="V32" s="26"/>
      <c r="W32" s="26"/>
      <c r="X32" s="26">
        <f>COUNTIF($L$2:L32,"&lt;&gt;"&amp;"")</f>
        <v>5</v>
      </c>
      <c r="Y32" s="27">
        <f t="shared" si="1"/>
        <v>0</v>
      </c>
      <c r="Z32" s="28"/>
      <c r="AA32" s="29"/>
      <c r="AB32" s="30" t="b">
        <f>TRUE()</f>
        <v>1</v>
      </c>
      <c r="AC32" s="31">
        <f t="shared" si="2"/>
        <v>0</v>
      </c>
      <c r="AD32" s="35"/>
      <c r="AE32" s="35"/>
    </row>
    <row r="33" spans="1:31" ht="15" customHeight="1">
      <c r="A33" s="20">
        <f t="shared" si="0"/>
        <v>0</v>
      </c>
      <c r="B33" s="23"/>
      <c r="C33" s="23"/>
      <c r="D33" s="23"/>
      <c r="E33" s="23"/>
      <c r="F33" s="23"/>
      <c r="G33" s="23"/>
      <c r="H33" s="23"/>
      <c r="I33" s="23"/>
      <c r="J33" s="23"/>
      <c r="K33" s="23"/>
      <c r="L33" s="33"/>
      <c r="M33" s="26"/>
      <c r="N33" s="26"/>
      <c r="O33" s="26"/>
      <c r="P33" s="26"/>
      <c r="Q33" s="26"/>
      <c r="R33" s="26"/>
      <c r="S33" s="26"/>
      <c r="T33" s="26"/>
      <c r="U33" s="26"/>
      <c r="V33" s="26"/>
      <c r="W33" s="26"/>
      <c r="X33" s="26">
        <f>COUNTIF($L$2:L33,"&lt;&gt;"&amp;"")</f>
        <v>5</v>
      </c>
      <c r="Y33" s="27">
        <f t="shared" si="1"/>
        <v>0</v>
      </c>
      <c r="Z33" s="28"/>
      <c r="AA33" s="29"/>
      <c r="AB33" s="30" t="b">
        <f>TRUE()</f>
        <v>1</v>
      </c>
      <c r="AC33" s="31">
        <f t="shared" si="2"/>
        <v>0</v>
      </c>
      <c r="AD33" s="35"/>
      <c r="AE33" s="35"/>
    </row>
    <row r="34" spans="1:31" ht="15" customHeight="1">
      <c r="A34" s="20">
        <f t="shared" ref="A34:A65" si="3">(B34*$P$125+C34*$P$126+D34*$P$127+E34*$P$128+F34*$P$129+G34*$P$130+H34*$P$131+I34*$P$132+J34*$P$133+K34*$P$134)*$T$123</f>
        <v>0</v>
      </c>
      <c r="B34" s="23"/>
      <c r="C34" s="23"/>
      <c r="D34" s="23"/>
      <c r="E34" s="23"/>
      <c r="F34" s="23"/>
      <c r="G34" s="23"/>
      <c r="H34" s="23"/>
      <c r="I34" s="23"/>
      <c r="J34" s="23"/>
      <c r="K34" s="23"/>
      <c r="L34" s="33"/>
      <c r="M34" s="33"/>
      <c r="N34" s="26"/>
      <c r="O34" s="26"/>
      <c r="P34" s="26"/>
      <c r="Q34" s="26"/>
      <c r="R34" s="26"/>
      <c r="S34" s="26"/>
      <c r="T34" s="26"/>
      <c r="U34" s="26"/>
      <c r="V34" s="26"/>
      <c r="W34" s="26"/>
      <c r="X34" s="26">
        <f>COUNTIF($L$2:L34,"&lt;&gt;"&amp;"")</f>
        <v>5</v>
      </c>
      <c r="Y34" s="27">
        <f t="shared" ref="Y34:Y65" si="4">SUMIF($X$2:$X$120,X34,$A$2:$A$120)</f>
        <v>0</v>
      </c>
      <c r="Z34" s="28"/>
      <c r="AA34" s="29"/>
      <c r="AB34" s="30" t="b">
        <f>TRUE()</f>
        <v>1</v>
      </c>
      <c r="AC34" s="31">
        <f t="shared" ref="AC34:AC65" si="5">IF(L34="",0,IF(AB34=FALSE(),0,Y34))</f>
        <v>0</v>
      </c>
      <c r="AD34" s="35"/>
      <c r="AE34" s="35"/>
    </row>
    <row r="35" spans="1:31" ht="15" customHeight="1">
      <c r="A35" s="20">
        <f t="shared" si="3"/>
        <v>0</v>
      </c>
      <c r="B35" s="23"/>
      <c r="C35" s="23"/>
      <c r="D35" s="23"/>
      <c r="E35" s="23"/>
      <c r="F35" s="23"/>
      <c r="G35" s="23"/>
      <c r="H35" s="23"/>
      <c r="I35" s="23"/>
      <c r="J35" s="23"/>
      <c r="K35" s="23"/>
      <c r="L35" s="33"/>
      <c r="M35" s="26"/>
      <c r="N35" s="41"/>
      <c r="O35" s="26"/>
      <c r="P35" s="26"/>
      <c r="Q35" s="26"/>
      <c r="R35" s="26"/>
      <c r="S35" s="26"/>
      <c r="T35" s="26"/>
      <c r="U35" s="26"/>
      <c r="V35" s="26"/>
      <c r="W35" s="26"/>
      <c r="X35" s="26">
        <f>COUNTIF($L$2:L35,"&lt;&gt;"&amp;"")</f>
        <v>5</v>
      </c>
      <c r="Y35" s="27">
        <f t="shared" si="4"/>
        <v>0</v>
      </c>
      <c r="Z35" s="28"/>
      <c r="AA35" s="29"/>
      <c r="AB35" s="30" t="b">
        <f>TRUE()</f>
        <v>1</v>
      </c>
      <c r="AC35" s="31">
        <f t="shared" si="5"/>
        <v>0</v>
      </c>
      <c r="AD35" s="35"/>
      <c r="AE35" s="35"/>
    </row>
    <row r="36" spans="1:31" ht="15" customHeight="1">
      <c r="A36" s="20">
        <f t="shared" si="3"/>
        <v>0</v>
      </c>
      <c r="B36" s="23"/>
      <c r="C36" s="23"/>
      <c r="D36" s="23"/>
      <c r="E36" s="23"/>
      <c r="F36" s="23"/>
      <c r="G36" s="23"/>
      <c r="H36" s="23"/>
      <c r="I36" s="23"/>
      <c r="J36" s="23"/>
      <c r="K36" s="23"/>
      <c r="L36" s="33"/>
      <c r="M36" s="26"/>
      <c r="N36" s="26"/>
      <c r="O36" s="26"/>
      <c r="P36" s="26"/>
      <c r="Q36" s="26"/>
      <c r="R36" s="26"/>
      <c r="S36" s="26"/>
      <c r="T36" s="26"/>
      <c r="U36" s="26"/>
      <c r="V36" s="26"/>
      <c r="W36" s="26"/>
      <c r="X36" s="26">
        <f>COUNTIF($L$2:L36,"&lt;&gt;"&amp;"")</f>
        <v>5</v>
      </c>
      <c r="Y36" s="27">
        <f t="shared" si="4"/>
        <v>0</v>
      </c>
      <c r="Z36" s="28"/>
      <c r="AA36" s="29"/>
      <c r="AB36" s="30" t="b">
        <f>TRUE()</f>
        <v>1</v>
      </c>
      <c r="AC36" s="31">
        <f t="shared" si="5"/>
        <v>0</v>
      </c>
      <c r="AD36" s="35"/>
      <c r="AE36" s="35"/>
    </row>
    <row r="37" spans="1:31" ht="15" customHeight="1">
      <c r="A37" s="20">
        <f t="shared" si="3"/>
        <v>0</v>
      </c>
      <c r="B37" s="23"/>
      <c r="C37" s="23"/>
      <c r="D37" s="23"/>
      <c r="E37" s="23"/>
      <c r="F37" s="23"/>
      <c r="G37" s="23"/>
      <c r="H37" s="23"/>
      <c r="I37" s="23"/>
      <c r="J37" s="23"/>
      <c r="K37" s="23"/>
      <c r="L37" s="33"/>
      <c r="M37" s="26"/>
      <c r="N37" s="26"/>
      <c r="O37" s="26"/>
      <c r="P37" s="26"/>
      <c r="Q37" s="26"/>
      <c r="R37" s="26"/>
      <c r="S37" s="26"/>
      <c r="T37" s="26"/>
      <c r="U37" s="26"/>
      <c r="V37" s="26"/>
      <c r="W37" s="26"/>
      <c r="X37" s="26">
        <f>COUNTIF($L$2:L37,"&lt;&gt;"&amp;"")</f>
        <v>5</v>
      </c>
      <c r="Y37" s="27">
        <f t="shared" si="4"/>
        <v>0</v>
      </c>
      <c r="Z37" s="28"/>
      <c r="AA37" s="29"/>
      <c r="AB37" s="30" t="b">
        <f>TRUE()</f>
        <v>1</v>
      </c>
      <c r="AC37" s="31">
        <f t="shared" si="5"/>
        <v>0</v>
      </c>
      <c r="AD37" s="35"/>
      <c r="AE37" s="35"/>
    </row>
    <row r="38" spans="1:31" ht="15" customHeight="1">
      <c r="A38" s="20">
        <f t="shared" si="3"/>
        <v>0</v>
      </c>
      <c r="B38" s="23"/>
      <c r="C38" s="23"/>
      <c r="D38" s="23"/>
      <c r="E38" s="23"/>
      <c r="F38" s="23"/>
      <c r="G38" s="23"/>
      <c r="H38" s="23"/>
      <c r="I38" s="23"/>
      <c r="J38" s="23"/>
      <c r="K38" s="23"/>
      <c r="L38" s="33"/>
      <c r="M38" s="26"/>
      <c r="N38" s="26"/>
      <c r="O38" s="26"/>
      <c r="P38" s="26"/>
      <c r="Q38" s="26"/>
      <c r="R38" s="26"/>
      <c r="S38" s="26"/>
      <c r="T38" s="26"/>
      <c r="U38" s="26"/>
      <c r="V38" s="26"/>
      <c r="W38" s="26"/>
      <c r="X38" s="26">
        <f>COUNTIF($L$2:L38,"&lt;&gt;"&amp;"")</f>
        <v>5</v>
      </c>
      <c r="Y38" s="27">
        <f t="shared" si="4"/>
        <v>0</v>
      </c>
      <c r="Z38" s="28"/>
      <c r="AA38" s="29"/>
      <c r="AB38" s="30" t="b">
        <f>TRUE()</f>
        <v>1</v>
      </c>
      <c r="AC38" s="31">
        <f t="shared" si="5"/>
        <v>0</v>
      </c>
      <c r="AD38" s="42"/>
      <c r="AE38" s="42"/>
    </row>
    <row r="39" spans="1:31" ht="15" customHeight="1">
      <c r="A39" s="20">
        <f t="shared" si="3"/>
        <v>0</v>
      </c>
      <c r="B39" s="23"/>
      <c r="C39" s="23"/>
      <c r="D39" s="23"/>
      <c r="E39" s="23"/>
      <c r="F39" s="23"/>
      <c r="G39" s="23"/>
      <c r="H39" s="23"/>
      <c r="I39" s="23"/>
      <c r="J39" s="23"/>
      <c r="K39" s="23"/>
      <c r="L39" s="33"/>
      <c r="M39" s="26"/>
      <c r="N39" s="26"/>
      <c r="O39" s="26"/>
      <c r="P39" s="26"/>
      <c r="Q39" s="26"/>
      <c r="R39" s="26"/>
      <c r="S39" s="26"/>
      <c r="T39" s="26"/>
      <c r="U39" s="26"/>
      <c r="V39" s="26"/>
      <c r="W39" s="26"/>
      <c r="X39" s="26">
        <f>COUNTIF($L$2:L39,"&lt;&gt;"&amp;"")</f>
        <v>5</v>
      </c>
      <c r="Y39" s="27">
        <f t="shared" si="4"/>
        <v>0</v>
      </c>
      <c r="Z39" s="28"/>
      <c r="AA39" s="29"/>
      <c r="AB39" s="30" t="b">
        <f>TRUE()</f>
        <v>1</v>
      </c>
      <c r="AC39" s="31">
        <f t="shared" si="5"/>
        <v>0</v>
      </c>
      <c r="AD39" s="35"/>
      <c r="AE39" s="35"/>
    </row>
    <row r="40" spans="1:31" ht="15" customHeight="1">
      <c r="A40" s="20">
        <f t="shared" si="3"/>
        <v>0</v>
      </c>
      <c r="B40" s="23"/>
      <c r="C40" s="23"/>
      <c r="D40" s="23"/>
      <c r="E40" s="23"/>
      <c r="F40" s="23"/>
      <c r="G40" s="23"/>
      <c r="H40" s="23"/>
      <c r="I40" s="23"/>
      <c r="J40" s="23"/>
      <c r="K40" s="23"/>
      <c r="L40" s="33"/>
      <c r="M40" s="26"/>
      <c r="N40" s="26"/>
      <c r="O40" s="26"/>
      <c r="P40" s="26"/>
      <c r="Q40" s="26"/>
      <c r="R40" s="26"/>
      <c r="S40" s="26"/>
      <c r="T40" s="26"/>
      <c r="U40" s="26"/>
      <c r="V40" s="26"/>
      <c r="W40" s="26"/>
      <c r="X40" s="26">
        <f>COUNTIF($L$2:L40,"&lt;&gt;"&amp;"")</f>
        <v>5</v>
      </c>
      <c r="Y40" s="27">
        <f t="shared" si="4"/>
        <v>0</v>
      </c>
      <c r="Z40" s="28"/>
      <c r="AA40" s="29"/>
      <c r="AB40" s="30" t="b">
        <f>TRUE()</f>
        <v>1</v>
      </c>
      <c r="AC40" s="31">
        <f t="shared" si="5"/>
        <v>0</v>
      </c>
      <c r="AD40" s="42"/>
      <c r="AE40" s="42"/>
    </row>
    <row r="41" spans="1:31" ht="15" customHeight="1">
      <c r="A41" s="20">
        <f t="shared" si="3"/>
        <v>0</v>
      </c>
      <c r="B41" s="23"/>
      <c r="C41" s="23"/>
      <c r="D41" s="23"/>
      <c r="E41" s="23"/>
      <c r="F41" s="23"/>
      <c r="G41" s="23"/>
      <c r="H41" s="23"/>
      <c r="I41" s="23"/>
      <c r="J41" s="23"/>
      <c r="K41" s="23"/>
      <c r="L41" s="33"/>
      <c r="M41" s="26"/>
      <c r="N41" s="26"/>
      <c r="O41" s="26"/>
      <c r="P41" s="26"/>
      <c r="Q41" s="26"/>
      <c r="R41" s="26"/>
      <c r="S41" s="26"/>
      <c r="T41" s="26"/>
      <c r="U41" s="26"/>
      <c r="V41" s="26"/>
      <c r="W41" s="26"/>
      <c r="X41" s="26">
        <f>COUNTIF($L$2:L41,"&lt;&gt;"&amp;"")</f>
        <v>5</v>
      </c>
      <c r="Y41" s="27">
        <f t="shared" si="4"/>
        <v>0</v>
      </c>
      <c r="Z41" s="28"/>
      <c r="AA41" s="29"/>
      <c r="AB41" s="30" t="b">
        <f>TRUE()</f>
        <v>1</v>
      </c>
      <c r="AC41" s="31">
        <f t="shared" si="5"/>
        <v>0</v>
      </c>
      <c r="AD41" s="42"/>
      <c r="AE41" s="42"/>
    </row>
    <row r="42" spans="1:31" ht="15" customHeight="1">
      <c r="A42" s="20">
        <f t="shared" si="3"/>
        <v>0</v>
      </c>
      <c r="B42" s="23"/>
      <c r="C42" s="23"/>
      <c r="D42" s="23"/>
      <c r="E42" s="23"/>
      <c r="F42" s="23"/>
      <c r="G42" s="23"/>
      <c r="H42" s="23"/>
      <c r="I42" s="23"/>
      <c r="J42" s="23"/>
      <c r="K42" s="23"/>
      <c r="L42" s="33"/>
      <c r="M42" s="26"/>
      <c r="N42" s="40"/>
      <c r="O42" s="26"/>
      <c r="P42" s="26"/>
      <c r="Q42" s="26"/>
      <c r="R42" s="26"/>
      <c r="S42" s="26"/>
      <c r="T42" s="26"/>
      <c r="U42" s="26"/>
      <c r="V42" s="26"/>
      <c r="W42" s="26"/>
      <c r="X42" s="26">
        <f>COUNTIF($L$2:L42,"&lt;&gt;"&amp;"")</f>
        <v>5</v>
      </c>
      <c r="Y42" s="27">
        <f t="shared" si="4"/>
        <v>0</v>
      </c>
      <c r="Z42" s="28"/>
      <c r="AA42" s="29"/>
      <c r="AB42" s="30" t="b">
        <f>TRUE()</f>
        <v>1</v>
      </c>
      <c r="AC42" s="31">
        <f t="shared" si="5"/>
        <v>0</v>
      </c>
      <c r="AD42" s="35"/>
      <c r="AE42" s="35"/>
    </row>
    <row r="43" spans="1:31" ht="15" customHeight="1">
      <c r="A43" s="20">
        <f t="shared" si="3"/>
        <v>0</v>
      </c>
      <c r="B43" s="23"/>
      <c r="C43" s="23"/>
      <c r="D43" s="23"/>
      <c r="E43" s="23"/>
      <c r="F43" s="23"/>
      <c r="G43" s="23"/>
      <c r="H43" s="23"/>
      <c r="I43" s="23"/>
      <c r="J43" s="23"/>
      <c r="K43" s="23"/>
      <c r="L43" s="33"/>
      <c r="M43" s="33"/>
      <c r="N43" s="26"/>
      <c r="O43" s="26"/>
      <c r="P43" s="26"/>
      <c r="Q43" s="26"/>
      <c r="R43" s="26"/>
      <c r="S43" s="26"/>
      <c r="T43" s="26"/>
      <c r="U43" s="26"/>
      <c r="V43" s="26"/>
      <c r="W43" s="26"/>
      <c r="X43" s="26">
        <f>COUNTIF($L$2:L43,"&lt;&gt;"&amp;"")</f>
        <v>5</v>
      </c>
      <c r="Y43" s="27">
        <f t="shared" si="4"/>
        <v>0</v>
      </c>
      <c r="Z43" s="28"/>
      <c r="AA43" s="29"/>
      <c r="AB43" s="30" t="b">
        <f>TRUE()</f>
        <v>1</v>
      </c>
      <c r="AC43" s="31">
        <f t="shared" si="5"/>
        <v>0</v>
      </c>
      <c r="AD43" s="35"/>
      <c r="AE43" s="35"/>
    </row>
    <row r="44" spans="1:31" ht="15" customHeight="1">
      <c r="A44" s="20">
        <f t="shared" si="3"/>
        <v>0</v>
      </c>
      <c r="B44" s="23"/>
      <c r="C44" s="23"/>
      <c r="D44" s="23"/>
      <c r="E44" s="23"/>
      <c r="F44" s="23"/>
      <c r="G44" s="23"/>
      <c r="H44" s="23"/>
      <c r="I44" s="23"/>
      <c r="J44" s="23"/>
      <c r="K44" s="23"/>
      <c r="L44" s="33"/>
      <c r="M44" s="26"/>
      <c r="N44" s="26"/>
      <c r="O44" s="26"/>
      <c r="P44" s="26"/>
      <c r="Q44" s="26"/>
      <c r="R44" s="26"/>
      <c r="S44" s="26"/>
      <c r="T44" s="26"/>
      <c r="U44" s="26"/>
      <c r="V44" s="26"/>
      <c r="W44" s="26"/>
      <c r="X44" s="26">
        <f>COUNTIF($L$2:L44,"&lt;&gt;"&amp;"")</f>
        <v>5</v>
      </c>
      <c r="Y44" s="27">
        <f t="shared" si="4"/>
        <v>0</v>
      </c>
      <c r="Z44" s="28"/>
      <c r="AA44" s="29"/>
      <c r="AB44" s="30" t="b">
        <f>TRUE()</f>
        <v>1</v>
      </c>
      <c r="AC44" s="31">
        <f t="shared" si="5"/>
        <v>0</v>
      </c>
      <c r="AD44" s="35"/>
      <c r="AE44" s="35"/>
    </row>
    <row r="45" spans="1:31" ht="15" customHeight="1">
      <c r="A45" s="20">
        <f t="shared" si="3"/>
        <v>0</v>
      </c>
      <c r="B45" s="23"/>
      <c r="C45" s="23"/>
      <c r="D45" s="23"/>
      <c r="E45" s="23"/>
      <c r="F45" s="23"/>
      <c r="G45" s="23"/>
      <c r="H45" s="23"/>
      <c r="I45" s="23"/>
      <c r="J45" s="23"/>
      <c r="K45" s="23"/>
      <c r="L45" s="33"/>
      <c r="M45" s="26"/>
      <c r="N45" s="26"/>
      <c r="O45" s="26"/>
      <c r="P45" s="26"/>
      <c r="Q45" s="26"/>
      <c r="R45" s="26"/>
      <c r="S45" s="26"/>
      <c r="T45" s="26"/>
      <c r="U45" s="26"/>
      <c r="V45" s="26"/>
      <c r="W45" s="26"/>
      <c r="X45" s="26">
        <f>COUNTIF($L$2:L45,"&lt;&gt;"&amp;"")</f>
        <v>5</v>
      </c>
      <c r="Y45" s="27">
        <f t="shared" si="4"/>
        <v>0</v>
      </c>
      <c r="Z45" s="28"/>
      <c r="AA45" s="29"/>
      <c r="AB45" s="30" t="b">
        <f>TRUE()</f>
        <v>1</v>
      </c>
      <c r="AC45" s="31">
        <f t="shared" si="5"/>
        <v>0</v>
      </c>
      <c r="AD45" s="35"/>
      <c r="AE45" s="35"/>
    </row>
    <row r="46" spans="1:31" ht="15" customHeight="1">
      <c r="A46" s="20">
        <f t="shared" si="3"/>
        <v>0</v>
      </c>
      <c r="B46" s="23"/>
      <c r="C46" s="23"/>
      <c r="D46" s="23"/>
      <c r="E46" s="23"/>
      <c r="F46" s="23"/>
      <c r="G46" s="23"/>
      <c r="H46" s="23"/>
      <c r="I46" s="23"/>
      <c r="J46" s="23"/>
      <c r="K46" s="23"/>
      <c r="L46" s="33"/>
      <c r="M46" s="26"/>
      <c r="N46" s="26"/>
      <c r="O46" s="26"/>
      <c r="P46" s="26"/>
      <c r="Q46" s="26"/>
      <c r="R46" s="26"/>
      <c r="S46" s="26"/>
      <c r="T46" s="26"/>
      <c r="U46" s="26"/>
      <c r="V46" s="26"/>
      <c r="W46" s="26"/>
      <c r="X46" s="26">
        <f>COUNTIF($L$2:L46,"&lt;&gt;"&amp;"")</f>
        <v>5</v>
      </c>
      <c r="Y46" s="27">
        <f t="shared" si="4"/>
        <v>0</v>
      </c>
      <c r="Z46" s="28"/>
      <c r="AA46" s="29"/>
      <c r="AB46" s="30" t="b">
        <f>TRUE()</f>
        <v>1</v>
      </c>
      <c r="AC46" s="31">
        <f t="shared" si="5"/>
        <v>0</v>
      </c>
      <c r="AD46" s="35"/>
      <c r="AE46" s="35"/>
    </row>
    <row r="47" spans="1:31" ht="15" customHeight="1">
      <c r="A47" s="20">
        <f t="shared" si="3"/>
        <v>0</v>
      </c>
      <c r="B47" s="23"/>
      <c r="C47" s="23"/>
      <c r="D47" s="23"/>
      <c r="E47" s="23"/>
      <c r="F47" s="23"/>
      <c r="G47" s="23"/>
      <c r="H47" s="23"/>
      <c r="I47" s="23"/>
      <c r="J47" s="23"/>
      <c r="K47" s="23"/>
      <c r="L47" s="33"/>
      <c r="M47" s="26"/>
      <c r="N47" s="26"/>
      <c r="O47" s="26"/>
      <c r="P47" s="26"/>
      <c r="Q47" s="26"/>
      <c r="R47" s="26"/>
      <c r="S47" s="26"/>
      <c r="T47" s="26"/>
      <c r="U47" s="26"/>
      <c r="V47" s="26"/>
      <c r="W47" s="26"/>
      <c r="X47" s="26">
        <f>COUNTIF($L$2:L47,"&lt;&gt;"&amp;"")</f>
        <v>5</v>
      </c>
      <c r="Y47" s="27">
        <f t="shared" si="4"/>
        <v>0</v>
      </c>
      <c r="Z47" s="28"/>
      <c r="AA47" s="29"/>
      <c r="AB47" s="30" t="b">
        <f>TRUE()</f>
        <v>1</v>
      </c>
      <c r="AC47" s="31">
        <f t="shared" si="5"/>
        <v>0</v>
      </c>
      <c r="AD47" s="35"/>
      <c r="AE47" s="35"/>
    </row>
    <row r="48" spans="1:31" ht="15" customHeight="1">
      <c r="A48" s="20">
        <f t="shared" si="3"/>
        <v>0</v>
      </c>
      <c r="B48" s="23"/>
      <c r="C48" s="23"/>
      <c r="D48" s="23"/>
      <c r="E48" s="23"/>
      <c r="F48" s="23"/>
      <c r="G48" s="23"/>
      <c r="H48" s="23"/>
      <c r="I48" s="23"/>
      <c r="J48" s="23"/>
      <c r="K48" s="23"/>
      <c r="L48" s="33"/>
      <c r="M48" s="26"/>
      <c r="N48" s="26"/>
      <c r="O48" s="26"/>
      <c r="P48" s="26"/>
      <c r="Q48" s="26"/>
      <c r="R48" s="26"/>
      <c r="S48" s="26"/>
      <c r="T48" s="26"/>
      <c r="U48" s="26"/>
      <c r="V48" s="26"/>
      <c r="W48" s="26"/>
      <c r="X48" s="26">
        <f>COUNTIF($L$2:L48,"&lt;&gt;"&amp;"")</f>
        <v>5</v>
      </c>
      <c r="Y48" s="27">
        <f t="shared" si="4"/>
        <v>0</v>
      </c>
      <c r="Z48" s="28"/>
      <c r="AA48" s="29"/>
      <c r="AB48" s="30" t="b">
        <f>TRUE()</f>
        <v>1</v>
      </c>
      <c r="AC48" s="31">
        <f t="shared" si="5"/>
        <v>0</v>
      </c>
      <c r="AD48" s="42"/>
      <c r="AE48" s="42"/>
    </row>
    <row r="49" spans="1:31" ht="15" customHeight="1">
      <c r="A49" s="20">
        <f t="shared" si="3"/>
        <v>0</v>
      </c>
      <c r="B49" s="23"/>
      <c r="C49" s="23"/>
      <c r="D49" s="23"/>
      <c r="E49" s="23"/>
      <c r="F49" s="23"/>
      <c r="G49" s="23"/>
      <c r="H49" s="23"/>
      <c r="I49" s="23"/>
      <c r="J49" s="23"/>
      <c r="K49" s="23"/>
      <c r="L49" s="33"/>
      <c r="M49" s="26"/>
      <c r="N49" s="26"/>
      <c r="O49" s="26"/>
      <c r="P49" s="26"/>
      <c r="Q49" s="26"/>
      <c r="R49" s="26"/>
      <c r="S49" s="26"/>
      <c r="T49" s="26"/>
      <c r="U49" s="26"/>
      <c r="V49" s="26"/>
      <c r="W49" s="26"/>
      <c r="X49" s="26">
        <f>COUNTIF($L$2:L49,"&lt;&gt;"&amp;"")</f>
        <v>5</v>
      </c>
      <c r="Y49" s="27">
        <f t="shared" si="4"/>
        <v>0</v>
      </c>
      <c r="Z49" s="28"/>
      <c r="AA49" s="29"/>
      <c r="AB49" s="30" t="b">
        <f>TRUE()</f>
        <v>1</v>
      </c>
      <c r="AC49" s="31">
        <f t="shared" si="5"/>
        <v>0</v>
      </c>
      <c r="AD49" s="42"/>
      <c r="AE49" s="42"/>
    </row>
    <row r="50" spans="1:31" ht="15" customHeight="1">
      <c r="A50" s="20">
        <f t="shared" si="3"/>
        <v>0</v>
      </c>
      <c r="B50" s="23"/>
      <c r="C50" s="23"/>
      <c r="D50" s="23"/>
      <c r="E50" s="23"/>
      <c r="F50" s="23"/>
      <c r="G50" s="23"/>
      <c r="H50" s="23"/>
      <c r="I50" s="23"/>
      <c r="J50" s="23"/>
      <c r="K50" s="23"/>
      <c r="L50" s="33"/>
      <c r="M50" s="33"/>
      <c r="N50" s="26"/>
      <c r="O50" s="26"/>
      <c r="P50" s="26"/>
      <c r="Q50" s="26"/>
      <c r="R50" s="26"/>
      <c r="S50" s="26"/>
      <c r="T50" s="26"/>
      <c r="U50" s="26"/>
      <c r="V50" s="26"/>
      <c r="W50" s="26"/>
      <c r="X50" s="26">
        <f>COUNTIF($L$2:L50,"&lt;&gt;"&amp;"")</f>
        <v>5</v>
      </c>
      <c r="Y50" s="27">
        <f t="shared" si="4"/>
        <v>0</v>
      </c>
      <c r="Z50" s="28"/>
      <c r="AA50" s="29"/>
      <c r="AB50" s="30" t="b">
        <f>TRUE()</f>
        <v>1</v>
      </c>
      <c r="AC50" s="31">
        <f t="shared" si="5"/>
        <v>0</v>
      </c>
      <c r="AD50" s="42"/>
      <c r="AE50" s="42"/>
    </row>
    <row r="51" spans="1:31" ht="15" customHeight="1">
      <c r="A51" s="20">
        <f t="shared" si="3"/>
        <v>0</v>
      </c>
      <c r="B51" s="23"/>
      <c r="C51" s="23"/>
      <c r="D51" s="23"/>
      <c r="E51" s="23"/>
      <c r="F51" s="23"/>
      <c r="G51" s="23"/>
      <c r="H51" s="23"/>
      <c r="I51" s="23"/>
      <c r="J51" s="23"/>
      <c r="K51" s="23"/>
      <c r="L51" s="33"/>
      <c r="M51" s="26"/>
      <c r="N51" s="26"/>
      <c r="O51" s="26"/>
      <c r="P51" s="26"/>
      <c r="Q51" s="26"/>
      <c r="R51" s="26"/>
      <c r="S51" s="26"/>
      <c r="T51" s="26"/>
      <c r="U51" s="26"/>
      <c r="V51" s="26"/>
      <c r="W51" s="26"/>
      <c r="X51" s="26">
        <f>COUNTIF($L$2:L51,"&lt;&gt;"&amp;"")</f>
        <v>5</v>
      </c>
      <c r="Y51" s="27">
        <f t="shared" si="4"/>
        <v>0</v>
      </c>
      <c r="Z51" s="28"/>
      <c r="AA51" s="29"/>
      <c r="AB51" s="30" t="b">
        <f>TRUE()</f>
        <v>1</v>
      </c>
      <c r="AC51" s="31">
        <f t="shared" si="5"/>
        <v>0</v>
      </c>
      <c r="AD51" s="42"/>
      <c r="AE51" s="42"/>
    </row>
    <row r="52" spans="1:31" ht="15" customHeight="1">
      <c r="A52" s="20">
        <f t="shared" si="3"/>
        <v>0</v>
      </c>
      <c r="B52" s="23"/>
      <c r="C52" s="23"/>
      <c r="D52" s="23"/>
      <c r="E52" s="23"/>
      <c r="F52" s="23"/>
      <c r="G52" s="23"/>
      <c r="H52" s="23"/>
      <c r="I52" s="23"/>
      <c r="J52" s="23"/>
      <c r="K52" s="23"/>
      <c r="L52" s="33"/>
      <c r="M52" s="26"/>
      <c r="N52" s="26"/>
      <c r="O52" s="26"/>
      <c r="P52" s="26"/>
      <c r="Q52" s="26"/>
      <c r="R52" s="26"/>
      <c r="S52" s="26"/>
      <c r="T52" s="26"/>
      <c r="U52" s="26"/>
      <c r="V52" s="26"/>
      <c r="W52" s="26"/>
      <c r="X52" s="26">
        <f>COUNTIF($L$2:L52,"&lt;&gt;"&amp;"")</f>
        <v>5</v>
      </c>
      <c r="Y52" s="27">
        <f t="shared" si="4"/>
        <v>0</v>
      </c>
      <c r="Z52" s="28"/>
      <c r="AA52" s="29"/>
      <c r="AB52" s="30" t="b">
        <f>TRUE()</f>
        <v>1</v>
      </c>
      <c r="AC52" s="31">
        <f t="shared" si="5"/>
        <v>0</v>
      </c>
      <c r="AD52" s="42"/>
      <c r="AE52" s="42"/>
    </row>
    <row r="53" spans="1:31" ht="15" customHeight="1">
      <c r="A53" s="20">
        <f t="shared" si="3"/>
        <v>0</v>
      </c>
      <c r="B53" s="23"/>
      <c r="C53" s="23"/>
      <c r="D53" s="23"/>
      <c r="E53" s="23"/>
      <c r="F53" s="23"/>
      <c r="G53" s="23"/>
      <c r="H53" s="23"/>
      <c r="I53" s="23"/>
      <c r="J53" s="23"/>
      <c r="K53" s="23"/>
      <c r="L53" s="33"/>
      <c r="M53" s="33"/>
      <c r="N53" s="26"/>
      <c r="O53" s="26"/>
      <c r="P53" s="26"/>
      <c r="Q53" s="26"/>
      <c r="R53" s="26"/>
      <c r="S53" s="26"/>
      <c r="T53" s="26"/>
      <c r="U53" s="26"/>
      <c r="V53" s="26"/>
      <c r="W53" s="26"/>
      <c r="X53" s="26">
        <f>COUNTIF($L$2:L53,"&lt;&gt;"&amp;"")</f>
        <v>5</v>
      </c>
      <c r="Y53" s="27">
        <f t="shared" si="4"/>
        <v>0</v>
      </c>
      <c r="Z53" s="28"/>
      <c r="AA53" s="29"/>
      <c r="AB53" s="30" t="b">
        <f>TRUE()</f>
        <v>1</v>
      </c>
      <c r="AC53" s="31">
        <f t="shared" si="5"/>
        <v>0</v>
      </c>
      <c r="AD53" s="42"/>
      <c r="AE53" s="42"/>
    </row>
    <row r="54" spans="1:31" ht="15" customHeight="1">
      <c r="A54" s="20">
        <f t="shared" si="3"/>
        <v>0</v>
      </c>
      <c r="B54" s="23"/>
      <c r="C54" s="23"/>
      <c r="D54" s="23"/>
      <c r="E54" s="23"/>
      <c r="F54" s="23"/>
      <c r="G54" s="23"/>
      <c r="H54" s="23"/>
      <c r="I54" s="23"/>
      <c r="J54" s="23"/>
      <c r="K54" s="23"/>
      <c r="L54" s="33"/>
      <c r="M54" s="26"/>
      <c r="N54" s="26"/>
      <c r="O54" s="26"/>
      <c r="P54" s="26"/>
      <c r="Q54" s="26"/>
      <c r="R54" s="26"/>
      <c r="S54" s="26"/>
      <c r="T54" s="26"/>
      <c r="U54" s="26"/>
      <c r="V54" s="26"/>
      <c r="W54" s="26"/>
      <c r="X54" s="26">
        <f>COUNTIF($L$2:L54,"&lt;&gt;"&amp;"")</f>
        <v>5</v>
      </c>
      <c r="Y54" s="27">
        <f t="shared" si="4"/>
        <v>0</v>
      </c>
      <c r="Z54" s="28"/>
      <c r="AA54" s="29"/>
      <c r="AB54" s="30" t="b">
        <f>TRUE()</f>
        <v>1</v>
      </c>
      <c r="AC54" s="31">
        <f t="shared" si="5"/>
        <v>0</v>
      </c>
      <c r="AD54" s="42"/>
      <c r="AE54" s="42"/>
    </row>
    <row r="55" spans="1:31" ht="15" customHeight="1">
      <c r="A55" s="20">
        <f t="shared" si="3"/>
        <v>0</v>
      </c>
      <c r="B55" s="23"/>
      <c r="C55" s="23"/>
      <c r="D55" s="23"/>
      <c r="E55" s="23"/>
      <c r="F55" s="23"/>
      <c r="G55" s="23"/>
      <c r="H55" s="23"/>
      <c r="I55" s="23"/>
      <c r="J55" s="23"/>
      <c r="K55" s="23"/>
      <c r="L55" s="33"/>
      <c r="M55" s="26"/>
      <c r="N55" s="26"/>
      <c r="O55" s="26"/>
      <c r="P55" s="26"/>
      <c r="Q55" s="26"/>
      <c r="R55" s="26"/>
      <c r="S55" s="26"/>
      <c r="T55" s="26"/>
      <c r="U55" s="26"/>
      <c r="V55" s="26"/>
      <c r="W55" s="26"/>
      <c r="X55" s="26">
        <f>COUNTIF($L$2:L55,"&lt;&gt;"&amp;"")</f>
        <v>5</v>
      </c>
      <c r="Y55" s="27">
        <f t="shared" si="4"/>
        <v>0</v>
      </c>
      <c r="Z55" s="28"/>
      <c r="AA55" s="29"/>
      <c r="AB55" s="30" t="b">
        <f>TRUE()</f>
        <v>1</v>
      </c>
      <c r="AC55" s="31">
        <f t="shared" si="5"/>
        <v>0</v>
      </c>
      <c r="AD55" s="42"/>
      <c r="AE55" s="42"/>
    </row>
    <row r="56" spans="1:31" ht="15" customHeight="1">
      <c r="A56" s="20">
        <f t="shared" si="3"/>
        <v>0</v>
      </c>
      <c r="B56" s="23"/>
      <c r="C56" s="23"/>
      <c r="D56" s="23"/>
      <c r="E56" s="23"/>
      <c r="F56" s="23"/>
      <c r="G56" s="23"/>
      <c r="H56" s="23"/>
      <c r="I56" s="23"/>
      <c r="J56" s="23"/>
      <c r="K56" s="23"/>
      <c r="L56" s="33"/>
      <c r="M56" s="26"/>
      <c r="N56" s="26"/>
      <c r="O56" s="26"/>
      <c r="P56" s="26"/>
      <c r="Q56" s="26"/>
      <c r="R56" s="26"/>
      <c r="S56" s="26"/>
      <c r="T56" s="26"/>
      <c r="U56" s="26"/>
      <c r="V56" s="26"/>
      <c r="W56" s="26"/>
      <c r="X56" s="26">
        <f>COUNTIF($L$2:L56,"&lt;&gt;"&amp;"")</f>
        <v>5</v>
      </c>
      <c r="Y56" s="27">
        <f t="shared" si="4"/>
        <v>0</v>
      </c>
      <c r="Z56" s="28"/>
      <c r="AA56" s="29"/>
      <c r="AB56" s="30" t="b">
        <f>TRUE()</f>
        <v>1</v>
      </c>
      <c r="AC56" s="31">
        <f t="shared" si="5"/>
        <v>0</v>
      </c>
      <c r="AD56" s="42"/>
      <c r="AE56" s="42"/>
    </row>
    <row r="57" spans="1:31" ht="15" customHeight="1">
      <c r="A57" s="20">
        <f t="shared" si="3"/>
        <v>0</v>
      </c>
      <c r="B57" s="23"/>
      <c r="C57" s="23"/>
      <c r="D57" s="23"/>
      <c r="E57" s="23"/>
      <c r="F57" s="23"/>
      <c r="G57" s="23"/>
      <c r="H57" s="23"/>
      <c r="I57" s="23"/>
      <c r="J57" s="23"/>
      <c r="K57" s="23"/>
      <c r="L57" s="33"/>
      <c r="M57" s="26"/>
      <c r="N57" s="26"/>
      <c r="O57" s="26"/>
      <c r="P57" s="26"/>
      <c r="Q57" s="26"/>
      <c r="R57" s="26"/>
      <c r="S57" s="26"/>
      <c r="T57" s="26"/>
      <c r="U57" s="26"/>
      <c r="V57" s="26"/>
      <c r="W57" s="26"/>
      <c r="X57" s="26">
        <f>COUNTIF($L$2:L57,"&lt;&gt;"&amp;"")</f>
        <v>5</v>
      </c>
      <c r="Y57" s="27">
        <f t="shared" si="4"/>
        <v>0</v>
      </c>
      <c r="Z57" s="28"/>
      <c r="AA57" s="29"/>
      <c r="AB57" s="30" t="b">
        <f>TRUE()</f>
        <v>1</v>
      </c>
      <c r="AC57" s="31">
        <f t="shared" si="5"/>
        <v>0</v>
      </c>
      <c r="AD57" s="42"/>
      <c r="AE57" s="42"/>
    </row>
    <row r="58" spans="1:31" ht="15" customHeight="1">
      <c r="A58" s="20">
        <f t="shared" si="3"/>
        <v>0</v>
      </c>
      <c r="B58" s="23"/>
      <c r="C58" s="23"/>
      <c r="D58" s="23"/>
      <c r="E58" s="23"/>
      <c r="F58" s="23"/>
      <c r="G58" s="23"/>
      <c r="H58" s="23"/>
      <c r="I58" s="23"/>
      <c r="J58" s="23"/>
      <c r="K58" s="23"/>
      <c r="L58" s="33"/>
      <c r="M58" s="26"/>
      <c r="N58" s="26"/>
      <c r="O58" s="26"/>
      <c r="P58" s="26"/>
      <c r="Q58" s="26"/>
      <c r="R58" s="26"/>
      <c r="S58" s="26"/>
      <c r="T58" s="26"/>
      <c r="U58" s="26"/>
      <c r="V58" s="26"/>
      <c r="W58" s="26"/>
      <c r="X58" s="26">
        <f>COUNTIF($L$2:L58,"&lt;&gt;"&amp;"")</f>
        <v>5</v>
      </c>
      <c r="Y58" s="27">
        <f t="shared" si="4"/>
        <v>0</v>
      </c>
      <c r="Z58" s="28"/>
      <c r="AA58" s="29"/>
      <c r="AB58" s="30" t="b">
        <f>TRUE()</f>
        <v>1</v>
      </c>
      <c r="AC58" s="31">
        <f t="shared" si="5"/>
        <v>0</v>
      </c>
      <c r="AD58" s="42"/>
      <c r="AE58" s="42"/>
    </row>
    <row r="59" spans="1:31" ht="15" customHeight="1">
      <c r="A59" s="20">
        <f t="shared" si="3"/>
        <v>0</v>
      </c>
      <c r="B59" s="23"/>
      <c r="C59" s="23"/>
      <c r="D59" s="23"/>
      <c r="E59" s="23"/>
      <c r="F59" s="23"/>
      <c r="G59" s="23"/>
      <c r="H59" s="23"/>
      <c r="I59" s="23"/>
      <c r="J59" s="23"/>
      <c r="K59" s="23"/>
      <c r="L59" s="33"/>
      <c r="M59" s="26"/>
      <c r="N59" s="26"/>
      <c r="O59" s="26"/>
      <c r="P59" s="26"/>
      <c r="Q59" s="26"/>
      <c r="R59" s="26"/>
      <c r="S59" s="26"/>
      <c r="T59" s="26"/>
      <c r="U59" s="26"/>
      <c r="V59" s="26"/>
      <c r="W59" s="26"/>
      <c r="X59" s="26">
        <f>COUNTIF($L$2:L59,"&lt;&gt;"&amp;"")</f>
        <v>5</v>
      </c>
      <c r="Y59" s="27">
        <f t="shared" si="4"/>
        <v>0</v>
      </c>
      <c r="Z59" s="28"/>
      <c r="AA59" s="29"/>
      <c r="AB59" s="30" t="b">
        <f>TRUE()</f>
        <v>1</v>
      </c>
      <c r="AC59" s="31">
        <f t="shared" si="5"/>
        <v>0</v>
      </c>
      <c r="AD59" s="42"/>
      <c r="AE59" s="42"/>
    </row>
    <row r="60" spans="1:31" ht="15" customHeight="1">
      <c r="A60" s="20">
        <f t="shared" si="3"/>
        <v>0</v>
      </c>
      <c r="B60" s="23"/>
      <c r="C60" s="23"/>
      <c r="D60" s="23"/>
      <c r="E60" s="23"/>
      <c r="F60" s="23"/>
      <c r="G60" s="23"/>
      <c r="H60" s="23"/>
      <c r="I60" s="23"/>
      <c r="J60" s="23"/>
      <c r="K60" s="23"/>
      <c r="L60" s="33"/>
      <c r="M60" s="26"/>
      <c r="N60" s="26"/>
      <c r="O60" s="26"/>
      <c r="P60" s="26"/>
      <c r="Q60" s="26"/>
      <c r="R60" s="26"/>
      <c r="S60" s="26"/>
      <c r="T60" s="26"/>
      <c r="U60" s="26"/>
      <c r="V60" s="26"/>
      <c r="W60" s="26"/>
      <c r="X60" s="26">
        <f>COUNTIF($L$2:L60,"&lt;&gt;"&amp;"")</f>
        <v>5</v>
      </c>
      <c r="Y60" s="27">
        <f t="shared" si="4"/>
        <v>0</v>
      </c>
      <c r="Z60" s="28"/>
      <c r="AA60" s="29"/>
      <c r="AB60" s="30" t="b">
        <f>TRUE()</f>
        <v>1</v>
      </c>
      <c r="AC60" s="31">
        <f t="shared" si="5"/>
        <v>0</v>
      </c>
      <c r="AD60" s="42"/>
      <c r="AE60" s="42"/>
    </row>
    <row r="61" spans="1:31" ht="15" customHeight="1">
      <c r="A61" s="20">
        <f t="shared" si="3"/>
        <v>0</v>
      </c>
      <c r="B61" s="23"/>
      <c r="C61" s="23"/>
      <c r="D61" s="23"/>
      <c r="E61" s="23"/>
      <c r="F61" s="23"/>
      <c r="G61" s="23"/>
      <c r="H61" s="23"/>
      <c r="I61" s="23"/>
      <c r="J61" s="23"/>
      <c r="K61" s="23"/>
      <c r="L61" s="33"/>
      <c r="M61" s="26"/>
      <c r="N61" s="26"/>
      <c r="O61" s="26"/>
      <c r="P61" s="26"/>
      <c r="Q61" s="26"/>
      <c r="R61" s="26"/>
      <c r="S61" s="26"/>
      <c r="T61" s="26"/>
      <c r="U61" s="26"/>
      <c r="V61" s="26"/>
      <c r="W61" s="26"/>
      <c r="X61" s="26">
        <f>COUNTIF($L$2:L61,"&lt;&gt;"&amp;"")</f>
        <v>5</v>
      </c>
      <c r="Y61" s="27">
        <f t="shared" si="4"/>
        <v>0</v>
      </c>
      <c r="Z61" s="28"/>
      <c r="AA61" s="29"/>
      <c r="AB61" s="30" t="b">
        <f>TRUE()</f>
        <v>1</v>
      </c>
      <c r="AC61" s="31">
        <f t="shared" si="5"/>
        <v>0</v>
      </c>
      <c r="AD61" s="42"/>
      <c r="AE61" s="42"/>
    </row>
    <row r="62" spans="1:31" ht="15" customHeight="1">
      <c r="A62" s="20">
        <f t="shared" si="3"/>
        <v>0</v>
      </c>
      <c r="B62" s="23"/>
      <c r="C62" s="23"/>
      <c r="D62" s="23"/>
      <c r="E62" s="23"/>
      <c r="F62" s="23"/>
      <c r="G62" s="23"/>
      <c r="H62" s="23"/>
      <c r="I62" s="23"/>
      <c r="J62" s="23"/>
      <c r="K62" s="23"/>
      <c r="L62" s="33"/>
      <c r="M62" s="26"/>
      <c r="N62" s="26"/>
      <c r="O62" s="26"/>
      <c r="P62" s="26"/>
      <c r="Q62" s="26"/>
      <c r="R62" s="26"/>
      <c r="S62" s="26"/>
      <c r="T62" s="26"/>
      <c r="U62" s="26"/>
      <c r="V62" s="26"/>
      <c r="W62" s="26"/>
      <c r="X62" s="26">
        <f>COUNTIF($L$2:L62,"&lt;&gt;"&amp;"")</f>
        <v>5</v>
      </c>
      <c r="Y62" s="27">
        <f t="shared" si="4"/>
        <v>0</v>
      </c>
      <c r="Z62" s="28"/>
      <c r="AA62" s="29"/>
      <c r="AB62" s="30" t="b">
        <f>TRUE()</f>
        <v>1</v>
      </c>
      <c r="AC62" s="31">
        <f t="shared" si="5"/>
        <v>0</v>
      </c>
      <c r="AD62" s="42"/>
      <c r="AE62" s="42"/>
    </row>
    <row r="63" spans="1:31" ht="15" customHeight="1">
      <c r="A63" s="20">
        <f t="shared" si="3"/>
        <v>0</v>
      </c>
      <c r="B63" s="23"/>
      <c r="C63" s="23"/>
      <c r="D63" s="23"/>
      <c r="E63" s="23"/>
      <c r="F63" s="23"/>
      <c r="G63" s="23"/>
      <c r="H63" s="23"/>
      <c r="I63" s="23"/>
      <c r="J63" s="23"/>
      <c r="K63" s="23"/>
      <c r="L63" s="33"/>
      <c r="M63" s="26"/>
      <c r="N63" s="26"/>
      <c r="O63" s="26"/>
      <c r="P63" s="26"/>
      <c r="Q63" s="26"/>
      <c r="R63" s="26"/>
      <c r="S63" s="26"/>
      <c r="T63" s="26"/>
      <c r="U63" s="26"/>
      <c r="V63" s="26"/>
      <c r="W63" s="26"/>
      <c r="X63" s="26">
        <f>COUNTIF($L$2:L63,"&lt;&gt;"&amp;"")</f>
        <v>5</v>
      </c>
      <c r="Y63" s="27">
        <f t="shared" si="4"/>
        <v>0</v>
      </c>
      <c r="Z63" s="28"/>
      <c r="AA63" s="29"/>
      <c r="AB63" s="30" t="b">
        <f>TRUE()</f>
        <v>1</v>
      </c>
      <c r="AC63" s="31">
        <f t="shared" si="5"/>
        <v>0</v>
      </c>
      <c r="AD63" s="42"/>
      <c r="AE63" s="42"/>
    </row>
    <row r="64" spans="1:31" ht="15" customHeight="1">
      <c r="A64" s="20">
        <f t="shared" si="3"/>
        <v>0</v>
      </c>
      <c r="B64" s="23"/>
      <c r="C64" s="23"/>
      <c r="D64" s="23"/>
      <c r="E64" s="23"/>
      <c r="F64" s="23"/>
      <c r="G64" s="23"/>
      <c r="H64" s="23"/>
      <c r="I64" s="23"/>
      <c r="J64" s="23"/>
      <c r="K64" s="23"/>
      <c r="L64" s="33"/>
      <c r="M64" s="26"/>
      <c r="N64" s="26"/>
      <c r="O64" s="26"/>
      <c r="P64" s="26"/>
      <c r="Q64" s="26"/>
      <c r="R64" s="26"/>
      <c r="S64" s="26"/>
      <c r="T64" s="26"/>
      <c r="U64" s="26"/>
      <c r="V64" s="26"/>
      <c r="W64" s="26"/>
      <c r="X64" s="26">
        <f>COUNTIF($L$2:L64,"&lt;&gt;"&amp;"")</f>
        <v>5</v>
      </c>
      <c r="Y64" s="27">
        <f t="shared" si="4"/>
        <v>0</v>
      </c>
      <c r="Z64" s="28"/>
      <c r="AA64" s="29"/>
      <c r="AB64" s="30" t="b">
        <f>TRUE()</f>
        <v>1</v>
      </c>
      <c r="AC64" s="31">
        <f t="shared" si="5"/>
        <v>0</v>
      </c>
      <c r="AD64" s="35"/>
      <c r="AE64" s="35"/>
    </row>
    <row r="65" spans="1:31" ht="15" customHeight="1">
      <c r="A65" s="20">
        <f t="shared" si="3"/>
        <v>0</v>
      </c>
      <c r="B65" s="23"/>
      <c r="C65" s="23"/>
      <c r="D65" s="23"/>
      <c r="E65" s="23"/>
      <c r="F65" s="23"/>
      <c r="G65" s="23"/>
      <c r="H65" s="23"/>
      <c r="I65" s="23"/>
      <c r="J65" s="23"/>
      <c r="K65" s="23"/>
      <c r="L65" s="33"/>
      <c r="M65" s="26"/>
      <c r="N65" s="26"/>
      <c r="O65" s="26"/>
      <c r="P65" s="26"/>
      <c r="Q65" s="26"/>
      <c r="R65" s="26"/>
      <c r="S65" s="26"/>
      <c r="T65" s="26"/>
      <c r="U65" s="26"/>
      <c r="V65" s="26"/>
      <c r="W65" s="26"/>
      <c r="X65" s="26">
        <f>COUNTIF($L$2:L65,"&lt;&gt;"&amp;"")</f>
        <v>5</v>
      </c>
      <c r="Y65" s="27">
        <f t="shared" si="4"/>
        <v>0</v>
      </c>
      <c r="Z65" s="28"/>
      <c r="AA65" s="29"/>
      <c r="AB65" s="30" t="b">
        <f>TRUE()</f>
        <v>1</v>
      </c>
      <c r="AC65" s="31">
        <f t="shared" si="5"/>
        <v>0</v>
      </c>
      <c r="AD65" s="42"/>
      <c r="AE65" s="42"/>
    </row>
    <row r="66" spans="1:31" ht="15" customHeight="1">
      <c r="A66" s="20">
        <f t="shared" ref="A66:A97" si="6">(B66*$P$125+C66*$P$126+D66*$P$127+E66*$P$128+F66*$P$129+G66*$P$130+H66*$P$131+I66*$P$132+J66*$P$133+K66*$P$134)*$T$123</f>
        <v>0</v>
      </c>
      <c r="B66" s="23"/>
      <c r="C66" s="23"/>
      <c r="D66" s="23"/>
      <c r="E66" s="23"/>
      <c r="F66" s="23"/>
      <c r="G66" s="23"/>
      <c r="H66" s="23"/>
      <c r="I66" s="23"/>
      <c r="J66" s="23"/>
      <c r="K66" s="23"/>
      <c r="L66" s="33"/>
      <c r="M66" s="33"/>
      <c r="N66" s="26"/>
      <c r="O66" s="26"/>
      <c r="P66" s="26"/>
      <c r="Q66" s="26"/>
      <c r="R66" s="26"/>
      <c r="S66" s="26"/>
      <c r="T66" s="26"/>
      <c r="U66" s="26"/>
      <c r="V66" s="26"/>
      <c r="W66" s="26"/>
      <c r="X66" s="26">
        <f>COUNTIF($L$2:L66,"&lt;&gt;"&amp;"")</f>
        <v>5</v>
      </c>
      <c r="Y66" s="27">
        <f t="shared" ref="Y66:Y97" si="7">SUMIF($X$2:$X$120,X66,$A$2:$A$120)</f>
        <v>0</v>
      </c>
      <c r="Z66" s="28"/>
      <c r="AA66" s="29"/>
      <c r="AB66" s="30" t="b">
        <f>TRUE()</f>
        <v>1</v>
      </c>
      <c r="AC66" s="31">
        <f t="shared" ref="AC66:AC97" si="8">IF(L66="",0,IF(AB66=FALSE(),0,Y66))</f>
        <v>0</v>
      </c>
      <c r="AD66" s="42"/>
      <c r="AE66" s="42"/>
    </row>
    <row r="67" spans="1:31" ht="15" customHeight="1">
      <c r="A67" s="20">
        <f t="shared" si="6"/>
        <v>0</v>
      </c>
      <c r="B67" s="23"/>
      <c r="C67" s="23"/>
      <c r="D67" s="23"/>
      <c r="E67" s="23"/>
      <c r="F67" s="23"/>
      <c r="G67" s="23"/>
      <c r="H67" s="23"/>
      <c r="I67" s="23"/>
      <c r="J67" s="23"/>
      <c r="K67" s="23"/>
      <c r="L67" s="33"/>
      <c r="M67" s="26"/>
      <c r="N67" s="33"/>
      <c r="O67" s="26"/>
      <c r="P67" s="26"/>
      <c r="Q67" s="26"/>
      <c r="R67" s="26"/>
      <c r="S67" s="26"/>
      <c r="T67" s="26"/>
      <c r="U67" s="26"/>
      <c r="V67" s="26"/>
      <c r="W67" s="26"/>
      <c r="X67" s="26">
        <f>COUNTIF($L$2:L67,"&lt;&gt;"&amp;"")</f>
        <v>5</v>
      </c>
      <c r="Y67" s="27">
        <f t="shared" si="7"/>
        <v>0</v>
      </c>
      <c r="Z67" s="28"/>
      <c r="AA67" s="29"/>
      <c r="AB67" s="30" t="b">
        <f>TRUE()</f>
        <v>1</v>
      </c>
      <c r="AC67" s="31">
        <f t="shared" si="8"/>
        <v>0</v>
      </c>
      <c r="AD67" s="42"/>
      <c r="AE67" s="42"/>
    </row>
    <row r="68" spans="1:31" ht="15" customHeight="1">
      <c r="A68" s="20">
        <f t="shared" si="6"/>
        <v>0</v>
      </c>
      <c r="B68" s="23"/>
      <c r="C68" s="23"/>
      <c r="D68" s="23"/>
      <c r="E68" s="23"/>
      <c r="F68" s="23"/>
      <c r="G68" s="23"/>
      <c r="H68" s="23"/>
      <c r="I68" s="23"/>
      <c r="J68" s="23"/>
      <c r="K68" s="23"/>
      <c r="L68" s="33"/>
      <c r="M68" s="26"/>
      <c r="N68" s="26"/>
      <c r="O68" s="26"/>
      <c r="P68" s="26"/>
      <c r="Q68" s="26"/>
      <c r="R68" s="26"/>
      <c r="S68" s="26"/>
      <c r="T68" s="26"/>
      <c r="U68" s="26"/>
      <c r="V68" s="26"/>
      <c r="W68" s="26"/>
      <c r="X68" s="26">
        <f>COUNTIF($L$2:L68,"&lt;&gt;"&amp;"")</f>
        <v>5</v>
      </c>
      <c r="Y68" s="27">
        <f t="shared" si="7"/>
        <v>0</v>
      </c>
      <c r="Z68" s="28"/>
      <c r="AA68" s="29"/>
      <c r="AB68" s="30" t="b">
        <f>TRUE()</f>
        <v>1</v>
      </c>
      <c r="AC68" s="31">
        <f t="shared" si="8"/>
        <v>0</v>
      </c>
      <c r="AD68" s="42"/>
      <c r="AE68" s="42"/>
    </row>
    <row r="69" spans="1:31" ht="15" customHeight="1">
      <c r="A69" s="20">
        <f t="shared" si="6"/>
        <v>0</v>
      </c>
      <c r="B69" s="23"/>
      <c r="C69" s="23"/>
      <c r="D69" s="23"/>
      <c r="E69" s="23"/>
      <c r="F69" s="23"/>
      <c r="G69" s="23"/>
      <c r="H69" s="23"/>
      <c r="I69" s="23"/>
      <c r="J69" s="23"/>
      <c r="K69" s="23"/>
      <c r="L69" s="33"/>
      <c r="M69" s="26"/>
      <c r="N69" s="26"/>
      <c r="O69" s="26"/>
      <c r="P69" s="26"/>
      <c r="Q69" s="26"/>
      <c r="R69" s="26"/>
      <c r="S69" s="26"/>
      <c r="T69" s="26"/>
      <c r="U69" s="26"/>
      <c r="V69" s="26"/>
      <c r="W69" s="26"/>
      <c r="X69" s="26">
        <f>COUNTIF($L$2:L69,"&lt;&gt;"&amp;"")</f>
        <v>5</v>
      </c>
      <c r="Y69" s="27">
        <f t="shared" si="7"/>
        <v>0</v>
      </c>
      <c r="Z69" s="28"/>
      <c r="AA69" s="29"/>
      <c r="AB69" s="30" t="b">
        <f>TRUE()</f>
        <v>1</v>
      </c>
      <c r="AC69" s="31">
        <f t="shared" si="8"/>
        <v>0</v>
      </c>
      <c r="AD69" s="42"/>
      <c r="AE69" s="42"/>
    </row>
    <row r="70" spans="1:31" ht="15" customHeight="1">
      <c r="A70" s="20">
        <f t="shared" si="6"/>
        <v>0</v>
      </c>
      <c r="B70" s="23"/>
      <c r="C70" s="23"/>
      <c r="D70" s="23"/>
      <c r="E70" s="23"/>
      <c r="F70" s="23"/>
      <c r="G70" s="23"/>
      <c r="H70" s="23"/>
      <c r="I70" s="23"/>
      <c r="J70" s="23"/>
      <c r="K70" s="23"/>
      <c r="L70" s="33"/>
      <c r="M70" s="26"/>
      <c r="N70" s="26"/>
      <c r="O70" s="26"/>
      <c r="P70" s="26"/>
      <c r="Q70" s="26"/>
      <c r="R70" s="26"/>
      <c r="S70" s="26"/>
      <c r="T70" s="26"/>
      <c r="U70" s="26"/>
      <c r="V70" s="26"/>
      <c r="W70" s="26"/>
      <c r="X70" s="26">
        <f>COUNTIF($L$2:L70,"&lt;&gt;"&amp;"")</f>
        <v>5</v>
      </c>
      <c r="Y70" s="27">
        <f t="shared" si="7"/>
        <v>0</v>
      </c>
      <c r="Z70" s="28"/>
      <c r="AA70" s="29"/>
      <c r="AB70" s="30" t="b">
        <f>TRUE()</f>
        <v>1</v>
      </c>
      <c r="AC70" s="31">
        <f t="shared" si="8"/>
        <v>0</v>
      </c>
      <c r="AD70" s="42"/>
      <c r="AE70" s="42"/>
    </row>
    <row r="71" spans="1:31" ht="15" customHeight="1">
      <c r="A71" s="20">
        <f t="shared" si="6"/>
        <v>0</v>
      </c>
      <c r="B71" s="23"/>
      <c r="C71" s="23"/>
      <c r="D71" s="23"/>
      <c r="E71" s="23"/>
      <c r="F71" s="23"/>
      <c r="G71" s="23"/>
      <c r="H71" s="23"/>
      <c r="I71" s="23"/>
      <c r="J71" s="23"/>
      <c r="K71" s="23"/>
      <c r="L71" s="33"/>
      <c r="M71" s="26"/>
      <c r="N71" s="26"/>
      <c r="O71" s="26"/>
      <c r="P71" s="26"/>
      <c r="Q71" s="26"/>
      <c r="R71" s="26"/>
      <c r="S71" s="26"/>
      <c r="T71" s="26"/>
      <c r="U71" s="26"/>
      <c r="V71" s="26"/>
      <c r="W71" s="26"/>
      <c r="X71" s="26">
        <f>COUNTIF($L$2:L71,"&lt;&gt;"&amp;"")</f>
        <v>5</v>
      </c>
      <c r="Y71" s="27">
        <f t="shared" si="7"/>
        <v>0</v>
      </c>
      <c r="Z71" s="28"/>
      <c r="AA71" s="29"/>
      <c r="AB71" s="30" t="b">
        <f>TRUE()</f>
        <v>1</v>
      </c>
      <c r="AC71" s="31">
        <f t="shared" si="8"/>
        <v>0</v>
      </c>
      <c r="AD71" s="42"/>
      <c r="AE71" s="42"/>
    </row>
    <row r="72" spans="1:31" ht="15" customHeight="1">
      <c r="A72" s="20">
        <f t="shared" si="6"/>
        <v>0</v>
      </c>
      <c r="B72" s="23"/>
      <c r="C72" s="23"/>
      <c r="D72" s="23"/>
      <c r="E72" s="23"/>
      <c r="F72" s="23"/>
      <c r="G72" s="23"/>
      <c r="H72" s="23"/>
      <c r="I72" s="23"/>
      <c r="J72" s="23"/>
      <c r="K72" s="23"/>
      <c r="L72" s="33"/>
      <c r="M72" s="26"/>
      <c r="N72" s="26"/>
      <c r="O72" s="26"/>
      <c r="P72" s="26"/>
      <c r="Q72" s="26"/>
      <c r="R72" s="26"/>
      <c r="S72" s="26"/>
      <c r="T72" s="26"/>
      <c r="U72" s="26"/>
      <c r="V72" s="26"/>
      <c r="W72" s="26"/>
      <c r="X72" s="26">
        <f>COUNTIF($L$2:L72,"&lt;&gt;"&amp;"")</f>
        <v>5</v>
      </c>
      <c r="Y72" s="27">
        <f t="shared" si="7"/>
        <v>0</v>
      </c>
      <c r="Z72" s="28"/>
      <c r="AA72" s="29"/>
      <c r="AB72" s="30" t="b">
        <f>TRUE()</f>
        <v>1</v>
      </c>
      <c r="AC72" s="31">
        <f t="shared" si="8"/>
        <v>0</v>
      </c>
      <c r="AD72" s="42"/>
      <c r="AE72" s="42"/>
    </row>
    <row r="73" spans="1:31" ht="15" customHeight="1">
      <c r="A73" s="20">
        <f t="shared" si="6"/>
        <v>0</v>
      </c>
      <c r="B73" s="23"/>
      <c r="C73" s="23"/>
      <c r="D73" s="23"/>
      <c r="E73" s="23"/>
      <c r="F73" s="23"/>
      <c r="G73" s="23"/>
      <c r="H73" s="23"/>
      <c r="I73" s="23"/>
      <c r="J73" s="23"/>
      <c r="K73" s="23"/>
      <c r="L73" s="33"/>
      <c r="M73" s="26"/>
      <c r="N73" s="26"/>
      <c r="O73" s="26"/>
      <c r="P73" s="26"/>
      <c r="Q73" s="26"/>
      <c r="R73" s="26"/>
      <c r="S73" s="26"/>
      <c r="T73" s="26"/>
      <c r="U73" s="26"/>
      <c r="V73" s="26"/>
      <c r="W73" s="26"/>
      <c r="X73" s="26">
        <f>COUNTIF($L$2:L73,"&lt;&gt;"&amp;"")</f>
        <v>5</v>
      </c>
      <c r="Y73" s="27">
        <f t="shared" si="7"/>
        <v>0</v>
      </c>
      <c r="Z73" s="28"/>
      <c r="AA73" s="29"/>
      <c r="AB73" s="30" t="b">
        <f>TRUE()</f>
        <v>1</v>
      </c>
      <c r="AC73" s="31">
        <f t="shared" si="8"/>
        <v>0</v>
      </c>
      <c r="AD73" s="42"/>
      <c r="AE73" s="42"/>
    </row>
    <row r="74" spans="1:31" ht="15" customHeight="1">
      <c r="A74" s="20">
        <f t="shared" si="6"/>
        <v>0</v>
      </c>
      <c r="B74" s="23"/>
      <c r="C74" s="23"/>
      <c r="D74" s="23"/>
      <c r="E74" s="23"/>
      <c r="F74" s="23"/>
      <c r="G74" s="23"/>
      <c r="H74" s="23"/>
      <c r="I74" s="23"/>
      <c r="J74" s="23"/>
      <c r="K74" s="23"/>
      <c r="L74" s="33"/>
      <c r="M74" s="33"/>
      <c r="N74" s="26"/>
      <c r="O74" s="26"/>
      <c r="P74" s="26"/>
      <c r="Q74" s="26"/>
      <c r="R74" s="26"/>
      <c r="S74" s="26"/>
      <c r="T74" s="26"/>
      <c r="U74" s="26"/>
      <c r="V74" s="26"/>
      <c r="W74" s="26"/>
      <c r="X74" s="26">
        <f>COUNTIF($L$2:L74,"&lt;&gt;"&amp;"")</f>
        <v>5</v>
      </c>
      <c r="Y74" s="27">
        <f t="shared" si="7"/>
        <v>0</v>
      </c>
      <c r="Z74" s="28"/>
      <c r="AA74" s="29"/>
      <c r="AB74" s="30" t="b">
        <f>TRUE()</f>
        <v>1</v>
      </c>
      <c r="AC74" s="31">
        <f t="shared" si="8"/>
        <v>0</v>
      </c>
      <c r="AD74" s="42"/>
      <c r="AE74" s="42"/>
    </row>
    <row r="75" spans="1:31" ht="15" customHeight="1">
      <c r="A75" s="20">
        <f t="shared" si="6"/>
        <v>0</v>
      </c>
      <c r="B75" s="23"/>
      <c r="C75" s="23"/>
      <c r="D75" s="23"/>
      <c r="E75" s="23"/>
      <c r="F75" s="23"/>
      <c r="G75" s="23"/>
      <c r="H75" s="23"/>
      <c r="I75" s="23"/>
      <c r="J75" s="23"/>
      <c r="K75" s="23"/>
      <c r="L75" s="33"/>
      <c r="M75" s="26"/>
      <c r="N75" s="26"/>
      <c r="O75" s="26"/>
      <c r="P75" s="26"/>
      <c r="Q75" s="26"/>
      <c r="R75" s="26"/>
      <c r="S75" s="26"/>
      <c r="T75" s="26"/>
      <c r="U75" s="26"/>
      <c r="V75" s="26"/>
      <c r="W75" s="26"/>
      <c r="X75" s="26">
        <f>COUNTIF($L$2:L75,"&lt;&gt;"&amp;"")</f>
        <v>5</v>
      </c>
      <c r="Y75" s="27">
        <f t="shared" si="7"/>
        <v>0</v>
      </c>
      <c r="Z75" s="28"/>
      <c r="AA75" s="29"/>
      <c r="AB75" s="30" t="b">
        <f>TRUE()</f>
        <v>1</v>
      </c>
      <c r="AC75" s="31">
        <f t="shared" si="8"/>
        <v>0</v>
      </c>
      <c r="AD75" s="35"/>
      <c r="AE75" s="35"/>
    </row>
    <row r="76" spans="1:31" ht="15" customHeight="1">
      <c r="A76" s="20">
        <f t="shared" si="6"/>
        <v>0</v>
      </c>
      <c r="B76" s="23"/>
      <c r="C76" s="23"/>
      <c r="D76" s="23"/>
      <c r="E76" s="23"/>
      <c r="F76" s="23"/>
      <c r="G76" s="23"/>
      <c r="H76" s="23"/>
      <c r="I76" s="23"/>
      <c r="J76" s="23"/>
      <c r="K76" s="23"/>
      <c r="L76" s="33"/>
      <c r="M76" s="26"/>
      <c r="N76" s="26"/>
      <c r="O76" s="26"/>
      <c r="P76" s="26"/>
      <c r="Q76" s="26"/>
      <c r="R76" s="26"/>
      <c r="S76" s="26"/>
      <c r="T76" s="26"/>
      <c r="U76" s="26"/>
      <c r="V76" s="26"/>
      <c r="W76" s="26"/>
      <c r="X76" s="26">
        <f>COUNTIF($L$2:L76,"&lt;&gt;"&amp;"")</f>
        <v>5</v>
      </c>
      <c r="Y76" s="27">
        <f t="shared" si="7"/>
        <v>0</v>
      </c>
      <c r="Z76" s="28"/>
      <c r="AA76" s="29"/>
      <c r="AB76" s="30" t="b">
        <f>TRUE()</f>
        <v>1</v>
      </c>
      <c r="AC76" s="31">
        <f t="shared" si="8"/>
        <v>0</v>
      </c>
      <c r="AD76" s="35"/>
      <c r="AE76" s="35"/>
    </row>
    <row r="77" spans="1:31" ht="15" customHeight="1">
      <c r="A77" s="20">
        <f t="shared" si="6"/>
        <v>0</v>
      </c>
      <c r="B77" s="23"/>
      <c r="C77" s="23"/>
      <c r="D77" s="23"/>
      <c r="E77" s="23"/>
      <c r="F77" s="23"/>
      <c r="G77" s="23"/>
      <c r="H77" s="23"/>
      <c r="I77" s="23"/>
      <c r="J77" s="23"/>
      <c r="K77" s="23"/>
      <c r="L77" s="33"/>
      <c r="M77" s="26"/>
      <c r="N77" s="26"/>
      <c r="O77" s="26"/>
      <c r="P77" s="26"/>
      <c r="Q77" s="26"/>
      <c r="R77" s="26"/>
      <c r="S77" s="26"/>
      <c r="T77" s="26"/>
      <c r="U77" s="26"/>
      <c r="V77" s="26"/>
      <c r="W77" s="26"/>
      <c r="X77" s="26">
        <f>COUNTIF($L$2:L77,"&lt;&gt;"&amp;"")</f>
        <v>5</v>
      </c>
      <c r="Y77" s="27">
        <f t="shared" si="7"/>
        <v>0</v>
      </c>
      <c r="Z77" s="28"/>
      <c r="AA77" s="29"/>
      <c r="AB77" s="30" t="b">
        <f>TRUE()</f>
        <v>1</v>
      </c>
      <c r="AC77" s="31">
        <f t="shared" si="8"/>
        <v>0</v>
      </c>
      <c r="AD77" s="35"/>
      <c r="AE77" s="35"/>
    </row>
    <row r="78" spans="1:31" ht="15" customHeight="1">
      <c r="A78" s="20">
        <f t="shared" si="6"/>
        <v>0</v>
      </c>
      <c r="B78" s="23"/>
      <c r="C78" s="23"/>
      <c r="D78" s="23"/>
      <c r="E78" s="23"/>
      <c r="F78" s="23"/>
      <c r="G78" s="23"/>
      <c r="H78" s="23"/>
      <c r="I78" s="23"/>
      <c r="J78" s="23"/>
      <c r="K78" s="23"/>
      <c r="L78" s="33"/>
      <c r="M78" s="26"/>
      <c r="N78" s="26"/>
      <c r="O78" s="26"/>
      <c r="P78" s="26"/>
      <c r="Q78" s="26"/>
      <c r="R78" s="26"/>
      <c r="S78" s="26"/>
      <c r="T78" s="26"/>
      <c r="U78" s="26"/>
      <c r="V78" s="26"/>
      <c r="W78" s="26"/>
      <c r="X78" s="26">
        <f>COUNTIF($L$2:L78,"&lt;&gt;"&amp;"")</f>
        <v>5</v>
      </c>
      <c r="Y78" s="27">
        <f t="shared" si="7"/>
        <v>0</v>
      </c>
      <c r="Z78" s="28"/>
      <c r="AA78" s="29"/>
      <c r="AB78" s="30" t="b">
        <f>TRUE()</f>
        <v>1</v>
      </c>
      <c r="AC78" s="31">
        <f t="shared" si="8"/>
        <v>0</v>
      </c>
      <c r="AD78" s="35"/>
      <c r="AE78" s="35"/>
    </row>
    <row r="79" spans="1:31" ht="15" customHeight="1">
      <c r="A79" s="20">
        <f t="shared" si="6"/>
        <v>0</v>
      </c>
      <c r="B79" s="23"/>
      <c r="C79" s="23"/>
      <c r="D79" s="23"/>
      <c r="E79" s="23"/>
      <c r="F79" s="23"/>
      <c r="G79" s="23"/>
      <c r="H79" s="23"/>
      <c r="I79" s="23"/>
      <c r="J79" s="23"/>
      <c r="K79" s="23"/>
      <c r="L79" s="33"/>
      <c r="M79" s="26"/>
      <c r="N79" s="26"/>
      <c r="O79" s="26"/>
      <c r="P79" s="26"/>
      <c r="Q79" s="26"/>
      <c r="R79" s="26"/>
      <c r="S79" s="26"/>
      <c r="T79" s="26"/>
      <c r="U79" s="26"/>
      <c r="V79" s="26"/>
      <c r="W79" s="26"/>
      <c r="X79" s="26">
        <f>COUNTIF($L$2:L79,"&lt;&gt;"&amp;"")</f>
        <v>5</v>
      </c>
      <c r="Y79" s="27">
        <f t="shared" si="7"/>
        <v>0</v>
      </c>
      <c r="Z79" s="28"/>
      <c r="AA79" s="29"/>
      <c r="AB79" s="30" t="b">
        <f>TRUE()</f>
        <v>1</v>
      </c>
      <c r="AC79" s="31">
        <f t="shared" si="8"/>
        <v>0</v>
      </c>
      <c r="AD79" s="35"/>
      <c r="AE79" s="35"/>
    </row>
    <row r="80" spans="1:31" ht="15" customHeight="1">
      <c r="A80" s="20">
        <f t="shared" si="6"/>
        <v>0</v>
      </c>
      <c r="B80" s="23"/>
      <c r="C80" s="23"/>
      <c r="D80" s="23"/>
      <c r="E80" s="23"/>
      <c r="F80" s="23"/>
      <c r="G80" s="23"/>
      <c r="H80" s="23"/>
      <c r="I80" s="23"/>
      <c r="J80" s="23"/>
      <c r="K80" s="23"/>
      <c r="L80" s="33"/>
      <c r="M80" s="26"/>
      <c r="N80" s="26"/>
      <c r="O80" s="26"/>
      <c r="P80" s="26"/>
      <c r="Q80" s="26"/>
      <c r="R80" s="26"/>
      <c r="S80" s="26"/>
      <c r="T80" s="26"/>
      <c r="U80" s="26"/>
      <c r="V80" s="26"/>
      <c r="W80" s="26"/>
      <c r="X80" s="26">
        <f>COUNTIF($L$2:L80,"&lt;&gt;"&amp;"")</f>
        <v>5</v>
      </c>
      <c r="Y80" s="27">
        <f t="shared" si="7"/>
        <v>0</v>
      </c>
      <c r="Z80" s="28"/>
      <c r="AA80" s="29"/>
      <c r="AB80" s="30" t="b">
        <f>TRUE()</f>
        <v>1</v>
      </c>
      <c r="AC80" s="31">
        <f t="shared" si="8"/>
        <v>0</v>
      </c>
      <c r="AD80" s="23"/>
      <c r="AE80" s="23"/>
    </row>
    <row r="81" spans="1:31" ht="15" customHeight="1">
      <c r="A81" s="20">
        <f t="shared" si="6"/>
        <v>0</v>
      </c>
      <c r="B81" s="23"/>
      <c r="C81" s="23"/>
      <c r="D81" s="23"/>
      <c r="E81" s="23"/>
      <c r="F81" s="23"/>
      <c r="G81" s="23"/>
      <c r="H81" s="23"/>
      <c r="I81" s="23"/>
      <c r="J81" s="23"/>
      <c r="K81" s="23"/>
      <c r="L81" s="33"/>
      <c r="M81" s="26"/>
      <c r="N81" s="26"/>
      <c r="O81" s="26"/>
      <c r="P81" s="26"/>
      <c r="Q81" s="26"/>
      <c r="R81" s="26"/>
      <c r="S81" s="26"/>
      <c r="T81" s="26"/>
      <c r="U81" s="26"/>
      <c r="V81" s="26"/>
      <c r="W81" s="26"/>
      <c r="X81" s="26">
        <f>COUNTIF($L$2:L81,"&lt;&gt;"&amp;"")</f>
        <v>5</v>
      </c>
      <c r="Y81" s="27">
        <f t="shared" si="7"/>
        <v>0</v>
      </c>
      <c r="Z81" s="28"/>
      <c r="AA81" s="29"/>
      <c r="AB81" s="30" t="b">
        <f>TRUE()</f>
        <v>1</v>
      </c>
      <c r="AC81" s="31">
        <f t="shared" si="8"/>
        <v>0</v>
      </c>
      <c r="AD81" s="23"/>
      <c r="AE81" s="23"/>
    </row>
    <row r="82" spans="1:31" ht="15" customHeight="1">
      <c r="A82" s="20">
        <f t="shared" si="6"/>
        <v>0</v>
      </c>
      <c r="B82" s="23"/>
      <c r="C82" s="23"/>
      <c r="D82" s="23"/>
      <c r="E82" s="23"/>
      <c r="F82" s="23"/>
      <c r="G82" s="23"/>
      <c r="H82" s="23"/>
      <c r="I82" s="23"/>
      <c r="J82" s="23"/>
      <c r="K82" s="23"/>
      <c r="L82" s="33"/>
      <c r="M82" s="26"/>
      <c r="N82" s="26"/>
      <c r="O82" s="26"/>
      <c r="P82" s="26"/>
      <c r="Q82" s="26"/>
      <c r="R82" s="26"/>
      <c r="S82" s="26"/>
      <c r="T82" s="26"/>
      <c r="U82" s="26"/>
      <c r="V82" s="26"/>
      <c r="W82" s="26"/>
      <c r="X82" s="26">
        <f>COUNTIF($L$2:L82,"&lt;&gt;"&amp;"")</f>
        <v>5</v>
      </c>
      <c r="Y82" s="27">
        <f t="shared" si="7"/>
        <v>0</v>
      </c>
      <c r="Z82" s="28"/>
      <c r="AA82" s="29"/>
      <c r="AB82" s="30" t="b">
        <f>TRUE()</f>
        <v>1</v>
      </c>
      <c r="AC82" s="31">
        <f t="shared" si="8"/>
        <v>0</v>
      </c>
      <c r="AD82" s="23"/>
      <c r="AE82" s="23"/>
    </row>
    <row r="83" spans="1:31" ht="15" customHeight="1">
      <c r="A83" s="20">
        <f t="shared" si="6"/>
        <v>0</v>
      </c>
      <c r="B83" s="23"/>
      <c r="C83" s="23"/>
      <c r="D83" s="23"/>
      <c r="E83" s="23"/>
      <c r="F83" s="23"/>
      <c r="G83" s="23"/>
      <c r="H83" s="23"/>
      <c r="I83" s="23"/>
      <c r="J83" s="23"/>
      <c r="K83" s="23"/>
      <c r="L83" s="33"/>
      <c r="M83" s="26"/>
      <c r="N83" s="26"/>
      <c r="O83" s="26"/>
      <c r="P83" s="26"/>
      <c r="Q83" s="26"/>
      <c r="R83" s="26"/>
      <c r="S83" s="26"/>
      <c r="T83" s="26"/>
      <c r="U83" s="26"/>
      <c r="V83" s="26"/>
      <c r="W83" s="26"/>
      <c r="X83" s="26">
        <f>COUNTIF($L$2:L83,"&lt;&gt;"&amp;"")</f>
        <v>5</v>
      </c>
      <c r="Y83" s="27">
        <f t="shared" si="7"/>
        <v>0</v>
      </c>
      <c r="Z83" s="28"/>
      <c r="AA83" s="29"/>
      <c r="AB83" s="30" t="b">
        <f>TRUE()</f>
        <v>1</v>
      </c>
      <c r="AC83" s="31">
        <f t="shared" si="8"/>
        <v>0</v>
      </c>
      <c r="AD83" s="23"/>
      <c r="AE83" s="23"/>
    </row>
    <row r="84" spans="1:31" ht="15" customHeight="1">
      <c r="A84" s="20">
        <f t="shared" si="6"/>
        <v>0</v>
      </c>
      <c r="B84" s="23"/>
      <c r="C84" s="23"/>
      <c r="D84" s="23"/>
      <c r="E84" s="23"/>
      <c r="F84" s="23"/>
      <c r="G84" s="23"/>
      <c r="H84" s="23"/>
      <c r="I84" s="23"/>
      <c r="J84" s="23"/>
      <c r="K84" s="23"/>
      <c r="L84" s="33"/>
      <c r="M84" s="26"/>
      <c r="N84" s="26"/>
      <c r="O84" s="26"/>
      <c r="P84" s="26"/>
      <c r="Q84" s="26"/>
      <c r="R84" s="26"/>
      <c r="S84" s="26"/>
      <c r="T84" s="26"/>
      <c r="U84" s="26"/>
      <c r="V84" s="26"/>
      <c r="W84" s="26"/>
      <c r="X84" s="26">
        <f>COUNTIF($L$2:L84,"&lt;&gt;"&amp;"")</f>
        <v>5</v>
      </c>
      <c r="Y84" s="27">
        <f t="shared" si="7"/>
        <v>0</v>
      </c>
      <c r="Z84" s="28"/>
      <c r="AA84" s="29"/>
      <c r="AB84" s="30" t="b">
        <f>TRUE()</f>
        <v>1</v>
      </c>
      <c r="AC84" s="31">
        <f t="shared" si="8"/>
        <v>0</v>
      </c>
      <c r="AD84" s="23"/>
      <c r="AE84" s="23"/>
    </row>
    <row r="85" spans="1:31" ht="15" customHeight="1">
      <c r="A85" s="20">
        <f t="shared" si="6"/>
        <v>0</v>
      </c>
      <c r="B85" s="23"/>
      <c r="C85" s="23"/>
      <c r="D85" s="23"/>
      <c r="E85" s="23"/>
      <c r="F85" s="23"/>
      <c r="G85" s="23"/>
      <c r="H85" s="23"/>
      <c r="I85" s="23"/>
      <c r="J85" s="23"/>
      <c r="K85" s="23"/>
      <c r="L85" s="33"/>
      <c r="M85" s="26"/>
      <c r="N85" s="26"/>
      <c r="O85" s="26"/>
      <c r="P85" s="26"/>
      <c r="Q85" s="26"/>
      <c r="R85" s="26"/>
      <c r="S85" s="26"/>
      <c r="T85" s="26"/>
      <c r="U85" s="26"/>
      <c r="V85" s="26"/>
      <c r="W85" s="26"/>
      <c r="X85" s="26">
        <f>COUNTIF($L$2:L85,"&lt;&gt;"&amp;"")</f>
        <v>5</v>
      </c>
      <c r="Y85" s="27">
        <f t="shared" si="7"/>
        <v>0</v>
      </c>
      <c r="Z85" s="28"/>
      <c r="AA85" s="29"/>
      <c r="AB85" s="30" t="b">
        <f>TRUE()</f>
        <v>1</v>
      </c>
      <c r="AC85" s="31">
        <f t="shared" si="8"/>
        <v>0</v>
      </c>
      <c r="AD85" s="42"/>
      <c r="AE85" s="42"/>
    </row>
    <row r="86" spans="1:31" ht="15" customHeight="1">
      <c r="A86" s="20">
        <f t="shared" si="6"/>
        <v>0</v>
      </c>
      <c r="B86" s="23"/>
      <c r="C86" s="23"/>
      <c r="D86" s="23"/>
      <c r="E86" s="23"/>
      <c r="F86" s="23"/>
      <c r="G86" s="23"/>
      <c r="H86" s="23"/>
      <c r="I86" s="23"/>
      <c r="J86" s="23"/>
      <c r="K86" s="23"/>
      <c r="L86" s="33"/>
      <c r="M86" s="26"/>
      <c r="N86" s="26"/>
      <c r="O86" s="26"/>
      <c r="P86" s="26"/>
      <c r="Q86" s="26"/>
      <c r="R86" s="26"/>
      <c r="S86" s="26"/>
      <c r="T86" s="26"/>
      <c r="U86" s="26"/>
      <c r="V86" s="26"/>
      <c r="W86" s="26"/>
      <c r="X86" s="26">
        <f>COUNTIF($L$2:L86,"&lt;&gt;"&amp;"")</f>
        <v>5</v>
      </c>
      <c r="Y86" s="27">
        <f t="shared" si="7"/>
        <v>0</v>
      </c>
      <c r="Z86" s="28"/>
      <c r="AA86" s="29"/>
      <c r="AB86" s="30" t="b">
        <f>TRUE()</f>
        <v>1</v>
      </c>
      <c r="AC86" s="31">
        <f t="shared" si="8"/>
        <v>0</v>
      </c>
      <c r="AD86" s="42"/>
      <c r="AE86" s="42"/>
    </row>
    <row r="87" spans="1:31" ht="15" customHeight="1">
      <c r="A87" s="20">
        <f t="shared" si="6"/>
        <v>0</v>
      </c>
      <c r="B87" s="23"/>
      <c r="C87" s="23"/>
      <c r="D87" s="23"/>
      <c r="E87" s="23"/>
      <c r="F87" s="23"/>
      <c r="G87" s="23"/>
      <c r="H87" s="23"/>
      <c r="I87" s="23"/>
      <c r="J87" s="23"/>
      <c r="K87" s="23"/>
      <c r="L87" s="33"/>
      <c r="M87" s="26"/>
      <c r="N87" s="26"/>
      <c r="O87" s="26"/>
      <c r="P87" s="26"/>
      <c r="Q87" s="26"/>
      <c r="R87" s="26"/>
      <c r="S87" s="26"/>
      <c r="T87" s="26"/>
      <c r="U87" s="26"/>
      <c r="V87" s="26"/>
      <c r="W87" s="26"/>
      <c r="X87" s="26">
        <f>COUNTIF($L$2:L87,"&lt;&gt;"&amp;"")</f>
        <v>5</v>
      </c>
      <c r="Y87" s="27">
        <f t="shared" si="7"/>
        <v>0</v>
      </c>
      <c r="Z87" s="28"/>
      <c r="AA87" s="29"/>
      <c r="AB87" s="30" t="b">
        <f>TRUE()</f>
        <v>1</v>
      </c>
      <c r="AC87" s="31">
        <f t="shared" si="8"/>
        <v>0</v>
      </c>
      <c r="AD87" s="42"/>
      <c r="AE87" s="42"/>
    </row>
    <row r="88" spans="1:31" ht="15" customHeight="1">
      <c r="A88" s="20">
        <f t="shared" si="6"/>
        <v>0</v>
      </c>
      <c r="B88" s="23"/>
      <c r="C88" s="23"/>
      <c r="D88" s="23"/>
      <c r="E88" s="23"/>
      <c r="F88" s="23"/>
      <c r="G88" s="23"/>
      <c r="H88" s="23"/>
      <c r="I88" s="23"/>
      <c r="J88" s="23"/>
      <c r="K88" s="23"/>
      <c r="L88" s="33"/>
      <c r="M88" s="26"/>
      <c r="N88" s="26"/>
      <c r="O88" s="26"/>
      <c r="P88" s="26"/>
      <c r="Q88" s="26"/>
      <c r="R88" s="26"/>
      <c r="S88" s="26"/>
      <c r="T88" s="26"/>
      <c r="U88" s="26"/>
      <c r="V88" s="26"/>
      <c r="W88" s="26"/>
      <c r="X88" s="26">
        <f>COUNTIF($L$2:L88,"&lt;&gt;"&amp;"")</f>
        <v>5</v>
      </c>
      <c r="Y88" s="27">
        <f t="shared" si="7"/>
        <v>0</v>
      </c>
      <c r="Z88" s="28"/>
      <c r="AA88" s="29"/>
      <c r="AB88" s="30" t="b">
        <f>TRUE()</f>
        <v>1</v>
      </c>
      <c r="AC88" s="31">
        <f t="shared" si="8"/>
        <v>0</v>
      </c>
      <c r="AD88" s="42"/>
      <c r="AE88" s="42"/>
    </row>
    <row r="89" spans="1:31" ht="15" customHeight="1">
      <c r="A89" s="20">
        <f t="shared" si="6"/>
        <v>0</v>
      </c>
      <c r="B89" s="23"/>
      <c r="C89" s="23"/>
      <c r="D89" s="23"/>
      <c r="E89" s="23"/>
      <c r="F89" s="23"/>
      <c r="G89" s="23"/>
      <c r="H89" s="23"/>
      <c r="I89" s="23"/>
      <c r="J89" s="23"/>
      <c r="K89" s="23"/>
      <c r="L89" s="33"/>
      <c r="M89" s="26"/>
      <c r="N89" s="26"/>
      <c r="O89" s="26"/>
      <c r="P89" s="26"/>
      <c r="Q89" s="26"/>
      <c r="R89" s="26"/>
      <c r="S89" s="26"/>
      <c r="T89" s="26"/>
      <c r="U89" s="26"/>
      <c r="V89" s="26"/>
      <c r="W89" s="26"/>
      <c r="X89" s="26">
        <f>COUNTIF($L$2:L89,"&lt;&gt;"&amp;"")</f>
        <v>5</v>
      </c>
      <c r="Y89" s="27">
        <f t="shared" si="7"/>
        <v>0</v>
      </c>
      <c r="Z89" s="28"/>
      <c r="AA89" s="29"/>
      <c r="AB89" s="30" t="b">
        <f>TRUE()</f>
        <v>1</v>
      </c>
      <c r="AC89" s="31">
        <f t="shared" si="8"/>
        <v>0</v>
      </c>
      <c r="AD89" s="42"/>
      <c r="AE89" s="42"/>
    </row>
    <row r="90" spans="1:31" ht="15" customHeight="1">
      <c r="A90" s="20">
        <f t="shared" si="6"/>
        <v>0</v>
      </c>
      <c r="B90" s="23"/>
      <c r="C90" s="23"/>
      <c r="D90" s="23"/>
      <c r="E90" s="23"/>
      <c r="F90" s="23"/>
      <c r="G90" s="23"/>
      <c r="H90" s="23"/>
      <c r="I90" s="23"/>
      <c r="J90" s="23"/>
      <c r="K90" s="23"/>
      <c r="L90" s="33"/>
      <c r="M90" s="26"/>
      <c r="N90" s="26"/>
      <c r="O90" s="26"/>
      <c r="P90" s="26"/>
      <c r="Q90" s="26"/>
      <c r="R90" s="26"/>
      <c r="S90" s="26"/>
      <c r="T90" s="26"/>
      <c r="U90" s="26"/>
      <c r="V90" s="26"/>
      <c r="W90" s="26"/>
      <c r="X90" s="26">
        <f>COUNTIF($L$2:L90,"&lt;&gt;"&amp;"")</f>
        <v>5</v>
      </c>
      <c r="Y90" s="27">
        <f t="shared" si="7"/>
        <v>0</v>
      </c>
      <c r="Z90" s="28"/>
      <c r="AA90" s="29"/>
      <c r="AB90" s="30" t="b">
        <f>TRUE()</f>
        <v>1</v>
      </c>
      <c r="AC90" s="31">
        <f t="shared" si="8"/>
        <v>0</v>
      </c>
      <c r="AD90" s="42"/>
      <c r="AE90" s="42"/>
    </row>
    <row r="91" spans="1:31" ht="15" customHeight="1">
      <c r="A91" s="20">
        <f t="shared" si="6"/>
        <v>0</v>
      </c>
      <c r="B91" s="23"/>
      <c r="C91" s="23"/>
      <c r="D91" s="23"/>
      <c r="E91" s="23"/>
      <c r="F91" s="23"/>
      <c r="G91" s="23"/>
      <c r="H91" s="23"/>
      <c r="I91" s="23"/>
      <c r="J91" s="23"/>
      <c r="K91" s="23"/>
      <c r="L91" s="33"/>
      <c r="M91" s="26"/>
      <c r="N91" s="26"/>
      <c r="O91" s="26"/>
      <c r="P91" s="26"/>
      <c r="Q91" s="26"/>
      <c r="R91" s="26"/>
      <c r="S91" s="26"/>
      <c r="T91" s="26"/>
      <c r="U91" s="26"/>
      <c r="V91" s="26"/>
      <c r="W91" s="26"/>
      <c r="X91" s="26">
        <f>COUNTIF($L$2:L91,"&lt;&gt;"&amp;"")</f>
        <v>5</v>
      </c>
      <c r="Y91" s="27">
        <f t="shared" si="7"/>
        <v>0</v>
      </c>
      <c r="Z91" s="28"/>
      <c r="AA91" s="29"/>
      <c r="AB91" s="30" t="b">
        <f>TRUE()</f>
        <v>1</v>
      </c>
      <c r="AC91" s="31">
        <f t="shared" si="8"/>
        <v>0</v>
      </c>
      <c r="AD91" s="42"/>
      <c r="AE91" s="42"/>
    </row>
    <row r="92" spans="1:31" ht="15" customHeight="1">
      <c r="A92" s="20">
        <f t="shared" si="6"/>
        <v>0</v>
      </c>
      <c r="B92" s="23"/>
      <c r="C92" s="23"/>
      <c r="D92" s="23"/>
      <c r="E92" s="23"/>
      <c r="F92" s="23"/>
      <c r="G92" s="23"/>
      <c r="H92" s="23"/>
      <c r="I92" s="23"/>
      <c r="J92" s="23"/>
      <c r="K92" s="23"/>
      <c r="L92" s="33"/>
      <c r="M92" s="26"/>
      <c r="N92" s="26"/>
      <c r="O92" s="26"/>
      <c r="P92" s="26"/>
      <c r="Q92" s="26"/>
      <c r="R92" s="26"/>
      <c r="S92" s="26"/>
      <c r="T92" s="26"/>
      <c r="U92" s="26"/>
      <c r="V92" s="26"/>
      <c r="W92" s="26"/>
      <c r="X92" s="26">
        <f>COUNTIF($L$2:L92,"&lt;&gt;"&amp;"")</f>
        <v>5</v>
      </c>
      <c r="Y92" s="27">
        <f t="shared" si="7"/>
        <v>0</v>
      </c>
      <c r="Z92" s="28"/>
      <c r="AA92" s="29"/>
      <c r="AB92" s="30" t="b">
        <f>TRUE()</f>
        <v>1</v>
      </c>
      <c r="AC92" s="31">
        <f t="shared" si="8"/>
        <v>0</v>
      </c>
      <c r="AD92" s="42"/>
      <c r="AE92" s="42"/>
    </row>
    <row r="93" spans="1:31" ht="15" customHeight="1">
      <c r="A93" s="20">
        <f t="shared" si="6"/>
        <v>0</v>
      </c>
      <c r="B93" s="23"/>
      <c r="C93" s="23"/>
      <c r="D93" s="23"/>
      <c r="E93" s="23"/>
      <c r="F93" s="23"/>
      <c r="G93" s="23"/>
      <c r="H93" s="23"/>
      <c r="I93" s="23"/>
      <c r="J93" s="23"/>
      <c r="K93" s="23"/>
      <c r="L93" s="33"/>
      <c r="M93" s="26"/>
      <c r="N93" s="26"/>
      <c r="O93" s="26"/>
      <c r="P93" s="26"/>
      <c r="Q93" s="26"/>
      <c r="R93" s="26"/>
      <c r="S93" s="26"/>
      <c r="T93" s="26"/>
      <c r="U93" s="26"/>
      <c r="V93" s="26"/>
      <c r="W93" s="26"/>
      <c r="X93" s="26">
        <f>COUNTIF($L$2:L95,"&lt;&gt;"&amp;"")</f>
        <v>5</v>
      </c>
      <c r="Y93" s="27">
        <f t="shared" si="7"/>
        <v>0</v>
      </c>
      <c r="Z93" s="28"/>
      <c r="AA93" s="29"/>
      <c r="AB93" s="30" t="b">
        <f>TRUE()</f>
        <v>1</v>
      </c>
      <c r="AC93" s="31">
        <f t="shared" si="8"/>
        <v>0</v>
      </c>
      <c r="AD93" s="42"/>
      <c r="AE93" s="42"/>
    </row>
    <row r="94" spans="1:31" ht="15" customHeight="1">
      <c r="A94" s="20">
        <f t="shared" si="6"/>
        <v>0</v>
      </c>
      <c r="B94" s="23"/>
      <c r="C94" s="23"/>
      <c r="D94" s="23"/>
      <c r="E94" s="23"/>
      <c r="F94" s="23"/>
      <c r="G94" s="23"/>
      <c r="H94" s="23"/>
      <c r="I94" s="23"/>
      <c r="J94" s="23"/>
      <c r="K94" s="23"/>
      <c r="L94" s="33"/>
      <c r="M94" s="26"/>
      <c r="N94" s="26"/>
      <c r="O94" s="26"/>
      <c r="P94" s="26"/>
      <c r="Q94" s="26"/>
      <c r="R94" s="26"/>
      <c r="S94" s="26"/>
      <c r="T94" s="26"/>
      <c r="U94" s="26"/>
      <c r="V94" s="26"/>
      <c r="W94" s="26"/>
      <c r="X94" s="26">
        <f>COUNTIF($L$2:L94,"&lt;&gt;"&amp;"")</f>
        <v>5</v>
      </c>
      <c r="Y94" s="27">
        <f t="shared" si="7"/>
        <v>0</v>
      </c>
      <c r="Z94" s="28"/>
      <c r="AA94" s="29"/>
      <c r="AB94" s="30" t="b">
        <f>TRUE()</f>
        <v>1</v>
      </c>
      <c r="AC94" s="31">
        <f t="shared" si="8"/>
        <v>0</v>
      </c>
      <c r="AD94" s="42"/>
      <c r="AE94" s="42"/>
    </row>
    <row r="95" spans="1:31" ht="15" customHeight="1">
      <c r="A95" s="20">
        <f t="shared" si="6"/>
        <v>0</v>
      </c>
      <c r="B95" s="23"/>
      <c r="C95" s="23"/>
      <c r="D95" s="23"/>
      <c r="E95" s="23"/>
      <c r="F95" s="23"/>
      <c r="G95" s="23"/>
      <c r="H95" s="23"/>
      <c r="I95" s="23"/>
      <c r="J95" s="23"/>
      <c r="K95" s="23"/>
      <c r="L95" s="33"/>
      <c r="M95" s="26"/>
      <c r="N95" s="26"/>
      <c r="O95" s="26"/>
      <c r="P95" s="26"/>
      <c r="Q95" s="26"/>
      <c r="R95" s="26"/>
      <c r="S95" s="26"/>
      <c r="T95" s="26"/>
      <c r="U95" s="26"/>
      <c r="V95" s="26"/>
      <c r="W95" s="26"/>
      <c r="X95" s="26">
        <f>COUNTIF($L$2:L95,"&lt;&gt;"&amp;"")</f>
        <v>5</v>
      </c>
      <c r="Y95" s="27">
        <f t="shared" si="7"/>
        <v>0</v>
      </c>
      <c r="Z95" s="28"/>
      <c r="AA95" s="29"/>
      <c r="AB95" s="30" t="b">
        <f>TRUE()</f>
        <v>1</v>
      </c>
      <c r="AC95" s="31">
        <f t="shared" si="8"/>
        <v>0</v>
      </c>
      <c r="AD95" s="42"/>
      <c r="AE95" s="42"/>
    </row>
    <row r="96" spans="1:31" ht="15" customHeight="1">
      <c r="A96" s="20">
        <f t="shared" si="6"/>
        <v>0</v>
      </c>
      <c r="B96" s="23"/>
      <c r="C96" s="23"/>
      <c r="D96" s="23"/>
      <c r="E96" s="23"/>
      <c r="F96" s="23"/>
      <c r="G96" s="23"/>
      <c r="H96" s="23"/>
      <c r="I96" s="23"/>
      <c r="J96" s="23"/>
      <c r="K96" s="23"/>
      <c r="L96" s="33"/>
      <c r="M96" s="26"/>
      <c r="N96" s="26"/>
      <c r="O96" s="26"/>
      <c r="P96" s="26"/>
      <c r="Q96" s="26"/>
      <c r="R96" s="26"/>
      <c r="S96" s="26"/>
      <c r="T96" s="26"/>
      <c r="U96" s="26"/>
      <c r="V96" s="26"/>
      <c r="W96" s="26"/>
      <c r="X96" s="26">
        <f>COUNTIF($L$2:L96,"&lt;&gt;"&amp;"")</f>
        <v>5</v>
      </c>
      <c r="Y96" s="27">
        <f t="shared" si="7"/>
        <v>0</v>
      </c>
      <c r="Z96" s="28"/>
      <c r="AA96" s="29"/>
      <c r="AB96" s="30" t="b">
        <f>TRUE()</f>
        <v>1</v>
      </c>
      <c r="AC96" s="31">
        <f t="shared" si="8"/>
        <v>0</v>
      </c>
      <c r="AD96" s="42"/>
      <c r="AE96" s="42"/>
    </row>
    <row r="97" spans="1:31" ht="15" customHeight="1">
      <c r="A97" s="20">
        <f t="shared" si="6"/>
        <v>0</v>
      </c>
      <c r="B97" s="23"/>
      <c r="C97" s="23"/>
      <c r="D97" s="23"/>
      <c r="E97" s="23"/>
      <c r="F97" s="23"/>
      <c r="G97" s="23"/>
      <c r="H97" s="23"/>
      <c r="I97" s="23"/>
      <c r="J97" s="23"/>
      <c r="K97" s="23"/>
      <c r="L97" s="33"/>
      <c r="M97" s="26"/>
      <c r="N97" s="26"/>
      <c r="O97" s="26"/>
      <c r="P97" s="26"/>
      <c r="Q97" s="26"/>
      <c r="R97" s="26"/>
      <c r="S97" s="26"/>
      <c r="T97" s="26"/>
      <c r="U97" s="26"/>
      <c r="V97" s="26"/>
      <c r="W97" s="26"/>
      <c r="X97" s="26">
        <f>COUNTIF($L$2:L97,"&lt;&gt;"&amp;"")</f>
        <v>5</v>
      </c>
      <c r="Y97" s="27">
        <f t="shared" si="7"/>
        <v>0</v>
      </c>
      <c r="Z97" s="28"/>
      <c r="AA97" s="29"/>
      <c r="AB97" s="30" t="b">
        <f>TRUE()</f>
        <v>1</v>
      </c>
      <c r="AC97" s="31">
        <f t="shared" si="8"/>
        <v>0</v>
      </c>
      <c r="AD97" s="42"/>
      <c r="AE97" s="42"/>
    </row>
    <row r="98" spans="1:31" ht="15" customHeight="1">
      <c r="A98" s="20">
        <f t="shared" ref="A98:A129" si="9">(B98*$P$125+C98*$P$126+D98*$P$127+E98*$P$128+F98*$P$129+G98*$P$130+H98*$P$131+I98*$P$132+J98*$P$133+K98*$P$134)*$T$123</f>
        <v>0</v>
      </c>
      <c r="B98" s="23"/>
      <c r="C98" s="23"/>
      <c r="D98" s="23"/>
      <c r="E98" s="23"/>
      <c r="F98" s="23"/>
      <c r="G98" s="23"/>
      <c r="H98" s="23"/>
      <c r="I98" s="23"/>
      <c r="J98" s="23"/>
      <c r="K98" s="23"/>
      <c r="L98" s="33"/>
      <c r="M98" s="26"/>
      <c r="N98" s="26"/>
      <c r="O98" s="26"/>
      <c r="P98" s="26"/>
      <c r="Q98" s="26"/>
      <c r="R98" s="26"/>
      <c r="S98" s="26"/>
      <c r="T98" s="26"/>
      <c r="U98" s="26"/>
      <c r="V98" s="26"/>
      <c r="W98" s="26"/>
      <c r="X98" s="26">
        <f>COUNTIF($L$2:L98,"&lt;&gt;"&amp;"")</f>
        <v>5</v>
      </c>
      <c r="Y98" s="27">
        <f t="shared" ref="Y98:Y129" si="10">SUMIF($X$2:$X$120,X98,$A$2:$A$120)</f>
        <v>0</v>
      </c>
      <c r="Z98" s="28"/>
      <c r="AA98" s="29"/>
      <c r="AB98" s="30" t="b">
        <f>TRUE()</f>
        <v>1</v>
      </c>
      <c r="AC98" s="31">
        <f t="shared" ref="AC98:AC129" si="11">IF(L98="",0,IF(AB98=FALSE(),0,Y98))</f>
        <v>0</v>
      </c>
      <c r="AD98" s="42"/>
      <c r="AE98" s="42"/>
    </row>
    <row r="99" spans="1:31" ht="15" customHeight="1">
      <c r="A99" s="20">
        <f t="shared" si="9"/>
        <v>0</v>
      </c>
      <c r="B99" s="23"/>
      <c r="C99" s="23"/>
      <c r="D99" s="23"/>
      <c r="E99" s="23"/>
      <c r="F99" s="23"/>
      <c r="G99" s="23"/>
      <c r="H99" s="23"/>
      <c r="I99" s="23"/>
      <c r="J99" s="23"/>
      <c r="K99" s="23"/>
      <c r="L99" s="33"/>
      <c r="M99" s="26"/>
      <c r="N99" s="26"/>
      <c r="O99" s="26"/>
      <c r="P99" s="26"/>
      <c r="Q99" s="26"/>
      <c r="R99" s="26"/>
      <c r="S99" s="26"/>
      <c r="T99" s="26"/>
      <c r="U99" s="26"/>
      <c r="V99" s="26"/>
      <c r="W99" s="26"/>
      <c r="X99" s="26">
        <f>COUNTIF($L$2:L99,"&lt;&gt;"&amp;"")</f>
        <v>5</v>
      </c>
      <c r="Y99" s="27">
        <f t="shared" si="10"/>
        <v>0</v>
      </c>
      <c r="Z99" s="28"/>
      <c r="AA99" s="29"/>
      <c r="AB99" s="30" t="b">
        <f>TRUE()</f>
        <v>1</v>
      </c>
      <c r="AC99" s="31">
        <f t="shared" si="11"/>
        <v>0</v>
      </c>
      <c r="AD99" s="42"/>
      <c r="AE99" s="42"/>
    </row>
    <row r="100" spans="1:31" ht="15" customHeight="1">
      <c r="A100" s="20">
        <f t="shared" si="9"/>
        <v>0</v>
      </c>
      <c r="B100" s="23"/>
      <c r="C100" s="23"/>
      <c r="D100" s="23"/>
      <c r="E100" s="23"/>
      <c r="F100" s="23"/>
      <c r="G100" s="23"/>
      <c r="H100" s="23"/>
      <c r="I100" s="23"/>
      <c r="J100" s="23"/>
      <c r="K100" s="23"/>
      <c r="L100" s="33"/>
      <c r="M100" s="26"/>
      <c r="N100" s="26"/>
      <c r="O100" s="26"/>
      <c r="P100" s="26"/>
      <c r="Q100" s="26"/>
      <c r="R100" s="26"/>
      <c r="S100" s="26"/>
      <c r="T100" s="26"/>
      <c r="U100" s="26"/>
      <c r="V100" s="26"/>
      <c r="W100" s="26"/>
      <c r="X100" s="26">
        <f>COUNTIF($L$2:L100,"&lt;&gt;"&amp;"")</f>
        <v>5</v>
      </c>
      <c r="Y100" s="27">
        <f t="shared" si="10"/>
        <v>0</v>
      </c>
      <c r="Z100" s="28"/>
      <c r="AA100" s="29"/>
      <c r="AB100" s="30" t="b">
        <f>TRUE()</f>
        <v>1</v>
      </c>
      <c r="AC100" s="31">
        <f t="shared" si="11"/>
        <v>0</v>
      </c>
      <c r="AD100" s="42"/>
      <c r="AE100" s="42"/>
    </row>
    <row r="101" spans="1:31" ht="15" customHeight="1">
      <c r="A101" s="20">
        <f t="shared" si="9"/>
        <v>0</v>
      </c>
      <c r="B101" s="23"/>
      <c r="C101" s="23"/>
      <c r="D101" s="23"/>
      <c r="E101" s="23"/>
      <c r="F101" s="23"/>
      <c r="G101" s="23"/>
      <c r="H101" s="23"/>
      <c r="I101" s="23"/>
      <c r="J101" s="23"/>
      <c r="K101" s="23"/>
      <c r="L101" s="33"/>
      <c r="M101" s="26"/>
      <c r="N101" s="26"/>
      <c r="O101" s="26"/>
      <c r="P101" s="26"/>
      <c r="Q101" s="26"/>
      <c r="R101" s="26"/>
      <c r="S101" s="26"/>
      <c r="T101" s="26"/>
      <c r="U101" s="26"/>
      <c r="V101" s="26"/>
      <c r="W101" s="26"/>
      <c r="X101" s="26">
        <f>COUNTIF($L$2:L101,"&lt;&gt;"&amp;"")</f>
        <v>5</v>
      </c>
      <c r="Y101" s="27">
        <f t="shared" si="10"/>
        <v>0</v>
      </c>
      <c r="Z101" s="28"/>
      <c r="AA101" s="29"/>
      <c r="AB101" s="30" t="b">
        <f>TRUE()</f>
        <v>1</v>
      </c>
      <c r="AC101" s="31">
        <f t="shared" si="11"/>
        <v>0</v>
      </c>
      <c r="AD101" s="23"/>
      <c r="AE101" s="23"/>
    </row>
    <row r="102" spans="1:31" ht="15" customHeight="1">
      <c r="A102" s="20">
        <f t="shared" si="9"/>
        <v>0</v>
      </c>
      <c r="B102" s="23"/>
      <c r="C102" s="23"/>
      <c r="D102" s="23"/>
      <c r="E102" s="23"/>
      <c r="F102" s="23"/>
      <c r="G102" s="23"/>
      <c r="H102" s="23"/>
      <c r="I102" s="23"/>
      <c r="J102" s="23"/>
      <c r="K102" s="23"/>
      <c r="L102" s="33"/>
      <c r="M102" s="26"/>
      <c r="N102" s="26"/>
      <c r="O102" s="26"/>
      <c r="P102" s="26"/>
      <c r="Q102" s="26"/>
      <c r="R102" s="26"/>
      <c r="S102" s="26"/>
      <c r="T102" s="26"/>
      <c r="U102" s="26"/>
      <c r="V102" s="26"/>
      <c r="W102" s="26"/>
      <c r="X102" s="26">
        <f>COUNTIF($L$2:L106,"&lt;&gt;"&amp;"")</f>
        <v>5</v>
      </c>
      <c r="Y102" s="27">
        <f t="shared" si="10"/>
        <v>0</v>
      </c>
      <c r="Z102" s="28"/>
      <c r="AA102" s="29"/>
      <c r="AB102" s="30" t="b">
        <f>TRUE()</f>
        <v>1</v>
      </c>
      <c r="AC102" s="31">
        <f t="shared" si="11"/>
        <v>0</v>
      </c>
      <c r="AD102" s="23"/>
      <c r="AE102" s="23"/>
    </row>
    <row r="103" spans="1:31" ht="15" customHeight="1">
      <c r="A103" s="20">
        <f t="shared" si="9"/>
        <v>0</v>
      </c>
      <c r="B103" s="23"/>
      <c r="C103" s="23"/>
      <c r="D103" s="23"/>
      <c r="E103" s="23"/>
      <c r="F103" s="23"/>
      <c r="G103" s="23"/>
      <c r="H103" s="23"/>
      <c r="I103" s="23"/>
      <c r="J103" s="23"/>
      <c r="K103" s="23"/>
      <c r="L103" s="33"/>
      <c r="M103" s="26"/>
      <c r="N103" s="26"/>
      <c r="O103" s="26"/>
      <c r="P103" s="26"/>
      <c r="Q103" s="26"/>
      <c r="R103" s="26"/>
      <c r="S103" s="26"/>
      <c r="T103" s="26"/>
      <c r="U103" s="26"/>
      <c r="V103" s="26"/>
      <c r="W103" s="26"/>
      <c r="X103" s="26">
        <f>COUNTIF($L$2:L103,"&lt;&gt;"&amp;"")</f>
        <v>5</v>
      </c>
      <c r="Y103" s="27">
        <f t="shared" si="10"/>
        <v>0</v>
      </c>
      <c r="Z103" s="28"/>
      <c r="AA103" s="29"/>
      <c r="AB103" s="30" t="b">
        <f>TRUE()</f>
        <v>1</v>
      </c>
      <c r="AC103" s="31">
        <f t="shared" si="11"/>
        <v>0</v>
      </c>
      <c r="AD103" s="42"/>
      <c r="AE103" s="42"/>
    </row>
    <row r="104" spans="1:31" ht="15" customHeight="1">
      <c r="A104" s="20">
        <f t="shared" si="9"/>
        <v>0</v>
      </c>
      <c r="B104" s="23"/>
      <c r="C104" s="23"/>
      <c r="D104" s="23"/>
      <c r="E104" s="23"/>
      <c r="F104" s="23"/>
      <c r="G104" s="23"/>
      <c r="H104" s="23"/>
      <c r="I104" s="23"/>
      <c r="J104" s="23"/>
      <c r="K104" s="23"/>
      <c r="L104" s="33"/>
      <c r="M104" s="26"/>
      <c r="N104" s="26"/>
      <c r="O104" s="26"/>
      <c r="P104" s="26"/>
      <c r="Q104" s="26"/>
      <c r="R104" s="26"/>
      <c r="S104" s="26"/>
      <c r="T104" s="26"/>
      <c r="U104" s="26"/>
      <c r="V104" s="26"/>
      <c r="W104" s="26"/>
      <c r="X104" s="26">
        <f>COUNTIF($L$2:L104,"&lt;&gt;"&amp;"")</f>
        <v>5</v>
      </c>
      <c r="Y104" s="27">
        <f t="shared" si="10"/>
        <v>0</v>
      </c>
      <c r="Z104" s="28"/>
      <c r="AA104" s="29"/>
      <c r="AB104" s="30" t="b">
        <f>TRUE()</f>
        <v>1</v>
      </c>
      <c r="AC104" s="31">
        <f t="shared" si="11"/>
        <v>0</v>
      </c>
      <c r="AD104" s="42"/>
      <c r="AE104" s="42"/>
    </row>
    <row r="105" spans="1:31" ht="15" customHeight="1">
      <c r="A105" s="20">
        <f t="shared" si="9"/>
        <v>0</v>
      </c>
      <c r="B105" s="23"/>
      <c r="C105" s="23"/>
      <c r="D105" s="23"/>
      <c r="E105" s="23"/>
      <c r="F105" s="23"/>
      <c r="G105" s="23"/>
      <c r="H105" s="23"/>
      <c r="I105" s="23"/>
      <c r="J105" s="23"/>
      <c r="K105" s="23"/>
      <c r="L105" s="33"/>
      <c r="M105" s="26"/>
      <c r="N105" s="26"/>
      <c r="O105" s="26"/>
      <c r="P105" s="26"/>
      <c r="Q105" s="26"/>
      <c r="R105" s="26"/>
      <c r="S105" s="26"/>
      <c r="T105" s="26"/>
      <c r="U105" s="26"/>
      <c r="V105" s="26"/>
      <c r="W105" s="26"/>
      <c r="X105" s="26">
        <f>COUNTIF($L$2:L105,"&lt;&gt;"&amp;"")</f>
        <v>5</v>
      </c>
      <c r="Y105" s="27">
        <f t="shared" si="10"/>
        <v>0</v>
      </c>
      <c r="Z105" s="28"/>
      <c r="AA105" s="29"/>
      <c r="AB105" s="30" t="b">
        <f>TRUE()</f>
        <v>1</v>
      </c>
      <c r="AC105" s="31">
        <f t="shared" si="11"/>
        <v>0</v>
      </c>
      <c r="AD105" s="42"/>
      <c r="AE105" s="42"/>
    </row>
    <row r="106" spans="1:31" ht="15" customHeight="1">
      <c r="A106" s="20">
        <f t="shared" si="9"/>
        <v>0</v>
      </c>
      <c r="B106" s="23"/>
      <c r="C106" s="23"/>
      <c r="D106" s="23"/>
      <c r="E106" s="23"/>
      <c r="F106" s="23"/>
      <c r="G106" s="23"/>
      <c r="H106" s="23"/>
      <c r="I106" s="23"/>
      <c r="J106" s="23"/>
      <c r="K106" s="23"/>
      <c r="L106" s="33"/>
      <c r="M106" s="26"/>
      <c r="N106" s="26"/>
      <c r="O106" s="26"/>
      <c r="P106" s="26"/>
      <c r="Q106" s="26"/>
      <c r="R106" s="26"/>
      <c r="S106" s="26"/>
      <c r="T106" s="26"/>
      <c r="U106" s="26"/>
      <c r="V106" s="26"/>
      <c r="W106" s="26"/>
      <c r="X106" s="26">
        <f>COUNTIF($L$2:L106,"&lt;&gt;"&amp;"")</f>
        <v>5</v>
      </c>
      <c r="Y106" s="27">
        <f t="shared" si="10"/>
        <v>0</v>
      </c>
      <c r="Z106" s="28"/>
      <c r="AA106" s="29"/>
      <c r="AB106" s="30" t="b">
        <f>TRUE()</f>
        <v>1</v>
      </c>
      <c r="AC106" s="31">
        <f t="shared" si="11"/>
        <v>0</v>
      </c>
      <c r="AD106" s="42"/>
      <c r="AE106" s="42"/>
    </row>
    <row r="107" spans="1:31" ht="15" customHeight="1">
      <c r="A107" s="20">
        <f t="shared" si="9"/>
        <v>0</v>
      </c>
      <c r="B107" s="23"/>
      <c r="C107" s="23"/>
      <c r="D107" s="23"/>
      <c r="E107" s="23"/>
      <c r="F107" s="23"/>
      <c r="G107" s="23"/>
      <c r="H107" s="23"/>
      <c r="I107" s="23"/>
      <c r="J107" s="23"/>
      <c r="K107" s="23"/>
      <c r="L107" s="33"/>
      <c r="M107" s="26"/>
      <c r="N107" s="26"/>
      <c r="O107" s="26"/>
      <c r="P107" s="26"/>
      <c r="Q107" s="26"/>
      <c r="R107" s="26"/>
      <c r="S107" s="26"/>
      <c r="T107" s="26"/>
      <c r="U107" s="26"/>
      <c r="V107" s="26"/>
      <c r="W107" s="26"/>
      <c r="X107" s="26">
        <f>COUNTIF($L$2:L107,"&lt;&gt;"&amp;"")</f>
        <v>5</v>
      </c>
      <c r="Y107" s="27">
        <f t="shared" si="10"/>
        <v>0</v>
      </c>
      <c r="Z107" s="28"/>
      <c r="AA107" s="29"/>
      <c r="AB107" s="30" t="b">
        <f>TRUE()</f>
        <v>1</v>
      </c>
      <c r="AC107" s="31">
        <f t="shared" si="11"/>
        <v>0</v>
      </c>
      <c r="AD107" s="23"/>
      <c r="AE107" s="23"/>
    </row>
    <row r="108" spans="1:31" ht="15" customHeight="1">
      <c r="A108" s="20">
        <f t="shared" si="9"/>
        <v>0</v>
      </c>
      <c r="B108" s="23"/>
      <c r="C108" s="23"/>
      <c r="D108" s="23"/>
      <c r="E108" s="23"/>
      <c r="F108" s="23"/>
      <c r="G108" s="23"/>
      <c r="H108" s="23"/>
      <c r="I108" s="23"/>
      <c r="J108" s="23"/>
      <c r="K108" s="23"/>
      <c r="L108" s="33"/>
      <c r="M108" s="26"/>
      <c r="N108" s="26"/>
      <c r="O108" s="26"/>
      <c r="P108" s="26"/>
      <c r="Q108" s="26"/>
      <c r="R108" s="26"/>
      <c r="S108" s="26"/>
      <c r="T108" s="26"/>
      <c r="U108" s="26"/>
      <c r="V108" s="26"/>
      <c r="W108" s="26"/>
      <c r="X108" s="26">
        <f>COUNTIF($L$2:L108,"&lt;&gt;"&amp;"")</f>
        <v>5</v>
      </c>
      <c r="Y108" s="27">
        <f t="shared" si="10"/>
        <v>0</v>
      </c>
      <c r="Z108" s="28"/>
      <c r="AA108" s="29"/>
      <c r="AB108" s="30" t="b">
        <f>TRUE()</f>
        <v>1</v>
      </c>
      <c r="AC108" s="31">
        <f t="shared" si="11"/>
        <v>0</v>
      </c>
      <c r="AD108" s="23"/>
      <c r="AE108" s="23"/>
    </row>
    <row r="109" spans="1:31" ht="15" customHeight="1">
      <c r="A109" s="20">
        <f t="shared" si="9"/>
        <v>0</v>
      </c>
      <c r="B109" s="23"/>
      <c r="C109" s="23"/>
      <c r="D109" s="23"/>
      <c r="E109" s="23"/>
      <c r="F109" s="23"/>
      <c r="G109" s="23"/>
      <c r="H109" s="23"/>
      <c r="I109" s="23"/>
      <c r="J109" s="23"/>
      <c r="K109" s="23"/>
      <c r="L109" s="33"/>
      <c r="M109" s="26"/>
      <c r="N109" s="26"/>
      <c r="O109" s="26"/>
      <c r="P109" s="26"/>
      <c r="Q109" s="26"/>
      <c r="R109" s="26"/>
      <c r="S109" s="26"/>
      <c r="T109" s="26"/>
      <c r="U109" s="26"/>
      <c r="V109" s="26"/>
      <c r="W109" s="26"/>
      <c r="X109" s="26">
        <f>COUNTIF($L$2:L109,"&lt;&gt;"&amp;"")</f>
        <v>5</v>
      </c>
      <c r="Y109" s="27">
        <f t="shared" si="10"/>
        <v>0</v>
      </c>
      <c r="Z109" s="28"/>
      <c r="AA109" s="29"/>
      <c r="AB109" s="30" t="b">
        <f>TRUE()</f>
        <v>1</v>
      </c>
      <c r="AC109" s="31">
        <f t="shared" si="11"/>
        <v>0</v>
      </c>
      <c r="AD109" s="23"/>
      <c r="AE109" s="23"/>
    </row>
    <row r="110" spans="1:31" ht="15" customHeight="1">
      <c r="A110" s="20">
        <f t="shared" si="9"/>
        <v>0</v>
      </c>
      <c r="B110" s="23"/>
      <c r="C110" s="23"/>
      <c r="D110" s="23"/>
      <c r="E110" s="23"/>
      <c r="F110" s="23"/>
      <c r="G110" s="23"/>
      <c r="H110" s="23"/>
      <c r="I110" s="23"/>
      <c r="J110" s="23"/>
      <c r="K110" s="23"/>
      <c r="L110" s="33"/>
      <c r="M110" s="26"/>
      <c r="N110" s="26"/>
      <c r="O110" s="26"/>
      <c r="P110" s="26"/>
      <c r="Q110" s="26"/>
      <c r="R110" s="26"/>
      <c r="S110" s="26"/>
      <c r="T110" s="26"/>
      <c r="U110" s="26"/>
      <c r="V110" s="26"/>
      <c r="W110" s="26"/>
      <c r="X110" s="26">
        <f>COUNTIF($L$2:L110,"&lt;&gt;"&amp;"")</f>
        <v>5</v>
      </c>
      <c r="Y110" s="27">
        <f t="shared" si="10"/>
        <v>0</v>
      </c>
      <c r="Z110" s="28"/>
      <c r="AA110" s="29"/>
      <c r="AB110" s="30" t="b">
        <f>TRUE()</f>
        <v>1</v>
      </c>
      <c r="AC110" s="31">
        <f t="shared" si="11"/>
        <v>0</v>
      </c>
      <c r="AD110" s="23"/>
      <c r="AE110" s="23"/>
    </row>
    <row r="111" spans="1:31" ht="15" customHeight="1">
      <c r="A111" s="20">
        <f t="shared" si="9"/>
        <v>0</v>
      </c>
      <c r="B111" s="23"/>
      <c r="C111" s="23"/>
      <c r="D111" s="23"/>
      <c r="E111" s="23"/>
      <c r="F111" s="23"/>
      <c r="G111" s="23"/>
      <c r="H111" s="23"/>
      <c r="I111" s="23"/>
      <c r="J111" s="23"/>
      <c r="K111" s="23"/>
      <c r="L111" s="33"/>
      <c r="M111" s="26"/>
      <c r="N111" s="26"/>
      <c r="O111" s="26"/>
      <c r="P111" s="26"/>
      <c r="Q111" s="26"/>
      <c r="R111" s="26"/>
      <c r="S111" s="26"/>
      <c r="T111" s="26"/>
      <c r="U111" s="26"/>
      <c r="V111" s="26"/>
      <c r="W111" s="26"/>
      <c r="X111" s="26">
        <f>COUNTIF($L$2:L111,"&lt;&gt;"&amp;"")</f>
        <v>5</v>
      </c>
      <c r="Y111" s="27">
        <f t="shared" si="10"/>
        <v>0</v>
      </c>
      <c r="Z111" s="28"/>
      <c r="AA111" s="29"/>
      <c r="AB111" s="30" t="b">
        <f>TRUE()</f>
        <v>1</v>
      </c>
      <c r="AC111" s="31">
        <f t="shared" si="11"/>
        <v>0</v>
      </c>
      <c r="AD111" s="23"/>
      <c r="AE111" s="23"/>
    </row>
    <row r="112" spans="1:31" ht="15" customHeight="1">
      <c r="A112" s="20">
        <f t="shared" si="9"/>
        <v>0</v>
      </c>
      <c r="B112" s="23"/>
      <c r="C112" s="23"/>
      <c r="D112" s="23"/>
      <c r="E112" s="23"/>
      <c r="F112" s="23"/>
      <c r="G112" s="23"/>
      <c r="H112" s="23"/>
      <c r="I112" s="23"/>
      <c r="J112" s="23"/>
      <c r="K112" s="23"/>
      <c r="L112" s="33"/>
      <c r="M112" s="26"/>
      <c r="N112" s="26"/>
      <c r="O112" s="26"/>
      <c r="P112" s="26"/>
      <c r="Q112" s="26"/>
      <c r="R112" s="26"/>
      <c r="S112" s="26"/>
      <c r="T112" s="26"/>
      <c r="U112" s="26"/>
      <c r="V112" s="26"/>
      <c r="W112" s="26"/>
      <c r="X112" s="26">
        <f>COUNTIF($L$2:L112,"&lt;&gt;"&amp;"")</f>
        <v>5</v>
      </c>
      <c r="Y112" s="27">
        <f t="shared" si="10"/>
        <v>0</v>
      </c>
      <c r="Z112" s="28"/>
      <c r="AA112" s="29"/>
      <c r="AB112" s="30" t="b">
        <f>TRUE()</f>
        <v>1</v>
      </c>
      <c r="AC112" s="31">
        <f t="shared" si="11"/>
        <v>0</v>
      </c>
      <c r="AD112" s="23"/>
      <c r="AE112" s="23"/>
    </row>
    <row r="113" spans="1:31" ht="15" customHeight="1">
      <c r="A113" s="20">
        <f t="shared" si="9"/>
        <v>0</v>
      </c>
      <c r="B113" s="23"/>
      <c r="C113" s="23"/>
      <c r="D113" s="23"/>
      <c r="E113" s="23"/>
      <c r="F113" s="23"/>
      <c r="G113" s="23"/>
      <c r="H113" s="23"/>
      <c r="I113" s="23"/>
      <c r="J113" s="23"/>
      <c r="K113" s="23"/>
      <c r="L113" s="33"/>
      <c r="M113" s="26"/>
      <c r="N113" s="26"/>
      <c r="O113" s="26"/>
      <c r="P113" s="26"/>
      <c r="Q113" s="26"/>
      <c r="R113" s="26"/>
      <c r="S113" s="26"/>
      <c r="T113" s="26"/>
      <c r="U113" s="26"/>
      <c r="V113" s="26"/>
      <c r="W113" s="26"/>
      <c r="X113" s="26">
        <f>COUNTIF($L$2:L113,"&lt;&gt;"&amp;"")</f>
        <v>5</v>
      </c>
      <c r="Y113" s="27">
        <f t="shared" si="10"/>
        <v>0</v>
      </c>
      <c r="Z113" s="28"/>
      <c r="AA113" s="29"/>
      <c r="AB113" s="30" t="b">
        <f>TRUE()</f>
        <v>1</v>
      </c>
      <c r="AC113" s="31">
        <f t="shared" si="11"/>
        <v>0</v>
      </c>
      <c r="AD113" s="23"/>
      <c r="AE113" s="23"/>
    </row>
    <row r="114" spans="1:31" ht="15" customHeight="1">
      <c r="A114" s="20">
        <f t="shared" si="9"/>
        <v>0</v>
      </c>
      <c r="B114" s="23"/>
      <c r="C114" s="23"/>
      <c r="D114" s="23"/>
      <c r="E114" s="23"/>
      <c r="F114" s="23"/>
      <c r="G114" s="23"/>
      <c r="H114" s="23"/>
      <c r="I114" s="23"/>
      <c r="J114" s="23"/>
      <c r="K114" s="23"/>
      <c r="L114" s="33"/>
      <c r="M114" s="26"/>
      <c r="N114" s="26"/>
      <c r="O114" s="26"/>
      <c r="P114" s="26"/>
      <c r="Q114" s="26"/>
      <c r="R114" s="26"/>
      <c r="S114" s="26"/>
      <c r="T114" s="26"/>
      <c r="U114" s="26"/>
      <c r="V114" s="26"/>
      <c r="W114" s="26"/>
      <c r="X114" s="26">
        <f>COUNTIF($L$2:L114,"&lt;&gt;"&amp;"")</f>
        <v>5</v>
      </c>
      <c r="Y114" s="27">
        <f t="shared" si="10"/>
        <v>0</v>
      </c>
      <c r="Z114" s="28"/>
      <c r="AA114" s="29"/>
      <c r="AB114" s="30" t="b">
        <f>TRUE()</f>
        <v>1</v>
      </c>
      <c r="AC114" s="31">
        <f t="shared" si="11"/>
        <v>0</v>
      </c>
      <c r="AD114" s="23"/>
      <c r="AE114" s="23"/>
    </row>
    <row r="115" spans="1:31" ht="15" customHeight="1">
      <c r="A115" s="20">
        <f t="shared" si="9"/>
        <v>0</v>
      </c>
      <c r="B115" s="23"/>
      <c r="C115" s="23"/>
      <c r="D115" s="23"/>
      <c r="E115" s="23"/>
      <c r="F115" s="23"/>
      <c r="G115" s="23"/>
      <c r="H115" s="23"/>
      <c r="I115" s="23"/>
      <c r="J115" s="23"/>
      <c r="K115" s="23"/>
      <c r="L115" s="33"/>
      <c r="M115" s="26"/>
      <c r="N115" s="26"/>
      <c r="O115" s="26"/>
      <c r="P115" s="26"/>
      <c r="Q115" s="26"/>
      <c r="R115" s="26"/>
      <c r="S115" s="26"/>
      <c r="T115" s="26"/>
      <c r="U115" s="26"/>
      <c r="V115" s="26"/>
      <c r="W115" s="26"/>
      <c r="X115" s="26">
        <f>COUNTIF($L$2:L115,"&lt;&gt;"&amp;"")</f>
        <v>5</v>
      </c>
      <c r="Y115" s="27">
        <f t="shared" si="10"/>
        <v>0</v>
      </c>
      <c r="Z115" s="28"/>
      <c r="AA115" s="29"/>
      <c r="AB115" s="30" t="b">
        <f>TRUE()</f>
        <v>1</v>
      </c>
      <c r="AC115" s="31">
        <f t="shared" si="11"/>
        <v>0</v>
      </c>
      <c r="AD115" s="23"/>
      <c r="AE115" s="23"/>
    </row>
    <row r="116" spans="1:31" ht="15" customHeight="1">
      <c r="A116" s="20">
        <f t="shared" si="9"/>
        <v>0</v>
      </c>
      <c r="B116" s="23"/>
      <c r="C116" s="23"/>
      <c r="D116" s="23"/>
      <c r="E116" s="23"/>
      <c r="F116" s="23"/>
      <c r="G116" s="23"/>
      <c r="H116" s="23"/>
      <c r="I116" s="23"/>
      <c r="J116" s="23"/>
      <c r="K116" s="23"/>
      <c r="L116" s="33"/>
      <c r="M116" s="26"/>
      <c r="N116" s="26"/>
      <c r="O116" s="26"/>
      <c r="P116" s="26"/>
      <c r="Q116" s="26"/>
      <c r="R116" s="26"/>
      <c r="S116" s="26"/>
      <c r="T116" s="26"/>
      <c r="U116" s="26"/>
      <c r="V116" s="26"/>
      <c r="W116" s="26"/>
      <c r="X116" s="26">
        <f>COUNTIF($L$2:L116,"&lt;&gt;"&amp;"")</f>
        <v>5</v>
      </c>
      <c r="Y116" s="27">
        <f t="shared" si="10"/>
        <v>0</v>
      </c>
      <c r="Z116" s="28"/>
      <c r="AA116" s="29"/>
      <c r="AB116" s="30" t="b">
        <f>TRUE()</f>
        <v>1</v>
      </c>
      <c r="AC116" s="31">
        <f t="shared" si="11"/>
        <v>0</v>
      </c>
      <c r="AD116" s="23"/>
      <c r="AE116" s="23"/>
    </row>
    <row r="117" spans="1:31" ht="15" customHeight="1">
      <c r="A117" s="20">
        <f t="shared" si="9"/>
        <v>0</v>
      </c>
      <c r="B117" s="23"/>
      <c r="C117" s="23"/>
      <c r="D117" s="23"/>
      <c r="E117" s="23"/>
      <c r="F117" s="23"/>
      <c r="G117" s="23"/>
      <c r="H117" s="23"/>
      <c r="I117" s="23"/>
      <c r="J117" s="23"/>
      <c r="K117" s="23"/>
      <c r="L117" s="33"/>
      <c r="M117" s="26"/>
      <c r="N117" s="26"/>
      <c r="O117" s="26"/>
      <c r="P117" s="26"/>
      <c r="Q117" s="26"/>
      <c r="R117" s="26"/>
      <c r="S117" s="26"/>
      <c r="T117" s="26"/>
      <c r="U117" s="26"/>
      <c r="V117" s="26"/>
      <c r="W117" s="26"/>
      <c r="X117" s="26">
        <f>COUNTIF($L$2:L117,"&lt;&gt;"&amp;"")</f>
        <v>5</v>
      </c>
      <c r="Y117" s="27">
        <f t="shared" si="10"/>
        <v>0</v>
      </c>
      <c r="Z117" s="28"/>
      <c r="AA117" s="29"/>
      <c r="AB117" s="30" t="b">
        <f>TRUE()</f>
        <v>1</v>
      </c>
      <c r="AC117" s="31">
        <f t="shared" si="11"/>
        <v>0</v>
      </c>
      <c r="AD117" s="23"/>
      <c r="AE117" s="23"/>
    </row>
    <row r="118" spans="1:31" ht="15" customHeight="1">
      <c r="A118" s="20">
        <f t="shared" si="9"/>
        <v>0</v>
      </c>
      <c r="B118" s="23"/>
      <c r="C118" s="23"/>
      <c r="D118" s="23"/>
      <c r="E118" s="23"/>
      <c r="F118" s="23"/>
      <c r="G118" s="23"/>
      <c r="H118" s="23"/>
      <c r="I118" s="23"/>
      <c r="J118" s="23"/>
      <c r="K118" s="23"/>
      <c r="L118" s="33"/>
      <c r="M118" s="26"/>
      <c r="N118" s="26"/>
      <c r="O118" s="26"/>
      <c r="P118" s="26"/>
      <c r="Q118" s="26"/>
      <c r="R118" s="26"/>
      <c r="S118" s="26"/>
      <c r="T118" s="26"/>
      <c r="U118" s="26"/>
      <c r="V118" s="26"/>
      <c r="W118" s="26"/>
      <c r="X118" s="26">
        <f>COUNTIF($L$2:L118,"&lt;&gt;"&amp;"")</f>
        <v>5</v>
      </c>
      <c r="Y118" s="27">
        <f t="shared" si="10"/>
        <v>0</v>
      </c>
      <c r="Z118" s="28"/>
      <c r="AA118" s="29"/>
      <c r="AB118" s="30" t="b">
        <f>TRUE()</f>
        <v>1</v>
      </c>
      <c r="AC118" s="31">
        <f t="shared" si="11"/>
        <v>0</v>
      </c>
      <c r="AD118" s="23"/>
      <c r="AE118" s="23"/>
    </row>
    <row r="119" spans="1:31" ht="15" customHeight="1">
      <c r="A119" s="20">
        <f t="shared" si="9"/>
        <v>0</v>
      </c>
      <c r="B119" s="23"/>
      <c r="C119" s="23"/>
      <c r="D119" s="23"/>
      <c r="E119" s="23"/>
      <c r="F119" s="23"/>
      <c r="G119" s="23"/>
      <c r="H119" s="23"/>
      <c r="I119" s="23"/>
      <c r="J119" s="23"/>
      <c r="K119" s="23"/>
      <c r="L119" s="33"/>
      <c r="M119" s="26"/>
      <c r="N119" s="26"/>
      <c r="O119" s="26"/>
      <c r="P119" s="26"/>
      <c r="Q119" s="26"/>
      <c r="R119" s="26"/>
      <c r="S119" s="26"/>
      <c r="T119" s="26"/>
      <c r="U119" s="26"/>
      <c r="V119" s="26"/>
      <c r="W119" s="26"/>
      <c r="X119" s="26">
        <f>COUNTIF($L$2:L119,"&lt;&gt;"&amp;"")</f>
        <v>5</v>
      </c>
      <c r="Y119" s="27">
        <f t="shared" si="10"/>
        <v>0</v>
      </c>
      <c r="Z119" s="28"/>
      <c r="AA119" s="29"/>
      <c r="AB119" s="30" t="b">
        <f>TRUE()</f>
        <v>1</v>
      </c>
      <c r="AC119" s="31">
        <f t="shared" si="11"/>
        <v>0</v>
      </c>
      <c r="AD119" s="23"/>
      <c r="AE119" s="23"/>
    </row>
    <row r="120" spans="1:31" ht="12.75" customHeight="1">
      <c r="A120" s="43"/>
      <c r="B120" s="43"/>
      <c r="C120" s="43"/>
      <c r="D120" s="43"/>
      <c r="E120" s="43"/>
      <c r="F120" s="43"/>
      <c r="G120" s="43"/>
      <c r="H120" s="43"/>
      <c r="I120" s="43"/>
      <c r="J120" s="43"/>
      <c r="K120" s="43"/>
      <c r="L120" s="44"/>
      <c r="M120" s="44"/>
      <c r="N120" s="45"/>
      <c r="O120" s="45" t="s">
        <v>43</v>
      </c>
      <c r="P120" s="44"/>
      <c r="Q120" s="44"/>
      <c r="R120" s="44"/>
      <c r="S120" s="44"/>
      <c r="T120" s="44"/>
      <c r="U120" s="44"/>
      <c r="V120" s="44"/>
      <c r="W120" s="44"/>
      <c r="X120" s="44"/>
      <c r="Y120" s="44"/>
      <c r="Z120" s="44"/>
      <c r="AA120" s="44"/>
      <c r="AB120" s="44"/>
      <c r="AC120" s="44"/>
      <c r="AD120" s="23"/>
      <c r="AE120" s="23"/>
    </row>
    <row r="121" spans="1:31" ht="15" customHeight="1">
      <c r="A121" s="46">
        <f>ROW()</f>
        <v>121</v>
      </c>
      <c r="B121" s="23">
        <f t="shared" ref="B121:K121" si="12">SUM(B2:B120)</f>
        <v>0</v>
      </c>
      <c r="C121" s="23">
        <f t="shared" si="12"/>
        <v>0</v>
      </c>
      <c r="D121" s="23">
        <f t="shared" si="12"/>
        <v>0</v>
      </c>
      <c r="E121" s="23">
        <f t="shared" si="12"/>
        <v>0</v>
      </c>
      <c r="F121" s="23">
        <f t="shared" si="12"/>
        <v>0</v>
      </c>
      <c r="G121" s="23">
        <f t="shared" si="12"/>
        <v>0</v>
      </c>
      <c r="H121" s="23">
        <f t="shared" si="12"/>
        <v>0</v>
      </c>
      <c r="I121" s="23">
        <f t="shared" si="12"/>
        <v>0</v>
      </c>
      <c r="J121" s="23">
        <f t="shared" si="12"/>
        <v>0</v>
      </c>
      <c r="K121" s="23">
        <f t="shared" si="12"/>
        <v>0</v>
      </c>
      <c r="L121" s="33"/>
      <c r="M121" s="26"/>
      <c r="N121" s="26"/>
      <c r="O121" s="26"/>
      <c r="P121" s="23"/>
      <c r="Q121" s="23"/>
      <c r="R121" s="23"/>
      <c r="S121" s="23"/>
      <c r="T121" s="23"/>
      <c r="U121" s="23"/>
      <c r="V121" s="23"/>
      <c r="W121" s="23"/>
      <c r="X121" s="23"/>
      <c r="Y121" s="23"/>
      <c r="Z121" s="23"/>
      <c r="AA121" s="23"/>
      <c r="AB121" s="23"/>
      <c r="AC121" s="47"/>
      <c r="AD121" s="23"/>
      <c r="AE121" s="23"/>
    </row>
    <row r="122" spans="1:31" ht="12.75" customHeight="1">
      <c r="A122" s="23"/>
      <c r="B122" s="23"/>
      <c r="C122" s="48"/>
      <c r="D122" s="48"/>
      <c r="E122" s="48"/>
      <c r="F122" s="48"/>
      <c r="G122" s="48"/>
      <c r="H122" s="48"/>
      <c r="I122" s="9" t="s">
        <v>44</v>
      </c>
      <c r="J122" s="9"/>
      <c r="K122" s="9"/>
      <c r="L122" s="9"/>
      <c r="M122" s="8">
        <f>400000+120000</f>
        <v>520000</v>
      </c>
      <c r="N122" s="8"/>
      <c r="O122" s="8"/>
      <c r="P122" s="23"/>
      <c r="Q122" s="23"/>
      <c r="R122" s="23"/>
      <c r="S122" s="48"/>
      <c r="T122" s="48"/>
      <c r="U122" s="48"/>
      <c r="V122" s="23"/>
      <c r="W122" s="23"/>
      <c r="X122" s="23"/>
      <c r="Y122" s="23"/>
      <c r="Z122" s="23"/>
      <c r="AA122" s="23"/>
      <c r="AB122" s="23"/>
      <c r="AC122" s="47"/>
      <c r="AD122" s="23"/>
      <c r="AE122" s="23"/>
    </row>
    <row r="123" spans="1:31" ht="15" customHeight="1">
      <c r="A123" s="23"/>
      <c r="B123" s="23"/>
      <c r="C123" s="48"/>
      <c r="D123" s="49" t="s">
        <v>45</v>
      </c>
      <c r="E123" s="50">
        <v>1750905</v>
      </c>
      <c r="F123" s="51" t="s">
        <v>46</v>
      </c>
      <c r="G123" s="52">
        <v>249095</v>
      </c>
      <c r="H123" s="48"/>
      <c r="I123" s="53" t="s">
        <v>47</v>
      </c>
      <c r="J123" s="54">
        <v>0.18</v>
      </c>
      <c r="K123" s="54"/>
      <c r="L123" s="55" t="s">
        <v>48</v>
      </c>
      <c r="M123" s="56">
        <f>2.7/12</f>
        <v>0.22500000000000001</v>
      </c>
      <c r="N123" s="57" t="s">
        <v>49</v>
      </c>
      <c r="O123" s="58">
        <f>40*4.2*((244-2)/260)</f>
        <v>156.36923076923077</v>
      </c>
      <c r="P123" s="48"/>
      <c r="Q123" s="53" t="s">
        <v>50</v>
      </c>
      <c r="R123" s="59">
        <v>0.4</v>
      </c>
      <c r="S123" s="48"/>
      <c r="T123" s="60">
        <v>8</v>
      </c>
      <c r="U123" s="61" t="s">
        <v>51</v>
      </c>
      <c r="V123" s="62"/>
      <c r="W123" s="23"/>
      <c r="X123" s="23"/>
      <c r="Y123" s="23"/>
      <c r="Z123" s="23"/>
      <c r="AA123" s="23"/>
      <c r="AB123" s="23"/>
      <c r="AC123" s="47"/>
      <c r="AD123" s="23"/>
      <c r="AE123" s="23"/>
    </row>
    <row r="124" spans="1:31" ht="12.75" customHeight="1">
      <c r="A124" s="23"/>
      <c r="B124" s="23"/>
      <c r="C124" s="7" t="s">
        <v>52</v>
      </c>
      <c r="D124" s="7"/>
      <c r="E124" s="7"/>
      <c r="F124" s="7" t="s">
        <v>53</v>
      </c>
      <c r="G124" s="7"/>
      <c r="H124" s="7"/>
      <c r="I124" s="7" t="s">
        <v>54</v>
      </c>
      <c r="J124" s="7"/>
      <c r="K124" s="7"/>
      <c r="L124" s="7"/>
      <c r="M124" s="7" t="s">
        <v>55</v>
      </c>
      <c r="N124" s="7"/>
      <c r="O124" s="7"/>
      <c r="P124" s="7" t="s">
        <v>56</v>
      </c>
      <c r="Q124" s="7"/>
      <c r="R124" s="7"/>
      <c r="S124" s="48"/>
      <c r="T124" s="48"/>
      <c r="U124" s="63" t="s">
        <v>49</v>
      </c>
      <c r="V124" s="7" t="s">
        <v>57</v>
      </c>
      <c r="W124" s="7"/>
      <c r="X124" s="7"/>
      <c r="Y124" s="23"/>
      <c r="Z124" s="23"/>
      <c r="AA124" s="23"/>
      <c r="AB124" s="23"/>
      <c r="AC124" s="47"/>
      <c r="AD124" s="23"/>
      <c r="AE124" s="23"/>
    </row>
    <row r="125" spans="1:31" ht="12.75" customHeight="1">
      <c r="A125" s="35" t="s">
        <v>58</v>
      </c>
      <c r="B125" s="63" t="str">
        <f>B1</f>
        <v>DB</v>
      </c>
      <c r="C125" s="6">
        <v>6480000</v>
      </c>
      <c r="D125" s="6"/>
      <c r="E125" s="6"/>
      <c r="F125" s="6">
        <v>1080000</v>
      </c>
      <c r="G125" s="6"/>
      <c r="H125" s="6"/>
      <c r="I125" s="6">
        <v>0</v>
      </c>
      <c r="J125" s="6"/>
      <c r="K125" s="6"/>
      <c r="L125" s="6"/>
      <c r="M125" s="6">
        <f t="shared" ref="M125:M134" si="13">C125*(1+$J$123+$M$123)+F125+I125+$M$122+IF(($E$123*2)&gt;=C125,$G$123,0)</f>
        <v>10704400</v>
      </c>
      <c r="N125" s="6"/>
      <c r="O125" s="6"/>
      <c r="P125" s="5">
        <f t="shared" ref="P125:P134" si="14">M125/$O$123*(1+$R$123)</f>
        <v>95838.292011019294</v>
      </c>
      <c r="Q125" s="5"/>
      <c r="R125" s="5"/>
      <c r="S125" s="48"/>
      <c r="T125" s="48"/>
      <c r="U125" s="23">
        <f t="shared" ref="U125:U134" si="15">HLOOKUP(B125,$B$1:$K$121,$A$121,0)*$T$123</f>
        <v>0</v>
      </c>
      <c r="W125" s="64">
        <f t="shared" ref="W125:W134" si="16">P125*U125</f>
        <v>0</v>
      </c>
      <c r="Y125" s="23"/>
      <c r="Z125" s="23"/>
      <c r="AA125" s="23"/>
      <c r="AB125" s="23"/>
      <c r="AC125" s="47"/>
      <c r="AD125" s="23"/>
      <c r="AE125" s="23"/>
    </row>
    <row r="126" spans="1:31" ht="12.75" customHeight="1">
      <c r="A126" s="35" t="s">
        <v>59</v>
      </c>
      <c r="B126" s="63" t="str">
        <f>C1</f>
        <v>UX</v>
      </c>
      <c r="C126" s="6">
        <v>3240000</v>
      </c>
      <c r="D126" s="6"/>
      <c r="E126" s="6"/>
      <c r="F126" s="6">
        <v>540000</v>
      </c>
      <c r="G126" s="6"/>
      <c r="H126" s="6"/>
      <c r="I126" s="6">
        <v>0</v>
      </c>
      <c r="J126" s="6"/>
      <c r="K126" s="6"/>
      <c r="L126" s="6"/>
      <c r="M126" s="6">
        <f t="shared" si="13"/>
        <v>5861295</v>
      </c>
      <c r="N126" s="6"/>
      <c r="O126" s="6"/>
      <c r="P126" s="5">
        <f t="shared" si="14"/>
        <v>52477.159090909088</v>
      </c>
      <c r="Q126" s="5"/>
      <c r="R126" s="5"/>
      <c r="S126" s="48"/>
      <c r="T126" s="48"/>
      <c r="U126" s="23">
        <f t="shared" si="15"/>
        <v>0</v>
      </c>
      <c r="W126" s="64">
        <f t="shared" si="16"/>
        <v>0</v>
      </c>
      <c r="Y126" s="23"/>
      <c r="Z126" s="23"/>
      <c r="AA126" s="23"/>
      <c r="AB126" s="23"/>
      <c r="AC126" s="47"/>
      <c r="AD126" s="23"/>
      <c r="AE126" s="23"/>
    </row>
    <row r="127" spans="1:31" ht="12.75" customHeight="1">
      <c r="A127" s="35" t="s">
        <v>60</v>
      </c>
      <c r="B127" s="63" t="str">
        <f>D1</f>
        <v>FM</v>
      </c>
      <c r="C127" s="6">
        <v>3240000</v>
      </c>
      <c r="D127" s="6"/>
      <c r="E127" s="6"/>
      <c r="F127" s="6">
        <v>540000</v>
      </c>
      <c r="G127" s="6"/>
      <c r="H127" s="6"/>
      <c r="I127" s="6">
        <v>0</v>
      </c>
      <c r="J127" s="6"/>
      <c r="K127" s="6"/>
      <c r="L127" s="6"/>
      <c r="M127" s="6">
        <f t="shared" si="13"/>
        <v>5861295</v>
      </c>
      <c r="N127" s="6"/>
      <c r="O127" s="6"/>
      <c r="P127" s="5">
        <f t="shared" si="14"/>
        <v>52477.159090909088</v>
      </c>
      <c r="Q127" s="5"/>
      <c r="R127" s="5"/>
      <c r="S127" s="48"/>
      <c r="T127" s="48"/>
      <c r="U127" s="23">
        <f t="shared" si="15"/>
        <v>0</v>
      </c>
      <c r="W127" s="64">
        <f t="shared" si="16"/>
        <v>0</v>
      </c>
      <c r="Y127" s="23"/>
      <c r="Z127" s="23"/>
      <c r="AA127" s="23"/>
      <c r="AB127" s="23"/>
      <c r="AC127" s="47"/>
      <c r="AD127" s="23"/>
      <c r="AE127" s="23"/>
    </row>
    <row r="128" spans="1:31" ht="12.75" customHeight="1">
      <c r="A128" s="35" t="s">
        <v>61</v>
      </c>
      <c r="B128" s="63" t="str">
        <f>E1</f>
        <v>BS</v>
      </c>
      <c r="C128" s="6">
        <v>4320000</v>
      </c>
      <c r="D128" s="6"/>
      <c r="E128" s="6"/>
      <c r="F128" s="6">
        <v>1620000</v>
      </c>
      <c r="G128" s="6"/>
      <c r="H128" s="6"/>
      <c r="I128" s="6">
        <v>0</v>
      </c>
      <c r="J128" s="6"/>
      <c r="K128" s="6"/>
      <c r="L128" s="6"/>
      <c r="M128" s="6">
        <f t="shared" si="13"/>
        <v>8209600</v>
      </c>
      <c r="N128" s="6"/>
      <c r="O128" s="6"/>
      <c r="P128" s="5">
        <f t="shared" si="14"/>
        <v>73501.928374655647</v>
      </c>
      <c r="Q128" s="5"/>
      <c r="R128" s="5"/>
      <c r="S128" s="48"/>
      <c r="T128" s="48"/>
      <c r="U128" s="23">
        <f t="shared" si="15"/>
        <v>0</v>
      </c>
      <c r="W128" s="64">
        <f t="shared" si="16"/>
        <v>0</v>
      </c>
      <c r="Y128" s="23"/>
      <c r="Z128" s="23"/>
      <c r="AA128" s="23"/>
      <c r="AB128" s="23"/>
      <c r="AC128" s="47"/>
      <c r="AD128" s="23"/>
      <c r="AE128" s="23"/>
    </row>
    <row r="129" spans="1:31" ht="12.75" customHeight="1">
      <c r="A129" s="35" t="s">
        <v>62</v>
      </c>
      <c r="B129" s="63" t="str">
        <f>F1</f>
        <v>BM</v>
      </c>
      <c r="C129" s="6">
        <v>3780000</v>
      </c>
      <c r="D129" s="6"/>
      <c r="E129" s="6"/>
      <c r="F129" s="6">
        <v>1080000</v>
      </c>
      <c r="G129" s="6"/>
      <c r="H129" s="6"/>
      <c r="I129" s="6">
        <v>0</v>
      </c>
      <c r="J129" s="6"/>
      <c r="K129" s="6"/>
      <c r="L129" s="6"/>
      <c r="M129" s="6">
        <f t="shared" si="13"/>
        <v>6910900</v>
      </c>
      <c r="N129" s="6"/>
      <c r="O129" s="6"/>
      <c r="P129" s="5">
        <f t="shared" si="14"/>
        <v>61874.449035812671</v>
      </c>
      <c r="Q129" s="5"/>
      <c r="R129" s="5"/>
      <c r="S129" s="48"/>
      <c r="T129" s="48"/>
      <c r="U129" s="23">
        <f t="shared" si="15"/>
        <v>0</v>
      </c>
      <c r="W129" s="64">
        <f t="shared" si="16"/>
        <v>0</v>
      </c>
      <c r="Y129" s="23"/>
      <c r="Z129" s="23"/>
      <c r="AA129" s="23"/>
      <c r="AB129" s="23"/>
      <c r="AC129" s="47"/>
      <c r="AD129" s="23"/>
      <c r="AE129" s="23"/>
    </row>
    <row r="130" spans="1:31" ht="12.75" customHeight="1">
      <c r="A130" s="35" t="s">
        <v>63</v>
      </c>
      <c r="B130" s="63" t="str">
        <f>G1</f>
        <v>QA</v>
      </c>
      <c r="C130" s="6">
        <v>2700000</v>
      </c>
      <c r="D130" s="6"/>
      <c r="E130" s="6"/>
      <c r="F130" s="6">
        <v>1080000</v>
      </c>
      <c r="G130" s="6"/>
      <c r="H130" s="6"/>
      <c r="I130" s="6">
        <v>54000</v>
      </c>
      <c r="J130" s="6"/>
      <c r="K130" s="6"/>
      <c r="L130" s="6"/>
      <c r="M130" s="6">
        <f t="shared" si="13"/>
        <v>5696595</v>
      </c>
      <c r="N130" s="6"/>
      <c r="O130" s="6"/>
      <c r="P130" s="5">
        <f t="shared" si="14"/>
        <v>51002.572314049583</v>
      </c>
      <c r="Q130" s="5"/>
      <c r="R130" s="5"/>
      <c r="S130" s="48"/>
      <c r="T130" s="48"/>
      <c r="U130" s="23">
        <f t="shared" si="15"/>
        <v>0</v>
      </c>
      <c r="W130" s="64">
        <f t="shared" si="16"/>
        <v>0</v>
      </c>
      <c r="Y130" s="23"/>
      <c r="Z130" s="23"/>
      <c r="AA130" s="23"/>
      <c r="AB130" s="23"/>
      <c r="AC130" s="47"/>
      <c r="AD130" s="23"/>
      <c r="AE130" s="23"/>
    </row>
    <row r="131" spans="1:31" ht="12.75" customHeight="1">
      <c r="A131" s="35" t="s">
        <v>64</v>
      </c>
      <c r="B131" s="63" t="str">
        <f>H1</f>
        <v>IM</v>
      </c>
      <c r="C131" s="6">
        <v>2700000</v>
      </c>
      <c r="D131" s="6"/>
      <c r="E131" s="6"/>
      <c r="F131" s="6">
        <v>1080000</v>
      </c>
      <c r="G131" s="6"/>
      <c r="H131" s="6"/>
      <c r="I131" s="6">
        <v>0</v>
      </c>
      <c r="J131" s="6"/>
      <c r="K131" s="6"/>
      <c r="L131" s="6"/>
      <c r="M131" s="6">
        <f t="shared" si="13"/>
        <v>5642595</v>
      </c>
      <c r="N131" s="6"/>
      <c r="O131" s="6"/>
      <c r="P131" s="5">
        <f t="shared" si="14"/>
        <v>50519.10123966942</v>
      </c>
      <c r="Q131" s="5"/>
      <c r="R131" s="5"/>
      <c r="S131" s="48"/>
      <c r="T131" s="48"/>
      <c r="U131" s="23">
        <f t="shared" si="15"/>
        <v>0</v>
      </c>
      <c r="W131" s="64">
        <f t="shared" si="16"/>
        <v>0</v>
      </c>
      <c r="Y131" s="23"/>
      <c r="Z131" s="23"/>
      <c r="AA131" s="23"/>
      <c r="AB131" s="23"/>
      <c r="AC131" s="47"/>
      <c r="AD131" s="23"/>
      <c r="AE131" s="23"/>
    </row>
    <row r="132" spans="1:31" ht="12.75" customHeight="1">
      <c r="A132" s="35" t="s">
        <v>65</v>
      </c>
      <c r="B132" s="63" t="str">
        <f>I1</f>
        <v>MS</v>
      </c>
      <c r="C132" s="6">
        <v>8100000</v>
      </c>
      <c r="D132" s="6"/>
      <c r="E132" s="6"/>
      <c r="F132" s="6">
        <v>2160000</v>
      </c>
      <c r="G132" s="6"/>
      <c r="H132" s="6"/>
      <c r="I132" s="6">
        <v>132000</v>
      </c>
      <c r="J132" s="6"/>
      <c r="K132" s="6"/>
      <c r="L132" s="6"/>
      <c r="M132" s="6">
        <f t="shared" si="13"/>
        <v>14192500</v>
      </c>
      <c r="N132" s="6"/>
      <c r="O132" s="6"/>
      <c r="P132" s="5">
        <f t="shared" si="14"/>
        <v>127067.83746556473</v>
      </c>
      <c r="Q132" s="5"/>
      <c r="R132" s="5"/>
      <c r="S132" s="48"/>
      <c r="T132" s="48"/>
      <c r="U132" s="23">
        <f t="shared" si="15"/>
        <v>0</v>
      </c>
      <c r="W132" s="64">
        <f t="shared" si="16"/>
        <v>0</v>
      </c>
      <c r="Y132" s="23"/>
      <c r="Z132" s="23"/>
      <c r="AA132" s="23"/>
      <c r="AB132" s="23"/>
      <c r="AC132" s="47"/>
      <c r="AD132" s="23"/>
      <c r="AE132" s="23"/>
    </row>
    <row r="133" spans="1:31" ht="12.75" customHeight="1">
      <c r="A133" s="35" t="s">
        <v>66</v>
      </c>
      <c r="B133" s="63" t="str">
        <f>J1</f>
        <v>MM</v>
      </c>
      <c r="C133" s="6">
        <v>3240000</v>
      </c>
      <c r="D133" s="6"/>
      <c r="E133" s="6"/>
      <c r="F133" s="6">
        <v>1080000</v>
      </c>
      <c r="G133" s="6"/>
      <c r="H133" s="6"/>
      <c r="I133" s="6">
        <v>132000</v>
      </c>
      <c r="J133" s="6"/>
      <c r="K133" s="6"/>
      <c r="L133" s="6"/>
      <c r="M133" s="6">
        <f t="shared" si="13"/>
        <v>6533295</v>
      </c>
      <c r="N133" s="6"/>
      <c r="O133" s="6"/>
      <c r="P133" s="5">
        <f t="shared" si="14"/>
        <v>58493.688016528926</v>
      </c>
      <c r="Q133" s="5"/>
      <c r="R133" s="5"/>
      <c r="S133" s="48"/>
      <c r="T133" s="48"/>
      <c r="U133" s="23">
        <f t="shared" si="15"/>
        <v>0</v>
      </c>
      <c r="W133" s="64">
        <f t="shared" si="16"/>
        <v>0</v>
      </c>
      <c r="Y133" s="23"/>
      <c r="Z133" s="23"/>
      <c r="AA133" s="23"/>
      <c r="AB133" s="23"/>
      <c r="AC133" s="47"/>
      <c r="AD133" s="23"/>
      <c r="AE133" s="23"/>
    </row>
    <row r="134" spans="1:31" ht="12.75" customHeight="1">
      <c r="A134" s="35" t="s">
        <v>67</v>
      </c>
      <c r="B134" s="63" t="s">
        <v>10</v>
      </c>
      <c r="C134" s="6">
        <v>3240000</v>
      </c>
      <c r="D134" s="6"/>
      <c r="E134" s="6"/>
      <c r="F134" s="6">
        <v>1080000</v>
      </c>
      <c r="G134" s="6"/>
      <c r="H134" s="6"/>
      <c r="I134" s="6"/>
      <c r="J134" s="6"/>
      <c r="K134" s="6"/>
      <c r="L134" s="6"/>
      <c r="M134" s="6">
        <f t="shared" si="13"/>
        <v>6401295</v>
      </c>
      <c r="N134" s="6"/>
      <c r="O134" s="6"/>
      <c r="P134" s="5">
        <f t="shared" si="14"/>
        <v>57311.869834710742</v>
      </c>
      <c r="Q134" s="5"/>
      <c r="R134" s="5"/>
      <c r="S134" s="48"/>
      <c r="T134" s="48"/>
      <c r="U134" s="23">
        <f t="shared" si="15"/>
        <v>0</v>
      </c>
      <c r="W134" s="64">
        <f t="shared" si="16"/>
        <v>0</v>
      </c>
      <c r="Y134" s="23"/>
      <c r="Z134" s="23"/>
      <c r="AA134" s="23"/>
      <c r="AB134" s="23"/>
      <c r="AC134" s="47"/>
      <c r="AD134" s="23"/>
      <c r="AE134" s="23"/>
    </row>
    <row r="135" spans="1:31" ht="12.75" customHeight="1">
      <c r="A135" s="35"/>
      <c r="B135" s="63"/>
      <c r="C135" s="48"/>
      <c r="D135" s="48"/>
      <c r="E135" s="48"/>
      <c r="F135" s="48"/>
      <c r="G135" s="48"/>
      <c r="H135" s="48"/>
      <c r="I135" s="23"/>
      <c r="J135" s="23"/>
      <c r="K135" s="23"/>
      <c r="L135" s="23"/>
      <c r="M135" s="23"/>
      <c r="N135" s="23"/>
      <c r="O135" s="23"/>
      <c r="P135" s="4">
        <f>SUM(P125:P134)</f>
        <v>680564.0564738292</v>
      </c>
      <c r="Q135" s="4"/>
      <c r="R135" s="4"/>
      <c r="S135" s="48"/>
      <c r="T135" s="48"/>
      <c r="U135" s="48"/>
      <c r="W135" s="65">
        <f>SUM(W125:W134)</f>
        <v>0</v>
      </c>
      <c r="Y135" s="23"/>
      <c r="Z135" s="23"/>
      <c r="AA135" s="23"/>
      <c r="AB135" s="23"/>
      <c r="AC135" s="47"/>
      <c r="AD135" s="23"/>
      <c r="AE135" s="23"/>
    </row>
    <row r="136" spans="1:31" ht="12.75" customHeight="1">
      <c r="A136" s="23"/>
      <c r="B136" s="23"/>
      <c r="C136" s="66"/>
      <c r="D136" s="66"/>
      <c r="E136" s="23"/>
      <c r="F136" s="23"/>
      <c r="G136" s="23"/>
      <c r="H136" s="48"/>
      <c r="I136" s="23"/>
      <c r="J136" s="23"/>
      <c r="K136" s="23"/>
      <c r="L136" s="48"/>
      <c r="M136" s="23"/>
      <c r="N136" s="23"/>
      <c r="O136" s="23"/>
      <c r="P136" s="23"/>
      <c r="Q136" s="23"/>
      <c r="R136" s="23"/>
      <c r="S136" s="23"/>
      <c r="T136" s="23"/>
      <c r="U136" s="23"/>
      <c r="V136" s="23"/>
      <c r="W136" s="23"/>
      <c r="X136" s="23"/>
      <c r="Y136" s="23"/>
      <c r="Z136" s="23"/>
      <c r="AA136" s="23"/>
      <c r="AB136" s="23"/>
      <c r="AC136" s="47"/>
      <c r="AD136" s="23"/>
      <c r="AE136" s="23"/>
    </row>
    <row r="137" spans="1:31" ht="12.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47"/>
      <c r="AD137" s="23"/>
      <c r="AE137" s="23"/>
    </row>
    <row r="138" spans="1:31" ht="12.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8"/>
      <c r="AD138" s="67"/>
      <c r="AE138" s="67"/>
    </row>
    <row r="139" spans="1:31" ht="15" customHeight="1">
      <c r="A139" s="67"/>
      <c r="B139" s="67"/>
      <c r="C139" s="3"/>
      <c r="D139" s="3"/>
      <c r="E139" s="3"/>
      <c r="F139" s="3"/>
      <c r="G139" s="2"/>
      <c r="H139" s="2"/>
      <c r="I139" s="2"/>
      <c r="J139" s="2"/>
      <c r="K139" s="69"/>
      <c r="L139" s="1"/>
      <c r="M139" s="1"/>
      <c r="N139" s="1"/>
      <c r="O139" s="1"/>
      <c r="P139" s="2"/>
      <c r="Q139" s="2"/>
      <c r="R139" s="2"/>
      <c r="S139" s="2"/>
      <c r="T139" s="1"/>
      <c r="U139" s="1"/>
      <c r="V139" s="1"/>
      <c r="W139" s="1"/>
      <c r="X139" s="2"/>
      <c r="Y139" s="2"/>
      <c r="Z139" s="2"/>
      <c r="AA139" s="1"/>
      <c r="AB139" s="1"/>
      <c r="AC139" s="1"/>
      <c r="AD139" s="70"/>
      <c r="AE139" s="67"/>
    </row>
    <row r="140" spans="1:31" ht="12.75" customHeight="1">
      <c r="A140" s="71" t="e">
        <f t="array" aca="1" ref="A140:A144" ca="1">unique(L1:L120)</f>
        <v>#NAME?</v>
      </c>
      <c r="B140" s="72"/>
      <c r="C140" s="73"/>
      <c r="D140" s="73"/>
      <c r="E140" s="73"/>
      <c r="F140" s="74"/>
      <c r="G140" s="75" t="s">
        <v>68</v>
      </c>
      <c r="H140" s="75" t="s">
        <v>69</v>
      </c>
      <c r="I140" s="75" t="s">
        <v>70</v>
      </c>
      <c r="J140" s="75" t="s">
        <v>71</v>
      </c>
      <c r="K140" s="75" t="s">
        <v>72</v>
      </c>
      <c r="L140" s="76" t="s">
        <v>73</v>
      </c>
      <c r="M140" s="76" t="s">
        <v>74</v>
      </c>
      <c r="N140" s="76" t="s">
        <v>75</v>
      </c>
      <c r="O140" s="76" t="s">
        <v>76</v>
      </c>
      <c r="P140" s="75" t="s">
        <v>77</v>
      </c>
      <c r="Q140" s="75"/>
      <c r="R140" s="75"/>
      <c r="S140" s="75"/>
      <c r="T140" s="76"/>
      <c r="U140" s="76"/>
      <c r="V140" s="76"/>
      <c r="W140" s="76"/>
      <c r="X140" s="75"/>
      <c r="Y140" s="75"/>
      <c r="Z140" s="75"/>
      <c r="AA140" s="76"/>
      <c r="AB140" s="76"/>
      <c r="AC140" s="77"/>
      <c r="AD140" s="76"/>
      <c r="AE140" s="67"/>
    </row>
    <row r="141" spans="1:31" ht="12.75" customHeight="1">
      <c r="A141" s="78" t="e">
        <f ca="1"/>
        <v>#NAME?</v>
      </c>
      <c r="B141" s="79"/>
      <c r="C141" s="79"/>
      <c r="D141" s="79" t="s">
        <v>78</v>
      </c>
      <c r="E141" s="79"/>
      <c r="F141" s="80"/>
      <c r="G141" s="81"/>
      <c r="H141" s="81"/>
      <c r="I141" s="81"/>
      <c r="J141" s="81"/>
      <c r="K141" s="81"/>
      <c r="L141" s="82"/>
      <c r="M141" s="82"/>
      <c r="N141" s="82"/>
      <c r="O141" s="82"/>
      <c r="P141" s="81"/>
      <c r="Q141" s="81"/>
      <c r="R141" s="81"/>
      <c r="S141" s="81"/>
      <c r="T141" s="82"/>
      <c r="U141" s="82"/>
      <c r="V141" s="82"/>
      <c r="W141" s="82"/>
      <c r="X141" s="81"/>
      <c r="Y141" s="81"/>
      <c r="Z141" s="81"/>
      <c r="AA141" s="82"/>
      <c r="AB141" s="82"/>
      <c r="AC141" s="83"/>
      <c r="AD141" s="82"/>
      <c r="AE141" s="67"/>
    </row>
    <row r="142" spans="1:31" ht="12.75" customHeight="1">
      <c r="A142" s="78" t="e">
        <f ca="1"/>
        <v>#NAME?</v>
      </c>
      <c r="B142" s="79"/>
      <c r="C142" s="79"/>
      <c r="D142" s="79"/>
      <c r="E142" s="79"/>
      <c r="F142" s="80"/>
      <c r="G142" s="81"/>
      <c r="H142" s="81"/>
      <c r="I142" s="81"/>
      <c r="J142" s="81"/>
      <c r="K142" s="81"/>
      <c r="L142" s="82"/>
      <c r="M142" s="82"/>
      <c r="N142" s="82"/>
      <c r="O142" s="82"/>
      <c r="P142" s="81"/>
      <c r="Q142" s="81"/>
      <c r="R142" s="81"/>
      <c r="S142" s="81"/>
      <c r="T142" s="82"/>
      <c r="U142" s="82"/>
      <c r="V142" s="82"/>
      <c r="W142" s="82"/>
      <c r="X142" s="81"/>
      <c r="Y142" s="81"/>
      <c r="Z142" s="81"/>
      <c r="AA142" s="82"/>
      <c r="AB142" s="82"/>
      <c r="AC142" s="83"/>
      <c r="AD142" s="82"/>
      <c r="AE142" s="67"/>
    </row>
    <row r="143" spans="1:31" ht="12.75" customHeight="1">
      <c r="A143" s="78" t="e">
        <f ca="1"/>
        <v>#NAME?</v>
      </c>
      <c r="B143" s="79"/>
      <c r="C143" s="79"/>
      <c r="D143" s="79"/>
      <c r="E143" s="79"/>
      <c r="F143" s="80"/>
      <c r="G143" s="81"/>
      <c r="H143" s="81"/>
      <c r="I143" s="81"/>
      <c r="J143" s="81"/>
      <c r="K143" s="81"/>
      <c r="L143" s="82"/>
      <c r="M143" s="82"/>
      <c r="N143" s="82"/>
      <c r="O143" s="82"/>
      <c r="P143" s="81"/>
      <c r="Q143" s="81"/>
      <c r="R143" s="81"/>
      <c r="S143" s="81"/>
      <c r="T143" s="82"/>
      <c r="U143" s="82"/>
      <c r="V143" s="82"/>
      <c r="W143" s="82"/>
      <c r="X143" s="81"/>
      <c r="Y143" s="81"/>
      <c r="Z143" s="81"/>
      <c r="AA143" s="82"/>
      <c r="AB143" s="82"/>
      <c r="AC143" s="83"/>
      <c r="AD143" s="82"/>
      <c r="AE143" s="67"/>
    </row>
    <row r="144" spans="1:31" ht="12.75" customHeight="1">
      <c r="A144" s="78" t="e">
        <f ca="1"/>
        <v>#NAME?</v>
      </c>
      <c r="B144" s="79"/>
      <c r="C144" s="79"/>
      <c r="D144" s="79"/>
      <c r="E144" s="79"/>
      <c r="F144" s="80"/>
      <c r="G144" s="81"/>
      <c r="H144" s="81"/>
      <c r="I144" s="81"/>
      <c r="J144" s="81"/>
      <c r="K144" s="81"/>
      <c r="L144" s="82"/>
      <c r="M144" s="82"/>
      <c r="N144" s="82"/>
      <c r="O144" s="82"/>
      <c r="P144" s="81"/>
      <c r="Q144" s="81"/>
      <c r="R144" s="81"/>
      <c r="S144" s="81"/>
      <c r="T144" s="82"/>
      <c r="U144" s="82"/>
      <c r="V144" s="82"/>
      <c r="W144" s="82"/>
      <c r="X144" s="81"/>
      <c r="Y144" s="81"/>
      <c r="Z144" s="81"/>
      <c r="AA144" s="82"/>
      <c r="AB144" s="82"/>
      <c r="AC144" s="83"/>
      <c r="AD144" s="82"/>
      <c r="AE144" s="67"/>
    </row>
    <row r="145" spans="1:31" ht="12.75" customHeight="1">
      <c r="A145" s="78"/>
      <c r="B145" s="79"/>
      <c r="C145" s="79"/>
      <c r="D145" s="79"/>
      <c r="E145" s="79"/>
      <c r="F145" s="80"/>
      <c r="G145" s="81"/>
      <c r="H145" s="81"/>
      <c r="I145" s="81"/>
      <c r="J145" s="81"/>
      <c r="K145" s="81"/>
      <c r="L145" s="82"/>
      <c r="M145" s="82"/>
      <c r="N145" s="82"/>
      <c r="O145" s="82"/>
      <c r="P145" s="81"/>
      <c r="Q145" s="81"/>
      <c r="R145" s="81"/>
      <c r="S145" s="81"/>
      <c r="T145" s="82"/>
      <c r="U145" s="82"/>
      <c r="V145" s="82"/>
      <c r="W145" s="82"/>
      <c r="X145" s="81"/>
      <c r="Y145" s="81"/>
      <c r="Z145" s="81"/>
      <c r="AA145" s="82"/>
      <c r="AB145" s="82"/>
      <c r="AC145" s="83"/>
      <c r="AD145" s="82"/>
      <c r="AE145" s="67"/>
    </row>
    <row r="146" spans="1:31" ht="12.75" customHeight="1">
      <c r="A146" s="78"/>
      <c r="B146" s="79"/>
      <c r="C146" s="79"/>
      <c r="D146" s="79"/>
      <c r="E146" s="79"/>
      <c r="F146" s="80"/>
      <c r="G146" s="81"/>
      <c r="H146" s="81"/>
      <c r="I146" s="81"/>
      <c r="J146" s="81"/>
      <c r="K146" s="81"/>
      <c r="L146" s="82"/>
      <c r="M146" s="82"/>
      <c r="N146" s="82"/>
      <c r="O146" s="82"/>
      <c r="P146" s="81"/>
      <c r="Q146" s="81"/>
      <c r="R146" s="81"/>
      <c r="S146" s="81"/>
      <c r="T146" s="82"/>
      <c r="U146" s="82"/>
      <c r="V146" s="82"/>
      <c r="W146" s="82"/>
      <c r="X146" s="81"/>
      <c r="Y146" s="81"/>
      <c r="Z146" s="81"/>
      <c r="AA146" s="82"/>
      <c r="AB146" s="82"/>
      <c r="AC146" s="83"/>
      <c r="AD146" s="82"/>
      <c r="AE146" s="67"/>
    </row>
    <row r="147" spans="1:31" ht="12.75" customHeight="1">
      <c r="A147" s="78"/>
      <c r="B147" s="79"/>
      <c r="C147" s="79"/>
      <c r="D147" s="79"/>
      <c r="E147" s="79"/>
      <c r="F147" s="80"/>
      <c r="G147" s="81"/>
      <c r="H147" s="81"/>
      <c r="I147" s="81"/>
      <c r="J147" s="81"/>
      <c r="K147" s="81"/>
      <c r="L147" s="82"/>
      <c r="M147" s="82"/>
      <c r="N147" s="82"/>
      <c r="O147" s="82"/>
      <c r="P147" s="81"/>
      <c r="Q147" s="81"/>
      <c r="R147" s="81"/>
      <c r="S147" s="81"/>
      <c r="T147" s="82"/>
      <c r="U147" s="82"/>
      <c r="V147" s="82"/>
      <c r="W147" s="82"/>
      <c r="X147" s="81"/>
      <c r="Y147" s="81"/>
      <c r="Z147" s="81"/>
      <c r="AA147" s="82"/>
      <c r="AB147" s="82"/>
      <c r="AC147" s="83"/>
      <c r="AD147" s="82"/>
      <c r="AE147" s="67"/>
    </row>
    <row r="148" spans="1:31" ht="12.75" customHeight="1">
      <c r="A148" s="78"/>
      <c r="B148" s="79"/>
      <c r="C148" s="79"/>
      <c r="D148" s="79"/>
      <c r="E148" s="79"/>
      <c r="F148" s="80"/>
      <c r="G148" s="81"/>
      <c r="H148" s="81"/>
      <c r="I148" s="81"/>
      <c r="J148" s="81"/>
      <c r="K148" s="81"/>
      <c r="L148" s="82"/>
      <c r="M148" s="82"/>
      <c r="N148" s="82"/>
      <c r="O148" s="82"/>
      <c r="P148" s="81"/>
      <c r="Q148" s="81"/>
      <c r="R148" s="81"/>
      <c r="S148" s="81"/>
      <c r="T148" s="82"/>
      <c r="U148" s="82"/>
      <c r="V148" s="82"/>
      <c r="W148" s="82"/>
      <c r="X148" s="81"/>
      <c r="Y148" s="81"/>
      <c r="Z148" s="81"/>
      <c r="AA148" s="82"/>
      <c r="AB148" s="82"/>
      <c r="AC148" s="83"/>
      <c r="AD148" s="82"/>
      <c r="AE148" s="67"/>
    </row>
    <row r="149" spans="1:31" ht="12.75" customHeight="1">
      <c r="A149" s="78"/>
      <c r="B149" s="79"/>
      <c r="C149" s="79"/>
      <c r="D149" s="79"/>
      <c r="E149" s="79"/>
      <c r="F149" s="80"/>
      <c r="G149" s="81"/>
      <c r="H149" s="81"/>
      <c r="I149" s="81"/>
      <c r="J149" s="81"/>
      <c r="K149" s="81"/>
      <c r="L149" s="82"/>
      <c r="M149" s="82"/>
      <c r="N149" s="82"/>
      <c r="O149" s="82"/>
      <c r="P149" s="81"/>
      <c r="Q149" s="81"/>
      <c r="R149" s="81"/>
      <c r="S149" s="81"/>
      <c r="T149" s="82"/>
      <c r="U149" s="82"/>
      <c r="V149" s="82"/>
      <c r="W149" s="82"/>
      <c r="X149" s="81"/>
      <c r="Y149" s="81"/>
      <c r="Z149" s="81"/>
      <c r="AA149" s="82"/>
      <c r="AB149" s="82"/>
      <c r="AC149" s="83"/>
      <c r="AD149" s="82"/>
      <c r="AE149" s="67"/>
    </row>
    <row r="150" spans="1:31" ht="12.75" customHeight="1">
      <c r="A150" s="78"/>
      <c r="B150" s="79"/>
      <c r="C150" s="79"/>
      <c r="D150" s="79"/>
      <c r="E150" s="79"/>
      <c r="F150" s="80"/>
      <c r="G150" s="81"/>
      <c r="H150" s="81"/>
      <c r="I150" s="81"/>
      <c r="J150" s="81"/>
      <c r="K150" s="81"/>
      <c r="L150" s="82"/>
      <c r="M150" s="82"/>
      <c r="N150" s="82"/>
      <c r="O150" s="82"/>
      <c r="P150" s="81"/>
      <c r="Q150" s="81"/>
      <c r="R150" s="81"/>
      <c r="S150" s="81"/>
      <c r="T150" s="82"/>
      <c r="U150" s="82"/>
      <c r="V150" s="82"/>
      <c r="W150" s="82"/>
      <c r="X150" s="81"/>
      <c r="Y150" s="81"/>
      <c r="Z150" s="81"/>
      <c r="AA150" s="82"/>
      <c r="AB150" s="82"/>
      <c r="AC150" s="83"/>
      <c r="AD150" s="82"/>
      <c r="AE150" s="67"/>
    </row>
    <row r="151" spans="1:31" ht="12.75" customHeight="1">
      <c r="A151" s="78"/>
      <c r="B151" s="79"/>
      <c r="C151" s="79"/>
      <c r="D151" s="79"/>
      <c r="E151" s="79"/>
      <c r="F151" s="80"/>
      <c r="G151" s="81"/>
      <c r="H151" s="81"/>
      <c r="I151" s="81"/>
      <c r="J151" s="81"/>
      <c r="K151" s="81"/>
      <c r="L151" s="82"/>
      <c r="M151" s="82"/>
      <c r="N151" s="82"/>
      <c r="O151" s="82"/>
      <c r="P151" s="81"/>
      <c r="Q151" s="81"/>
      <c r="R151" s="81"/>
      <c r="S151" s="81"/>
      <c r="T151" s="82"/>
      <c r="U151" s="82"/>
      <c r="V151" s="82"/>
      <c r="W151" s="82"/>
      <c r="X151" s="81"/>
      <c r="Y151" s="81"/>
      <c r="Z151" s="81"/>
      <c r="AA151" s="82"/>
      <c r="AB151" s="82"/>
      <c r="AC151" s="83"/>
      <c r="AD151" s="82"/>
      <c r="AE151" s="67"/>
    </row>
    <row r="152" spans="1:31" ht="12.75" customHeight="1">
      <c r="A152" s="78"/>
      <c r="B152" s="79"/>
      <c r="C152" s="79"/>
      <c r="D152" s="79"/>
      <c r="E152" s="79"/>
      <c r="F152" s="80"/>
      <c r="G152" s="81"/>
      <c r="H152" s="81"/>
      <c r="I152" s="81"/>
      <c r="J152" s="81"/>
      <c r="K152" s="81"/>
      <c r="L152" s="82"/>
      <c r="M152" s="82"/>
      <c r="N152" s="82"/>
      <c r="O152" s="82"/>
      <c r="P152" s="81"/>
      <c r="Q152" s="81"/>
      <c r="R152" s="81"/>
      <c r="S152" s="81"/>
      <c r="T152" s="82"/>
      <c r="U152" s="82"/>
      <c r="V152" s="82"/>
      <c r="W152" s="82"/>
      <c r="X152" s="81"/>
      <c r="Y152" s="81"/>
      <c r="Z152" s="81"/>
      <c r="AA152" s="82"/>
      <c r="AB152" s="82"/>
      <c r="AC152" s="83"/>
      <c r="AD152" s="82"/>
      <c r="AE152" s="67"/>
    </row>
    <row r="153" spans="1:31" ht="12.75" customHeight="1">
      <c r="A153" s="78"/>
      <c r="B153" s="79"/>
      <c r="C153" s="79"/>
      <c r="D153" s="79"/>
      <c r="E153" s="79"/>
      <c r="F153" s="80"/>
      <c r="G153" s="81"/>
      <c r="H153" s="81"/>
      <c r="I153" s="81"/>
      <c r="J153" s="81"/>
      <c r="K153" s="81"/>
      <c r="L153" s="82"/>
      <c r="M153" s="82"/>
      <c r="N153" s="82"/>
      <c r="O153" s="82"/>
      <c r="P153" s="81"/>
      <c r="Q153" s="81"/>
      <c r="R153" s="81"/>
      <c r="S153" s="81"/>
      <c r="T153" s="82"/>
      <c r="U153" s="82"/>
      <c r="V153" s="82"/>
      <c r="W153" s="82"/>
      <c r="X153" s="81"/>
      <c r="Y153" s="81"/>
      <c r="Z153" s="81"/>
      <c r="AA153" s="82"/>
      <c r="AB153" s="82"/>
      <c r="AC153" s="83"/>
      <c r="AD153" s="82"/>
      <c r="AE153" s="67"/>
    </row>
    <row r="154" spans="1:31" ht="12.75" customHeight="1">
      <c r="A154" s="78"/>
      <c r="B154" s="79"/>
      <c r="C154" s="79"/>
      <c r="D154" s="79"/>
      <c r="E154" s="79"/>
      <c r="F154" s="80"/>
      <c r="G154" s="81"/>
      <c r="H154" s="81"/>
      <c r="I154" s="81"/>
      <c r="J154" s="81"/>
      <c r="K154" s="81"/>
      <c r="L154" s="82"/>
      <c r="M154" s="82"/>
      <c r="N154" s="82"/>
      <c r="O154" s="82"/>
      <c r="P154" s="81"/>
      <c r="Q154" s="81"/>
      <c r="R154" s="81"/>
      <c r="S154" s="81"/>
      <c r="T154" s="82"/>
      <c r="U154" s="82"/>
      <c r="V154" s="82"/>
      <c r="W154" s="82"/>
      <c r="X154" s="81"/>
      <c r="Y154" s="81"/>
      <c r="Z154" s="81"/>
      <c r="AA154" s="82"/>
      <c r="AB154" s="82"/>
      <c r="AC154" s="83"/>
      <c r="AD154" s="82"/>
      <c r="AE154" s="67"/>
    </row>
    <row r="155" spans="1:31" ht="12.75" customHeight="1">
      <c r="A155" s="78"/>
      <c r="B155" s="79"/>
      <c r="C155" s="79"/>
      <c r="D155" s="79"/>
      <c r="E155" s="79"/>
      <c r="F155" s="80"/>
      <c r="G155" s="81"/>
      <c r="H155" s="81"/>
      <c r="I155" s="81"/>
      <c r="J155" s="81"/>
      <c r="K155" s="81"/>
      <c r="L155" s="82"/>
      <c r="M155" s="82"/>
      <c r="N155" s="82"/>
      <c r="O155" s="82"/>
      <c r="P155" s="81"/>
      <c r="Q155" s="81"/>
      <c r="R155" s="81"/>
      <c r="S155" s="81"/>
      <c r="T155" s="82"/>
      <c r="U155" s="82"/>
      <c r="V155" s="82"/>
      <c r="W155" s="82"/>
      <c r="X155" s="81"/>
      <c r="Y155" s="81"/>
      <c r="Z155" s="81"/>
      <c r="AA155" s="82"/>
      <c r="AB155" s="82"/>
      <c r="AC155" s="83"/>
      <c r="AD155" s="82"/>
      <c r="AE155" s="67"/>
    </row>
    <row r="156" spans="1:31" ht="12.75" customHeight="1">
      <c r="A156" s="78"/>
      <c r="B156" s="79"/>
      <c r="C156" s="79"/>
      <c r="D156" s="79"/>
      <c r="E156" s="79"/>
      <c r="F156" s="80"/>
      <c r="G156" s="81"/>
      <c r="H156" s="81"/>
      <c r="I156" s="81"/>
      <c r="J156" s="81"/>
      <c r="K156" s="81"/>
      <c r="L156" s="82"/>
      <c r="M156" s="82"/>
      <c r="N156" s="82"/>
      <c r="O156" s="82"/>
      <c r="P156" s="81"/>
      <c r="Q156" s="81"/>
      <c r="R156" s="81"/>
      <c r="S156" s="81"/>
      <c r="T156" s="82"/>
      <c r="U156" s="82"/>
      <c r="V156" s="82"/>
      <c r="W156" s="82"/>
      <c r="X156" s="81"/>
      <c r="Y156" s="81"/>
      <c r="Z156" s="81"/>
      <c r="AA156" s="82"/>
      <c r="AB156" s="82"/>
      <c r="AC156" s="83"/>
      <c r="AD156" s="82"/>
      <c r="AE156" s="67"/>
    </row>
    <row r="157" spans="1:31" ht="12.75" customHeight="1">
      <c r="A157" s="78"/>
      <c r="B157" s="79"/>
      <c r="C157" s="79"/>
      <c r="D157" s="79"/>
      <c r="E157" s="79"/>
      <c r="F157" s="80"/>
      <c r="G157" s="81"/>
      <c r="H157" s="81"/>
      <c r="I157" s="81"/>
      <c r="J157" s="81"/>
      <c r="K157" s="81"/>
      <c r="L157" s="82"/>
      <c r="M157" s="82"/>
      <c r="N157" s="82"/>
      <c r="O157" s="82"/>
      <c r="P157" s="81"/>
      <c r="Q157" s="81"/>
      <c r="R157" s="81"/>
      <c r="S157" s="81"/>
      <c r="T157" s="82"/>
      <c r="U157" s="82"/>
      <c r="V157" s="82"/>
      <c r="W157" s="82"/>
      <c r="X157" s="81"/>
      <c r="Y157" s="81"/>
      <c r="Z157" s="81"/>
      <c r="AA157" s="82"/>
      <c r="AB157" s="82"/>
      <c r="AC157" s="83"/>
      <c r="AD157" s="82"/>
      <c r="AE157" s="67"/>
    </row>
    <row r="158" spans="1:31" ht="12.75" customHeight="1">
      <c r="A158" s="78"/>
      <c r="B158" s="79"/>
      <c r="C158" s="79"/>
      <c r="D158" s="79"/>
      <c r="E158" s="79"/>
      <c r="F158" s="80"/>
      <c r="G158" s="81"/>
      <c r="H158" s="81"/>
      <c r="I158" s="81"/>
      <c r="J158" s="81"/>
      <c r="K158" s="81"/>
      <c r="L158" s="82"/>
      <c r="M158" s="82"/>
      <c r="N158" s="82"/>
      <c r="O158" s="82"/>
      <c r="P158" s="81"/>
      <c r="Q158" s="81"/>
      <c r="R158" s="81"/>
      <c r="S158" s="81"/>
      <c r="T158" s="82"/>
      <c r="U158" s="82"/>
      <c r="V158" s="82"/>
      <c r="W158" s="82"/>
      <c r="X158" s="81"/>
      <c r="Y158" s="81"/>
      <c r="Z158" s="81"/>
      <c r="AA158" s="82"/>
      <c r="AB158" s="82"/>
      <c r="AC158" s="83"/>
      <c r="AD158" s="82"/>
      <c r="AE158" s="67"/>
    </row>
    <row r="159" spans="1:31" ht="12.75" customHeight="1">
      <c r="A159" s="78"/>
      <c r="B159" s="79"/>
      <c r="C159" s="79"/>
      <c r="D159" s="79"/>
      <c r="E159" s="79"/>
      <c r="F159" s="80"/>
      <c r="G159" s="81"/>
      <c r="H159" s="81"/>
      <c r="I159" s="81"/>
      <c r="J159" s="81"/>
      <c r="K159" s="81"/>
      <c r="L159" s="82"/>
      <c r="M159" s="82"/>
      <c r="N159" s="82"/>
      <c r="O159" s="82"/>
      <c r="P159" s="81"/>
      <c r="Q159" s="81"/>
      <c r="R159" s="81"/>
      <c r="S159" s="81"/>
      <c r="T159" s="82"/>
      <c r="U159" s="82"/>
      <c r="V159" s="82"/>
      <c r="W159" s="82"/>
      <c r="X159" s="81"/>
      <c r="Y159" s="81"/>
      <c r="Z159" s="81"/>
      <c r="AA159" s="82"/>
      <c r="AB159" s="82"/>
      <c r="AC159" s="83"/>
      <c r="AD159" s="82"/>
      <c r="AE159" s="67"/>
    </row>
    <row r="160" spans="1:31" ht="12.75" customHeight="1">
      <c r="A160" s="78"/>
      <c r="B160" s="79"/>
      <c r="C160" s="79"/>
      <c r="D160" s="79"/>
      <c r="E160" s="79"/>
      <c r="F160" s="80"/>
      <c r="G160" s="81"/>
      <c r="H160" s="81"/>
      <c r="I160" s="81"/>
      <c r="J160" s="81"/>
      <c r="K160" s="81"/>
      <c r="L160" s="82"/>
      <c r="M160" s="82"/>
      <c r="N160" s="82"/>
      <c r="O160" s="82"/>
      <c r="P160" s="81"/>
      <c r="Q160" s="81"/>
      <c r="R160" s="81"/>
      <c r="S160" s="81"/>
      <c r="T160" s="82"/>
      <c r="U160" s="82"/>
      <c r="V160" s="82"/>
      <c r="W160" s="82"/>
      <c r="X160" s="81"/>
      <c r="Y160" s="81"/>
      <c r="Z160" s="81"/>
      <c r="AA160" s="82"/>
      <c r="AB160" s="82"/>
      <c r="AC160" s="83"/>
      <c r="AD160" s="82"/>
      <c r="AE160" s="67"/>
    </row>
    <row r="161" spans="1:31" ht="12.75" customHeight="1">
      <c r="A161" s="78"/>
      <c r="B161" s="79"/>
      <c r="C161" s="79"/>
      <c r="D161" s="79"/>
      <c r="E161" s="79"/>
      <c r="F161" s="80"/>
      <c r="G161" s="81"/>
      <c r="H161" s="81"/>
      <c r="I161" s="81"/>
      <c r="J161" s="81"/>
      <c r="K161" s="81"/>
      <c r="L161" s="82"/>
      <c r="M161" s="82"/>
      <c r="N161" s="82"/>
      <c r="O161" s="82"/>
      <c r="P161" s="81"/>
      <c r="Q161" s="81"/>
      <c r="R161" s="81"/>
      <c r="S161" s="81"/>
      <c r="T161" s="82"/>
      <c r="U161" s="82"/>
      <c r="V161" s="82"/>
      <c r="W161" s="82"/>
      <c r="X161" s="81"/>
      <c r="Y161" s="81"/>
      <c r="Z161" s="81"/>
      <c r="AA161" s="82"/>
      <c r="AB161" s="82"/>
      <c r="AC161" s="83"/>
      <c r="AD161" s="82"/>
      <c r="AE161" s="67"/>
    </row>
    <row r="162" spans="1:31" ht="12.75" customHeight="1">
      <c r="A162" s="78"/>
      <c r="B162" s="79"/>
      <c r="C162" s="79"/>
      <c r="D162" s="79"/>
      <c r="E162" s="79"/>
      <c r="F162" s="80"/>
      <c r="G162" s="81"/>
      <c r="H162" s="81"/>
      <c r="I162" s="81"/>
      <c r="J162" s="81"/>
      <c r="K162" s="81"/>
      <c r="L162" s="82"/>
      <c r="M162" s="82"/>
      <c r="N162" s="82"/>
      <c r="O162" s="82"/>
      <c r="P162" s="81"/>
      <c r="Q162" s="81"/>
      <c r="R162" s="81"/>
      <c r="S162" s="81"/>
      <c r="T162" s="82"/>
      <c r="U162" s="82"/>
      <c r="V162" s="82"/>
      <c r="W162" s="82"/>
      <c r="X162" s="81"/>
      <c r="Y162" s="81"/>
      <c r="Z162" s="81"/>
      <c r="AA162" s="82"/>
      <c r="AB162" s="82"/>
      <c r="AC162" s="83"/>
      <c r="AD162" s="82"/>
      <c r="AE162" s="67"/>
    </row>
    <row r="163" spans="1:31" ht="12.75" customHeight="1">
      <c r="A163" s="78"/>
      <c r="B163" s="79"/>
      <c r="C163" s="79"/>
      <c r="D163" s="79"/>
      <c r="E163" s="79"/>
      <c r="F163" s="80"/>
      <c r="G163" s="81"/>
      <c r="H163" s="81"/>
      <c r="I163" s="81"/>
      <c r="J163" s="81"/>
      <c r="K163" s="81"/>
      <c r="L163" s="82"/>
      <c r="M163" s="82"/>
      <c r="N163" s="82"/>
      <c r="O163" s="82"/>
      <c r="P163" s="81"/>
      <c r="Q163" s="81"/>
      <c r="R163" s="81"/>
      <c r="S163" s="81"/>
      <c r="T163" s="82"/>
      <c r="U163" s="82"/>
      <c r="V163" s="82"/>
      <c r="W163" s="82"/>
      <c r="X163" s="81"/>
      <c r="Y163" s="81"/>
      <c r="Z163" s="81"/>
      <c r="AA163" s="82"/>
      <c r="AB163" s="82"/>
      <c r="AC163" s="83"/>
      <c r="AD163" s="82"/>
      <c r="AE163" s="67"/>
    </row>
    <row r="164" spans="1:31" ht="12.75" customHeight="1">
      <c r="A164" s="78"/>
      <c r="B164" s="79"/>
      <c r="C164" s="79"/>
      <c r="D164" s="79"/>
      <c r="E164" s="79"/>
      <c r="F164" s="80"/>
      <c r="G164" s="81"/>
      <c r="H164" s="81"/>
      <c r="I164" s="81"/>
      <c r="J164" s="81"/>
      <c r="K164" s="81"/>
      <c r="L164" s="82"/>
      <c r="M164" s="82"/>
      <c r="N164" s="82"/>
      <c r="O164" s="82"/>
      <c r="P164" s="81"/>
      <c r="Q164" s="81"/>
      <c r="R164" s="81"/>
      <c r="S164" s="81"/>
      <c r="T164" s="82"/>
      <c r="U164" s="82"/>
      <c r="V164" s="82"/>
      <c r="W164" s="82"/>
      <c r="X164" s="81"/>
      <c r="Y164" s="81"/>
      <c r="Z164" s="81"/>
      <c r="AA164" s="82"/>
      <c r="AB164" s="82"/>
      <c r="AC164" s="83"/>
      <c r="AD164" s="82"/>
      <c r="AE164" s="67"/>
    </row>
    <row r="165" spans="1:31" ht="12.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47"/>
      <c r="AD165" s="23"/>
      <c r="AE165" s="67"/>
    </row>
    <row r="166" spans="1:31" ht="12.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47"/>
      <c r="AD166" s="23"/>
      <c r="AE166" s="23"/>
    </row>
    <row r="167" spans="1:31" ht="12.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47"/>
      <c r="AD167" s="23"/>
      <c r="AE167" s="23"/>
    </row>
  </sheetData>
  <mergeCells count="68">
    <mergeCell ref="T139:W139"/>
    <mergeCell ref="X139:Z139"/>
    <mergeCell ref="AA139:AC139"/>
    <mergeCell ref="P135:R135"/>
    <mergeCell ref="C139:F139"/>
    <mergeCell ref="G139:J139"/>
    <mergeCell ref="L139:O139"/>
    <mergeCell ref="P139:S139"/>
    <mergeCell ref="C134:E134"/>
    <mergeCell ref="F134:H134"/>
    <mergeCell ref="I134:L134"/>
    <mergeCell ref="M134:O134"/>
    <mergeCell ref="P134:R134"/>
    <mergeCell ref="C133:E133"/>
    <mergeCell ref="F133:H133"/>
    <mergeCell ref="I133:L133"/>
    <mergeCell ref="M133:O133"/>
    <mergeCell ref="P133:R133"/>
    <mergeCell ref="C132:E132"/>
    <mergeCell ref="F132:H132"/>
    <mergeCell ref="I132:L132"/>
    <mergeCell ref="M132:O132"/>
    <mergeCell ref="P132:R132"/>
    <mergeCell ref="C131:E131"/>
    <mergeCell ref="F131:H131"/>
    <mergeCell ref="I131:L131"/>
    <mergeCell ref="M131:O131"/>
    <mergeCell ref="P131:R131"/>
    <mergeCell ref="C130:E130"/>
    <mergeCell ref="F130:H130"/>
    <mergeCell ref="I130:L130"/>
    <mergeCell ref="M130:O130"/>
    <mergeCell ref="P130:R130"/>
    <mergeCell ref="C129:E129"/>
    <mergeCell ref="F129:H129"/>
    <mergeCell ref="I129:L129"/>
    <mergeCell ref="M129:O129"/>
    <mergeCell ref="P129:R129"/>
    <mergeCell ref="C128:E128"/>
    <mergeCell ref="F128:H128"/>
    <mergeCell ref="I128:L128"/>
    <mergeCell ref="M128:O128"/>
    <mergeCell ref="P128:R128"/>
    <mergeCell ref="C127:E127"/>
    <mergeCell ref="F127:H127"/>
    <mergeCell ref="I127:L127"/>
    <mergeCell ref="M127:O127"/>
    <mergeCell ref="P127:R127"/>
    <mergeCell ref="C126:E126"/>
    <mergeCell ref="F126:H126"/>
    <mergeCell ref="I126:L126"/>
    <mergeCell ref="M126:O126"/>
    <mergeCell ref="P126:R126"/>
    <mergeCell ref="V124:X124"/>
    <mergeCell ref="C125:E125"/>
    <mergeCell ref="F125:H125"/>
    <mergeCell ref="I125:L125"/>
    <mergeCell ref="M125:O125"/>
    <mergeCell ref="P125:R125"/>
    <mergeCell ref="M1:N1"/>
    <mergeCell ref="O1:U1"/>
    <mergeCell ref="I122:L122"/>
    <mergeCell ref="M122:O122"/>
    <mergeCell ref="C124:E124"/>
    <mergeCell ref="F124:H124"/>
    <mergeCell ref="I124:L124"/>
    <mergeCell ref="M124:O124"/>
    <mergeCell ref="P124:R124"/>
  </mergeCells>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heetPr>
  <dimension ref="A1:AE167"/>
  <sheetViews>
    <sheetView zoomScaleNormal="100" workbookViewId="0"/>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ustomHeight="1">
      <c r="A1" s="12" t="s">
        <v>0</v>
      </c>
      <c r="B1" s="13" t="s">
        <v>1</v>
      </c>
      <c r="C1" s="13" t="s">
        <v>2</v>
      </c>
      <c r="D1" s="13" t="s">
        <v>3</v>
      </c>
      <c r="E1" s="13" t="s">
        <v>4</v>
      </c>
      <c r="F1" s="13" t="s">
        <v>5</v>
      </c>
      <c r="G1" s="13" t="s">
        <v>6</v>
      </c>
      <c r="H1" s="13" t="s">
        <v>7</v>
      </c>
      <c r="I1" s="13" t="s">
        <v>8</v>
      </c>
      <c r="J1" s="13" t="s">
        <v>9</v>
      </c>
      <c r="K1" s="13" t="s">
        <v>10</v>
      </c>
      <c r="L1" s="14"/>
      <c r="M1" s="11" t="s">
        <v>11</v>
      </c>
      <c r="N1" s="11"/>
      <c r="O1" s="10" t="s">
        <v>12</v>
      </c>
      <c r="P1" s="10"/>
      <c r="Q1" s="10"/>
      <c r="R1" s="10"/>
      <c r="S1" s="10"/>
      <c r="T1" s="10"/>
      <c r="U1" s="10"/>
      <c r="V1" s="14"/>
      <c r="W1" s="15">
        <v>46049</v>
      </c>
      <c r="X1" s="14"/>
      <c r="Y1" s="16">
        <f>SUMIFS(Y2:Y120,L2:L120,"&lt;&gt;"&amp;"")</f>
        <v>0</v>
      </c>
      <c r="Z1" s="14" t="s">
        <v>13</v>
      </c>
      <c r="AA1" s="17" t="s">
        <v>14</v>
      </c>
      <c r="AB1" s="18" t="s">
        <v>15</v>
      </c>
      <c r="AC1" s="19">
        <f>SUM(AC2:AC120)</f>
        <v>0</v>
      </c>
      <c r="AD1" s="14"/>
      <c r="AE1" s="14"/>
    </row>
    <row r="2" spans="1:31" ht="15.75" customHeight="1">
      <c r="A2" s="20">
        <f t="shared" ref="A2:A33" si="0">(B2*$P$125+C2*$P$126+D2*$P$127+E2*$P$128+F2*$P$129+G2*$P$130+H2*$P$131+I2*$P$132+J2*$P$133+K2*$P$134)*$T$123</f>
        <v>0</v>
      </c>
      <c r="B2" s="21"/>
      <c r="C2" s="22"/>
      <c r="D2" s="22"/>
      <c r="E2" s="22"/>
      <c r="F2" s="22"/>
      <c r="G2" s="22"/>
      <c r="H2" s="22"/>
      <c r="I2" s="22"/>
      <c r="J2" s="23"/>
      <c r="K2" s="23"/>
      <c r="L2" s="24" t="s">
        <v>16</v>
      </c>
      <c r="M2" s="25"/>
      <c r="N2" s="26"/>
      <c r="O2" s="26"/>
      <c r="P2" s="26"/>
      <c r="Q2" s="26"/>
      <c r="R2" s="26"/>
      <c r="S2" s="26"/>
      <c r="T2" s="26"/>
      <c r="U2" s="26"/>
      <c r="V2" s="26"/>
      <c r="W2" s="26"/>
      <c r="X2" s="26">
        <f>COUNTIF($L$2:L2,"&lt;&gt;"&amp;"")</f>
        <v>1</v>
      </c>
      <c r="Y2" s="27">
        <f t="shared" ref="Y2:Y33" si="1">SUMIF($X$2:$X$120,X2,$A$2:$A$120)</f>
        <v>0</v>
      </c>
      <c r="Z2" s="28"/>
      <c r="AA2" s="29"/>
      <c r="AB2" s="30" t="b">
        <f>TRUE()</f>
        <v>1</v>
      </c>
      <c r="AC2" s="31">
        <f t="shared" ref="AC2:AC33" si="2">IF(L2="",0,IF(AB2=FALSE(),0,Y2))</f>
        <v>0</v>
      </c>
      <c r="AD2" s="23"/>
      <c r="AE2" s="23"/>
    </row>
    <row r="3" spans="1:31" ht="15.75" customHeight="1">
      <c r="A3" s="20">
        <f t="shared" si="0"/>
        <v>0</v>
      </c>
      <c r="B3" s="22"/>
      <c r="C3" s="21"/>
      <c r="D3" s="21"/>
      <c r="E3" s="22"/>
      <c r="F3" s="22"/>
      <c r="G3" s="22"/>
      <c r="H3" s="22"/>
      <c r="I3" s="22"/>
      <c r="J3" s="23"/>
      <c r="K3" s="23"/>
      <c r="L3" s="24" t="s">
        <v>17</v>
      </c>
      <c r="M3" s="26"/>
      <c r="N3" s="26"/>
      <c r="O3" s="26"/>
      <c r="P3" s="26"/>
      <c r="Q3" s="26"/>
      <c r="R3" s="26"/>
      <c r="S3" s="26"/>
      <c r="T3" s="26"/>
      <c r="U3" s="26"/>
      <c r="V3" s="26"/>
      <c r="W3" s="26"/>
      <c r="X3" s="26">
        <f>COUNTIF($L$2:L3,"&lt;&gt;"&amp;"")</f>
        <v>2</v>
      </c>
      <c r="Y3" s="27">
        <f t="shared" si="1"/>
        <v>0</v>
      </c>
      <c r="Z3" s="28"/>
      <c r="AA3" s="29"/>
      <c r="AB3" s="30" t="b">
        <f>TRUE()</f>
        <v>1</v>
      </c>
      <c r="AC3" s="31">
        <f t="shared" si="2"/>
        <v>0</v>
      </c>
      <c r="AD3" s="23"/>
      <c r="AE3" s="23"/>
    </row>
    <row r="4" spans="1:31" ht="15.75" customHeight="1">
      <c r="A4" s="20">
        <f t="shared" si="0"/>
        <v>0</v>
      </c>
      <c r="B4" s="22"/>
      <c r="C4" s="22"/>
      <c r="D4" s="22"/>
      <c r="E4" s="22"/>
      <c r="F4" s="22"/>
      <c r="G4" s="22"/>
      <c r="H4" s="21"/>
      <c r="I4" s="22"/>
      <c r="J4" s="23"/>
      <c r="K4" s="23"/>
      <c r="L4" s="24" t="s">
        <v>18</v>
      </c>
      <c r="M4" s="26"/>
      <c r="N4" s="26"/>
      <c r="O4" s="26"/>
      <c r="P4" s="26"/>
      <c r="Q4" s="26"/>
      <c r="R4" s="26"/>
      <c r="S4" s="26"/>
      <c r="T4" s="26"/>
      <c r="U4" s="26"/>
      <c r="V4" s="26"/>
      <c r="W4" s="26"/>
      <c r="X4" s="26">
        <f>COUNTIF($L$2:L4,"&lt;&gt;"&amp;"")</f>
        <v>3</v>
      </c>
      <c r="Y4" s="27">
        <f t="shared" si="1"/>
        <v>0</v>
      </c>
      <c r="Z4" s="28"/>
      <c r="AA4" s="32"/>
      <c r="AB4" s="30" t="b">
        <f>TRUE()</f>
        <v>1</v>
      </c>
      <c r="AC4" s="31">
        <f t="shared" si="2"/>
        <v>0</v>
      </c>
      <c r="AD4" s="23"/>
      <c r="AE4" s="23"/>
    </row>
    <row r="5" spans="1:31" ht="15.75" customHeight="1">
      <c r="A5" s="20">
        <f t="shared" si="0"/>
        <v>0</v>
      </c>
      <c r="B5" s="23"/>
      <c r="C5" s="23"/>
      <c r="D5" s="23"/>
      <c r="E5" s="23"/>
      <c r="F5" s="23"/>
      <c r="G5" s="23"/>
      <c r="H5" s="23"/>
      <c r="I5" s="23"/>
      <c r="J5" s="23"/>
      <c r="K5" s="23"/>
      <c r="L5" s="24" t="s">
        <v>19</v>
      </c>
      <c r="M5" s="26"/>
      <c r="N5" s="26"/>
      <c r="O5" s="26"/>
      <c r="P5" s="26"/>
      <c r="Q5" s="26"/>
      <c r="R5" s="26"/>
      <c r="S5" s="26"/>
      <c r="T5" s="26"/>
      <c r="U5" s="26"/>
      <c r="V5" s="26"/>
      <c r="W5" s="26"/>
      <c r="X5" s="26">
        <f>COUNTIF($L$2:L5,"&lt;&gt;"&amp;"")</f>
        <v>4</v>
      </c>
      <c r="Y5" s="27">
        <f t="shared" si="1"/>
        <v>0</v>
      </c>
      <c r="Z5" s="28"/>
      <c r="AA5" s="32"/>
      <c r="AB5" s="30" t="b">
        <f>TRUE()</f>
        <v>1</v>
      </c>
      <c r="AC5" s="31">
        <f t="shared" si="2"/>
        <v>0</v>
      </c>
      <c r="AD5" s="23"/>
      <c r="AE5" s="23"/>
    </row>
    <row r="6" spans="1:31" ht="15" customHeight="1">
      <c r="A6" s="20">
        <f t="shared" si="0"/>
        <v>0</v>
      </c>
      <c r="B6" s="23"/>
      <c r="C6" s="23"/>
      <c r="D6" s="23"/>
      <c r="E6" s="23"/>
      <c r="F6" s="23"/>
      <c r="G6" s="23"/>
      <c r="H6" s="23"/>
      <c r="I6" s="23"/>
      <c r="J6" s="23"/>
      <c r="K6" s="23"/>
      <c r="L6" s="33"/>
      <c r="M6" s="26"/>
      <c r="N6" s="26"/>
      <c r="O6" s="26"/>
      <c r="P6" s="26"/>
      <c r="Q6" s="26"/>
      <c r="R6" s="26"/>
      <c r="S6" s="26"/>
      <c r="T6" s="26"/>
      <c r="U6" s="26"/>
      <c r="V6" s="26"/>
      <c r="W6" s="26"/>
      <c r="X6" s="26">
        <f>COUNTIF($L$2:L6,"&lt;&gt;"&amp;"")</f>
        <v>4</v>
      </c>
      <c r="Y6" s="27">
        <f t="shared" si="1"/>
        <v>0</v>
      </c>
      <c r="Z6" s="28"/>
      <c r="AA6" s="29"/>
      <c r="AB6" s="30" t="b">
        <f>TRUE()</f>
        <v>1</v>
      </c>
      <c r="AC6" s="31">
        <f t="shared" si="2"/>
        <v>0</v>
      </c>
      <c r="AD6" s="23"/>
      <c r="AE6" s="23"/>
    </row>
    <row r="7" spans="1:31" ht="15" customHeight="1">
      <c r="A7" s="20">
        <f t="shared" si="0"/>
        <v>0</v>
      </c>
      <c r="B7" s="23"/>
      <c r="C7" s="23"/>
      <c r="D7" s="23"/>
      <c r="E7" s="23"/>
      <c r="F7" s="23"/>
      <c r="G7" s="23"/>
      <c r="H7" s="23"/>
      <c r="I7" s="23"/>
      <c r="J7" s="23"/>
      <c r="K7" s="23"/>
      <c r="L7" s="33"/>
      <c r="M7" s="26"/>
      <c r="N7" s="26"/>
      <c r="O7" s="26"/>
      <c r="P7" s="26"/>
      <c r="Q7" s="26"/>
      <c r="R7" s="26"/>
      <c r="S7" s="26"/>
      <c r="T7" s="26"/>
      <c r="U7" s="26"/>
      <c r="V7" s="26"/>
      <c r="W7" s="26"/>
      <c r="X7" s="26">
        <f>COUNTIF($L$2:L7,"&lt;&gt;"&amp;"")</f>
        <v>4</v>
      </c>
      <c r="Y7" s="27">
        <f t="shared" si="1"/>
        <v>0</v>
      </c>
      <c r="Z7" s="28"/>
      <c r="AA7" s="32"/>
      <c r="AB7" s="30" t="b">
        <f>TRUE()</f>
        <v>1</v>
      </c>
      <c r="AC7" s="31">
        <f t="shared" si="2"/>
        <v>0</v>
      </c>
      <c r="AD7" s="23"/>
      <c r="AE7" s="23"/>
    </row>
    <row r="8" spans="1:31" ht="15.75" customHeight="1">
      <c r="A8" s="20">
        <f t="shared" si="0"/>
        <v>0</v>
      </c>
      <c r="B8" s="23"/>
      <c r="C8" s="23"/>
      <c r="D8" s="23"/>
      <c r="E8" s="23"/>
      <c r="F8" s="23"/>
      <c r="G8" s="23"/>
      <c r="H8" s="23"/>
      <c r="I8" s="23"/>
      <c r="J8" s="23"/>
      <c r="K8" s="23"/>
      <c r="L8" s="34" t="s">
        <v>127</v>
      </c>
      <c r="M8" s="26"/>
      <c r="N8" s="26"/>
      <c r="O8" s="26"/>
      <c r="P8" s="26"/>
      <c r="Q8" s="26"/>
      <c r="R8" s="26"/>
      <c r="S8" s="26"/>
      <c r="T8" s="26"/>
      <c r="U8" s="26"/>
      <c r="V8" s="26"/>
      <c r="W8" s="26"/>
      <c r="X8" s="26">
        <f>COUNTIF($L$2:L8,"&lt;&gt;"&amp;"")</f>
        <v>5</v>
      </c>
      <c r="Y8" s="27">
        <f t="shared" si="1"/>
        <v>0</v>
      </c>
      <c r="Z8" s="28"/>
      <c r="AA8" s="29"/>
      <c r="AB8" s="30" t="b">
        <f>TRUE()</f>
        <v>1</v>
      </c>
      <c r="AC8" s="31">
        <f t="shared" si="2"/>
        <v>0</v>
      </c>
      <c r="AD8" s="35"/>
      <c r="AE8" s="35"/>
    </row>
    <row r="9" spans="1:31" ht="12.75" customHeight="1">
      <c r="A9" s="20">
        <f t="shared" si="0"/>
        <v>0</v>
      </c>
      <c r="B9" s="23"/>
      <c r="C9" s="23"/>
      <c r="D9" s="23"/>
      <c r="E9" s="23"/>
      <c r="F9" s="23"/>
      <c r="G9" s="23"/>
      <c r="H9" s="23"/>
      <c r="I9" s="23"/>
      <c r="J9" s="23"/>
      <c r="K9" s="23"/>
      <c r="L9" s="26"/>
      <c r="M9" s="36" t="s">
        <v>128</v>
      </c>
      <c r="N9" s="26"/>
      <c r="O9" s="26"/>
      <c r="P9" s="26"/>
      <c r="Q9" s="26"/>
      <c r="R9" s="26"/>
      <c r="S9" s="26"/>
      <c r="T9" s="26"/>
      <c r="U9" s="26"/>
      <c r="V9" s="26"/>
      <c r="W9" s="26"/>
      <c r="X9" s="26">
        <f>COUNTIF($L$2:L9,"&lt;&gt;"&amp;"")</f>
        <v>5</v>
      </c>
      <c r="Y9" s="27">
        <f t="shared" si="1"/>
        <v>0</v>
      </c>
      <c r="Z9" s="28"/>
      <c r="AA9" s="29"/>
      <c r="AB9" s="30" t="b">
        <f>TRUE()</f>
        <v>1</v>
      </c>
      <c r="AC9" s="31">
        <f t="shared" si="2"/>
        <v>0</v>
      </c>
      <c r="AD9" s="35"/>
      <c r="AE9" s="35"/>
    </row>
    <row r="10" spans="1:31" ht="12.75" customHeight="1">
      <c r="A10" s="20">
        <f t="shared" si="0"/>
        <v>0</v>
      </c>
      <c r="B10" s="23"/>
      <c r="C10" s="23"/>
      <c r="D10" s="23"/>
      <c r="E10" s="23"/>
      <c r="F10" s="23"/>
      <c r="G10" s="23"/>
      <c r="H10" s="23"/>
      <c r="I10" s="23"/>
      <c r="J10" s="23"/>
      <c r="K10" s="23"/>
      <c r="L10" s="26"/>
      <c r="M10" s="26"/>
      <c r="N10" s="37" t="s">
        <v>129</v>
      </c>
      <c r="O10" s="26"/>
      <c r="P10" s="26"/>
      <c r="Q10" s="26"/>
      <c r="R10" s="26"/>
      <c r="S10" s="26"/>
      <c r="T10" s="26"/>
      <c r="U10" s="26"/>
      <c r="V10" s="26"/>
      <c r="W10" s="26"/>
      <c r="X10" s="26">
        <f>COUNTIF($L$2:L10,"&lt;&gt;"&amp;"")</f>
        <v>5</v>
      </c>
      <c r="Y10" s="27">
        <f t="shared" si="1"/>
        <v>0</v>
      </c>
      <c r="Z10" s="28"/>
      <c r="AA10" s="29"/>
      <c r="AB10" s="30" t="b">
        <f>TRUE()</f>
        <v>1</v>
      </c>
      <c r="AC10" s="31">
        <f t="shared" si="2"/>
        <v>0</v>
      </c>
      <c r="AD10" s="35"/>
      <c r="AE10" s="35"/>
    </row>
    <row r="11" spans="1:31" ht="12.75" customHeight="1">
      <c r="A11" s="20">
        <f t="shared" si="0"/>
        <v>0</v>
      </c>
      <c r="B11" s="23"/>
      <c r="C11" s="23"/>
      <c r="D11" s="23"/>
      <c r="E11" s="23"/>
      <c r="F11" s="23"/>
      <c r="G11" s="23"/>
      <c r="H11" s="23"/>
      <c r="I11" s="23"/>
      <c r="J11" s="23"/>
      <c r="K11" s="23"/>
      <c r="L11" s="26"/>
      <c r="M11" s="36" t="s">
        <v>130</v>
      </c>
      <c r="N11" s="38"/>
      <c r="O11" s="26"/>
      <c r="P11" s="26"/>
      <c r="Q11" s="26"/>
      <c r="R11" s="26"/>
      <c r="S11" s="26"/>
      <c r="T11" s="26"/>
      <c r="U11" s="26"/>
      <c r="V11" s="26"/>
      <c r="W11" s="26"/>
      <c r="X11" s="26">
        <f>COUNTIF($L$2:L11,"&lt;&gt;"&amp;"")</f>
        <v>5</v>
      </c>
      <c r="Y11" s="27">
        <f t="shared" si="1"/>
        <v>0</v>
      </c>
      <c r="Z11" s="28"/>
      <c r="AA11" s="29"/>
      <c r="AB11" s="30" t="b">
        <f>TRUE()</f>
        <v>1</v>
      </c>
      <c r="AC11" s="31">
        <f t="shared" si="2"/>
        <v>0</v>
      </c>
      <c r="AD11" s="35"/>
      <c r="AE11" s="35"/>
    </row>
    <row r="12" spans="1:31" ht="12.75" customHeight="1">
      <c r="A12" s="20">
        <f t="shared" si="0"/>
        <v>0</v>
      </c>
      <c r="B12" s="23"/>
      <c r="C12" s="23"/>
      <c r="D12" s="23"/>
      <c r="E12" s="23"/>
      <c r="F12" s="23"/>
      <c r="G12" s="23"/>
      <c r="H12" s="23"/>
      <c r="I12" s="23"/>
      <c r="J12" s="23"/>
      <c r="K12" s="23"/>
      <c r="L12" s="26"/>
      <c r="M12" s="39"/>
      <c r="N12" s="37" t="s">
        <v>131</v>
      </c>
      <c r="O12" s="26"/>
      <c r="P12" s="26"/>
      <c r="Q12" s="26"/>
      <c r="R12" s="26"/>
      <c r="S12" s="26"/>
      <c r="T12" s="26"/>
      <c r="U12" s="26"/>
      <c r="V12" s="26"/>
      <c r="W12" s="26"/>
      <c r="X12" s="26">
        <f>COUNTIF($L$2:L12,"&lt;&gt;"&amp;"")</f>
        <v>5</v>
      </c>
      <c r="Y12" s="27">
        <f t="shared" si="1"/>
        <v>0</v>
      </c>
      <c r="Z12" s="28"/>
      <c r="AA12" s="29"/>
      <c r="AB12" s="30" t="b">
        <f>TRUE()</f>
        <v>1</v>
      </c>
      <c r="AC12" s="31">
        <f t="shared" si="2"/>
        <v>0</v>
      </c>
      <c r="AD12" s="35"/>
      <c r="AE12" s="35"/>
    </row>
    <row r="13" spans="1:31" ht="12.75" customHeight="1">
      <c r="A13" s="20">
        <f t="shared" si="0"/>
        <v>0</v>
      </c>
      <c r="B13" s="23"/>
      <c r="C13" s="23"/>
      <c r="D13" s="23"/>
      <c r="E13" s="23"/>
      <c r="F13" s="23"/>
      <c r="G13" s="23"/>
      <c r="H13" s="23"/>
      <c r="I13" s="23"/>
      <c r="J13" s="23"/>
      <c r="K13" s="23"/>
      <c r="L13" s="26"/>
      <c r="M13" s="26"/>
      <c r="N13" s="38"/>
      <c r="O13" s="26"/>
      <c r="P13" s="26"/>
      <c r="Q13" s="26"/>
      <c r="R13" s="26"/>
      <c r="S13" s="26"/>
      <c r="T13" s="26"/>
      <c r="U13" s="26"/>
      <c r="V13" s="26"/>
      <c r="W13" s="26"/>
      <c r="X13" s="26">
        <f>COUNTIF($L$2:L13,"&lt;&gt;"&amp;"")</f>
        <v>5</v>
      </c>
      <c r="Y13" s="27">
        <f t="shared" si="1"/>
        <v>0</v>
      </c>
      <c r="Z13" s="28"/>
      <c r="AA13" s="29"/>
      <c r="AB13" s="30" t="b">
        <f>TRUE()</f>
        <v>1</v>
      </c>
      <c r="AC13" s="31">
        <f t="shared" si="2"/>
        <v>0</v>
      </c>
      <c r="AD13" s="35"/>
      <c r="AE13" s="35"/>
    </row>
    <row r="14" spans="1:31" ht="15" customHeight="1">
      <c r="A14" s="20">
        <f t="shared" si="0"/>
        <v>0</v>
      </c>
      <c r="B14" s="23"/>
      <c r="C14" s="23"/>
      <c r="D14" s="23"/>
      <c r="E14" s="23"/>
      <c r="F14" s="23"/>
      <c r="G14" s="23"/>
      <c r="H14" s="23"/>
      <c r="I14" s="23"/>
      <c r="J14" s="23"/>
      <c r="K14" s="23"/>
      <c r="L14" s="33"/>
      <c r="M14" s="26"/>
      <c r="N14" s="38"/>
      <c r="O14" s="26"/>
      <c r="P14" s="26"/>
      <c r="Q14" s="26"/>
      <c r="R14" s="26"/>
      <c r="S14" s="26"/>
      <c r="T14" s="26"/>
      <c r="U14" s="26"/>
      <c r="V14" s="26"/>
      <c r="W14" s="26"/>
      <c r="X14" s="26">
        <f>COUNTIF($L$2:L14,"&lt;&gt;"&amp;"")</f>
        <v>5</v>
      </c>
      <c r="Y14" s="27">
        <f t="shared" si="1"/>
        <v>0</v>
      </c>
      <c r="Z14" s="28"/>
      <c r="AA14" s="29"/>
      <c r="AB14" s="30" t="b">
        <f>TRUE()</f>
        <v>1</v>
      </c>
      <c r="AC14" s="31">
        <f t="shared" si="2"/>
        <v>0</v>
      </c>
      <c r="AD14" s="35"/>
      <c r="AE14" s="35"/>
    </row>
    <row r="15" spans="1:31" ht="12.75" customHeight="1">
      <c r="A15" s="20">
        <f t="shared" si="0"/>
        <v>0</v>
      </c>
      <c r="B15" s="23"/>
      <c r="C15" s="23"/>
      <c r="D15" s="23"/>
      <c r="E15" s="23"/>
      <c r="F15" s="23"/>
      <c r="G15" s="23"/>
      <c r="H15" s="23"/>
      <c r="I15" s="23"/>
      <c r="J15" s="23"/>
      <c r="K15" s="23"/>
      <c r="L15" s="26"/>
      <c r="M15" s="26"/>
      <c r="N15" s="26"/>
      <c r="O15" s="26"/>
      <c r="P15" s="26"/>
      <c r="Q15" s="26"/>
      <c r="R15" s="26"/>
      <c r="S15" s="26"/>
      <c r="T15" s="26"/>
      <c r="U15" s="26"/>
      <c r="V15" s="26"/>
      <c r="W15" s="26"/>
      <c r="X15" s="26">
        <f>COUNTIF($L$2:L15,"&lt;&gt;"&amp;"")</f>
        <v>5</v>
      </c>
      <c r="Y15" s="27">
        <f t="shared" si="1"/>
        <v>0</v>
      </c>
      <c r="Z15" s="28"/>
      <c r="AA15" s="29"/>
      <c r="AB15" s="30" t="b">
        <f>TRUE()</f>
        <v>1</v>
      </c>
      <c r="AC15" s="31">
        <f t="shared" si="2"/>
        <v>0</v>
      </c>
      <c r="AD15" s="35"/>
      <c r="AE15" s="35"/>
    </row>
    <row r="16" spans="1:31" ht="12.75" customHeight="1">
      <c r="A16" s="20">
        <f t="shared" si="0"/>
        <v>0</v>
      </c>
      <c r="B16" s="23"/>
      <c r="C16" s="23"/>
      <c r="D16" s="23"/>
      <c r="E16" s="23"/>
      <c r="F16" s="23"/>
      <c r="G16" s="23"/>
      <c r="H16" s="23"/>
      <c r="I16" s="23"/>
      <c r="J16" s="23"/>
      <c r="K16" s="23"/>
      <c r="L16" s="26"/>
      <c r="M16" s="26"/>
      <c r="N16" s="26"/>
      <c r="O16" s="26"/>
      <c r="P16" s="26"/>
      <c r="Q16" s="26"/>
      <c r="R16" s="26"/>
      <c r="S16" s="26"/>
      <c r="T16" s="26"/>
      <c r="U16" s="26"/>
      <c r="V16" s="26"/>
      <c r="W16" s="26"/>
      <c r="X16" s="26">
        <f>COUNTIF($L$2:L16,"&lt;&gt;"&amp;"")</f>
        <v>5</v>
      </c>
      <c r="Y16" s="27">
        <f t="shared" si="1"/>
        <v>0</v>
      </c>
      <c r="Z16" s="28"/>
      <c r="AA16" s="29"/>
      <c r="AB16" s="30" t="b">
        <f>TRUE()</f>
        <v>1</v>
      </c>
      <c r="AC16" s="31">
        <f t="shared" si="2"/>
        <v>0</v>
      </c>
      <c r="AD16" s="35"/>
      <c r="AE16" s="35"/>
    </row>
    <row r="17" spans="1:31" ht="12.75" customHeight="1">
      <c r="A17" s="20">
        <f t="shared" si="0"/>
        <v>0</v>
      </c>
      <c r="B17" s="23"/>
      <c r="C17" s="23"/>
      <c r="D17" s="23"/>
      <c r="E17" s="23"/>
      <c r="F17" s="23"/>
      <c r="G17" s="23"/>
      <c r="H17" s="23"/>
      <c r="I17" s="23"/>
      <c r="J17" s="23"/>
      <c r="K17" s="23"/>
      <c r="L17" s="26"/>
      <c r="M17" s="26"/>
      <c r="N17" s="26"/>
      <c r="O17" s="26"/>
      <c r="P17" s="26"/>
      <c r="Q17" s="26"/>
      <c r="R17" s="26"/>
      <c r="S17" s="26"/>
      <c r="T17" s="26"/>
      <c r="U17" s="26"/>
      <c r="V17" s="26"/>
      <c r="W17" s="26"/>
      <c r="X17" s="26">
        <f>COUNTIF($L$2:L17,"&lt;&gt;"&amp;"")</f>
        <v>5</v>
      </c>
      <c r="Y17" s="27">
        <f t="shared" si="1"/>
        <v>0</v>
      </c>
      <c r="Z17" s="28"/>
      <c r="AA17" s="29"/>
      <c r="AB17" s="30" t="b">
        <f>TRUE()</f>
        <v>1</v>
      </c>
      <c r="AC17" s="31">
        <f t="shared" si="2"/>
        <v>0</v>
      </c>
      <c r="AD17" s="35"/>
      <c r="AE17" s="35"/>
    </row>
    <row r="18" spans="1:31" ht="12.75" customHeight="1">
      <c r="A18" s="20">
        <f t="shared" si="0"/>
        <v>0</v>
      </c>
      <c r="B18" s="23"/>
      <c r="C18" s="23"/>
      <c r="D18" s="23"/>
      <c r="E18" s="23"/>
      <c r="F18" s="23"/>
      <c r="G18" s="23"/>
      <c r="H18" s="23"/>
      <c r="I18" s="23"/>
      <c r="J18" s="23"/>
      <c r="K18" s="23"/>
      <c r="L18" s="26"/>
      <c r="M18" s="26"/>
      <c r="N18" s="26"/>
      <c r="O18" s="26"/>
      <c r="P18" s="26"/>
      <c r="Q18" s="26"/>
      <c r="R18" s="26"/>
      <c r="S18" s="26"/>
      <c r="T18" s="26"/>
      <c r="U18" s="26"/>
      <c r="V18" s="26"/>
      <c r="W18" s="26"/>
      <c r="X18" s="26">
        <f>COUNTIF($L$2:L18,"&lt;&gt;"&amp;"")</f>
        <v>5</v>
      </c>
      <c r="Y18" s="27">
        <f t="shared" si="1"/>
        <v>0</v>
      </c>
      <c r="Z18" s="28"/>
      <c r="AA18" s="29"/>
      <c r="AB18" s="30" t="b">
        <f>TRUE()</f>
        <v>1</v>
      </c>
      <c r="AC18" s="31">
        <f t="shared" si="2"/>
        <v>0</v>
      </c>
      <c r="AD18" s="35"/>
      <c r="AE18" s="35"/>
    </row>
    <row r="19" spans="1:31" ht="15" customHeight="1">
      <c r="A19" s="20">
        <f t="shared" si="0"/>
        <v>0</v>
      </c>
      <c r="B19" s="23"/>
      <c r="C19" s="23"/>
      <c r="D19" s="23"/>
      <c r="E19" s="23"/>
      <c r="F19" s="23"/>
      <c r="G19" s="23"/>
      <c r="H19" s="23"/>
      <c r="I19" s="23"/>
      <c r="J19" s="23"/>
      <c r="K19" s="23"/>
      <c r="L19" s="33"/>
      <c r="M19" s="26"/>
      <c r="N19" s="26"/>
      <c r="O19" s="26"/>
      <c r="P19" s="26"/>
      <c r="Q19" s="26"/>
      <c r="R19" s="26"/>
      <c r="S19" s="26"/>
      <c r="T19" s="26"/>
      <c r="U19" s="26"/>
      <c r="V19" s="26"/>
      <c r="W19" s="26"/>
      <c r="X19" s="26">
        <f>COUNTIF($L$2:L19,"&lt;&gt;"&amp;"")</f>
        <v>5</v>
      </c>
      <c r="Y19" s="27">
        <f t="shared" si="1"/>
        <v>0</v>
      </c>
      <c r="Z19" s="28"/>
      <c r="AA19" s="29"/>
      <c r="AB19" s="30" t="b">
        <f>TRUE()</f>
        <v>1</v>
      </c>
      <c r="AC19" s="31">
        <f t="shared" si="2"/>
        <v>0</v>
      </c>
      <c r="AD19" s="35"/>
      <c r="AE19" s="35"/>
    </row>
    <row r="20" spans="1:31" ht="12.75" customHeight="1">
      <c r="A20" s="20">
        <f t="shared" si="0"/>
        <v>0</v>
      </c>
      <c r="B20" s="23"/>
      <c r="C20" s="23"/>
      <c r="D20" s="23"/>
      <c r="E20" s="23"/>
      <c r="F20" s="23"/>
      <c r="G20" s="23"/>
      <c r="H20" s="23"/>
      <c r="I20" s="23"/>
      <c r="J20" s="23"/>
      <c r="K20" s="23"/>
      <c r="L20" s="26"/>
      <c r="M20" s="26"/>
      <c r="N20" s="26"/>
      <c r="O20" s="26"/>
      <c r="P20" s="26"/>
      <c r="Q20" s="26"/>
      <c r="R20" s="26"/>
      <c r="S20" s="26"/>
      <c r="T20" s="26"/>
      <c r="U20" s="26"/>
      <c r="V20" s="26"/>
      <c r="W20" s="26"/>
      <c r="X20" s="26">
        <f>COUNTIF($L$2:L20,"&lt;&gt;"&amp;"")</f>
        <v>5</v>
      </c>
      <c r="Y20" s="27">
        <f t="shared" si="1"/>
        <v>0</v>
      </c>
      <c r="Z20" s="28"/>
      <c r="AA20" s="29"/>
      <c r="AB20" s="30" t="b">
        <f>TRUE()</f>
        <v>1</v>
      </c>
      <c r="AC20" s="31">
        <f t="shared" si="2"/>
        <v>0</v>
      </c>
      <c r="AD20" s="35"/>
      <c r="AE20" s="35"/>
    </row>
    <row r="21" spans="1:31" ht="12.75" customHeight="1">
      <c r="A21" s="20">
        <f t="shared" si="0"/>
        <v>0</v>
      </c>
      <c r="B21" s="23"/>
      <c r="C21" s="23"/>
      <c r="D21" s="23"/>
      <c r="E21" s="23"/>
      <c r="F21" s="23"/>
      <c r="G21" s="23"/>
      <c r="H21" s="23"/>
      <c r="I21" s="23"/>
      <c r="J21" s="23"/>
      <c r="K21" s="23"/>
      <c r="L21" s="26"/>
      <c r="M21" s="26"/>
      <c r="N21" s="26"/>
      <c r="O21" s="26"/>
      <c r="P21" s="26"/>
      <c r="Q21" s="26"/>
      <c r="R21" s="26"/>
      <c r="S21" s="26"/>
      <c r="T21" s="26"/>
      <c r="U21" s="26"/>
      <c r="V21" s="26"/>
      <c r="W21" s="26"/>
      <c r="X21" s="26">
        <f>COUNTIF($L$2:L21,"&lt;&gt;"&amp;"")</f>
        <v>5</v>
      </c>
      <c r="Y21" s="27">
        <f t="shared" si="1"/>
        <v>0</v>
      </c>
      <c r="Z21" s="28"/>
      <c r="AA21" s="29"/>
      <c r="AB21" s="30" t="b">
        <f>TRUE()</f>
        <v>1</v>
      </c>
      <c r="AC21" s="31">
        <f t="shared" si="2"/>
        <v>0</v>
      </c>
      <c r="AD21" s="35"/>
      <c r="AE21" s="35"/>
    </row>
    <row r="22" spans="1:31" ht="12.75" customHeight="1">
      <c r="A22" s="20">
        <f t="shared" si="0"/>
        <v>0</v>
      </c>
      <c r="B22" s="23"/>
      <c r="C22" s="23"/>
      <c r="D22" s="23"/>
      <c r="E22" s="23"/>
      <c r="F22" s="23"/>
      <c r="G22" s="23"/>
      <c r="H22" s="23"/>
      <c r="I22" s="23"/>
      <c r="J22" s="23"/>
      <c r="K22" s="23"/>
      <c r="L22" s="26"/>
      <c r="M22" s="26"/>
      <c r="N22" s="26"/>
      <c r="O22" s="26"/>
      <c r="P22" s="26"/>
      <c r="Q22" s="26"/>
      <c r="R22" s="26"/>
      <c r="S22" s="26"/>
      <c r="T22" s="26"/>
      <c r="U22" s="26"/>
      <c r="V22" s="26"/>
      <c r="W22" s="26"/>
      <c r="X22" s="26">
        <f>COUNTIF($L$2:L22,"&lt;&gt;"&amp;"")</f>
        <v>5</v>
      </c>
      <c r="Y22" s="27">
        <f t="shared" si="1"/>
        <v>0</v>
      </c>
      <c r="Z22" s="28"/>
      <c r="AA22" s="29"/>
      <c r="AB22" s="30" t="b">
        <f>TRUE()</f>
        <v>1</v>
      </c>
      <c r="AC22" s="31">
        <f t="shared" si="2"/>
        <v>0</v>
      </c>
      <c r="AD22" s="35"/>
      <c r="AE22" s="35"/>
    </row>
    <row r="23" spans="1:31" ht="12.75" customHeight="1">
      <c r="A23" s="20">
        <f t="shared" si="0"/>
        <v>0</v>
      </c>
      <c r="B23" s="23"/>
      <c r="C23" s="23"/>
      <c r="D23" s="23"/>
      <c r="E23" s="23"/>
      <c r="F23" s="23"/>
      <c r="G23" s="23"/>
      <c r="H23" s="23"/>
      <c r="I23" s="23"/>
      <c r="J23" s="23"/>
      <c r="K23" s="23"/>
      <c r="L23" s="26"/>
      <c r="M23" s="26"/>
      <c r="N23" s="26"/>
      <c r="O23" s="26"/>
      <c r="P23" s="26"/>
      <c r="Q23" s="26"/>
      <c r="R23" s="26"/>
      <c r="S23" s="26"/>
      <c r="T23" s="26"/>
      <c r="U23" s="26"/>
      <c r="V23" s="26"/>
      <c r="W23" s="26"/>
      <c r="X23" s="26">
        <f>COUNTIF($L$2:L23,"&lt;&gt;"&amp;"")</f>
        <v>5</v>
      </c>
      <c r="Y23" s="27">
        <f t="shared" si="1"/>
        <v>0</v>
      </c>
      <c r="Z23" s="28"/>
      <c r="AA23" s="29"/>
      <c r="AB23" s="30" t="b">
        <f>TRUE()</f>
        <v>1</v>
      </c>
      <c r="AC23" s="31">
        <f t="shared" si="2"/>
        <v>0</v>
      </c>
      <c r="AD23" s="35"/>
      <c r="AE23" s="35"/>
    </row>
    <row r="24" spans="1:31" ht="12.75" customHeight="1">
      <c r="A24" s="20">
        <f t="shared" si="0"/>
        <v>0</v>
      </c>
      <c r="B24" s="23"/>
      <c r="C24" s="23"/>
      <c r="D24" s="23"/>
      <c r="E24" s="23"/>
      <c r="F24" s="23"/>
      <c r="G24" s="23"/>
      <c r="H24" s="23"/>
      <c r="I24" s="23"/>
      <c r="J24" s="23"/>
      <c r="K24" s="23"/>
      <c r="L24" s="26"/>
      <c r="M24" s="40"/>
      <c r="N24" s="26"/>
      <c r="O24" s="26"/>
      <c r="P24" s="26"/>
      <c r="Q24" s="26"/>
      <c r="R24" s="26"/>
      <c r="S24" s="26"/>
      <c r="T24" s="26"/>
      <c r="U24" s="26"/>
      <c r="V24" s="26"/>
      <c r="W24" s="26"/>
      <c r="X24" s="26">
        <f>COUNTIF($L$2:L24,"&lt;&gt;"&amp;"")</f>
        <v>5</v>
      </c>
      <c r="Y24" s="27">
        <f t="shared" si="1"/>
        <v>0</v>
      </c>
      <c r="Z24" s="28"/>
      <c r="AA24" s="29"/>
      <c r="AB24" s="30" t="b">
        <f>TRUE()</f>
        <v>1</v>
      </c>
      <c r="AC24" s="31">
        <f t="shared" si="2"/>
        <v>0</v>
      </c>
      <c r="AD24" s="35"/>
      <c r="AE24" s="35"/>
    </row>
    <row r="25" spans="1:31" ht="15" customHeight="1">
      <c r="A25" s="20">
        <f t="shared" si="0"/>
        <v>0</v>
      </c>
      <c r="B25" s="23"/>
      <c r="C25" s="23"/>
      <c r="D25" s="23"/>
      <c r="E25" s="23"/>
      <c r="F25" s="23"/>
      <c r="G25" s="23"/>
      <c r="H25" s="23"/>
      <c r="I25" s="23"/>
      <c r="J25" s="23"/>
      <c r="K25" s="23"/>
      <c r="L25" s="33"/>
      <c r="M25" s="26"/>
      <c r="N25" s="26"/>
      <c r="O25" s="26"/>
      <c r="P25" s="26"/>
      <c r="Q25" s="26"/>
      <c r="R25" s="26"/>
      <c r="S25" s="26"/>
      <c r="T25" s="26"/>
      <c r="U25" s="26"/>
      <c r="V25" s="26"/>
      <c r="W25" s="26"/>
      <c r="X25" s="26">
        <f>COUNTIF($L$2:L25,"&lt;&gt;"&amp;"")</f>
        <v>5</v>
      </c>
      <c r="Y25" s="27">
        <f t="shared" si="1"/>
        <v>0</v>
      </c>
      <c r="Z25" s="28"/>
      <c r="AA25" s="29"/>
      <c r="AB25" s="30" t="b">
        <f>TRUE()</f>
        <v>1</v>
      </c>
      <c r="AC25" s="31">
        <f t="shared" si="2"/>
        <v>0</v>
      </c>
      <c r="AD25" s="35"/>
      <c r="AE25" s="35"/>
    </row>
    <row r="26" spans="1:31" ht="15" customHeight="1">
      <c r="A26" s="20">
        <f t="shared" si="0"/>
        <v>0</v>
      </c>
      <c r="B26" s="23"/>
      <c r="C26" s="23"/>
      <c r="D26" s="23"/>
      <c r="E26" s="23"/>
      <c r="F26" s="23"/>
      <c r="G26" s="23"/>
      <c r="H26" s="23"/>
      <c r="I26" s="23"/>
      <c r="J26" s="23"/>
      <c r="K26" s="23"/>
      <c r="L26" s="33"/>
      <c r="M26" s="26"/>
      <c r="N26" s="26"/>
      <c r="O26" s="26"/>
      <c r="P26" s="26"/>
      <c r="Q26" s="26"/>
      <c r="R26" s="26"/>
      <c r="S26" s="26"/>
      <c r="T26" s="26"/>
      <c r="U26" s="26"/>
      <c r="V26" s="26"/>
      <c r="W26" s="26"/>
      <c r="X26" s="26">
        <f>COUNTIF($L$2:L26,"&lt;&gt;"&amp;"")</f>
        <v>5</v>
      </c>
      <c r="Y26" s="27">
        <f t="shared" si="1"/>
        <v>0</v>
      </c>
      <c r="Z26" s="28"/>
      <c r="AA26" s="29"/>
      <c r="AB26" s="30" t="b">
        <f>TRUE()</f>
        <v>1</v>
      </c>
      <c r="AC26" s="31">
        <f t="shared" si="2"/>
        <v>0</v>
      </c>
      <c r="AD26" s="35"/>
      <c r="AE26" s="35"/>
    </row>
    <row r="27" spans="1:31" ht="15" customHeight="1">
      <c r="A27" s="20">
        <f t="shared" si="0"/>
        <v>0</v>
      </c>
      <c r="B27" s="23"/>
      <c r="C27" s="23"/>
      <c r="D27" s="23"/>
      <c r="E27" s="23"/>
      <c r="F27" s="23"/>
      <c r="G27" s="23"/>
      <c r="H27" s="23"/>
      <c r="I27" s="23"/>
      <c r="J27" s="23"/>
      <c r="K27" s="23"/>
      <c r="L27" s="33"/>
      <c r="M27" s="26"/>
      <c r="N27" s="26"/>
      <c r="O27" s="26"/>
      <c r="P27" s="26"/>
      <c r="Q27" s="26"/>
      <c r="R27" s="26"/>
      <c r="S27" s="26"/>
      <c r="T27" s="26"/>
      <c r="U27" s="26"/>
      <c r="V27" s="26"/>
      <c r="W27" s="26"/>
      <c r="X27" s="26">
        <f>COUNTIF($L$2:L27,"&lt;&gt;"&amp;"")</f>
        <v>5</v>
      </c>
      <c r="Y27" s="27">
        <f t="shared" si="1"/>
        <v>0</v>
      </c>
      <c r="Z27" s="28"/>
      <c r="AA27" s="29"/>
      <c r="AB27" s="30" t="b">
        <f>TRUE()</f>
        <v>1</v>
      </c>
      <c r="AC27" s="31">
        <f t="shared" si="2"/>
        <v>0</v>
      </c>
      <c r="AD27" s="35"/>
      <c r="AE27" s="35"/>
    </row>
    <row r="28" spans="1:31" ht="15" customHeight="1">
      <c r="A28" s="20">
        <f t="shared" si="0"/>
        <v>0</v>
      </c>
      <c r="B28" s="23"/>
      <c r="C28" s="23"/>
      <c r="D28" s="23"/>
      <c r="E28" s="23"/>
      <c r="F28" s="23"/>
      <c r="G28" s="23"/>
      <c r="H28" s="23"/>
      <c r="I28" s="23"/>
      <c r="J28" s="23"/>
      <c r="K28" s="23"/>
      <c r="L28" s="33"/>
      <c r="M28" s="26"/>
      <c r="N28" s="26"/>
      <c r="O28" s="26"/>
      <c r="P28" s="26"/>
      <c r="Q28" s="26"/>
      <c r="R28" s="26"/>
      <c r="S28" s="26"/>
      <c r="T28" s="26"/>
      <c r="U28" s="26"/>
      <c r="V28" s="26"/>
      <c r="W28" s="26"/>
      <c r="X28" s="26">
        <f>COUNTIF($L$2:L28,"&lt;&gt;"&amp;"")</f>
        <v>5</v>
      </c>
      <c r="Y28" s="27">
        <f t="shared" si="1"/>
        <v>0</v>
      </c>
      <c r="Z28" s="28"/>
      <c r="AA28" s="29"/>
      <c r="AB28" s="30" t="b">
        <f>TRUE()</f>
        <v>1</v>
      </c>
      <c r="AC28" s="31">
        <f t="shared" si="2"/>
        <v>0</v>
      </c>
      <c r="AD28" s="35"/>
      <c r="AE28" s="35"/>
    </row>
    <row r="29" spans="1:31" ht="15" customHeight="1">
      <c r="A29" s="20">
        <f t="shared" si="0"/>
        <v>0</v>
      </c>
      <c r="B29" s="23"/>
      <c r="C29" s="23"/>
      <c r="D29" s="23"/>
      <c r="E29" s="23"/>
      <c r="F29" s="23"/>
      <c r="G29" s="23"/>
      <c r="H29" s="23"/>
      <c r="I29" s="23"/>
      <c r="J29" s="23"/>
      <c r="K29" s="23"/>
      <c r="L29" s="33"/>
      <c r="M29" s="26"/>
      <c r="N29" s="26"/>
      <c r="O29" s="26"/>
      <c r="P29" s="26"/>
      <c r="Q29" s="26"/>
      <c r="R29" s="26"/>
      <c r="S29" s="26"/>
      <c r="T29" s="26"/>
      <c r="U29" s="26"/>
      <c r="V29" s="26"/>
      <c r="W29" s="26"/>
      <c r="X29" s="26">
        <f>COUNTIF($L$2:L29,"&lt;&gt;"&amp;"")</f>
        <v>5</v>
      </c>
      <c r="Y29" s="27">
        <f t="shared" si="1"/>
        <v>0</v>
      </c>
      <c r="Z29" s="28"/>
      <c r="AA29" s="29"/>
      <c r="AB29" s="30" t="b">
        <f>TRUE()</f>
        <v>1</v>
      </c>
      <c r="AC29" s="31">
        <f t="shared" si="2"/>
        <v>0</v>
      </c>
      <c r="AD29" s="35"/>
      <c r="AE29" s="35"/>
    </row>
    <row r="30" spans="1:31" ht="15" customHeight="1">
      <c r="A30" s="20">
        <f t="shared" si="0"/>
        <v>0</v>
      </c>
      <c r="B30" s="23"/>
      <c r="C30" s="23"/>
      <c r="D30" s="23"/>
      <c r="E30" s="23"/>
      <c r="F30" s="23"/>
      <c r="G30" s="23"/>
      <c r="H30" s="23"/>
      <c r="I30" s="23"/>
      <c r="J30" s="23"/>
      <c r="K30" s="23"/>
      <c r="L30" s="33"/>
      <c r="M30" s="26"/>
      <c r="N30" s="26"/>
      <c r="O30" s="26"/>
      <c r="P30" s="26"/>
      <c r="Q30" s="26"/>
      <c r="R30" s="26"/>
      <c r="S30" s="26"/>
      <c r="T30" s="26"/>
      <c r="U30" s="26"/>
      <c r="V30" s="26"/>
      <c r="W30" s="26"/>
      <c r="X30" s="26">
        <f>COUNTIF($L$2:L30,"&lt;&gt;"&amp;"")</f>
        <v>5</v>
      </c>
      <c r="Y30" s="27">
        <f t="shared" si="1"/>
        <v>0</v>
      </c>
      <c r="Z30" s="28"/>
      <c r="AA30" s="29"/>
      <c r="AB30" s="30" t="b">
        <f>TRUE()</f>
        <v>1</v>
      </c>
      <c r="AC30" s="31">
        <f t="shared" si="2"/>
        <v>0</v>
      </c>
      <c r="AD30" s="35"/>
      <c r="AE30" s="35"/>
    </row>
    <row r="31" spans="1:31" ht="15" customHeight="1">
      <c r="A31" s="20">
        <f t="shared" si="0"/>
        <v>0</v>
      </c>
      <c r="B31" s="23"/>
      <c r="C31" s="23"/>
      <c r="D31" s="23"/>
      <c r="E31" s="23"/>
      <c r="F31" s="23"/>
      <c r="G31" s="23"/>
      <c r="H31" s="23"/>
      <c r="I31" s="23"/>
      <c r="J31" s="23"/>
      <c r="K31" s="23"/>
      <c r="L31" s="33"/>
      <c r="M31" s="26"/>
      <c r="N31" s="26"/>
      <c r="O31" s="26"/>
      <c r="P31" s="26"/>
      <c r="Q31" s="26"/>
      <c r="R31" s="26"/>
      <c r="S31" s="26"/>
      <c r="T31" s="26"/>
      <c r="U31" s="26"/>
      <c r="V31" s="26"/>
      <c r="W31" s="26"/>
      <c r="X31" s="26">
        <f>COUNTIF($L$2:L31,"&lt;&gt;"&amp;"")</f>
        <v>5</v>
      </c>
      <c r="Y31" s="27">
        <f t="shared" si="1"/>
        <v>0</v>
      </c>
      <c r="Z31" s="28"/>
      <c r="AA31" s="29"/>
      <c r="AB31" s="30" t="b">
        <f>TRUE()</f>
        <v>1</v>
      </c>
      <c r="AC31" s="31">
        <f t="shared" si="2"/>
        <v>0</v>
      </c>
      <c r="AD31" s="35"/>
      <c r="AE31" s="35"/>
    </row>
    <row r="32" spans="1:31" ht="15" customHeight="1">
      <c r="A32" s="20">
        <f t="shared" si="0"/>
        <v>0</v>
      </c>
      <c r="B32" s="23"/>
      <c r="C32" s="23"/>
      <c r="D32" s="23"/>
      <c r="E32" s="23"/>
      <c r="F32" s="23"/>
      <c r="G32" s="23"/>
      <c r="H32" s="23"/>
      <c r="I32" s="23"/>
      <c r="J32" s="23"/>
      <c r="K32" s="23"/>
      <c r="L32" s="33"/>
      <c r="M32" s="26"/>
      <c r="N32" s="26"/>
      <c r="O32" s="26"/>
      <c r="P32" s="26"/>
      <c r="Q32" s="26"/>
      <c r="R32" s="26"/>
      <c r="S32" s="26"/>
      <c r="T32" s="26"/>
      <c r="U32" s="26"/>
      <c r="V32" s="26"/>
      <c r="W32" s="26"/>
      <c r="X32" s="26">
        <f>COUNTIF($L$2:L32,"&lt;&gt;"&amp;"")</f>
        <v>5</v>
      </c>
      <c r="Y32" s="27">
        <f t="shared" si="1"/>
        <v>0</v>
      </c>
      <c r="Z32" s="28"/>
      <c r="AA32" s="29"/>
      <c r="AB32" s="30" t="b">
        <f>TRUE()</f>
        <v>1</v>
      </c>
      <c r="AC32" s="31">
        <f t="shared" si="2"/>
        <v>0</v>
      </c>
      <c r="AD32" s="35"/>
      <c r="AE32" s="35"/>
    </row>
    <row r="33" spans="1:31" ht="15" customHeight="1">
      <c r="A33" s="20">
        <f t="shared" si="0"/>
        <v>0</v>
      </c>
      <c r="B33" s="23"/>
      <c r="C33" s="23"/>
      <c r="D33" s="23"/>
      <c r="E33" s="23"/>
      <c r="F33" s="23"/>
      <c r="G33" s="23"/>
      <c r="H33" s="23"/>
      <c r="I33" s="23"/>
      <c r="J33" s="23"/>
      <c r="K33" s="23"/>
      <c r="L33" s="33"/>
      <c r="M33" s="26"/>
      <c r="N33" s="26"/>
      <c r="O33" s="26"/>
      <c r="P33" s="26"/>
      <c r="Q33" s="26"/>
      <c r="R33" s="26"/>
      <c r="S33" s="26"/>
      <c r="T33" s="26"/>
      <c r="U33" s="26"/>
      <c r="V33" s="26"/>
      <c r="W33" s="26"/>
      <c r="X33" s="26">
        <f>COUNTIF($L$2:L33,"&lt;&gt;"&amp;"")</f>
        <v>5</v>
      </c>
      <c r="Y33" s="27">
        <f t="shared" si="1"/>
        <v>0</v>
      </c>
      <c r="Z33" s="28"/>
      <c r="AA33" s="29"/>
      <c r="AB33" s="30" t="b">
        <f>TRUE()</f>
        <v>1</v>
      </c>
      <c r="AC33" s="31">
        <f t="shared" si="2"/>
        <v>0</v>
      </c>
      <c r="AD33" s="35"/>
      <c r="AE33" s="35"/>
    </row>
    <row r="34" spans="1:31" ht="15" customHeight="1">
      <c r="A34" s="20">
        <f t="shared" ref="A34:A65" si="3">(B34*$P$125+C34*$P$126+D34*$P$127+E34*$P$128+F34*$P$129+G34*$P$130+H34*$P$131+I34*$P$132+J34*$P$133+K34*$P$134)*$T$123</f>
        <v>0</v>
      </c>
      <c r="B34" s="23"/>
      <c r="C34" s="23"/>
      <c r="D34" s="23"/>
      <c r="E34" s="23"/>
      <c r="F34" s="23"/>
      <c r="G34" s="23"/>
      <c r="H34" s="23"/>
      <c r="I34" s="23"/>
      <c r="J34" s="23"/>
      <c r="K34" s="23"/>
      <c r="L34" s="33"/>
      <c r="M34" s="33"/>
      <c r="N34" s="26"/>
      <c r="O34" s="26"/>
      <c r="P34" s="26"/>
      <c r="Q34" s="26"/>
      <c r="R34" s="26"/>
      <c r="S34" s="26"/>
      <c r="T34" s="26"/>
      <c r="U34" s="26"/>
      <c r="V34" s="26"/>
      <c r="W34" s="26"/>
      <c r="X34" s="26">
        <f>COUNTIF($L$2:L34,"&lt;&gt;"&amp;"")</f>
        <v>5</v>
      </c>
      <c r="Y34" s="27">
        <f t="shared" ref="Y34:Y65" si="4">SUMIF($X$2:$X$120,X34,$A$2:$A$120)</f>
        <v>0</v>
      </c>
      <c r="Z34" s="28"/>
      <c r="AA34" s="29"/>
      <c r="AB34" s="30" t="b">
        <f>TRUE()</f>
        <v>1</v>
      </c>
      <c r="AC34" s="31">
        <f t="shared" ref="AC34:AC65" si="5">IF(L34="",0,IF(AB34=FALSE(),0,Y34))</f>
        <v>0</v>
      </c>
      <c r="AD34" s="35"/>
      <c r="AE34" s="35"/>
    </row>
    <row r="35" spans="1:31" ht="15" customHeight="1">
      <c r="A35" s="20">
        <f t="shared" si="3"/>
        <v>0</v>
      </c>
      <c r="B35" s="23"/>
      <c r="C35" s="23"/>
      <c r="D35" s="23"/>
      <c r="E35" s="23"/>
      <c r="F35" s="23"/>
      <c r="G35" s="23"/>
      <c r="H35" s="23"/>
      <c r="I35" s="23"/>
      <c r="J35" s="23"/>
      <c r="K35" s="23"/>
      <c r="L35" s="33"/>
      <c r="M35" s="26"/>
      <c r="N35" s="41"/>
      <c r="O35" s="26"/>
      <c r="P35" s="26"/>
      <c r="Q35" s="26"/>
      <c r="R35" s="26"/>
      <c r="S35" s="26"/>
      <c r="T35" s="26"/>
      <c r="U35" s="26"/>
      <c r="V35" s="26"/>
      <c r="W35" s="26"/>
      <c r="X35" s="26">
        <f>COUNTIF($L$2:L35,"&lt;&gt;"&amp;"")</f>
        <v>5</v>
      </c>
      <c r="Y35" s="27">
        <f t="shared" si="4"/>
        <v>0</v>
      </c>
      <c r="Z35" s="28"/>
      <c r="AA35" s="29"/>
      <c r="AB35" s="30" t="b">
        <f>TRUE()</f>
        <v>1</v>
      </c>
      <c r="AC35" s="31">
        <f t="shared" si="5"/>
        <v>0</v>
      </c>
      <c r="AD35" s="35"/>
      <c r="AE35" s="35"/>
    </row>
    <row r="36" spans="1:31" ht="15" customHeight="1">
      <c r="A36" s="20">
        <f t="shared" si="3"/>
        <v>0</v>
      </c>
      <c r="B36" s="23"/>
      <c r="C36" s="23"/>
      <c r="D36" s="23"/>
      <c r="E36" s="23"/>
      <c r="F36" s="23"/>
      <c r="G36" s="23"/>
      <c r="H36" s="23"/>
      <c r="I36" s="23"/>
      <c r="J36" s="23"/>
      <c r="K36" s="23"/>
      <c r="L36" s="33"/>
      <c r="M36" s="26"/>
      <c r="N36" s="26"/>
      <c r="O36" s="26"/>
      <c r="P36" s="26"/>
      <c r="Q36" s="26"/>
      <c r="R36" s="26"/>
      <c r="S36" s="26"/>
      <c r="T36" s="26"/>
      <c r="U36" s="26"/>
      <c r="V36" s="26"/>
      <c r="W36" s="26"/>
      <c r="X36" s="26">
        <f>COUNTIF($L$2:L36,"&lt;&gt;"&amp;"")</f>
        <v>5</v>
      </c>
      <c r="Y36" s="27">
        <f t="shared" si="4"/>
        <v>0</v>
      </c>
      <c r="Z36" s="28"/>
      <c r="AA36" s="29"/>
      <c r="AB36" s="30" t="b">
        <f>TRUE()</f>
        <v>1</v>
      </c>
      <c r="AC36" s="31">
        <f t="shared" si="5"/>
        <v>0</v>
      </c>
      <c r="AD36" s="35"/>
      <c r="AE36" s="35"/>
    </row>
    <row r="37" spans="1:31" ht="15" customHeight="1">
      <c r="A37" s="20">
        <f t="shared" si="3"/>
        <v>0</v>
      </c>
      <c r="B37" s="23"/>
      <c r="C37" s="23"/>
      <c r="D37" s="23"/>
      <c r="E37" s="23"/>
      <c r="F37" s="23"/>
      <c r="G37" s="23"/>
      <c r="H37" s="23"/>
      <c r="I37" s="23"/>
      <c r="J37" s="23"/>
      <c r="K37" s="23"/>
      <c r="L37" s="33"/>
      <c r="M37" s="26"/>
      <c r="N37" s="26"/>
      <c r="O37" s="26"/>
      <c r="P37" s="26"/>
      <c r="Q37" s="26"/>
      <c r="R37" s="26"/>
      <c r="S37" s="26"/>
      <c r="T37" s="26"/>
      <c r="U37" s="26"/>
      <c r="V37" s="26"/>
      <c r="W37" s="26"/>
      <c r="X37" s="26">
        <f>COUNTIF($L$2:L37,"&lt;&gt;"&amp;"")</f>
        <v>5</v>
      </c>
      <c r="Y37" s="27">
        <f t="shared" si="4"/>
        <v>0</v>
      </c>
      <c r="Z37" s="28"/>
      <c r="AA37" s="29"/>
      <c r="AB37" s="30" t="b">
        <f>TRUE()</f>
        <v>1</v>
      </c>
      <c r="AC37" s="31">
        <f t="shared" si="5"/>
        <v>0</v>
      </c>
      <c r="AD37" s="35"/>
      <c r="AE37" s="35"/>
    </row>
    <row r="38" spans="1:31" ht="15" customHeight="1">
      <c r="A38" s="20">
        <f t="shared" si="3"/>
        <v>0</v>
      </c>
      <c r="B38" s="23"/>
      <c r="C38" s="23"/>
      <c r="D38" s="23"/>
      <c r="E38" s="23"/>
      <c r="F38" s="23"/>
      <c r="G38" s="23"/>
      <c r="H38" s="23"/>
      <c r="I38" s="23"/>
      <c r="J38" s="23"/>
      <c r="K38" s="23"/>
      <c r="L38" s="33"/>
      <c r="M38" s="26"/>
      <c r="N38" s="26"/>
      <c r="O38" s="26"/>
      <c r="P38" s="26"/>
      <c r="Q38" s="26"/>
      <c r="R38" s="26"/>
      <c r="S38" s="26"/>
      <c r="T38" s="26"/>
      <c r="U38" s="26"/>
      <c r="V38" s="26"/>
      <c r="W38" s="26"/>
      <c r="X38" s="26">
        <f>COUNTIF($L$2:L38,"&lt;&gt;"&amp;"")</f>
        <v>5</v>
      </c>
      <c r="Y38" s="27">
        <f t="shared" si="4"/>
        <v>0</v>
      </c>
      <c r="Z38" s="28"/>
      <c r="AA38" s="29"/>
      <c r="AB38" s="30" t="b">
        <f>TRUE()</f>
        <v>1</v>
      </c>
      <c r="AC38" s="31">
        <f t="shared" si="5"/>
        <v>0</v>
      </c>
      <c r="AD38" s="42"/>
      <c r="AE38" s="42"/>
    </row>
    <row r="39" spans="1:31" ht="15" customHeight="1">
      <c r="A39" s="20">
        <f t="shared" si="3"/>
        <v>0</v>
      </c>
      <c r="B39" s="23"/>
      <c r="C39" s="23"/>
      <c r="D39" s="23"/>
      <c r="E39" s="23"/>
      <c r="F39" s="23"/>
      <c r="G39" s="23"/>
      <c r="H39" s="23"/>
      <c r="I39" s="23"/>
      <c r="J39" s="23"/>
      <c r="K39" s="23"/>
      <c r="L39" s="33"/>
      <c r="M39" s="26"/>
      <c r="N39" s="26"/>
      <c r="O39" s="26"/>
      <c r="P39" s="26"/>
      <c r="Q39" s="26"/>
      <c r="R39" s="26"/>
      <c r="S39" s="26"/>
      <c r="T39" s="26"/>
      <c r="U39" s="26"/>
      <c r="V39" s="26"/>
      <c r="W39" s="26"/>
      <c r="X39" s="26">
        <f>COUNTIF($L$2:L39,"&lt;&gt;"&amp;"")</f>
        <v>5</v>
      </c>
      <c r="Y39" s="27">
        <f t="shared" si="4"/>
        <v>0</v>
      </c>
      <c r="Z39" s="28"/>
      <c r="AA39" s="29"/>
      <c r="AB39" s="30" t="b">
        <f>TRUE()</f>
        <v>1</v>
      </c>
      <c r="AC39" s="31">
        <f t="shared" si="5"/>
        <v>0</v>
      </c>
      <c r="AD39" s="35"/>
      <c r="AE39" s="35"/>
    </row>
    <row r="40" spans="1:31" ht="15" customHeight="1">
      <c r="A40" s="20">
        <f t="shared" si="3"/>
        <v>0</v>
      </c>
      <c r="B40" s="23"/>
      <c r="C40" s="23"/>
      <c r="D40" s="23"/>
      <c r="E40" s="23"/>
      <c r="F40" s="23"/>
      <c r="G40" s="23"/>
      <c r="H40" s="23"/>
      <c r="I40" s="23"/>
      <c r="J40" s="23"/>
      <c r="K40" s="23"/>
      <c r="L40" s="33"/>
      <c r="M40" s="26"/>
      <c r="N40" s="26"/>
      <c r="O40" s="26"/>
      <c r="P40" s="26"/>
      <c r="Q40" s="26"/>
      <c r="R40" s="26"/>
      <c r="S40" s="26"/>
      <c r="T40" s="26"/>
      <c r="U40" s="26"/>
      <c r="V40" s="26"/>
      <c r="W40" s="26"/>
      <c r="X40" s="26">
        <f>COUNTIF($L$2:L40,"&lt;&gt;"&amp;"")</f>
        <v>5</v>
      </c>
      <c r="Y40" s="27">
        <f t="shared" si="4"/>
        <v>0</v>
      </c>
      <c r="Z40" s="28"/>
      <c r="AA40" s="29"/>
      <c r="AB40" s="30" t="b">
        <f>TRUE()</f>
        <v>1</v>
      </c>
      <c r="AC40" s="31">
        <f t="shared" si="5"/>
        <v>0</v>
      </c>
      <c r="AD40" s="42"/>
      <c r="AE40" s="42"/>
    </row>
    <row r="41" spans="1:31" ht="15" customHeight="1">
      <c r="A41" s="20">
        <f t="shared" si="3"/>
        <v>0</v>
      </c>
      <c r="B41" s="23"/>
      <c r="C41" s="23"/>
      <c r="D41" s="23"/>
      <c r="E41" s="23"/>
      <c r="F41" s="23"/>
      <c r="G41" s="23"/>
      <c r="H41" s="23"/>
      <c r="I41" s="23"/>
      <c r="J41" s="23"/>
      <c r="K41" s="23"/>
      <c r="L41" s="33"/>
      <c r="M41" s="26"/>
      <c r="N41" s="26"/>
      <c r="O41" s="26"/>
      <c r="P41" s="26"/>
      <c r="Q41" s="26"/>
      <c r="R41" s="26"/>
      <c r="S41" s="26"/>
      <c r="T41" s="26"/>
      <c r="U41" s="26"/>
      <c r="V41" s="26"/>
      <c r="W41" s="26"/>
      <c r="X41" s="26">
        <f>COUNTIF($L$2:L41,"&lt;&gt;"&amp;"")</f>
        <v>5</v>
      </c>
      <c r="Y41" s="27">
        <f t="shared" si="4"/>
        <v>0</v>
      </c>
      <c r="Z41" s="28"/>
      <c r="AA41" s="29"/>
      <c r="AB41" s="30" t="b">
        <f>TRUE()</f>
        <v>1</v>
      </c>
      <c r="AC41" s="31">
        <f t="shared" si="5"/>
        <v>0</v>
      </c>
      <c r="AD41" s="42"/>
      <c r="AE41" s="42"/>
    </row>
    <row r="42" spans="1:31" ht="15" customHeight="1">
      <c r="A42" s="20">
        <f t="shared" si="3"/>
        <v>0</v>
      </c>
      <c r="B42" s="23"/>
      <c r="C42" s="23"/>
      <c r="D42" s="23"/>
      <c r="E42" s="23"/>
      <c r="F42" s="23"/>
      <c r="G42" s="23"/>
      <c r="H42" s="23"/>
      <c r="I42" s="23"/>
      <c r="J42" s="23"/>
      <c r="K42" s="23"/>
      <c r="L42" s="33"/>
      <c r="M42" s="26"/>
      <c r="N42" s="40"/>
      <c r="O42" s="26"/>
      <c r="P42" s="26"/>
      <c r="Q42" s="26"/>
      <c r="R42" s="26"/>
      <c r="S42" s="26"/>
      <c r="T42" s="26"/>
      <c r="U42" s="26"/>
      <c r="V42" s="26"/>
      <c r="W42" s="26"/>
      <c r="X42" s="26">
        <f>COUNTIF($L$2:L42,"&lt;&gt;"&amp;"")</f>
        <v>5</v>
      </c>
      <c r="Y42" s="27">
        <f t="shared" si="4"/>
        <v>0</v>
      </c>
      <c r="Z42" s="28"/>
      <c r="AA42" s="29"/>
      <c r="AB42" s="30" t="b">
        <f>TRUE()</f>
        <v>1</v>
      </c>
      <c r="AC42" s="31">
        <f t="shared" si="5"/>
        <v>0</v>
      </c>
      <c r="AD42" s="35"/>
      <c r="AE42" s="35"/>
    </row>
    <row r="43" spans="1:31" ht="15" customHeight="1">
      <c r="A43" s="20">
        <f t="shared" si="3"/>
        <v>0</v>
      </c>
      <c r="B43" s="23"/>
      <c r="C43" s="23"/>
      <c r="D43" s="23"/>
      <c r="E43" s="23"/>
      <c r="F43" s="23"/>
      <c r="G43" s="23"/>
      <c r="H43" s="23"/>
      <c r="I43" s="23"/>
      <c r="J43" s="23"/>
      <c r="K43" s="23"/>
      <c r="L43" s="33"/>
      <c r="M43" s="33"/>
      <c r="N43" s="26"/>
      <c r="O43" s="26"/>
      <c r="P43" s="26"/>
      <c r="Q43" s="26"/>
      <c r="R43" s="26"/>
      <c r="S43" s="26"/>
      <c r="T43" s="26"/>
      <c r="U43" s="26"/>
      <c r="V43" s="26"/>
      <c r="W43" s="26"/>
      <c r="X43" s="26">
        <f>COUNTIF($L$2:L43,"&lt;&gt;"&amp;"")</f>
        <v>5</v>
      </c>
      <c r="Y43" s="27">
        <f t="shared" si="4"/>
        <v>0</v>
      </c>
      <c r="Z43" s="28"/>
      <c r="AA43" s="29"/>
      <c r="AB43" s="30" t="b">
        <f>TRUE()</f>
        <v>1</v>
      </c>
      <c r="AC43" s="31">
        <f t="shared" si="5"/>
        <v>0</v>
      </c>
      <c r="AD43" s="35"/>
      <c r="AE43" s="35"/>
    </row>
    <row r="44" spans="1:31" ht="15" customHeight="1">
      <c r="A44" s="20">
        <f t="shared" si="3"/>
        <v>0</v>
      </c>
      <c r="B44" s="23"/>
      <c r="C44" s="23"/>
      <c r="D44" s="23"/>
      <c r="E44" s="23"/>
      <c r="F44" s="23"/>
      <c r="G44" s="23"/>
      <c r="H44" s="23"/>
      <c r="I44" s="23"/>
      <c r="J44" s="23"/>
      <c r="K44" s="23"/>
      <c r="L44" s="33"/>
      <c r="M44" s="26"/>
      <c r="N44" s="26"/>
      <c r="O44" s="26"/>
      <c r="P44" s="26"/>
      <c r="Q44" s="26"/>
      <c r="R44" s="26"/>
      <c r="S44" s="26"/>
      <c r="T44" s="26"/>
      <c r="U44" s="26"/>
      <c r="V44" s="26"/>
      <c r="W44" s="26"/>
      <c r="X44" s="26">
        <f>COUNTIF($L$2:L44,"&lt;&gt;"&amp;"")</f>
        <v>5</v>
      </c>
      <c r="Y44" s="27">
        <f t="shared" si="4"/>
        <v>0</v>
      </c>
      <c r="Z44" s="28"/>
      <c r="AA44" s="29"/>
      <c r="AB44" s="30" t="b">
        <f>TRUE()</f>
        <v>1</v>
      </c>
      <c r="AC44" s="31">
        <f t="shared" si="5"/>
        <v>0</v>
      </c>
      <c r="AD44" s="35"/>
      <c r="AE44" s="35"/>
    </row>
    <row r="45" spans="1:31" ht="15" customHeight="1">
      <c r="A45" s="20">
        <f t="shared" si="3"/>
        <v>0</v>
      </c>
      <c r="B45" s="23"/>
      <c r="C45" s="23"/>
      <c r="D45" s="23"/>
      <c r="E45" s="23"/>
      <c r="F45" s="23"/>
      <c r="G45" s="23"/>
      <c r="H45" s="23"/>
      <c r="I45" s="23"/>
      <c r="J45" s="23"/>
      <c r="K45" s="23"/>
      <c r="L45" s="33"/>
      <c r="M45" s="26"/>
      <c r="N45" s="26"/>
      <c r="O45" s="26"/>
      <c r="P45" s="26"/>
      <c r="Q45" s="26"/>
      <c r="R45" s="26"/>
      <c r="S45" s="26"/>
      <c r="T45" s="26"/>
      <c r="U45" s="26"/>
      <c r="V45" s="26"/>
      <c r="W45" s="26"/>
      <c r="X45" s="26">
        <f>COUNTIF($L$2:L45,"&lt;&gt;"&amp;"")</f>
        <v>5</v>
      </c>
      <c r="Y45" s="27">
        <f t="shared" si="4"/>
        <v>0</v>
      </c>
      <c r="Z45" s="28"/>
      <c r="AA45" s="29"/>
      <c r="AB45" s="30" t="b">
        <f>TRUE()</f>
        <v>1</v>
      </c>
      <c r="AC45" s="31">
        <f t="shared" si="5"/>
        <v>0</v>
      </c>
      <c r="AD45" s="35"/>
      <c r="AE45" s="35"/>
    </row>
    <row r="46" spans="1:31" ht="15" customHeight="1">
      <c r="A46" s="20">
        <f t="shared" si="3"/>
        <v>0</v>
      </c>
      <c r="B46" s="23"/>
      <c r="C46" s="23"/>
      <c r="D46" s="23"/>
      <c r="E46" s="23"/>
      <c r="F46" s="23"/>
      <c r="G46" s="23"/>
      <c r="H46" s="23"/>
      <c r="I46" s="23"/>
      <c r="J46" s="23"/>
      <c r="K46" s="23"/>
      <c r="L46" s="33"/>
      <c r="M46" s="26"/>
      <c r="N46" s="26"/>
      <c r="O46" s="26"/>
      <c r="P46" s="26"/>
      <c r="Q46" s="26"/>
      <c r="R46" s="26"/>
      <c r="S46" s="26"/>
      <c r="T46" s="26"/>
      <c r="U46" s="26"/>
      <c r="V46" s="26"/>
      <c r="W46" s="26"/>
      <c r="X46" s="26">
        <f>COUNTIF($L$2:L46,"&lt;&gt;"&amp;"")</f>
        <v>5</v>
      </c>
      <c r="Y46" s="27">
        <f t="shared" si="4"/>
        <v>0</v>
      </c>
      <c r="Z46" s="28"/>
      <c r="AA46" s="29"/>
      <c r="AB46" s="30" t="b">
        <f>TRUE()</f>
        <v>1</v>
      </c>
      <c r="AC46" s="31">
        <f t="shared" si="5"/>
        <v>0</v>
      </c>
      <c r="AD46" s="35"/>
      <c r="AE46" s="35"/>
    </row>
    <row r="47" spans="1:31" ht="15" customHeight="1">
      <c r="A47" s="20">
        <f t="shared" si="3"/>
        <v>0</v>
      </c>
      <c r="B47" s="23"/>
      <c r="C47" s="23"/>
      <c r="D47" s="23"/>
      <c r="E47" s="23"/>
      <c r="F47" s="23"/>
      <c r="G47" s="23"/>
      <c r="H47" s="23"/>
      <c r="I47" s="23"/>
      <c r="J47" s="23"/>
      <c r="K47" s="23"/>
      <c r="L47" s="33"/>
      <c r="M47" s="26"/>
      <c r="N47" s="26"/>
      <c r="O47" s="26"/>
      <c r="P47" s="26"/>
      <c r="Q47" s="26"/>
      <c r="R47" s="26"/>
      <c r="S47" s="26"/>
      <c r="T47" s="26"/>
      <c r="U47" s="26"/>
      <c r="V47" s="26"/>
      <c r="W47" s="26"/>
      <c r="X47" s="26">
        <f>COUNTIF($L$2:L47,"&lt;&gt;"&amp;"")</f>
        <v>5</v>
      </c>
      <c r="Y47" s="27">
        <f t="shared" si="4"/>
        <v>0</v>
      </c>
      <c r="Z47" s="28"/>
      <c r="AA47" s="29"/>
      <c r="AB47" s="30" t="b">
        <f>TRUE()</f>
        <v>1</v>
      </c>
      <c r="AC47" s="31">
        <f t="shared" si="5"/>
        <v>0</v>
      </c>
      <c r="AD47" s="35"/>
      <c r="AE47" s="35"/>
    </row>
    <row r="48" spans="1:31" ht="15" customHeight="1">
      <c r="A48" s="20">
        <f t="shared" si="3"/>
        <v>0</v>
      </c>
      <c r="B48" s="23"/>
      <c r="C48" s="23"/>
      <c r="D48" s="23"/>
      <c r="E48" s="23"/>
      <c r="F48" s="23"/>
      <c r="G48" s="23"/>
      <c r="H48" s="23"/>
      <c r="I48" s="23"/>
      <c r="J48" s="23"/>
      <c r="K48" s="23"/>
      <c r="L48" s="33"/>
      <c r="M48" s="26"/>
      <c r="N48" s="26"/>
      <c r="O48" s="26"/>
      <c r="P48" s="26"/>
      <c r="Q48" s="26"/>
      <c r="R48" s="26"/>
      <c r="S48" s="26"/>
      <c r="T48" s="26"/>
      <c r="U48" s="26"/>
      <c r="V48" s="26"/>
      <c r="W48" s="26"/>
      <c r="X48" s="26">
        <f>COUNTIF($L$2:L48,"&lt;&gt;"&amp;"")</f>
        <v>5</v>
      </c>
      <c r="Y48" s="27">
        <f t="shared" si="4"/>
        <v>0</v>
      </c>
      <c r="Z48" s="28"/>
      <c r="AA48" s="29"/>
      <c r="AB48" s="30" t="b">
        <f>TRUE()</f>
        <v>1</v>
      </c>
      <c r="AC48" s="31">
        <f t="shared" si="5"/>
        <v>0</v>
      </c>
      <c r="AD48" s="42"/>
      <c r="AE48" s="42"/>
    </row>
    <row r="49" spans="1:31" ht="15" customHeight="1">
      <c r="A49" s="20">
        <f t="shared" si="3"/>
        <v>0</v>
      </c>
      <c r="B49" s="23"/>
      <c r="C49" s="23"/>
      <c r="D49" s="23"/>
      <c r="E49" s="23"/>
      <c r="F49" s="23"/>
      <c r="G49" s="23"/>
      <c r="H49" s="23"/>
      <c r="I49" s="23"/>
      <c r="J49" s="23"/>
      <c r="K49" s="23"/>
      <c r="L49" s="33"/>
      <c r="M49" s="26"/>
      <c r="N49" s="26"/>
      <c r="O49" s="26"/>
      <c r="P49" s="26"/>
      <c r="Q49" s="26"/>
      <c r="R49" s="26"/>
      <c r="S49" s="26"/>
      <c r="T49" s="26"/>
      <c r="U49" s="26"/>
      <c r="V49" s="26"/>
      <c r="W49" s="26"/>
      <c r="X49" s="26">
        <f>COUNTIF($L$2:L49,"&lt;&gt;"&amp;"")</f>
        <v>5</v>
      </c>
      <c r="Y49" s="27">
        <f t="shared" si="4"/>
        <v>0</v>
      </c>
      <c r="Z49" s="28"/>
      <c r="AA49" s="29"/>
      <c r="AB49" s="30" t="b">
        <f>TRUE()</f>
        <v>1</v>
      </c>
      <c r="AC49" s="31">
        <f t="shared" si="5"/>
        <v>0</v>
      </c>
      <c r="AD49" s="42"/>
      <c r="AE49" s="42"/>
    </row>
    <row r="50" spans="1:31" ht="15" customHeight="1">
      <c r="A50" s="20">
        <f t="shared" si="3"/>
        <v>0</v>
      </c>
      <c r="B50" s="23"/>
      <c r="C50" s="23"/>
      <c r="D50" s="23"/>
      <c r="E50" s="23"/>
      <c r="F50" s="23"/>
      <c r="G50" s="23"/>
      <c r="H50" s="23"/>
      <c r="I50" s="23"/>
      <c r="J50" s="23"/>
      <c r="K50" s="23"/>
      <c r="L50" s="33"/>
      <c r="M50" s="33"/>
      <c r="N50" s="26"/>
      <c r="O50" s="26"/>
      <c r="P50" s="26"/>
      <c r="Q50" s="26"/>
      <c r="R50" s="26"/>
      <c r="S50" s="26"/>
      <c r="T50" s="26"/>
      <c r="U50" s="26"/>
      <c r="V50" s="26"/>
      <c r="W50" s="26"/>
      <c r="X50" s="26">
        <f>COUNTIF($L$2:L50,"&lt;&gt;"&amp;"")</f>
        <v>5</v>
      </c>
      <c r="Y50" s="27">
        <f t="shared" si="4"/>
        <v>0</v>
      </c>
      <c r="Z50" s="28"/>
      <c r="AA50" s="29"/>
      <c r="AB50" s="30" t="b">
        <f>TRUE()</f>
        <v>1</v>
      </c>
      <c r="AC50" s="31">
        <f t="shared" si="5"/>
        <v>0</v>
      </c>
      <c r="AD50" s="42"/>
      <c r="AE50" s="42"/>
    </row>
    <row r="51" spans="1:31" ht="15" customHeight="1">
      <c r="A51" s="20">
        <f t="shared" si="3"/>
        <v>0</v>
      </c>
      <c r="B51" s="23"/>
      <c r="C51" s="23"/>
      <c r="D51" s="23"/>
      <c r="E51" s="23"/>
      <c r="F51" s="23"/>
      <c r="G51" s="23"/>
      <c r="H51" s="23"/>
      <c r="I51" s="23"/>
      <c r="J51" s="23"/>
      <c r="K51" s="23"/>
      <c r="L51" s="33"/>
      <c r="M51" s="26"/>
      <c r="N51" s="26"/>
      <c r="O51" s="26"/>
      <c r="P51" s="26"/>
      <c r="Q51" s="26"/>
      <c r="R51" s="26"/>
      <c r="S51" s="26"/>
      <c r="T51" s="26"/>
      <c r="U51" s="26"/>
      <c r="V51" s="26"/>
      <c r="W51" s="26"/>
      <c r="X51" s="26">
        <f>COUNTIF($L$2:L51,"&lt;&gt;"&amp;"")</f>
        <v>5</v>
      </c>
      <c r="Y51" s="27">
        <f t="shared" si="4"/>
        <v>0</v>
      </c>
      <c r="Z51" s="28"/>
      <c r="AA51" s="29"/>
      <c r="AB51" s="30" t="b">
        <f>TRUE()</f>
        <v>1</v>
      </c>
      <c r="AC51" s="31">
        <f t="shared" si="5"/>
        <v>0</v>
      </c>
      <c r="AD51" s="42"/>
      <c r="AE51" s="42"/>
    </row>
    <row r="52" spans="1:31" ht="15" customHeight="1">
      <c r="A52" s="20">
        <f t="shared" si="3"/>
        <v>0</v>
      </c>
      <c r="B52" s="23"/>
      <c r="C52" s="23"/>
      <c r="D52" s="23"/>
      <c r="E52" s="23"/>
      <c r="F52" s="23"/>
      <c r="G52" s="23"/>
      <c r="H52" s="23"/>
      <c r="I52" s="23"/>
      <c r="J52" s="23"/>
      <c r="K52" s="23"/>
      <c r="L52" s="33"/>
      <c r="M52" s="26"/>
      <c r="N52" s="26"/>
      <c r="O52" s="26"/>
      <c r="P52" s="26"/>
      <c r="Q52" s="26"/>
      <c r="R52" s="26"/>
      <c r="S52" s="26"/>
      <c r="T52" s="26"/>
      <c r="U52" s="26"/>
      <c r="V52" s="26"/>
      <c r="W52" s="26"/>
      <c r="X52" s="26">
        <f>COUNTIF($L$2:L52,"&lt;&gt;"&amp;"")</f>
        <v>5</v>
      </c>
      <c r="Y52" s="27">
        <f t="shared" si="4"/>
        <v>0</v>
      </c>
      <c r="Z52" s="28"/>
      <c r="AA52" s="29"/>
      <c r="AB52" s="30" t="b">
        <f>TRUE()</f>
        <v>1</v>
      </c>
      <c r="AC52" s="31">
        <f t="shared" si="5"/>
        <v>0</v>
      </c>
      <c r="AD52" s="42"/>
      <c r="AE52" s="42"/>
    </row>
    <row r="53" spans="1:31" ht="15" customHeight="1">
      <c r="A53" s="20">
        <f t="shared" si="3"/>
        <v>0</v>
      </c>
      <c r="B53" s="23"/>
      <c r="C53" s="23"/>
      <c r="D53" s="23"/>
      <c r="E53" s="23"/>
      <c r="F53" s="23"/>
      <c r="G53" s="23"/>
      <c r="H53" s="23"/>
      <c r="I53" s="23"/>
      <c r="J53" s="23"/>
      <c r="K53" s="23"/>
      <c r="L53" s="33"/>
      <c r="M53" s="33"/>
      <c r="N53" s="26"/>
      <c r="O53" s="26"/>
      <c r="P53" s="26"/>
      <c r="Q53" s="26"/>
      <c r="R53" s="26"/>
      <c r="S53" s="26"/>
      <c r="T53" s="26"/>
      <c r="U53" s="26"/>
      <c r="V53" s="26"/>
      <c r="W53" s="26"/>
      <c r="X53" s="26">
        <f>COUNTIF($L$2:L53,"&lt;&gt;"&amp;"")</f>
        <v>5</v>
      </c>
      <c r="Y53" s="27">
        <f t="shared" si="4"/>
        <v>0</v>
      </c>
      <c r="Z53" s="28"/>
      <c r="AA53" s="29"/>
      <c r="AB53" s="30" t="b">
        <f>TRUE()</f>
        <v>1</v>
      </c>
      <c r="AC53" s="31">
        <f t="shared" si="5"/>
        <v>0</v>
      </c>
      <c r="AD53" s="42"/>
      <c r="AE53" s="42"/>
    </row>
    <row r="54" spans="1:31" ht="15" customHeight="1">
      <c r="A54" s="20">
        <f t="shared" si="3"/>
        <v>0</v>
      </c>
      <c r="B54" s="23"/>
      <c r="C54" s="23"/>
      <c r="D54" s="23"/>
      <c r="E54" s="23"/>
      <c r="F54" s="23"/>
      <c r="G54" s="23"/>
      <c r="H54" s="23"/>
      <c r="I54" s="23"/>
      <c r="J54" s="23"/>
      <c r="K54" s="23"/>
      <c r="L54" s="33"/>
      <c r="M54" s="26"/>
      <c r="N54" s="26"/>
      <c r="O54" s="26"/>
      <c r="P54" s="26"/>
      <c r="Q54" s="26"/>
      <c r="R54" s="26"/>
      <c r="S54" s="26"/>
      <c r="T54" s="26"/>
      <c r="U54" s="26"/>
      <c r="V54" s="26"/>
      <c r="W54" s="26"/>
      <c r="X54" s="26">
        <f>COUNTIF($L$2:L54,"&lt;&gt;"&amp;"")</f>
        <v>5</v>
      </c>
      <c r="Y54" s="27">
        <f t="shared" si="4"/>
        <v>0</v>
      </c>
      <c r="Z54" s="28"/>
      <c r="AA54" s="29"/>
      <c r="AB54" s="30" t="b">
        <f>TRUE()</f>
        <v>1</v>
      </c>
      <c r="AC54" s="31">
        <f t="shared" si="5"/>
        <v>0</v>
      </c>
      <c r="AD54" s="42"/>
      <c r="AE54" s="42"/>
    </row>
    <row r="55" spans="1:31" ht="15" customHeight="1">
      <c r="A55" s="20">
        <f t="shared" si="3"/>
        <v>0</v>
      </c>
      <c r="B55" s="23"/>
      <c r="C55" s="23"/>
      <c r="D55" s="23"/>
      <c r="E55" s="23"/>
      <c r="F55" s="23"/>
      <c r="G55" s="23"/>
      <c r="H55" s="23"/>
      <c r="I55" s="23"/>
      <c r="J55" s="23"/>
      <c r="K55" s="23"/>
      <c r="L55" s="33"/>
      <c r="M55" s="26"/>
      <c r="N55" s="26"/>
      <c r="O55" s="26"/>
      <c r="P55" s="26"/>
      <c r="Q55" s="26"/>
      <c r="R55" s="26"/>
      <c r="S55" s="26"/>
      <c r="T55" s="26"/>
      <c r="U55" s="26"/>
      <c r="V55" s="26"/>
      <c r="W55" s="26"/>
      <c r="X55" s="26">
        <f>COUNTIF($L$2:L55,"&lt;&gt;"&amp;"")</f>
        <v>5</v>
      </c>
      <c r="Y55" s="27">
        <f t="shared" si="4"/>
        <v>0</v>
      </c>
      <c r="Z55" s="28"/>
      <c r="AA55" s="29"/>
      <c r="AB55" s="30" t="b">
        <f>TRUE()</f>
        <v>1</v>
      </c>
      <c r="AC55" s="31">
        <f t="shared" si="5"/>
        <v>0</v>
      </c>
      <c r="AD55" s="42"/>
      <c r="AE55" s="42"/>
    </row>
    <row r="56" spans="1:31" ht="15" customHeight="1">
      <c r="A56" s="20">
        <f t="shared" si="3"/>
        <v>0</v>
      </c>
      <c r="B56" s="23"/>
      <c r="C56" s="23"/>
      <c r="D56" s="23"/>
      <c r="E56" s="23"/>
      <c r="F56" s="23"/>
      <c r="G56" s="23"/>
      <c r="H56" s="23"/>
      <c r="I56" s="23"/>
      <c r="J56" s="23"/>
      <c r="K56" s="23"/>
      <c r="L56" s="33"/>
      <c r="M56" s="26"/>
      <c r="N56" s="26"/>
      <c r="O56" s="26"/>
      <c r="P56" s="26"/>
      <c r="Q56" s="26"/>
      <c r="R56" s="26"/>
      <c r="S56" s="26"/>
      <c r="T56" s="26"/>
      <c r="U56" s="26"/>
      <c r="V56" s="26"/>
      <c r="W56" s="26"/>
      <c r="X56" s="26">
        <f>COUNTIF($L$2:L56,"&lt;&gt;"&amp;"")</f>
        <v>5</v>
      </c>
      <c r="Y56" s="27">
        <f t="shared" si="4"/>
        <v>0</v>
      </c>
      <c r="Z56" s="28"/>
      <c r="AA56" s="29"/>
      <c r="AB56" s="30" t="b">
        <f>TRUE()</f>
        <v>1</v>
      </c>
      <c r="AC56" s="31">
        <f t="shared" si="5"/>
        <v>0</v>
      </c>
      <c r="AD56" s="42"/>
      <c r="AE56" s="42"/>
    </row>
    <row r="57" spans="1:31" ht="15" customHeight="1">
      <c r="A57" s="20">
        <f t="shared" si="3"/>
        <v>0</v>
      </c>
      <c r="B57" s="23"/>
      <c r="C57" s="23"/>
      <c r="D57" s="23"/>
      <c r="E57" s="23"/>
      <c r="F57" s="23"/>
      <c r="G57" s="23"/>
      <c r="H57" s="23"/>
      <c r="I57" s="23"/>
      <c r="J57" s="23"/>
      <c r="K57" s="23"/>
      <c r="L57" s="33"/>
      <c r="M57" s="26"/>
      <c r="N57" s="26"/>
      <c r="O57" s="26"/>
      <c r="P57" s="26"/>
      <c r="Q57" s="26"/>
      <c r="R57" s="26"/>
      <c r="S57" s="26"/>
      <c r="T57" s="26"/>
      <c r="U57" s="26"/>
      <c r="V57" s="26"/>
      <c r="W57" s="26"/>
      <c r="X57" s="26">
        <f>COUNTIF($L$2:L57,"&lt;&gt;"&amp;"")</f>
        <v>5</v>
      </c>
      <c r="Y57" s="27">
        <f t="shared" si="4"/>
        <v>0</v>
      </c>
      <c r="Z57" s="28"/>
      <c r="AA57" s="29"/>
      <c r="AB57" s="30" t="b">
        <f>TRUE()</f>
        <v>1</v>
      </c>
      <c r="AC57" s="31">
        <f t="shared" si="5"/>
        <v>0</v>
      </c>
      <c r="AD57" s="42"/>
      <c r="AE57" s="42"/>
    </row>
    <row r="58" spans="1:31" ht="15" customHeight="1">
      <c r="A58" s="20">
        <f t="shared" si="3"/>
        <v>0</v>
      </c>
      <c r="B58" s="23"/>
      <c r="C58" s="23"/>
      <c r="D58" s="23"/>
      <c r="E58" s="23"/>
      <c r="F58" s="23"/>
      <c r="G58" s="23"/>
      <c r="H58" s="23"/>
      <c r="I58" s="23"/>
      <c r="J58" s="23"/>
      <c r="K58" s="23"/>
      <c r="L58" s="33"/>
      <c r="M58" s="26"/>
      <c r="N58" s="26"/>
      <c r="O58" s="26"/>
      <c r="P58" s="26"/>
      <c r="Q58" s="26"/>
      <c r="R58" s="26"/>
      <c r="S58" s="26"/>
      <c r="T58" s="26"/>
      <c r="U58" s="26"/>
      <c r="V58" s="26"/>
      <c r="W58" s="26"/>
      <c r="X58" s="26">
        <f>COUNTIF($L$2:L58,"&lt;&gt;"&amp;"")</f>
        <v>5</v>
      </c>
      <c r="Y58" s="27">
        <f t="shared" si="4"/>
        <v>0</v>
      </c>
      <c r="Z58" s="28"/>
      <c r="AA58" s="29"/>
      <c r="AB58" s="30" t="b">
        <f>TRUE()</f>
        <v>1</v>
      </c>
      <c r="AC58" s="31">
        <f t="shared" si="5"/>
        <v>0</v>
      </c>
      <c r="AD58" s="42"/>
      <c r="AE58" s="42"/>
    </row>
    <row r="59" spans="1:31" ht="15" customHeight="1">
      <c r="A59" s="20">
        <f t="shared" si="3"/>
        <v>0</v>
      </c>
      <c r="B59" s="23"/>
      <c r="C59" s="23"/>
      <c r="D59" s="23"/>
      <c r="E59" s="23"/>
      <c r="F59" s="23"/>
      <c r="G59" s="23"/>
      <c r="H59" s="23"/>
      <c r="I59" s="23"/>
      <c r="J59" s="23"/>
      <c r="K59" s="23"/>
      <c r="L59" s="33"/>
      <c r="M59" s="26"/>
      <c r="N59" s="26"/>
      <c r="O59" s="26"/>
      <c r="P59" s="26"/>
      <c r="Q59" s="26"/>
      <c r="R59" s="26"/>
      <c r="S59" s="26"/>
      <c r="T59" s="26"/>
      <c r="U59" s="26"/>
      <c r="V59" s="26"/>
      <c r="W59" s="26"/>
      <c r="X59" s="26">
        <f>COUNTIF($L$2:L59,"&lt;&gt;"&amp;"")</f>
        <v>5</v>
      </c>
      <c r="Y59" s="27">
        <f t="shared" si="4"/>
        <v>0</v>
      </c>
      <c r="Z59" s="28"/>
      <c r="AA59" s="29"/>
      <c r="AB59" s="30" t="b">
        <f>TRUE()</f>
        <v>1</v>
      </c>
      <c r="AC59" s="31">
        <f t="shared" si="5"/>
        <v>0</v>
      </c>
      <c r="AD59" s="42"/>
      <c r="AE59" s="42"/>
    </row>
    <row r="60" spans="1:31" ht="15" customHeight="1">
      <c r="A60" s="20">
        <f t="shared" si="3"/>
        <v>0</v>
      </c>
      <c r="B60" s="23"/>
      <c r="C60" s="23"/>
      <c r="D60" s="23"/>
      <c r="E60" s="23"/>
      <c r="F60" s="23"/>
      <c r="G60" s="23"/>
      <c r="H60" s="23"/>
      <c r="I60" s="23"/>
      <c r="J60" s="23"/>
      <c r="K60" s="23"/>
      <c r="L60" s="33"/>
      <c r="M60" s="26"/>
      <c r="N60" s="26"/>
      <c r="O60" s="26"/>
      <c r="P60" s="26"/>
      <c r="Q60" s="26"/>
      <c r="R60" s="26"/>
      <c r="S60" s="26"/>
      <c r="T60" s="26"/>
      <c r="U60" s="26"/>
      <c r="V60" s="26"/>
      <c r="W60" s="26"/>
      <c r="X60" s="26">
        <f>COUNTIF($L$2:L60,"&lt;&gt;"&amp;"")</f>
        <v>5</v>
      </c>
      <c r="Y60" s="27">
        <f t="shared" si="4"/>
        <v>0</v>
      </c>
      <c r="Z60" s="28"/>
      <c r="AA60" s="29"/>
      <c r="AB60" s="30" t="b">
        <f>TRUE()</f>
        <v>1</v>
      </c>
      <c r="AC60" s="31">
        <f t="shared" si="5"/>
        <v>0</v>
      </c>
      <c r="AD60" s="42"/>
      <c r="AE60" s="42"/>
    </row>
    <row r="61" spans="1:31" ht="15" customHeight="1">
      <c r="A61" s="20">
        <f t="shared" si="3"/>
        <v>0</v>
      </c>
      <c r="B61" s="23"/>
      <c r="C61" s="23"/>
      <c r="D61" s="23"/>
      <c r="E61" s="23"/>
      <c r="F61" s="23"/>
      <c r="G61" s="23"/>
      <c r="H61" s="23"/>
      <c r="I61" s="23"/>
      <c r="J61" s="23"/>
      <c r="K61" s="23"/>
      <c r="L61" s="33"/>
      <c r="M61" s="26"/>
      <c r="N61" s="26"/>
      <c r="O61" s="26"/>
      <c r="P61" s="26"/>
      <c r="Q61" s="26"/>
      <c r="R61" s="26"/>
      <c r="S61" s="26"/>
      <c r="T61" s="26"/>
      <c r="U61" s="26"/>
      <c r="V61" s="26"/>
      <c r="W61" s="26"/>
      <c r="X61" s="26">
        <f>COUNTIF($L$2:L61,"&lt;&gt;"&amp;"")</f>
        <v>5</v>
      </c>
      <c r="Y61" s="27">
        <f t="shared" si="4"/>
        <v>0</v>
      </c>
      <c r="Z61" s="28"/>
      <c r="AA61" s="29"/>
      <c r="AB61" s="30" t="b">
        <f>TRUE()</f>
        <v>1</v>
      </c>
      <c r="AC61" s="31">
        <f t="shared" si="5"/>
        <v>0</v>
      </c>
      <c r="AD61" s="42"/>
      <c r="AE61" s="42"/>
    </row>
    <row r="62" spans="1:31" ht="15" customHeight="1">
      <c r="A62" s="20">
        <f t="shared" si="3"/>
        <v>0</v>
      </c>
      <c r="B62" s="23"/>
      <c r="C62" s="23"/>
      <c r="D62" s="23"/>
      <c r="E62" s="23"/>
      <c r="F62" s="23"/>
      <c r="G62" s="23"/>
      <c r="H62" s="23"/>
      <c r="I62" s="23"/>
      <c r="J62" s="23"/>
      <c r="K62" s="23"/>
      <c r="L62" s="33"/>
      <c r="M62" s="26"/>
      <c r="N62" s="26"/>
      <c r="O62" s="26"/>
      <c r="P62" s="26"/>
      <c r="Q62" s="26"/>
      <c r="R62" s="26"/>
      <c r="S62" s="26"/>
      <c r="T62" s="26"/>
      <c r="U62" s="26"/>
      <c r="V62" s="26"/>
      <c r="W62" s="26"/>
      <c r="X62" s="26">
        <f>COUNTIF($L$2:L62,"&lt;&gt;"&amp;"")</f>
        <v>5</v>
      </c>
      <c r="Y62" s="27">
        <f t="shared" si="4"/>
        <v>0</v>
      </c>
      <c r="Z62" s="28"/>
      <c r="AA62" s="29"/>
      <c r="AB62" s="30" t="b">
        <f>TRUE()</f>
        <v>1</v>
      </c>
      <c r="AC62" s="31">
        <f t="shared" si="5"/>
        <v>0</v>
      </c>
      <c r="AD62" s="42"/>
      <c r="AE62" s="42"/>
    </row>
    <row r="63" spans="1:31" ht="15" customHeight="1">
      <c r="A63" s="20">
        <f t="shared" si="3"/>
        <v>0</v>
      </c>
      <c r="B63" s="23"/>
      <c r="C63" s="23"/>
      <c r="D63" s="23"/>
      <c r="E63" s="23"/>
      <c r="F63" s="23"/>
      <c r="G63" s="23"/>
      <c r="H63" s="23"/>
      <c r="I63" s="23"/>
      <c r="J63" s="23"/>
      <c r="K63" s="23"/>
      <c r="L63" s="33"/>
      <c r="M63" s="26"/>
      <c r="N63" s="26"/>
      <c r="O63" s="26"/>
      <c r="P63" s="26"/>
      <c r="Q63" s="26"/>
      <c r="R63" s="26"/>
      <c r="S63" s="26"/>
      <c r="T63" s="26"/>
      <c r="U63" s="26"/>
      <c r="V63" s="26"/>
      <c r="W63" s="26"/>
      <c r="X63" s="26">
        <f>COUNTIF($L$2:L63,"&lt;&gt;"&amp;"")</f>
        <v>5</v>
      </c>
      <c r="Y63" s="27">
        <f t="shared" si="4"/>
        <v>0</v>
      </c>
      <c r="Z63" s="28"/>
      <c r="AA63" s="29"/>
      <c r="AB63" s="30" t="b">
        <f>TRUE()</f>
        <v>1</v>
      </c>
      <c r="AC63" s="31">
        <f t="shared" si="5"/>
        <v>0</v>
      </c>
      <c r="AD63" s="42"/>
      <c r="AE63" s="42"/>
    </row>
    <row r="64" spans="1:31" ht="15" customHeight="1">
      <c r="A64" s="20">
        <f t="shared" si="3"/>
        <v>0</v>
      </c>
      <c r="B64" s="23"/>
      <c r="C64" s="23"/>
      <c r="D64" s="23"/>
      <c r="E64" s="23"/>
      <c r="F64" s="23"/>
      <c r="G64" s="23"/>
      <c r="H64" s="23"/>
      <c r="I64" s="23"/>
      <c r="J64" s="23"/>
      <c r="K64" s="23"/>
      <c r="L64" s="33"/>
      <c r="M64" s="26"/>
      <c r="N64" s="26"/>
      <c r="O64" s="26"/>
      <c r="P64" s="26"/>
      <c r="Q64" s="26"/>
      <c r="R64" s="26"/>
      <c r="S64" s="26"/>
      <c r="T64" s="26"/>
      <c r="U64" s="26"/>
      <c r="V64" s="26"/>
      <c r="W64" s="26"/>
      <c r="X64" s="26">
        <f>COUNTIF($L$2:L64,"&lt;&gt;"&amp;"")</f>
        <v>5</v>
      </c>
      <c r="Y64" s="27">
        <f t="shared" si="4"/>
        <v>0</v>
      </c>
      <c r="Z64" s="28"/>
      <c r="AA64" s="29"/>
      <c r="AB64" s="30" t="b">
        <f>TRUE()</f>
        <v>1</v>
      </c>
      <c r="AC64" s="31">
        <f t="shared" si="5"/>
        <v>0</v>
      </c>
      <c r="AD64" s="35"/>
      <c r="AE64" s="35"/>
    </row>
    <row r="65" spans="1:31" ht="15" customHeight="1">
      <c r="A65" s="20">
        <f t="shared" si="3"/>
        <v>0</v>
      </c>
      <c r="B65" s="23"/>
      <c r="C65" s="23"/>
      <c r="D65" s="23"/>
      <c r="E65" s="23"/>
      <c r="F65" s="23"/>
      <c r="G65" s="23"/>
      <c r="H65" s="23"/>
      <c r="I65" s="23"/>
      <c r="J65" s="23"/>
      <c r="K65" s="23"/>
      <c r="L65" s="33"/>
      <c r="M65" s="26"/>
      <c r="N65" s="26"/>
      <c r="O65" s="26"/>
      <c r="P65" s="26"/>
      <c r="Q65" s="26"/>
      <c r="R65" s="26"/>
      <c r="S65" s="26"/>
      <c r="T65" s="26"/>
      <c r="U65" s="26"/>
      <c r="V65" s="26"/>
      <c r="W65" s="26"/>
      <c r="X65" s="26">
        <f>COUNTIF($L$2:L65,"&lt;&gt;"&amp;"")</f>
        <v>5</v>
      </c>
      <c r="Y65" s="27">
        <f t="shared" si="4"/>
        <v>0</v>
      </c>
      <c r="Z65" s="28"/>
      <c r="AA65" s="29"/>
      <c r="AB65" s="30" t="b">
        <f>TRUE()</f>
        <v>1</v>
      </c>
      <c r="AC65" s="31">
        <f t="shared" si="5"/>
        <v>0</v>
      </c>
      <c r="AD65" s="42"/>
      <c r="AE65" s="42"/>
    </row>
    <row r="66" spans="1:31" ht="15" customHeight="1">
      <c r="A66" s="20">
        <f t="shared" ref="A66:A97" si="6">(B66*$P$125+C66*$P$126+D66*$P$127+E66*$P$128+F66*$P$129+G66*$P$130+H66*$P$131+I66*$P$132+J66*$P$133+K66*$P$134)*$T$123</f>
        <v>0</v>
      </c>
      <c r="B66" s="23"/>
      <c r="C66" s="23"/>
      <c r="D66" s="23"/>
      <c r="E66" s="23"/>
      <c r="F66" s="23"/>
      <c r="G66" s="23"/>
      <c r="H66" s="23"/>
      <c r="I66" s="23"/>
      <c r="J66" s="23"/>
      <c r="K66" s="23"/>
      <c r="L66" s="33"/>
      <c r="M66" s="33"/>
      <c r="N66" s="26"/>
      <c r="O66" s="26"/>
      <c r="P66" s="26"/>
      <c r="Q66" s="26"/>
      <c r="R66" s="26"/>
      <c r="S66" s="26"/>
      <c r="T66" s="26"/>
      <c r="U66" s="26"/>
      <c r="V66" s="26"/>
      <c r="W66" s="26"/>
      <c r="X66" s="26">
        <f>COUNTIF($L$2:L66,"&lt;&gt;"&amp;"")</f>
        <v>5</v>
      </c>
      <c r="Y66" s="27">
        <f t="shared" ref="Y66:Y97" si="7">SUMIF($X$2:$X$120,X66,$A$2:$A$120)</f>
        <v>0</v>
      </c>
      <c r="Z66" s="28"/>
      <c r="AA66" s="29"/>
      <c r="AB66" s="30" t="b">
        <f>TRUE()</f>
        <v>1</v>
      </c>
      <c r="AC66" s="31">
        <f t="shared" ref="AC66:AC97" si="8">IF(L66="",0,IF(AB66=FALSE(),0,Y66))</f>
        <v>0</v>
      </c>
      <c r="AD66" s="42"/>
      <c r="AE66" s="42"/>
    </row>
    <row r="67" spans="1:31" ht="15" customHeight="1">
      <c r="A67" s="20">
        <f t="shared" si="6"/>
        <v>0</v>
      </c>
      <c r="B67" s="23"/>
      <c r="C67" s="23"/>
      <c r="D67" s="23"/>
      <c r="E67" s="23"/>
      <c r="F67" s="23"/>
      <c r="G67" s="23"/>
      <c r="H67" s="23"/>
      <c r="I67" s="23"/>
      <c r="J67" s="23"/>
      <c r="K67" s="23"/>
      <c r="L67" s="33"/>
      <c r="M67" s="26"/>
      <c r="N67" s="33"/>
      <c r="O67" s="26"/>
      <c r="P67" s="26"/>
      <c r="Q67" s="26"/>
      <c r="R67" s="26"/>
      <c r="S67" s="26"/>
      <c r="T67" s="26"/>
      <c r="U67" s="26"/>
      <c r="V67" s="26"/>
      <c r="W67" s="26"/>
      <c r="X67" s="26">
        <f>COUNTIF($L$2:L67,"&lt;&gt;"&amp;"")</f>
        <v>5</v>
      </c>
      <c r="Y67" s="27">
        <f t="shared" si="7"/>
        <v>0</v>
      </c>
      <c r="Z67" s="28"/>
      <c r="AA67" s="29"/>
      <c r="AB67" s="30" t="b">
        <f>TRUE()</f>
        <v>1</v>
      </c>
      <c r="AC67" s="31">
        <f t="shared" si="8"/>
        <v>0</v>
      </c>
      <c r="AD67" s="42"/>
      <c r="AE67" s="42"/>
    </row>
    <row r="68" spans="1:31" ht="15" customHeight="1">
      <c r="A68" s="20">
        <f t="shared" si="6"/>
        <v>0</v>
      </c>
      <c r="B68" s="23"/>
      <c r="C68" s="23"/>
      <c r="D68" s="23"/>
      <c r="E68" s="23"/>
      <c r="F68" s="23"/>
      <c r="G68" s="23"/>
      <c r="H68" s="23"/>
      <c r="I68" s="23"/>
      <c r="J68" s="23"/>
      <c r="K68" s="23"/>
      <c r="L68" s="33"/>
      <c r="M68" s="26"/>
      <c r="N68" s="26"/>
      <c r="O68" s="26"/>
      <c r="P68" s="26"/>
      <c r="Q68" s="26"/>
      <c r="R68" s="26"/>
      <c r="S68" s="26"/>
      <c r="T68" s="26"/>
      <c r="U68" s="26"/>
      <c r="V68" s="26"/>
      <c r="W68" s="26"/>
      <c r="X68" s="26">
        <f>COUNTIF($L$2:L68,"&lt;&gt;"&amp;"")</f>
        <v>5</v>
      </c>
      <c r="Y68" s="27">
        <f t="shared" si="7"/>
        <v>0</v>
      </c>
      <c r="Z68" s="28"/>
      <c r="AA68" s="29"/>
      <c r="AB68" s="30" t="b">
        <f>TRUE()</f>
        <v>1</v>
      </c>
      <c r="AC68" s="31">
        <f t="shared" si="8"/>
        <v>0</v>
      </c>
      <c r="AD68" s="42"/>
      <c r="AE68" s="42"/>
    </row>
    <row r="69" spans="1:31" ht="15" customHeight="1">
      <c r="A69" s="20">
        <f t="shared" si="6"/>
        <v>0</v>
      </c>
      <c r="B69" s="23"/>
      <c r="C69" s="23"/>
      <c r="D69" s="23"/>
      <c r="E69" s="23"/>
      <c r="F69" s="23"/>
      <c r="G69" s="23"/>
      <c r="H69" s="23"/>
      <c r="I69" s="23"/>
      <c r="J69" s="23"/>
      <c r="K69" s="23"/>
      <c r="L69" s="33"/>
      <c r="M69" s="26"/>
      <c r="N69" s="26"/>
      <c r="O69" s="26"/>
      <c r="P69" s="26"/>
      <c r="Q69" s="26"/>
      <c r="R69" s="26"/>
      <c r="S69" s="26"/>
      <c r="T69" s="26"/>
      <c r="U69" s="26"/>
      <c r="V69" s="26"/>
      <c r="W69" s="26"/>
      <c r="X69" s="26">
        <f>COUNTIF($L$2:L69,"&lt;&gt;"&amp;"")</f>
        <v>5</v>
      </c>
      <c r="Y69" s="27">
        <f t="shared" si="7"/>
        <v>0</v>
      </c>
      <c r="Z69" s="28"/>
      <c r="AA69" s="29"/>
      <c r="AB69" s="30" t="b">
        <f>TRUE()</f>
        <v>1</v>
      </c>
      <c r="AC69" s="31">
        <f t="shared" si="8"/>
        <v>0</v>
      </c>
      <c r="AD69" s="42"/>
      <c r="AE69" s="42"/>
    </row>
    <row r="70" spans="1:31" ht="15" customHeight="1">
      <c r="A70" s="20">
        <f t="shared" si="6"/>
        <v>0</v>
      </c>
      <c r="B70" s="23"/>
      <c r="C70" s="23"/>
      <c r="D70" s="23"/>
      <c r="E70" s="23"/>
      <c r="F70" s="23"/>
      <c r="G70" s="23"/>
      <c r="H70" s="23"/>
      <c r="I70" s="23"/>
      <c r="J70" s="23"/>
      <c r="K70" s="23"/>
      <c r="L70" s="33"/>
      <c r="M70" s="26"/>
      <c r="N70" s="26"/>
      <c r="O70" s="26"/>
      <c r="P70" s="26"/>
      <c r="Q70" s="26"/>
      <c r="R70" s="26"/>
      <c r="S70" s="26"/>
      <c r="T70" s="26"/>
      <c r="U70" s="26"/>
      <c r="V70" s="26"/>
      <c r="W70" s="26"/>
      <c r="X70" s="26">
        <f>COUNTIF($L$2:L70,"&lt;&gt;"&amp;"")</f>
        <v>5</v>
      </c>
      <c r="Y70" s="27">
        <f t="shared" si="7"/>
        <v>0</v>
      </c>
      <c r="Z70" s="28"/>
      <c r="AA70" s="29"/>
      <c r="AB70" s="30" t="b">
        <f>TRUE()</f>
        <v>1</v>
      </c>
      <c r="AC70" s="31">
        <f t="shared" si="8"/>
        <v>0</v>
      </c>
      <c r="AD70" s="42"/>
      <c r="AE70" s="42"/>
    </row>
    <row r="71" spans="1:31" ht="15" customHeight="1">
      <c r="A71" s="20">
        <f t="shared" si="6"/>
        <v>0</v>
      </c>
      <c r="B71" s="23"/>
      <c r="C71" s="23"/>
      <c r="D71" s="23"/>
      <c r="E71" s="23"/>
      <c r="F71" s="23"/>
      <c r="G71" s="23"/>
      <c r="H71" s="23"/>
      <c r="I71" s="23"/>
      <c r="J71" s="23"/>
      <c r="K71" s="23"/>
      <c r="L71" s="33"/>
      <c r="M71" s="26"/>
      <c r="N71" s="26"/>
      <c r="O71" s="26"/>
      <c r="P71" s="26"/>
      <c r="Q71" s="26"/>
      <c r="R71" s="26"/>
      <c r="S71" s="26"/>
      <c r="T71" s="26"/>
      <c r="U71" s="26"/>
      <c r="V71" s="26"/>
      <c r="W71" s="26"/>
      <c r="X71" s="26">
        <f>COUNTIF($L$2:L71,"&lt;&gt;"&amp;"")</f>
        <v>5</v>
      </c>
      <c r="Y71" s="27">
        <f t="shared" si="7"/>
        <v>0</v>
      </c>
      <c r="Z71" s="28"/>
      <c r="AA71" s="29"/>
      <c r="AB71" s="30" t="b">
        <f>TRUE()</f>
        <v>1</v>
      </c>
      <c r="AC71" s="31">
        <f t="shared" si="8"/>
        <v>0</v>
      </c>
      <c r="AD71" s="42"/>
      <c r="AE71" s="42"/>
    </row>
    <row r="72" spans="1:31" ht="15" customHeight="1">
      <c r="A72" s="20">
        <f t="shared" si="6"/>
        <v>0</v>
      </c>
      <c r="B72" s="23"/>
      <c r="C72" s="23"/>
      <c r="D72" s="23"/>
      <c r="E72" s="23"/>
      <c r="F72" s="23"/>
      <c r="G72" s="23"/>
      <c r="H72" s="23"/>
      <c r="I72" s="23"/>
      <c r="J72" s="23"/>
      <c r="K72" s="23"/>
      <c r="L72" s="33"/>
      <c r="M72" s="26"/>
      <c r="N72" s="26"/>
      <c r="O72" s="26"/>
      <c r="P72" s="26"/>
      <c r="Q72" s="26"/>
      <c r="R72" s="26"/>
      <c r="S72" s="26"/>
      <c r="T72" s="26"/>
      <c r="U72" s="26"/>
      <c r="V72" s="26"/>
      <c r="W72" s="26"/>
      <c r="X72" s="26">
        <f>COUNTIF($L$2:L72,"&lt;&gt;"&amp;"")</f>
        <v>5</v>
      </c>
      <c r="Y72" s="27">
        <f t="shared" si="7"/>
        <v>0</v>
      </c>
      <c r="Z72" s="28"/>
      <c r="AA72" s="29"/>
      <c r="AB72" s="30" t="b">
        <f>TRUE()</f>
        <v>1</v>
      </c>
      <c r="AC72" s="31">
        <f t="shared" si="8"/>
        <v>0</v>
      </c>
      <c r="AD72" s="42"/>
      <c r="AE72" s="42"/>
    </row>
    <row r="73" spans="1:31" ht="15" customHeight="1">
      <c r="A73" s="20">
        <f t="shared" si="6"/>
        <v>0</v>
      </c>
      <c r="B73" s="23"/>
      <c r="C73" s="23"/>
      <c r="D73" s="23"/>
      <c r="E73" s="23"/>
      <c r="F73" s="23"/>
      <c r="G73" s="23"/>
      <c r="H73" s="23"/>
      <c r="I73" s="23"/>
      <c r="J73" s="23"/>
      <c r="K73" s="23"/>
      <c r="L73" s="33"/>
      <c r="M73" s="26"/>
      <c r="N73" s="26"/>
      <c r="O73" s="26"/>
      <c r="P73" s="26"/>
      <c r="Q73" s="26"/>
      <c r="R73" s="26"/>
      <c r="S73" s="26"/>
      <c r="T73" s="26"/>
      <c r="U73" s="26"/>
      <c r="V73" s="26"/>
      <c r="W73" s="26"/>
      <c r="X73" s="26">
        <f>COUNTIF($L$2:L73,"&lt;&gt;"&amp;"")</f>
        <v>5</v>
      </c>
      <c r="Y73" s="27">
        <f t="shared" si="7"/>
        <v>0</v>
      </c>
      <c r="Z73" s="28"/>
      <c r="AA73" s="29"/>
      <c r="AB73" s="30" t="b">
        <f>TRUE()</f>
        <v>1</v>
      </c>
      <c r="AC73" s="31">
        <f t="shared" si="8"/>
        <v>0</v>
      </c>
      <c r="AD73" s="42"/>
      <c r="AE73" s="42"/>
    </row>
    <row r="74" spans="1:31" ht="15" customHeight="1">
      <c r="A74" s="20">
        <f t="shared" si="6"/>
        <v>0</v>
      </c>
      <c r="B74" s="23"/>
      <c r="C74" s="23"/>
      <c r="D74" s="23"/>
      <c r="E74" s="23"/>
      <c r="F74" s="23"/>
      <c r="G74" s="23"/>
      <c r="H74" s="23"/>
      <c r="I74" s="23"/>
      <c r="J74" s="23"/>
      <c r="K74" s="23"/>
      <c r="L74" s="33"/>
      <c r="M74" s="33"/>
      <c r="N74" s="26"/>
      <c r="O74" s="26"/>
      <c r="P74" s="26"/>
      <c r="Q74" s="26"/>
      <c r="R74" s="26"/>
      <c r="S74" s="26"/>
      <c r="T74" s="26"/>
      <c r="U74" s="26"/>
      <c r="V74" s="26"/>
      <c r="W74" s="26"/>
      <c r="X74" s="26">
        <f>COUNTIF($L$2:L74,"&lt;&gt;"&amp;"")</f>
        <v>5</v>
      </c>
      <c r="Y74" s="27">
        <f t="shared" si="7"/>
        <v>0</v>
      </c>
      <c r="Z74" s="28"/>
      <c r="AA74" s="29"/>
      <c r="AB74" s="30" t="b">
        <f>TRUE()</f>
        <v>1</v>
      </c>
      <c r="AC74" s="31">
        <f t="shared" si="8"/>
        <v>0</v>
      </c>
      <c r="AD74" s="42"/>
      <c r="AE74" s="42"/>
    </row>
    <row r="75" spans="1:31" ht="15" customHeight="1">
      <c r="A75" s="20">
        <f t="shared" si="6"/>
        <v>0</v>
      </c>
      <c r="B75" s="23"/>
      <c r="C75" s="23"/>
      <c r="D75" s="23"/>
      <c r="E75" s="23"/>
      <c r="F75" s="23"/>
      <c r="G75" s="23"/>
      <c r="H75" s="23"/>
      <c r="I75" s="23"/>
      <c r="J75" s="23"/>
      <c r="K75" s="23"/>
      <c r="L75" s="33"/>
      <c r="M75" s="26"/>
      <c r="N75" s="26"/>
      <c r="O75" s="26"/>
      <c r="P75" s="26"/>
      <c r="Q75" s="26"/>
      <c r="R75" s="26"/>
      <c r="S75" s="26"/>
      <c r="T75" s="26"/>
      <c r="U75" s="26"/>
      <c r="V75" s="26"/>
      <c r="W75" s="26"/>
      <c r="X75" s="26">
        <f>COUNTIF($L$2:L75,"&lt;&gt;"&amp;"")</f>
        <v>5</v>
      </c>
      <c r="Y75" s="27">
        <f t="shared" si="7"/>
        <v>0</v>
      </c>
      <c r="Z75" s="28"/>
      <c r="AA75" s="29"/>
      <c r="AB75" s="30" t="b">
        <f>TRUE()</f>
        <v>1</v>
      </c>
      <c r="AC75" s="31">
        <f t="shared" si="8"/>
        <v>0</v>
      </c>
      <c r="AD75" s="35"/>
      <c r="AE75" s="35"/>
    </row>
    <row r="76" spans="1:31" ht="15" customHeight="1">
      <c r="A76" s="20">
        <f t="shared" si="6"/>
        <v>0</v>
      </c>
      <c r="B76" s="23"/>
      <c r="C76" s="23"/>
      <c r="D76" s="23"/>
      <c r="E76" s="23"/>
      <c r="F76" s="23"/>
      <c r="G76" s="23"/>
      <c r="H76" s="23"/>
      <c r="I76" s="23"/>
      <c r="J76" s="23"/>
      <c r="K76" s="23"/>
      <c r="L76" s="33"/>
      <c r="M76" s="26"/>
      <c r="N76" s="26"/>
      <c r="O76" s="26"/>
      <c r="P76" s="26"/>
      <c r="Q76" s="26"/>
      <c r="R76" s="26"/>
      <c r="S76" s="26"/>
      <c r="T76" s="26"/>
      <c r="U76" s="26"/>
      <c r="V76" s="26"/>
      <c r="W76" s="26"/>
      <c r="X76" s="26">
        <f>COUNTIF($L$2:L76,"&lt;&gt;"&amp;"")</f>
        <v>5</v>
      </c>
      <c r="Y76" s="27">
        <f t="shared" si="7"/>
        <v>0</v>
      </c>
      <c r="Z76" s="28"/>
      <c r="AA76" s="29"/>
      <c r="AB76" s="30" t="b">
        <f>TRUE()</f>
        <v>1</v>
      </c>
      <c r="AC76" s="31">
        <f t="shared" si="8"/>
        <v>0</v>
      </c>
      <c r="AD76" s="35"/>
      <c r="AE76" s="35"/>
    </row>
    <row r="77" spans="1:31" ht="15" customHeight="1">
      <c r="A77" s="20">
        <f t="shared" si="6"/>
        <v>0</v>
      </c>
      <c r="B77" s="23"/>
      <c r="C77" s="23"/>
      <c r="D77" s="23"/>
      <c r="E77" s="23"/>
      <c r="F77" s="23"/>
      <c r="G77" s="23"/>
      <c r="H77" s="23"/>
      <c r="I77" s="23"/>
      <c r="J77" s="23"/>
      <c r="K77" s="23"/>
      <c r="L77" s="33"/>
      <c r="M77" s="26"/>
      <c r="N77" s="26"/>
      <c r="O77" s="26"/>
      <c r="P77" s="26"/>
      <c r="Q77" s="26"/>
      <c r="R77" s="26"/>
      <c r="S77" s="26"/>
      <c r="T77" s="26"/>
      <c r="U77" s="26"/>
      <c r="V77" s="26"/>
      <c r="W77" s="26"/>
      <c r="X77" s="26">
        <f>COUNTIF($L$2:L77,"&lt;&gt;"&amp;"")</f>
        <v>5</v>
      </c>
      <c r="Y77" s="27">
        <f t="shared" si="7"/>
        <v>0</v>
      </c>
      <c r="Z77" s="28"/>
      <c r="AA77" s="29"/>
      <c r="AB77" s="30" t="b">
        <f>TRUE()</f>
        <v>1</v>
      </c>
      <c r="AC77" s="31">
        <f t="shared" si="8"/>
        <v>0</v>
      </c>
      <c r="AD77" s="35"/>
      <c r="AE77" s="35"/>
    </row>
    <row r="78" spans="1:31" ht="15" customHeight="1">
      <c r="A78" s="20">
        <f t="shared" si="6"/>
        <v>0</v>
      </c>
      <c r="B78" s="23"/>
      <c r="C78" s="23"/>
      <c r="D78" s="23"/>
      <c r="E78" s="23"/>
      <c r="F78" s="23"/>
      <c r="G78" s="23"/>
      <c r="H78" s="23"/>
      <c r="I78" s="23"/>
      <c r="J78" s="23"/>
      <c r="K78" s="23"/>
      <c r="L78" s="33"/>
      <c r="M78" s="26"/>
      <c r="N78" s="26"/>
      <c r="O78" s="26"/>
      <c r="P78" s="26"/>
      <c r="Q78" s="26"/>
      <c r="R78" s="26"/>
      <c r="S78" s="26"/>
      <c r="T78" s="26"/>
      <c r="U78" s="26"/>
      <c r="V78" s="26"/>
      <c r="W78" s="26"/>
      <c r="X78" s="26">
        <f>COUNTIF($L$2:L78,"&lt;&gt;"&amp;"")</f>
        <v>5</v>
      </c>
      <c r="Y78" s="27">
        <f t="shared" si="7"/>
        <v>0</v>
      </c>
      <c r="Z78" s="28"/>
      <c r="AA78" s="29"/>
      <c r="AB78" s="30" t="b">
        <f>TRUE()</f>
        <v>1</v>
      </c>
      <c r="AC78" s="31">
        <f t="shared" si="8"/>
        <v>0</v>
      </c>
      <c r="AD78" s="35"/>
      <c r="AE78" s="35"/>
    </row>
    <row r="79" spans="1:31" ht="15" customHeight="1">
      <c r="A79" s="20">
        <f t="shared" si="6"/>
        <v>0</v>
      </c>
      <c r="B79" s="23"/>
      <c r="C79" s="23"/>
      <c r="D79" s="23"/>
      <c r="E79" s="23"/>
      <c r="F79" s="23"/>
      <c r="G79" s="23"/>
      <c r="H79" s="23"/>
      <c r="I79" s="23"/>
      <c r="J79" s="23"/>
      <c r="K79" s="23"/>
      <c r="L79" s="33"/>
      <c r="M79" s="26"/>
      <c r="N79" s="26"/>
      <c r="O79" s="26"/>
      <c r="P79" s="26"/>
      <c r="Q79" s="26"/>
      <c r="R79" s="26"/>
      <c r="S79" s="26"/>
      <c r="T79" s="26"/>
      <c r="U79" s="26"/>
      <c r="V79" s="26"/>
      <c r="W79" s="26"/>
      <c r="X79" s="26">
        <f>COUNTIF($L$2:L79,"&lt;&gt;"&amp;"")</f>
        <v>5</v>
      </c>
      <c r="Y79" s="27">
        <f t="shared" si="7"/>
        <v>0</v>
      </c>
      <c r="Z79" s="28"/>
      <c r="AA79" s="29"/>
      <c r="AB79" s="30" t="b">
        <f>TRUE()</f>
        <v>1</v>
      </c>
      <c r="AC79" s="31">
        <f t="shared" si="8"/>
        <v>0</v>
      </c>
      <c r="AD79" s="35"/>
      <c r="AE79" s="35"/>
    </row>
    <row r="80" spans="1:31" ht="15" customHeight="1">
      <c r="A80" s="20">
        <f t="shared" si="6"/>
        <v>0</v>
      </c>
      <c r="B80" s="23"/>
      <c r="C80" s="23"/>
      <c r="D80" s="23"/>
      <c r="E80" s="23"/>
      <c r="F80" s="23"/>
      <c r="G80" s="23"/>
      <c r="H80" s="23"/>
      <c r="I80" s="23"/>
      <c r="J80" s="23"/>
      <c r="K80" s="23"/>
      <c r="L80" s="33"/>
      <c r="M80" s="26"/>
      <c r="N80" s="26"/>
      <c r="O80" s="26"/>
      <c r="P80" s="26"/>
      <c r="Q80" s="26"/>
      <c r="R80" s="26"/>
      <c r="S80" s="26"/>
      <c r="T80" s="26"/>
      <c r="U80" s="26"/>
      <c r="V80" s="26"/>
      <c r="W80" s="26"/>
      <c r="X80" s="26">
        <f>COUNTIF($L$2:L80,"&lt;&gt;"&amp;"")</f>
        <v>5</v>
      </c>
      <c r="Y80" s="27">
        <f t="shared" si="7"/>
        <v>0</v>
      </c>
      <c r="Z80" s="28"/>
      <c r="AA80" s="29"/>
      <c r="AB80" s="30" t="b">
        <f>TRUE()</f>
        <v>1</v>
      </c>
      <c r="AC80" s="31">
        <f t="shared" si="8"/>
        <v>0</v>
      </c>
      <c r="AD80" s="23"/>
      <c r="AE80" s="23"/>
    </row>
    <row r="81" spans="1:31" ht="15" customHeight="1">
      <c r="A81" s="20">
        <f t="shared" si="6"/>
        <v>0</v>
      </c>
      <c r="B81" s="23"/>
      <c r="C81" s="23"/>
      <c r="D81" s="23"/>
      <c r="E81" s="23"/>
      <c r="F81" s="23"/>
      <c r="G81" s="23"/>
      <c r="H81" s="23"/>
      <c r="I81" s="23"/>
      <c r="J81" s="23"/>
      <c r="K81" s="23"/>
      <c r="L81" s="33"/>
      <c r="M81" s="26"/>
      <c r="N81" s="26"/>
      <c r="O81" s="26"/>
      <c r="P81" s="26"/>
      <c r="Q81" s="26"/>
      <c r="R81" s="26"/>
      <c r="S81" s="26"/>
      <c r="T81" s="26"/>
      <c r="U81" s="26"/>
      <c r="V81" s="26"/>
      <c r="W81" s="26"/>
      <c r="X81" s="26">
        <f>COUNTIF($L$2:L81,"&lt;&gt;"&amp;"")</f>
        <v>5</v>
      </c>
      <c r="Y81" s="27">
        <f t="shared" si="7"/>
        <v>0</v>
      </c>
      <c r="Z81" s="28"/>
      <c r="AA81" s="29"/>
      <c r="AB81" s="30" t="b">
        <f>TRUE()</f>
        <v>1</v>
      </c>
      <c r="AC81" s="31">
        <f t="shared" si="8"/>
        <v>0</v>
      </c>
      <c r="AD81" s="23"/>
      <c r="AE81" s="23"/>
    </row>
    <row r="82" spans="1:31" ht="15" customHeight="1">
      <c r="A82" s="20">
        <f t="shared" si="6"/>
        <v>0</v>
      </c>
      <c r="B82" s="23"/>
      <c r="C82" s="23"/>
      <c r="D82" s="23"/>
      <c r="E82" s="23"/>
      <c r="F82" s="23"/>
      <c r="G82" s="23"/>
      <c r="H82" s="23"/>
      <c r="I82" s="23"/>
      <c r="J82" s="23"/>
      <c r="K82" s="23"/>
      <c r="L82" s="33"/>
      <c r="M82" s="26"/>
      <c r="N82" s="26"/>
      <c r="O82" s="26"/>
      <c r="P82" s="26"/>
      <c r="Q82" s="26"/>
      <c r="R82" s="26"/>
      <c r="S82" s="26"/>
      <c r="T82" s="26"/>
      <c r="U82" s="26"/>
      <c r="V82" s="26"/>
      <c r="W82" s="26"/>
      <c r="X82" s="26">
        <f>COUNTIF($L$2:L82,"&lt;&gt;"&amp;"")</f>
        <v>5</v>
      </c>
      <c r="Y82" s="27">
        <f t="shared" si="7"/>
        <v>0</v>
      </c>
      <c r="Z82" s="28"/>
      <c r="AA82" s="29"/>
      <c r="AB82" s="30" t="b">
        <f>TRUE()</f>
        <v>1</v>
      </c>
      <c r="AC82" s="31">
        <f t="shared" si="8"/>
        <v>0</v>
      </c>
      <c r="AD82" s="23"/>
      <c r="AE82" s="23"/>
    </row>
    <row r="83" spans="1:31" ht="15" customHeight="1">
      <c r="A83" s="20">
        <f t="shared" si="6"/>
        <v>0</v>
      </c>
      <c r="B83" s="23"/>
      <c r="C83" s="23"/>
      <c r="D83" s="23"/>
      <c r="E83" s="23"/>
      <c r="F83" s="23"/>
      <c r="G83" s="23"/>
      <c r="H83" s="23"/>
      <c r="I83" s="23"/>
      <c r="J83" s="23"/>
      <c r="K83" s="23"/>
      <c r="L83" s="33"/>
      <c r="M83" s="26"/>
      <c r="N83" s="26"/>
      <c r="O83" s="26"/>
      <c r="P83" s="26"/>
      <c r="Q83" s="26"/>
      <c r="R83" s="26"/>
      <c r="S83" s="26"/>
      <c r="T83" s="26"/>
      <c r="U83" s="26"/>
      <c r="V83" s="26"/>
      <c r="W83" s="26"/>
      <c r="X83" s="26">
        <f>COUNTIF($L$2:L83,"&lt;&gt;"&amp;"")</f>
        <v>5</v>
      </c>
      <c r="Y83" s="27">
        <f t="shared" si="7"/>
        <v>0</v>
      </c>
      <c r="Z83" s="28"/>
      <c r="AA83" s="29"/>
      <c r="AB83" s="30" t="b">
        <f>TRUE()</f>
        <v>1</v>
      </c>
      <c r="AC83" s="31">
        <f t="shared" si="8"/>
        <v>0</v>
      </c>
      <c r="AD83" s="23"/>
      <c r="AE83" s="23"/>
    </row>
    <row r="84" spans="1:31" ht="15" customHeight="1">
      <c r="A84" s="20">
        <f t="shared" si="6"/>
        <v>0</v>
      </c>
      <c r="B84" s="23"/>
      <c r="C84" s="23"/>
      <c r="D84" s="23"/>
      <c r="E84" s="23"/>
      <c r="F84" s="23"/>
      <c r="G84" s="23"/>
      <c r="H84" s="23"/>
      <c r="I84" s="23"/>
      <c r="J84" s="23"/>
      <c r="K84" s="23"/>
      <c r="L84" s="33"/>
      <c r="M84" s="26"/>
      <c r="N84" s="26"/>
      <c r="O84" s="26"/>
      <c r="P84" s="26"/>
      <c r="Q84" s="26"/>
      <c r="R84" s="26"/>
      <c r="S84" s="26"/>
      <c r="T84" s="26"/>
      <c r="U84" s="26"/>
      <c r="V84" s="26"/>
      <c r="W84" s="26"/>
      <c r="X84" s="26">
        <f>COUNTIF($L$2:L84,"&lt;&gt;"&amp;"")</f>
        <v>5</v>
      </c>
      <c r="Y84" s="27">
        <f t="shared" si="7"/>
        <v>0</v>
      </c>
      <c r="Z84" s="28"/>
      <c r="AA84" s="29"/>
      <c r="AB84" s="30" t="b">
        <f>TRUE()</f>
        <v>1</v>
      </c>
      <c r="AC84" s="31">
        <f t="shared" si="8"/>
        <v>0</v>
      </c>
      <c r="AD84" s="23"/>
      <c r="AE84" s="23"/>
    </row>
    <row r="85" spans="1:31" ht="15" customHeight="1">
      <c r="A85" s="20">
        <f t="shared" si="6"/>
        <v>0</v>
      </c>
      <c r="B85" s="23"/>
      <c r="C85" s="23"/>
      <c r="D85" s="23"/>
      <c r="E85" s="23"/>
      <c r="F85" s="23"/>
      <c r="G85" s="23"/>
      <c r="H85" s="23"/>
      <c r="I85" s="23"/>
      <c r="J85" s="23"/>
      <c r="K85" s="23"/>
      <c r="L85" s="33"/>
      <c r="M85" s="26"/>
      <c r="N85" s="26"/>
      <c r="O85" s="26"/>
      <c r="P85" s="26"/>
      <c r="Q85" s="26"/>
      <c r="R85" s="26"/>
      <c r="S85" s="26"/>
      <c r="T85" s="26"/>
      <c r="U85" s="26"/>
      <c r="V85" s="26"/>
      <c r="W85" s="26"/>
      <c r="X85" s="26">
        <f>COUNTIF($L$2:L85,"&lt;&gt;"&amp;"")</f>
        <v>5</v>
      </c>
      <c r="Y85" s="27">
        <f t="shared" si="7"/>
        <v>0</v>
      </c>
      <c r="Z85" s="28"/>
      <c r="AA85" s="29"/>
      <c r="AB85" s="30" t="b">
        <f>TRUE()</f>
        <v>1</v>
      </c>
      <c r="AC85" s="31">
        <f t="shared" si="8"/>
        <v>0</v>
      </c>
      <c r="AD85" s="42"/>
      <c r="AE85" s="42"/>
    </row>
    <row r="86" spans="1:31" ht="15" customHeight="1">
      <c r="A86" s="20">
        <f t="shared" si="6"/>
        <v>0</v>
      </c>
      <c r="B86" s="23"/>
      <c r="C86" s="23"/>
      <c r="D86" s="23"/>
      <c r="E86" s="23"/>
      <c r="F86" s="23"/>
      <c r="G86" s="23"/>
      <c r="H86" s="23"/>
      <c r="I86" s="23"/>
      <c r="J86" s="23"/>
      <c r="K86" s="23"/>
      <c r="L86" s="33"/>
      <c r="M86" s="26"/>
      <c r="N86" s="26"/>
      <c r="O86" s="26"/>
      <c r="P86" s="26"/>
      <c r="Q86" s="26"/>
      <c r="R86" s="26"/>
      <c r="S86" s="26"/>
      <c r="T86" s="26"/>
      <c r="U86" s="26"/>
      <c r="V86" s="26"/>
      <c r="W86" s="26"/>
      <c r="X86" s="26">
        <f>COUNTIF($L$2:L86,"&lt;&gt;"&amp;"")</f>
        <v>5</v>
      </c>
      <c r="Y86" s="27">
        <f t="shared" si="7"/>
        <v>0</v>
      </c>
      <c r="Z86" s="28"/>
      <c r="AA86" s="29"/>
      <c r="AB86" s="30" t="b">
        <f>TRUE()</f>
        <v>1</v>
      </c>
      <c r="AC86" s="31">
        <f t="shared" si="8"/>
        <v>0</v>
      </c>
      <c r="AD86" s="42"/>
      <c r="AE86" s="42"/>
    </row>
    <row r="87" spans="1:31" ht="15" customHeight="1">
      <c r="A87" s="20">
        <f t="shared" si="6"/>
        <v>0</v>
      </c>
      <c r="B87" s="23"/>
      <c r="C87" s="23"/>
      <c r="D87" s="23"/>
      <c r="E87" s="23"/>
      <c r="F87" s="23"/>
      <c r="G87" s="23"/>
      <c r="H87" s="23"/>
      <c r="I87" s="23"/>
      <c r="J87" s="23"/>
      <c r="K87" s="23"/>
      <c r="L87" s="33"/>
      <c r="M87" s="26"/>
      <c r="N87" s="26"/>
      <c r="O87" s="26"/>
      <c r="P87" s="26"/>
      <c r="Q87" s="26"/>
      <c r="R87" s="26"/>
      <c r="S87" s="26"/>
      <c r="T87" s="26"/>
      <c r="U87" s="26"/>
      <c r="V87" s="26"/>
      <c r="W87" s="26"/>
      <c r="X87" s="26">
        <f>COUNTIF($L$2:L87,"&lt;&gt;"&amp;"")</f>
        <v>5</v>
      </c>
      <c r="Y87" s="27">
        <f t="shared" si="7"/>
        <v>0</v>
      </c>
      <c r="Z87" s="28"/>
      <c r="AA87" s="29"/>
      <c r="AB87" s="30" t="b">
        <f>TRUE()</f>
        <v>1</v>
      </c>
      <c r="AC87" s="31">
        <f t="shared" si="8"/>
        <v>0</v>
      </c>
      <c r="AD87" s="42"/>
      <c r="AE87" s="42"/>
    </row>
    <row r="88" spans="1:31" ht="15" customHeight="1">
      <c r="A88" s="20">
        <f t="shared" si="6"/>
        <v>0</v>
      </c>
      <c r="B88" s="23"/>
      <c r="C88" s="23"/>
      <c r="D88" s="23"/>
      <c r="E88" s="23"/>
      <c r="F88" s="23"/>
      <c r="G88" s="23"/>
      <c r="H88" s="23"/>
      <c r="I88" s="23"/>
      <c r="J88" s="23"/>
      <c r="K88" s="23"/>
      <c r="L88" s="33"/>
      <c r="M88" s="26"/>
      <c r="N88" s="26"/>
      <c r="O88" s="26"/>
      <c r="P88" s="26"/>
      <c r="Q88" s="26"/>
      <c r="R88" s="26"/>
      <c r="S88" s="26"/>
      <c r="T88" s="26"/>
      <c r="U88" s="26"/>
      <c r="V88" s="26"/>
      <c r="W88" s="26"/>
      <c r="X88" s="26">
        <f>COUNTIF($L$2:L88,"&lt;&gt;"&amp;"")</f>
        <v>5</v>
      </c>
      <c r="Y88" s="27">
        <f t="shared" si="7"/>
        <v>0</v>
      </c>
      <c r="Z88" s="28"/>
      <c r="AA88" s="29"/>
      <c r="AB88" s="30" t="b">
        <f>TRUE()</f>
        <v>1</v>
      </c>
      <c r="AC88" s="31">
        <f t="shared" si="8"/>
        <v>0</v>
      </c>
      <c r="AD88" s="42"/>
      <c r="AE88" s="42"/>
    </row>
    <row r="89" spans="1:31" ht="15" customHeight="1">
      <c r="A89" s="20">
        <f t="shared" si="6"/>
        <v>0</v>
      </c>
      <c r="B89" s="23"/>
      <c r="C89" s="23"/>
      <c r="D89" s="23"/>
      <c r="E89" s="23"/>
      <c r="F89" s="23"/>
      <c r="G89" s="23"/>
      <c r="H89" s="23"/>
      <c r="I89" s="23"/>
      <c r="J89" s="23"/>
      <c r="K89" s="23"/>
      <c r="L89" s="33"/>
      <c r="M89" s="26"/>
      <c r="N89" s="26"/>
      <c r="O89" s="26"/>
      <c r="P89" s="26"/>
      <c r="Q89" s="26"/>
      <c r="R89" s="26"/>
      <c r="S89" s="26"/>
      <c r="T89" s="26"/>
      <c r="U89" s="26"/>
      <c r="V89" s="26"/>
      <c r="W89" s="26"/>
      <c r="X89" s="26">
        <f>COUNTIF($L$2:L89,"&lt;&gt;"&amp;"")</f>
        <v>5</v>
      </c>
      <c r="Y89" s="27">
        <f t="shared" si="7"/>
        <v>0</v>
      </c>
      <c r="Z89" s="28"/>
      <c r="AA89" s="29"/>
      <c r="AB89" s="30" t="b">
        <f>TRUE()</f>
        <v>1</v>
      </c>
      <c r="AC89" s="31">
        <f t="shared" si="8"/>
        <v>0</v>
      </c>
      <c r="AD89" s="42"/>
      <c r="AE89" s="42"/>
    </row>
    <row r="90" spans="1:31" ht="15" customHeight="1">
      <c r="A90" s="20">
        <f t="shared" si="6"/>
        <v>0</v>
      </c>
      <c r="B90" s="23"/>
      <c r="C90" s="23"/>
      <c r="D90" s="23"/>
      <c r="E90" s="23"/>
      <c r="F90" s="23"/>
      <c r="G90" s="23"/>
      <c r="H90" s="23"/>
      <c r="I90" s="23"/>
      <c r="J90" s="23"/>
      <c r="K90" s="23"/>
      <c r="L90" s="33"/>
      <c r="M90" s="26"/>
      <c r="N90" s="26"/>
      <c r="O90" s="26"/>
      <c r="P90" s="26"/>
      <c r="Q90" s="26"/>
      <c r="R90" s="26"/>
      <c r="S90" s="26"/>
      <c r="T90" s="26"/>
      <c r="U90" s="26"/>
      <c r="V90" s="26"/>
      <c r="W90" s="26"/>
      <c r="X90" s="26">
        <f>COUNTIF($L$2:L90,"&lt;&gt;"&amp;"")</f>
        <v>5</v>
      </c>
      <c r="Y90" s="27">
        <f t="shared" si="7"/>
        <v>0</v>
      </c>
      <c r="Z90" s="28"/>
      <c r="AA90" s="29"/>
      <c r="AB90" s="30" t="b">
        <f>TRUE()</f>
        <v>1</v>
      </c>
      <c r="AC90" s="31">
        <f t="shared" si="8"/>
        <v>0</v>
      </c>
      <c r="AD90" s="42"/>
      <c r="AE90" s="42"/>
    </row>
    <row r="91" spans="1:31" ht="15" customHeight="1">
      <c r="A91" s="20">
        <f t="shared" si="6"/>
        <v>0</v>
      </c>
      <c r="B91" s="23"/>
      <c r="C91" s="23"/>
      <c r="D91" s="23"/>
      <c r="E91" s="23"/>
      <c r="F91" s="23"/>
      <c r="G91" s="23"/>
      <c r="H91" s="23"/>
      <c r="I91" s="23"/>
      <c r="J91" s="23"/>
      <c r="K91" s="23"/>
      <c r="L91" s="33"/>
      <c r="M91" s="26"/>
      <c r="N91" s="26"/>
      <c r="O91" s="26"/>
      <c r="P91" s="26"/>
      <c r="Q91" s="26"/>
      <c r="R91" s="26"/>
      <c r="S91" s="26"/>
      <c r="T91" s="26"/>
      <c r="U91" s="26"/>
      <c r="V91" s="26"/>
      <c r="W91" s="26"/>
      <c r="X91" s="26">
        <f>COUNTIF($L$2:L91,"&lt;&gt;"&amp;"")</f>
        <v>5</v>
      </c>
      <c r="Y91" s="27">
        <f t="shared" si="7"/>
        <v>0</v>
      </c>
      <c r="Z91" s="28"/>
      <c r="AA91" s="29"/>
      <c r="AB91" s="30" t="b">
        <f>TRUE()</f>
        <v>1</v>
      </c>
      <c r="AC91" s="31">
        <f t="shared" si="8"/>
        <v>0</v>
      </c>
      <c r="AD91" s="42"/>
      <c r="AE91" s="42"/>
    </row>
    <row r="92" spans="1:31" ht="15" customHeight="1">
      <c r="A92" s="20">
        <f t="shared" si="6"/>
        <v>0</v>
      </c>
      <c r="B92" s="23"/>
      <c r="C92" s="23"/>
      <c r="D92" s="23"/>
      <c r="E92" s="23"/>
      <c r="F92" s="23"/>
      <c r="G92" s="23"/>
      <c r="H92" s="23"/>
      <c r="I92" s="23"/>
      <c r="J92" s="23"/>
      <c r="K92" s="23"/>
      <c r="L92" s="33"/>
      <c r="M92" s="26"/>
      <c r="N92" s="26"/>
      <c r="O92" s="26"/>
      <c r="P92" s="26"/>
      <c r="Q92" s="26"/>
      <c r="R92" s="26"/>
      <c r="S92" s="26"/>
      <c r="T92" s="26"/>
      <c r="U92" s="26"/>
      <c r="V92" s="26"/>
      <c r="W92" s="26"/>
      <c r="X92" s="26">
        <f>COUNTIF($L$2:L92,"&lt;&gt;"&amp;"")</f>
        <v>5</v>
      </c>
      <c r="Y92" s="27">
        <f t="shared" si="7"/>
        <v>0</v>
      </c>
      <c r="Z92" s="28"/>
      <c r="AA92" s="29"/>
      <c r="AB92" s="30" t="b">
        <f>TRUE()</f>
        <v>1</v>
      </c>
      <c r="AC92" s="31">
        <f t="shared" si="8"/>
        <v>0</v>
      </c>
      <c r="AD92" s="42"/>
      <c r="AE92" s="42"/>
    </row>
    <row r="93" spans="1:31" ht="15" customHeight="1">
      <c r="A93" s="20">
        <f t="shared" si="6"/>
        <v>0</v>
      </c>
      <c r="B93" s="23"/>
      <c r="C93" s="23"/>
      <c r="D93" s="23"/>
      <c r="E93" s="23"/>
      <c r="F93" s="23"/>
      <c r="G93" s="23"/>
      <c r="H93" s="23"/>
      <c r="I93" s="23"/>
      <c r="J93" s="23"/>
      <c r="K93" s="23"/>
      <c r="L93" s="33"/>
      <c r="M93" s="26"/>
      <c r="N93" s="26"/>
      <c r="O93" s="26"/>
      <c r="P93" s="26"/>
      <c r="Q93" s="26"/>
      <c r="R93" s="26"/>
      <c r="S93" s="26"/>
      <c r="T93" s="26"/>
      <c r="U93" s="26"/>
      <c r="V93" s="26"/>
      <c r="W93" s="26"/>
      <c r="X93" s="26">
        <f>COUNTIF($L$2:L95,"&lt;&gt;"&amp;"")</f>
        <v>5</v>
      </c>
      <c r="Y93" s="27">
        <f t="shared" si="7"/>
        <v>0</v>
      </c>
      <c r="Z93" s="28"/>
      <c r="AA93" s="29"/>
      <c r="AB93" s="30" t="b">
        <f>TRUE()</f>
        <v>1</v>
      </c>
      <c r="AC93" s="31">
        <f t="shared" si="8"/>
        <v>0</v>
      </c>
      <c r="AD93" s="42"/>
      <c r="AE93" s="42"/>
    </row>
    <row r="94" spans="1:31" ht="15" customHeight="1">
      <c r="A94" s="20">
        <f t="shared" si="6"/>
        <v>0</v>
      </c>
      <c r="B94" s="23"/>
      <c r="C94" s="23"/>
      <c r="D94" s="23"/>
      <c r="E94" s="23"/>
      <c r="F94" s="23"/>
      <c r="G94" s="23"/>
      <c r="H94" s="23"/>
      <c r="I94" s="23"/>
      <c r="J94" s="23"/>
      <c r="K94" s="23"/>
      <c r="L94" s="33"/>
      <c r="M94" s="26"/>
      <c r="N94" s="26"/>
      <c r="O94" s="26"/>
      <c r="P94" s="26"/>
      <c r="Q94" s="26"/>
      <c r="R94" s="26"/>
      <c r="S94" s="26"/>
      <c r="T94" s="26"/>
      <c r="U94" s="26"/>
      <c r="V94" s="26"/>
      <c r="W94" s="26"/>
      <c r="X94" s="26">
        <f>COUNTIF($L$2:L94,"&lt;&gt;"&amp;"")</f>
        <v>5</v>
      </c>
      <c r="Y94" s="27">
        <f t="shared" si="7"/>
        <v>0</v>
      </c>
      <c r="Z94" s="28"/>
      <c r="AA94" s="29"/>
      <c r="AB94" s="30" t="b">
        <f>TRUE()</f>
        <v>1</v>
      </c>
      <c r="AC94" s="31">
        <f t="shared" si="8"/>
        <v>0</v>
      </c>
      <c r="AD94" s="42"/>
      <c r="AE94" s="42"/>
    </row>
    <row r="95" spans="1:31" ht="15" customHeight="1">
      <c r="A95" s="20">
        <f t="shared" si="6"/>
        <v>0</v>
      </c>
      <c r="B95" s="23"/>
      <c r="C95" s="23"/>
      <c r="D95" s="23"/>
      <c r="E95" s="23"/>
      <c r="F95" s="23"/>
      <c r="G95" s="23"/>
      <c r="H95" s="23"/>
      <c r="I95" s="23"/>
      <c r="J95" s="23"/>
      <c r="K95" s="23"/>
      <c r="L95" s="33"/>
      <c r="M95" s="26"/>
      <c r="N95" s="26"/>
      <c r="O95" s="26"/>
      <c r="P95" s="26"/>
      <c r="Q95" s="26"/>
      <c r="R95" s="26"/>
      <c r="S95" s="26"/>
      <c r="T95" s="26"/>
      <c r="U95" s="26"/>
      <c r="V95" s="26"/>
      <c r="W95" s="26"/>
      <c r="X95" s="26">
        <f>COUNTIF($L$2:L95,"&lt;&gt;"&amp;"")</f>
        <v>5</v>
      </c>
      <c r="Y95" s="27">
        <f t="shared" si="7"/>
        <v>0</v>
      </c>
      <c r="Z95" s="28"/>
      <c r="AA95" s="29"/>
      <c r="AB95" s="30" t="b">
        <f>TRUE()</f>
        <v>1</v>
      </c>
      <c r="AC95" s="31">
        <f t="shared" si="8"/>
        <v>0</v>
      </c>
      <c r="AD95" s="42"/>
      <c r="AE95" s="42"/>
    </row>
    <row r="96" spans="1:31" ht="15" customHeight="1">
      <c r="A96" s="20">
        <f t="shared" si="6"/>
        <v>0</v>
      </c>
      <c r="B96" s="23"/>
      <c r="C96" s="23"/>
      <c r="D96" s="23"/>
      <c r="E96" s="23"/>
      <c r="F96" s="23"/>
      <c r="G96" s="23"/>
      <c r="H96" s="23"/>
      <c r="I96" s="23"/>
      <c r="J96" s="23"/>
      <c r="K96" s="23"/>
      <c r="L96" s="33"/>
      <c r="M96" s="26"/>
      <c r="N96" s="26"/>
      <c r="O96" s="26"/>
      <c r="P96" s="26"/>
      <c r="Q96" s="26"/>
      <c r="R96" s="26"/>
      <c r="S96" s="26"/>
      <c r="T96" s="26"/>
      <c r="U96" s="26"/>
      <c r="V96" s="26"/>
      <c r="W96" s="26"/>
      <c r="X96" s="26">
        <f>COUNTIF($L$2:L96,"&lt;&gt;"&amp;"")</f>
        <v>5</v>
      </c>
      <c r="Y96" s="27">
        <f t="shared" si="7"/>
        <v>0</v>
      </c>
      <c r="Z96" s="28"/>
      <c r="AA96" s="29"/>
      <c r="AB96" s="30" t="b">
        <f>TRUE()</f>
        <v>1</v>
      </c>
      <c r="AC96" s="31">
        <f t="shared" si="8"/>
        <v>0</v>
      </c>
      <c r="AD96" s="42"/>
      <c r="AE96" s="42"/>
    </row>
    <row r="97" spans="1:31" ht="15" customHeight="1">
      <c r="A97" s="20">
        <f t="shared" si="6"/>
        <v>0</v>
      </c>
      <c r="B97" s="23"/>
      <c r="C97" s="23"/>
      <c r="D97" s="23"/>
      <c r="E97" s="23"/>
      <c r="F97" s="23"/>
      <c r="G97" s="23"/>
      <c r="H97" s="23"/>
      <c r="I97" s="23"/>
      <c r="J97" s="23"/>
      <c r="K97" s="23"/>
      <c r="L97" s="33"/>
      <c r="M97" s="26"/>
      <c r="N97" s="26"/>
      <c r="O97" s="26"/>
      <c r="P97" s="26"/>
      <c r="Q97" s="26"/>
      <c r="R97" s="26"/>
      <c r="S97" s="26"/>
      <c r="T97" s="26"/>
      <c r="U97" s="26"/>
      <c r="V97" s="26"/>
      <c r="W97" s="26"/>
      <c r="X97" s="26">
        <f>COUNTIF($L$2:L97,"&lt;&gt;"&amp;"")</f>
        <v>5</v>
      </c>
      <c r="Y97" s="27">
        <f t="shared" si="7"/>
        <v>0</v>
      </c>
      <c r="Z97" s="28"/>
      <c r="AA97" s="29"/>
      <c r="AB97" s="30" t="b">
        <f>TRUE()</f>
        <v>1</v>
      </c>
      <c r="AC97" s="31">
        <f t="shared" si="8"/>
        <v>0</v>
      </c>
      <c r="AD97" s="42"/>
      <c r="AE97" s="42"/>
    </row>
    <row r="98" spans="1:31" ht="15" customHeight="1">
      <c r="A98" s="20">
        <f t="shared" ref="A98:A129" si="9">(B98*$P$125+C98*$P$126+D98*$P$127+E98*$P$128+F98*$P$129+G98*$P$130+H98*$P$131+I98*$P$132+J98*$P$133+K98*$P$134)*$T$123</f>
        <v>0</v>
      </c>
      <c r="B98" s="23"/>
      <c r="C98" s="23"/>
      <c r="D98" s="23"/>
      <c r="E98" s="23"/>
      <c r="F98" s="23"/>
      <c r="G98" s="23"/>
      <c r="H98" s="23"/>
      <c r="I98" s="23"/>
      <c r="J98" s="23"/>
      <c r="K98" s="23"/>
      <c r="L98" s="33"/>
      <c r="M98" s="26"/>
      <c r="N98" s="26"/>
      <c r="O98" s="26"/>
      <c r="P98" s="26"/>
      <c r="Q98" s="26"/>
      <c r="R98" s="26"/>
      <c r="S98" s="26"/>
      <c r="T98" s="26"/>
      <c r="U98" s="26"/>
      <c r="V98" s="26"/>
      <c r="W98" s="26"/>
      <c r="X98" s="26">
        <f>COUNTIF($L$2:L98,"&lt;&gt;"&amp;"")</f>
        <v>5</v>
      </c>
      <c r="Y98" s="27">
        <f t="shared" ref="Y98:Y129" si="10">SUMIF($X$2:$X$120,X98,$A$2:$A$120)</f>
        <v>0</v>
      </c>
      <c r="Z98" s="28"/>
      <c r="AA98" s="29"/>
      <c r="AB98" s="30" t="b">
        <f>TRUE()</f>
        <v>1</v>
      </c>
      <c r="AC98" s="31">
        <f t="shared" ref="AC98:AC129" si="11">IF(L98="",0,IF(AB98=FALSE(),0,Y98))</f>
        <v>0</v>
      </c>
      <c r="AD98" s="42"/>
      <c r="AE98" s="42"/>
    </row>
    <row r="99" spans="1:31" ht="15" customHeight="1">
      <c r="A99" s="20">
        <f t="shared" si="9"/>
        <v>0</v>
      </c>
      <c r="B99" s="23"/>
      <c r="C99" s="23"/>
      <c r="D99" s="23"/>
      <c r="E99" s="23"/>
      <c r="F99" s="23"/>
      <c r="G99" s="23"/>
      <c r="H99" s="23"/>
      <c r="I99" s="23"/>
      <c r="J99" s="23"/>
      <c r="K99" s="23"/>
      <c r="L99" s="33"/>
      <c r="M99" s="26"/>
      <c r="N99" s="26"/>
      <c r="O99" s="26"/>
      <c r="P99" s="26"/>
      <c r="Q99" s="26"/>
      <c r="R99" s="26"/>
      <c r="S99" s="26"/>
      <c r="T99" s="26"/>
      <c r="U99" s="26"/>
      <c r="V99" s="26"/>
      <c r="W99" s="26"/>
      <c r="X99" s="26">
        <f>COUNTIF($L$2:L99,"&lt;&gt;"&amp;"")</f>
        <v>5</v>
      </c>
      <c r="Y99" s="27">
        <f t="shared" si="10"/>
        <v>0</v>
      </c>
      <c r="Z99" s="28"/>
      <c r="AA99" s="29"/>
      <c r="AB99" s="30" t="b">
        <f>TRUE()</f>
        <v>1</v>
      </c>
      <c r="AC99" s="31">
        <f t="shared" si="11"/>
        <v>0</v>
      </c>
      <c r="AD99" s="42"/>
      <c r="AE99" s="42"/>
    </row>
    <row r="100" spans="1:31" ht="15" customHeight="1">
      <c r="A100" s="20">
        <f t="shared" si="9"/>
        <v>0</v>
      </c>
      <c r="B100" s="23"/>
      <c r="C100" s="23"/>
      <c r="D100" s="23"/>
      <c r="E100" s="23"/>
      <c r="F100" s="23"/>
      <c r="G100" s="23"/>
      <c r="H100" s="23"/>
      <c r="I100" s="23"/>
      <c r="J100" s="23"/>
      <c r="K100" s="23"/>
      <c r="L100" s="33"/>
      <c r="M100" s="26"/>
      <c r="N100" s="26"/>
      <c r="O100" s="26"/>
      <c r="P100" s="26"/>
      <c r="Q100" s="26"/>
      <c r="R100" s="26"/>
      <c r="S100" s="26"/>
      <c r="T100" s="26"/>
      <c r="U100" s="26"/>
      <c r="V100" s="26"/>
      <c r="W100" s="26"/>
      <c r="X100" s="26">
        <f>COUNTIF($L$2:L100,"&lt;&gt;"&amp;"")</f>
        <v>5</v>
      </c>
      <c r="Y100" s="27">
        <f t="shared" si="10"/>
        <v>0</v>
      </c>
      <c r="Z100" s="28"/>
      <c r="AA100" s="29"/>
      <c r="AB100" s="30" t="b">
        <f>TRUE()</f>
        <v>1</v>
      </c>
      <c r="AC100" s="31">
        <f t="shared" si="11"/>
        <v>0</v>
      </c>
      <c r="AD100" s="42"/>
      <c r="AE100" s="42"/>
    </row>
    <row r="101" spans="1:31" ht="15" customHeight="1">
      <c r="A101" s="20">
        <f t="shared" si="9"/>
        <v>0</v>
      </c>
      <c r="B101" s="23"/>
      <c r="C101" s="23"/>
      <c r="D101" s="23"/>
      <c r="E101" s="23"/>
      <c r="F101" s="23"/>
      <c r="G101" s="23"/>
      <c r="H101" s="23"/>
      <c r="I101" s="23"/>
      <c r="J101" s="23"/>
      <c r="K101" s="23"/>
      <c r="L101" s="33"/>
      <c r="M101" s="26"/>
      <c r="N101" s="26"/>
      <c r="O101" s="26"/>
      <c r="P101" s="26"/>
      <c r="Q101" s="26"/>
      <c r="R101" s="26"/>
      <c r="S101" s="26"/>
      <c r="T101" s="26"/>
      <c r="U101" s="26"/>
      <c r="V101" s="26"/>
      <c r="W101" s="26"/>
      <c r="X101" s="26">
        <f>COUNTIF($L$2:L101,"&lt;&gt;"&amp;"")</f>
        <v>5</v>
      </c>
      <c r="Y101" s="27">
        <f t="shared" si="10"/>
        <v>0</v>
      </c>
      <c r="Z101" s="28"/>
      <c r="AA101" s="29"/>
      <c r="AB101" s="30" t="b">
        <f>TRUE()</f>
        <v>1</v>
      </c>
      <c r="AC101" s="31">
        <f t="shared" si="11"/>
        <v>0</v>
      </c>
      <c r="AD101" s="23"/>
      <c r="AE101" s="23"/>
    </row>
    <row r="102" spans="1:31" ht="15" customHeight="1">
      <c r="A102" s="20">
        <f t="shared" si="9"/>
        <v>0</v>
      </c>
      <c r="B102" s="23"/>
      <c r="C102" s="23"/>
      <c r="D102" s="23"/>
      <c r="E102" s="23"/>
      <c r="F102" s="23"/>
      <c r="G102" s="23"/>
      <c r="H102" s="23"/>
      <c r="I102" s="23"/>
      <c r="J102" s="23"/>
      <c r="K102" s="23"/>
      <c r="L102" s="33"/>
      <c r="M102" s="26"/>
      <c r="N102" s="26"/>
      <c r="O102" s="26"/>
      <c r="P102" s="26"/>
      <c r="Q102" s="26"/>
      <c r="R102" s="26"/>
      <c r="S102" s="26"/>
      <c r="T102" s="26"/>
      <c r="U102" s="26"/>
      <c r="V102" s="26"/>
      <c r="W102" s="26"/>
      <c r="X102" s="26">
        <f>COUNTIF($L$2:L106,"&lt;&gt;"&amp;"")</f>
        <v>5</v>
      </c>
      <c r="Y102" s="27">
        <f t="shared" si="10"/>
        <v>0</v>
      </c>
      <c r="Z102" s="28"/>
      <c r="AA102" s="29"/>
      <c r="AB102" s="30" t="b">
        <f>TRUE()</f>
        <v>1</v>
      </c>
      <c r="AC102" s="31">
        <f t="shared" si="11"/>
        <v>0</v>
      </c>
      <c r="AD102" s="23"/>
      <c r="AE102" s="23"/>
    </row>
    <row r="103" spans="1:31" ht="15" customHeight="1">
      <c r="A103" s="20">
        <f t="shared" si="9"/>
        <v>0</v>
      </c>
      <c r="B103" s="23"/>
      <c r="C103" s="23"/>
      <c r="D103" s="23"/>
      <c r="E103" s="23"/>
      <c r="F103" s="23"/>
      <c r="G103" s="23"/>
      <c r="H103" s="23"/>
      <c r="I103" s="23"/>
      <c r="J103" s="23"/>
      <c r="K103" s="23"/>
      <c r="L103" s="33"/>
      <c r="M103" s="26"/>
      <c r="N103" s="26"/>
      <c r="O103" s="26"/>
      <c r="P103" s="26"/>
      <c r="Q103" s="26"/>
      <c r="R103" s="26"/>
      <c r="S103" s="26"/>
      <c r="T103" s="26"/>
      <c r="U103" s="26"/>
      <c r="V103" s="26"/>
      <c r="W103" s="26"/>
      <c r="X103" s="26">
        <f>COUNTIF($L$2:L103,"&lt;&gt;"&amp;"")</f>
        <v>5</v>
      </c>
      <c r="Y103" s="27">
        <f t="shared" si="10"/>
        <v>0</v>
      </c>
      <c r="Z103" s="28"/>
      <c r="AA103" s="29"/>
      <c r="AB103" s="30" t="b">
        <f>TRUE()</f>
        <v>1</v>
      </c>
      <c r="AC103" s="31">
        <f t="shared" si="11"/>
        <v>0</v>
      </c>
      <c r="AD103" s="42"/>
      <c r="AE103" s="42"/>
    </row>
    <row r="104" spans="1:31" ht="15" customHeight="1">
      <c r="A104" s="20">
        <f t="shared" si="9"/>
        <v>0</v>
      </c>
      <c r="B104" s="23"/>
      <c r="C104" s="23"/>
      <c r="D104" s="23"/>
      <c r="E104" s="23"/>
      <c r="F104" s="23"/>
      <c r="G104" s="23"/>
      <c r="H104" s="23"/>
      <c r="I104" s="23"/>
      <c r="J104" s="23"/>
      <c r="K104" s="23"/>
      <c r="L104" s="33"/>
      <c r="M104" s="26"/>
      <c r="N104" s="26"/>
      <c r="O104" s="26"/>
      <c r="P104" s="26"/>
      <c r="Q104" s="26"/>
      <c r="R104" s="26"/>
      <c r="S104" s="26"/>
      <c r="T104" s="26"/>
      <c r="U104" s="26"/>
      <c r="V104" s="26"/>
      <c r="W104" s="26"/>
      <c r="X104" s="26">
        <f>COUNTIF($L$2:L104,"&lt;&gt;"&amp;"")</f>
        <v>5</v>
      </c>
      <c r="Y104" s="27">
        <f t="shared" si="10"/>
        <v>0</v>
      </c>
      <c r="Z104" s="28"/>
      <c r="AA104" s="29"/>
      <c r="AB104" s="30" t="b">
        <f>TRUE()</f>
        <v>1</v>
      </c>
      <c r="AC104" s="31">
        <f t="shared" si="11"/>
        <v>0</v>
      </c>
      <c r="AD104" s="42"/>
      <c r="AE104" s="42"/>
    </row>
    <row r="105" spans="1:31" ht="15" customHeight="1">
      <c r="A105" s="20">
        <f t="shared" si="9"/>
        <v>0</v>
      </c>
      <c r="B105" s="23"/>
      <c r="C105" s="23"/>
      <c r="D105" s="23"/>
      <c r="E105" s="23"/>
      <c r="F105" s="23"/>
      <c r="G105" s="23"/>
      <c r="H105" s="23"/>
      <c r="I105" s="23"/>
      <c r="J105" s="23"/>
      <c r="K105" s="23"/>
      <c r="L105" s="33"/>
      <c r="M105" s="26"/>
      <c r="N105" s="26"/>
      <c r="O105" s="26"/>
      <c r="P105" s="26"/>
      <c r="Q105" s="26"/>
      <c r="R105" s="26"/>
      <c r="S105" s="26"/>
      <c r="T105" s="26"/>
      <c r="U105" s="26"/>
      <c r="V105" s="26"/>
      <c r="W105" s="26"/>
      <c r="X105" s="26">
        <f>COUNTIF($L$2:L105,"&lt;&gt;"&amp;"")</f>
        <v>5</v>
      </c>
      <c r="Y105" s="27">
        <f t="shared" si="10"/>
        <v>0</v>
      </c>
      <c r="Z105" s="28"/>
      <c r="AA105" s="29"/>
      <c r="AB105" s="30" t="b">
        <f>TRUE()</f>
        <v>1</v>
      </c>
      <c r="AC105" s="31">
        <f t="shared" si="11"/>
        <v>0</v>
      </c>
      <c r="AD105" s="42"/>
      <c r="AE105" s="42"/>
    </row>
    <row r="106" spans="1:31" ht="15" customHeight="1">
      <c r="A106" s="20">
        <f t="shared" si="9"/>
        <v>0</v>
      </c>
      <c r="B106" s="23"/>
      <c r="C106" s="23"/>
      <c r="D106" s="23"/>
      <c r="E106" s="23"/>
      <c r="F106" s="23"/>
      <c r="G106" s="23"/>
      <c r="H106" s="23"/>
      <c r="I106" s="23"/>
      <c r="J106" s="23"/>
      <c r="K106" s="23"/>
      <c r="L106" s="33"/>
      <c r="M106" s="26"/>
      <c r="N106" s="26"/>
      <c r="O106" s="26"/>
      <c r="P106" s="26"/>
      <c r="Q106" s="26"/>
      <c r="R106" s="26"/>
      <c r="S106" s="26"/>
      <c r="T106" s="26"/>
      <c r="U106" s="26"/>
      <c r="V106" s="26"/>
      <c r="W106" s="26"/>
      <c r="X106" s="26">
        <f>COUNTIF($L$2:L106,"&lt;&gt;"&amp;"")</f>
        <v>5</v>
      </c>
      <c r="Y106" s="27">
        <f t="shared" si="10"/>
        <v>0</v>
      </c>
      <c r="Z106" s="28"/>
      <c r="AA106" s="29"/>
      <c r="AB106" s="30" t="b">
        <f>TRUE()</f>
        <v>1</v>
      </c>
      <c r="AC106" s="31">
        <f t="shared" si="11"/>
        <v>0</v>
      </c>
      <c r="AD106" s="42"/>
      <c r="AE106" s="42"/>
    </row>
    <row r="107" spans="1:31" ht="15" customHeight="1">
      <c r="A107" s="20">
        <f t="shared" si="9"/>
        <v>0</v>
      </c>
      <c r="B107" s="23"/>
      <c r="C107" s="23"/>
      <c r="D107" s="23"/>
      <c r="E107" s="23"/>
      <c r="F107" s="23"/>
      <c r="G107" s="23"/>
      <c r="H107" s="23"/>
      <c r="I107" s="23"/>
      <c r="J107" s="23"/>
      <c r="K107" s="23"/>
      <c r="L107" s="33"/>
      <c r="M107" s="26"/>
      <c r="N107" s="26"/>
      <c r="O107" s="26"/>
      <c r="P107" s="26"/>
      <c r="Q107" s="26"/>
      <c r="R107" s="26"/>
      <c r="S107" s="26"/>
      <c r="T107" s="26"/>
      <c r="U107" s="26"/>
      <c r="V107" s="26"/>
      <c r="W107" s="26"/>
      <c r="X107" s="26">
        <f>COUNTIF($L$2:L107,"&lt;&gt;"&amp;"")</f>
        <v>5</v>
      </c>
      <c r="Y107" s="27">
        <f t="shared" si="10"/>
        <v>0</v>
      </c>
      <c r="Z107" s="28"/>
      <c r="AA107" s="29"/>
      <c r="AB107" s="30" t="b">
        <f>TRUE()</f>
        <v>1</v>
      </c>
      <c r="AC107" s="31">
        <f t="shared" si="11"/>
        <v>0</v>
      </c>
      <c r="AD107" s="23"/>
      <c r="AE107" s="23"/>
    </row>
    <row r="108" spans="1:31" ht="15" customHeight="1">
      <c r="A108" s="20">
        <f t="shared" si="9"/>
        <v>0</v>
      </c>
      <c r="B108" s="23"/>
      <c r="C108" s="23"/>
      <c r="D108" s="23"/>
      <c r="E108" s="23"/>
      <c r="F108" s="23"/>
      <c r="G108" s="23"/>
      <c r="H108" s="23"/>
      <c r="I108" s="23"/>
      <c r="J108" s="23"/>
      <c r="K108" s="23"/>
      <c r="L108" s="33"/>
      <c r="M108" s="26"/>
      <c r="N108" s="26"/>
      <c r="O108" s="26"/>
      <c r="P108" s="26"/>
      <c r="Q108" s="26"/>
      <c r="R108" s="26"/>
      <c r="S108" s="26"/>
      <c r="T108" s="26"/>
      <c r="U108" s="26"/>
      <c r="V108" s="26"/>
      <c r="W108" s="26"/>
      <c r="X108" s="26">
        <f>COUNTIF($L$2:L108,"&lt;&gt;"&amp;"")</f>
        <v>5</v>
      </c>
      <c r="Y108" s="27">
        <f t="shared" si="10"/>
        <v>0</v>
      </c>
      <c r="Z108" s="28"/>
      <c r="AA108" s="29"/>
      <c r="AB108" s="30" t="b">
        <f>TRUE()</f>
        <v>1</v>
      </c>
      <c r="AC108" s="31">
        <f t="shared" si="11"/>
        <v>0</v>
      </c>
      <c r="AD108" s="23"/>
      <c r="AE108" s="23"/>
    </row>
    <row r="109" spans="1:31" ht="15" customHeight="1">
      <c r="A109" s="20">
        <f t="shared" si="9"/>
        <v>0</v>
      </c>
      <c r="B109" s="23"/>
      <c r="C109" s="23"/>
      <c r="D109" s="23"/>
      <c r="E109" s="23"/>
      <c r="F109" s="23"/>
      <c r="G109" s="23"/>
      <c r="H109" s="23"/>
      <c r="I109" s="23"/>
      <c r="J109" s="23"/>
      <c r="K109" s="23"/>
      <c r="L109" s="33"/>
      <c r="M109" s="26"/>
      <c r="N109" s="26"/>
      <c r="O109" s="26"/>
      <c r="P109" s="26"/>
      <c r="Q109" s="26"/>
      <c r="R109" s="26"/>
      <c r="S109" s="26"/>
      <c r="T109" s="26"/>
      <c r="U109" s="26"/>
      <c r="V109" s="26"/>
      <c r="W109" s="26"/>
      <c r="X109" s="26">
        <f>COUNTIF($L$2:L109,"&lt;&gt;"&amp;"")</f>
        <v>5</v>
      </c>
      <c r="Y109" s="27">
        <f t="shared" si="10"/>
        <v>0</v>
      </c>
      <c r="Z109" s="28"/>
      <c r="AA109" s="29"/>
      <c r="AB109" s="30" t="b">
        <f>TRUE()</f>
        <v>1</v>
      </c>
      <c r="AC109" s="31">
        <f t="shared" si="11"/>
        <v>0</v>
      </c>
      <c r="AD109" s="23"/>
      <c r="AE109" s="23"/>
    </row>
    <row r="110" spans="1:31" ht="15" customHeight="1">
      <c r="A110" s="20">
        <f t="shared" si="9"/>
        <v>0</v>
      </c>
      <c r="B110" s="23"/>
      <c r="C110" s="23"/>
      <c r="D110" s="23"/>
      <c r="E110" s="23"/>
      <c r="F110" s="23"/>
      <c r="G110" s="23"/>
      <c r="H110" s="23"/>
      <c r="I110" s="23"/>
      <c r="J110" s="23"/>
      <c r="K110" s="23"/>
      <c r="L110" s="33"/>
      <c r="M110" s="26"/>
      <c r="N110" s="26"/>
      <c r="O110" s="26"/>
      <c r="P110" s="26"/>
      <c r="Q110" s="26"/>
      <c r="R110" s="26"/>
      <c r="S110" s="26"/>
      <c r="T110" s="26"/>
      <c r="U110" s="26"/>
      <c r="V110" s="26"/>
      <c r="W110" s="26"/>
      <c r="X110" s="26">
        <f>COUNTIF($L$2:L110,"&lt;&gt;"&amp;"")</f>
        <v>5</v>
      </c>
      <c r="Y110" s="27">
        <f t="shared" si="10"/>
        <v>0</v>
      </c>
      <c r="Z110" s="28"/>
      <c r="AA110" s="29"/>
      <c r="AB110" s="30" t="b">
        <f>TRUE()</f>
        <v>1</v>
      </c>
      <c r="AC110" s="31">
        <f t="shared" si="11"/>
        <v>0</v>
      </c>
      <c r="AD110" s="23"/>
      <c r="AE110" s="23"/>
    </row>
    <row r="111" spans="1:31" ht="15" customHeight="1">
      <c r="A111" s="20">
        <f t="shared" si="9"/>
        <v>0</v>
      </c>
      <c r="B111" s="23"/>
      <c r="C111" s="23"/>
      <c r="D111" s="23"/>
      <c r="E111" s="23"/>
      <c r="F111" s="23"/>
      <c r="G111" s="23"/>
      <c r="H111" s="23"/>
      <c r="I111" s="23"/>
      <c r="J111" s="23"/>
      <c r="K111" s="23"/>
      <c r="L111" s="33"/>
      <c r="M111" s="26"/>
      <c r="N111" s="26"/>
      <c r="O111" s="26"/>
      <c r="P111" s="26"/>
      <c r="Q111" s="26"/>
      <c r="R111" s="26"/>
      <c r="S111" s="26"/>
      <c r="T111" s="26"/>
      <c r="U111" s="26"/>
      <c r="V111" s="26"/>
      <c r="W111" s="26"/>
      <c r="X111" s="26">
        <f>COUNTIF($L$2:L111,"&lt;&gt;"&amp;"")</f>
        <v>5</v>
      </c>
      <c r="Y111" s="27">
        <f t="shared" si="10"/>
        <v>0</v>
      </c>
      <c r="Z111" s="28"/>
      <c r="AA111" s="29"/>
      <c r="AB111" s="30" t="b">
        <f>TRUE()</f>
        <v>1</v>
      </c>
      <c r="AC111" s="31">
        <f t="shared" si="11"/>
        <v>0</v>
      </c>
      <c r="AD111" s="23"/>
      <c r="AE111" s="23"/>
    </row>
    <row r="112" spans="1:31" ht="15" customHeight="1">
      <c r="A112" s="20">
        <f t="shared" si="9"/>
        <v>0</v>
      </c>
      <c r="B112" s="23"/>
      <c r="C112" s="23"/>
      <c r="D112" s="23"/>
      <c r="E112" s="23"/>
      <c r="F112" s="23"/>
      <c r="G112" s="23"/>
      <c r="H112" s="23"/>
      <c r="I112" s="23"/>
      <c r="J112" s="23"/>
      <c r="K112" s="23"/>
      <c r="L112" s="33"/>
      <c r="M112" s="26"/>
      <c r="N112" s="26"/>
      <c r="O112" s="26"/>
      <c r="P112" s="26"/>
      <c r="Q112" s="26"/>
      <c r="R112" s="26"/>
      <c r="S112" s="26"/>
      <c r="T112" s="26"/>
      <c r="U112" s="26"/>
      <c r="V112" s="26"/>
      <c r="W112" s="26"/>
      <c r="X112" s="26">
        <f>COUNTIF($L$2:L112,"&lt;&gt;"&amp;"")</f>
        <v>5</v>
      </c>
      <c r="Y112" s="27">
        <f t="shared" si="10"/>
        <v>0</v>
      </c>
      <c r="Z112" s="28"/>
      <c r="AA112" s="29"/>
      <c r="AB112" s="30" t="b">
        <f>TRUE()</f>
        <v>1</v>
      </c>
      <c r="AC112" s="31">
        <f t="shared" si="11"/>
        <v>0</v>
      </c>
      <c r="AD112" s="23"/>
      <c r="AE112" s="23"/>
    </row>
    <row r="113" spans="1:31" ht="15" customHeight="1">
      <c r="A113" s="20">
        <f t="shared" si="9"/>
        <v>0</v>
      </c>
      <c r="B113" s="23"/>
      <c r="C113" s="23"/>
      <c r="D113" s="23"/>
      <c r="E113" s="23"/>
      <c r="F113" s="23"/>
      <c r="G113" s="23"/>
      <c r="H113" s="23"/>
      <c r="I113" s="23"/>
      <c r="J113" s="23"/>
      <c r="K113" s="23"/>
      <c r="L113" s="33"/>
      <c r="M113" s="26"/>
      <c r="N113" s="26"/>
      <c r="O113" s="26"/>
      <c r="P113" s="26"/>
      <c r="Q113" s="26"/>
      <c r="R113" s="26"/>
      <c r="S113" s="26"/>
      <c r="T113" s="26"/>
      <c r="U113" s="26"/>
      <c r="V113" s="26"/>
      <c r="W113" s="26"/>
      <c r="X113" s="26">
        <f>COUNTIF($L$2:L113,"&lt;&gt;"&amp;"")</f>
        <v>5</v>
      </c>
      <c r="Y113" s="27">
        <f t="shared" si="10"/>
        <v>0</v>
      </c>
      <c r="Z113" s="28"/>
      <c r="AA113" s="29"/>
      <c r="AB113" s="30" t="b">
        <f>TRUE()</f>
        <v>1</v>
      </c>
      <c r="AC113" s="31">
        <f t="shared" si="11"/>
        <v>0</v>
      </c>
      <c r="AD113" s="23"/>
      <c r="AE113" s="23"/>
    </row>
    <row r="114" spans="1:31" ht="15" customHeight="1">
      <c r="A114" s="20">
        <f t="shared" si="9"/>
        <v>0</v>
      </c>
      <c r="B114" s="23"/>
      <c r="C114" s="23"/>
      <c r="D114" s="23"/>
      <c r="E114" s="23"/>
      <c r="F114" s="23"/>
      <c r="G114" s="23"/>
      <c r="H114" s="23"/>
      <c r="I114" s="23"/>
      <c r="J114" s="23"/>
      <c r="K114" s="23"/>
      <c r="L114" s="33"/>
      <c r="M114" s="26"/>
      <c r="N114" s="26"/>
      <c r="O114" s="26"/>
      <c r="P114" s="26"/>
      <c r="Q114" s="26"/>
      <c r="R114" s="26"/>
      <c r="S114" s="26"/>
      <c r="T114" s="26"/>
      <c r="U114" s="26"/>
      <c r="V114" s="26"/>
      <c r="W114" s="26"/>
      <c r="X114" s="26">
        <f>COUNTIF($L$2:L114,"&lt;&gt;"&amp;"")</f>
        <v>5</v>
      </c>
      <c r="Y114" s="27">
        <f t="shared" si="10"/>
        <v>0</v>
      </c>
      <c r="Z114" s="28"/>
      <c r="AA114" s="29"/>
      <c r="AB114" s="30" t="b">
        <f>TRUE()</f>
        <v>1</v>
      </c>
      <c r="AC114" s="31">
        <f t="shared" si="11"/>
        <v>0</v>
      </c>
      <c r="AD114" s="23"/>
      <c r="AE114" s="23"/>
    </row>
    <row r="115" spans="1:31" ht="15" customHeight="1">
      <c r="A115" s="20">
        <f t="shared" si="9"/>
        <v>0</v>
      </c>
      <c r="B115" s="23"/>
      <c r="C115" s="23"/>
      <c r="D115" s="23"/>
      <c r="E115" s="23"/>
      <c r="F115" s="23"/>
      <c r="G115" s="23"/>
      <c r="H115" s="23"/>
      <c r="I115" s="23"/>
      <c r="J115" s="23"/>
      <c r="K115" s="23"/>
      <c r="L115" s="33"/>
      <c r="M115" s="26"/>
      <c r="N115" s="26"/>
      <c r="O115" s="26"/>
      <c r="P115" s="26"/>
      <c r="Q115" s="26"/>
      <c r="R115" s="26"/>
      <c r="S115" s="26"/>
      <c r="T115" s="26"/>
      <c r="U115" s="26"/>
      <c r="V115" s="26"/>
      <c r="W115" s="26"/>
      <c r="X115" s="26">
        <f>COUNTIF($L$2:L115,"&lt;&gt;"&amp;"")</f>
        <v>5</v>
      </c>
      <c r="Y115" s="27">
        <f t="shared" si="10"/>
        <v>0</v>
      </c>
      <c r="Z115" s="28"/>
      <c r="AA115" s="29"/>
      <c r="AB115" s="30" t="b">
        <f>TRUE()</f>
        <v>1</v>
      </c>
      <c r="AC115" s="31">
        <f t="shared" si="11"/>
        <v>0</v>
      </c>
      <c r="AD115" s="23"/>
      <c r="AE115" s="23"/>
    </row>
    <row r="116" spans="1:31" ht="15" customHeight="1">
      <c r="A116" s="20">
        <f t="shared" si="9"/>
        <v>0</v>
      </c>
      <c r="B116" s="23"/>
      <c r="C116" s="23"/>
      <c r="D116" s="23"/>
      <c r="E116" s="23"/>
      <c r="F116" s="23"/>
      <c r="G116" s="23"/>
      <c r="H116" s="23"/>
      <c r="I116" s="23"/>
      <c r="J116" s="23"/>
      <c r="K116" s="23"/>
      <c r="L116" s="33"/>
      <c r="M116" s="26"/>
      <c r="N116" s="26"/>
      <c r="O116" s="26"/>
      <c r="P116" s="26"/>
      <c r="Q116" s="26"/>
      <c r="R116" s="26"/>
      <c r="S116" s="26"/>
      <c r="T116" s="26"/>
      <c r="U116" s="26"/>
      <c r="V116" s="26"/>
      <c r="W116" s="26"/>
      <c r="X116" s="26">
        <f>COUNTIF($L$2:L116,"&lt;&gt;"&amp;"")</f>
        <v>5</v>
      </c>
      <c r="Y116" s="27">
        <f t="shared" si="10"/>
        <v>0</v>
      </c>
      <c r="Z116" s="28"/>
      <c r="AA116" s="29"/>
      <c r="AB116" s="30" t="b">
        <f>TRUE()</f>
        <v>1</v>
      </c>
      <c r="AC116" s="31">
        <f t="shared" si="11"/>
        <v>0</v>
      </c>
      <c r="AD116" s="23"/>
      <c r="AE116" s="23"/>
    </row>
    <row r="117" spans="1:31" ht="15" customHeight="1">
      <c r="A117" s="20">
        <f t="shared" si="9"/>
        <v>0</v>
      </c>
      <c r="B117" s="23"/>
      <c r="C117" s="23"/>
      <c r="D117" s="23"/>
      <c r="E117" s="23"/>
      <c r="F117" s="23"/>
      <c r="G117" s="23"/>
      <c r="H117" s="23"/>
      <c r="I117" s="23"/>
      <c r="J117" s="23"/>
      <c r="K117" s="23"/>
      <c r="L117" s="33"/>
      <c r="M117" s="26"/>
      <c r="N117" s="26"/>
      <c r="O117" s="26"/>
      <c r="P117" s="26"/>
      <c r="Q117" s="26"/>
      <c r="R117" s="26"/>
      <c r="S117" s="26"/>
      <c r="T117" s="26"/>
      <c r="U117" s="26"/>
      <c r="V117" s="26"/>
      <c r="W117" s="26"/>
      <c r="X117" s="26">
        <f>COUNTIF($L$2:L117,"&lt;&gt;"&amp;"")</f>
        <v>5</v>
      </c>
      <c r="Y117" s="27">
        <f t="shared" si="10"/>
        <v>0</v>
      </c>
      <c r="Z117" s="28"/>
      <c r="AA117" s="29"/>
      <c r="AB117" s="30" t="b">
        <f>TRUE()</f>
        <v>1</v>
      </c>
      <c r="AC117" s="31">
        <f t="shared" si="11"/>
        <v>0</v>
      </c>
      <c r="AD117" s="23"/>
      <c r="AE117" s="23"/>
    </row>
    <row r="118" spans="1:31" ht="15" customHeight="1">
      <c r="A118" s="20">
        <f t="shared" si="9"/>
        <v>0</v>
      </c>
      <c r="B118" s="23"/>
      <c r="C118" s="23"/>
      <c r="D118" s="23"/>
      <c r="E118" s="23"/>
      <c r="F118" s="23"/>
      <c r="G118" s="23"/>
      <c r="H118" s="23"/>
      <c r="I118" s="23"/>
      <c r="J118" s="23"/>
      <c r="K118" s="23"/>
      <c r="L118" s="33"/>
      <c r="M118" s="26"/>
      <c r="N118" s="26"/>
      <c r="O118" s="26"/>
      <c r="P118" s="26"/>
      <c r="Q118" s="26"/>
      <c r="R118" s="26"/>
      <c r="S118" s="26"/>
      <c r="T118" s="26"/>
      <c r="U118" s="26"/>
      <c r="V118" s="26"/>
      <c r="W118" s="26"/>
      <c r="X118" s="26">
        <f>COUNTIF($L$2:L118,"&lt;&gt;"&amp;"")</f>
        <v>5</v>
      </c>
      <c r="Y118" s="27">
        <f t="shared" si="10"/>
        <v>0</v>
      </c>
      <c r="Z118" s="28"/>
      <c r="AA118" s="29"/>
      <c r="AB118" s="30" t="b">
        <f>TRUE()</f>
        <v>1</v>
      </c>
      <c r="AC118" s="31">
        <f t="shared" si="11"/>
        <v>0</v>
      </c>
      <c r="AD118" s="23"/>
      <c r="AE118" s="23"/>
    </row>
    <row r="119" spans="1:31" ht="15" customHeight="1">
      <c r="A119" s="20">
        <f t="shared" si="9"/>
        <v>0</v>
      </c>
      <c r="B119" s="23"/>
      <c r="C119" s="23"/>
      <c r="D119" s="23"/>
      <c r="E119" s="23"/>
      <c r="F119" s="23"/>
      <c r="G119" s="23"/>
      <c r="H119" s="23"/>
      <c r="I119" s="23"/>
      <c r="J119" s="23"/>
      <c r="K119" s="23"/>
      <c r="L119" s="33"/>
      <c r="M119" s="26"/>
      <c r="N119" s="26"/>
      <c r="O119" s="26"/>
      <c r="P119" s="26"/>
      <c r="Q119" s="26"/>
      <c r="R119" s="26"/>
      <c r="S119" s="26"/>
      <c r="T119" s="26"/>
      <c r="U119" s="26"/>
      <c r="V119" s="26"/>
      <c r="W119" s="26"/>
      <c r="X119" s="26">
        <f>COUNTIF($L$2:L119,"&lt;&gt;"&amp;"")</f>
        <v>5</v>
      </c>
      <c r="Y119" s="27">
        <f t="shared" si="10"/>
        <v>0</v>
      </c>
      <c r="Z119" s="28"/>
      <c r="AA119" s="29"/>
      <c r="AB119" s="30" t="b">
        <f>TRUE()</f>
        <v>1</v>
      </c>
      <c r="AC119" s="31">
        <f t="shared" si="11"/>
        <v>0</v>
      </c>
      <c r="AD119" s="23"/>
      <c r="AE119" s="23"/>
    </row>
    <row r="120" spans="1:31" ht="12.75" customHeight="1">
      <c r="A120" s="43"/>
      <c r="B120" s="43"/>
      <c r="C120" s="43"/>
      <c r="D120" s="43"/>
      <c r="E120" s="43"/>
      <c r="F120" s="43"/>
      <c r="G120" s="43"/>
      <c r="H120" s="43"/>
      <c r="I120" s="43"/>
      <c r="J120" s="43"/>
      <c r="K120" s="43"/>
      <c r="L120" s="44"/>
      <c r="M120" s="44"/>
      <c r="N120" s="45"/>
      <c r="O120" s="45" t="s">
        <v>43</v>
      </c>
      <c r="P120" s="44"/>
      <c r="Q120" s="44"/>
      <c r="R120" s="44"/>
      <c r="S120" s="44"/>
      <c r="T120" s="44"/>
      <c r="U120" s="44"/>
      <c r="V120" s="44"/>
      <c r="W120" s="44"/>
      <c r="X120" s="44"/>
      <c r="Y120" s="44"/>
      <c r="Z120" s="44"/>
      <c r="AA120" s="44"/>
      <c r="AB120" s="44"/>
      <c r="AC120" s="44"/>
      <c r="AD120" s="23"/>
      <c r="AE120" s="23"/>
    </row>
    <row r="121" spans="1:31" ht="15" customHeight="1">
      <c r="A121" s="46">
        <f>ROW()</f>
        <v>121</v>
      </c>
      <c r="B121" s="23">
        <f t="shared" ref="B121:K121" si="12">SUM(B2:B120)</f>
        <v>0</v>
      </c>
      <c r="C121" s="23">
        <f t="shared" si="12"/>
        <v>0</v>
      </c>
      <c r="D121" s="23">
        <f t="shared" si="12"/>
        <v>0</v>
      </c>
      <c r="E121" s="23">
        <f t="shared" si="12"/>
        <v>0</v>
      </c>
      <c r="F121" s="23">
        <f t="shared" si="12"/>
        <v>0</v>
      </c>
      <c r="G121" s="23">
        <f t="shared" si="12"/>
        <v>0</v>
      </c>
      <c r="H121" s="23">
        <f t="shared" si="12"/>
        <v>0</v>
      </c>
      <c r="I121" s="23">
        <f t="shared" si="12"/>
        <v>0</v>
      </c>
      <c r="J121" s="23">
        <f t="shared" si="12"/>
        <v>0</v>
      </c>
      <c r="K121" s="23">
        <f t="shared" si="12"/>
        <v>0</v>
      </c>
      <c r="L121" s="33"/>
      <c r="M121" s="26"/>
      <c r="N121" s="26"/>
      <c r="O121" s="26"/>
      <c r="P121" s="23"/>
      <c r="Q121" s="23"/>
      <c r="R121" s="23"/>
      <c r="S121" s="23"/>
      <c r="T121" s="23"/>
      <c r="U121" s="23"/>
      <c r="V121" s="23"/>
      <c r="W121" s="23"/>
      <c r="X121" s="23"/>
      <c r="Y121" s="23"/>
      <c r="Z121" s="23"/>
      <c r="AA121" s="23"/>
      <c r="AB121" s="23"/>
      <c r="AC121" s="47"/>
      <c r="AD121" s="23"/>
      <c r="AE121" s="23"/>
    </row>
    <row r="122" spans="1:31" ht="12.75" customHeight="1">
      <c r="A122" s="23"/>
      <c r="B122" s="23"/>
      <c r="C122" s="48"/>
      <c r="D122" s="48"/>
      <c r="E122" s="48"/>
      <c r="F122" s="48"/>
      <c r="G122" s="48"/>
      <c r="H122" s="48"/>
      <c r="I122" s="9" t="s">
        <v>44</v>
      </c>
      <c r="J122" s="9"/>
      <c r="K122" s="9"/>
      <c r="L122" s="9"/>
      <c r="M122" s="8">
        <f>400000+120000</f>
        <v>520000</v>
      </c>
      <c r="N122" s="8"/>
      <c r="O122" s="8"/>
      <c r="P122" s="23"/>
      <c r="Q122" s="23"/>
      <c r="R122" s="23"/>
      <c r="S122" s="48"/>
      <c r="T122" s="48"/>
      <c r="U122" s="48"/>
      <c r="V122" s="23"/>
      <c r="W122" s="23"/>
      <c r="X122" s="23"/>
      <c r="Y122" s="23"/>
      <c r="Z122" s="23"/>
      <c r="AA122" s="23"/>
      <c r="AB122" s="23"/>
      <c r="AC122" s="47"/>
      <c r="AD122" s="23"/>
      <c r="AE122" s="23"/>
    </row>
    <row r="123" spans="1:31" ht="15" customHeight="1">
      <c r="A123" s="23"/>
      <c r="B123" s="23"/>
      <c r="C123" s="48"/>
      <c r="D123" s="49" t="s">
        <v>45</v>
      </c>
      <c r="E123" s="50">
        <v>1750905</v>
      </c>
      <c r="F123" s="51" t="s">
        <v>46</v>
      </c>
      <c r="G123" s="52">
        <v>249095</v>
      </c>
      <c r="H123" s="48"/>
      <c r="I123" s="53" t="s">
        <v>47</v>
      </c>
      <c r="J123" s="54">
        <v>0.18</v>
      </c>
      <c r="K123" s="54"/>
      <c r="L123" s="55" t="s">
        <v>48</v>
      </c>
      <c r="M123" s="56">
        <f>2.7/12</f>
        <v>0.22500000000000001</v>
      </c>
      <c r="N123" s="57" t="s">
        <v>49</v>
      </c>
      <c r="O123" s="58">
        <f>40*4.2*((244-2)/260)</f>
        <v>156.36923076923077</v>
      </c>
      <c r="P123" s="48"/>
      <c r="Q123" s="53" t="s">
        <v>50</v>
      </c>
      <c r="R123" s="59">
        <v>0.4</v>
      </c>
      <c r="S123" s="48"/>
      <c r="T123" s="60">
        <v>8</v>
      </c>
      <c r="U123" s="61" t="s">
        <v>51</v>
      </c>
      <c r="V123" s="62"/>
      <c r="W123" s="23"/>
      <c r="X123" s="23"/>
      <c r="Y123" s="23"/>
      <c r="Z123" s="23"/>
      <c r="AA123" s="23"/>
      <c r="AB123" s="23"/>
      <c r="AC123" s="47"/>
      <c r="AD123" s="23"/>
      <c r="AE123" s="23"/>
    </row>
    <row r="124" spans="1:31" ht="12.75" customHeight="1">
      <c r="A124" s="23"/>
      <c r="B124" s="23"/>
      <c r="C124" s="7" t="s">
        <v>52</v>
      </c>
      <c r="D124" s="7"/>
      <c r="E124" s="7"/>
      <c r="F124" s="7" t="s">
        <v>53</v>
      </c>
      <c r="G124" s="7"/>
      <c r="H124" s="7"/>
      <c r="I124" s="7" t="s">
        <v>54</v>
      </c>
      <c r="J124" s="7"/>
      <c r="K124" s="7"/>
      <c r="L124" s="7"/>
      <c r="M124" s="7" t="s">
        <v>55</v>
      </c>
      <c r="N124" s="7"/>
      <c r="O124" s="7"/>
      <c r="P124" s="7" t="s">
        <v>56</v>
      </c>
      <c r="Q124" s="7"/>
      <c r="R124" s="7"/>
      <c r="S124" s="48"/>
      <c r="T124" s="48"/>
      <c r="U124" s="63" t="s">
        <v>49</v>
      </c>
      <c r="V124" s="7" t="s">
        <v>57</v>
      </c>
      <c r="W124" s="7"/>
      <c r="X124" s="7"/>
      <c r="Y124" s="23"/>
      <c r="Z124" s="23"/>
      <c r="AA124" s="23"/>
      <c r="AB124" s="23"/>
      <c r="AC124" s="47"/>
      <c r="AD124" s="23"/>
      <c r="AE124" s="23"/>
    </row>
    <row r="125" spans="1:31" ht="12.75" customHeight="1">
      <c r="A125" s="35" t="s">
        <v>58</v>
      </c>
      <c r="B125" s="63" t="str">
        <f>B1</f>
        <v>DB</v>
      </c>
      <c r="C125" s="6">
        <v>6480000</v>
      </c>
      <c r="D125" s="6"/>
      <c r="E125" s="6"/>
      <c r="F125" s="6">
        <v>1080000</v>
      </c>
      <c r="G125" s="6"/>
      <c r="H125" s="6"/>
      <c r="I125" s="6">
        <v>0</v>
      </c>
      <c r="J125" s="6"/>
      <c r="K125" s="6"/>
      <c r="L125" s="6"/>
      <c r="M125" s="6">
        <f t="shared" ref="M125:M134" si="13">C125*(1+$J$123+$M$123)+F125+I125+$M$122+IF(($E$123*2)&gt;=C125,$G$123,0)</f>
        <v>10704400</v>
      </c>
      <c r="N125" s="6"/>
      <c r="O125" s="6"/>
      <c r="P125" s="5">
        <f t="shared" ref="P125:P134" si="14">M125/$O$123*(1+$R$123)</f>
        <v>95838.292011019294</v>
      </c>
      <c r="Q125" s="5"/>
      <c r="R125" s="5"/>
      <c r="S125" s="48"/>
      <c r="T125" s="48"/>
      <c r="U125" s="23">
        <f t="shared" ref="U125:U134" si="15">HLOOKUP(B125,$B$1:$K$121,$A$121,0)*$T$123</f>
        <v>0</v>
      </c>
      <c r="W125" s="64">
        <f t="shared" ref="W125:W134" si="16">P125*U125</f>
        <v>0</v>
      </c>
      <c r="Y125" s="23"/>
      <c r="Z125" s="23"/>
      <c r="AA125" s="23"/>
      <c r="AB125" s="23"/>
      <c r="AC125" s="47"/>
      <c r="AD125" s="23"/>
      <c r="AE125" s="23"/>
    </row>
    <row r="126" spans="1:31" ht="12.75" customHeight="1">
      <c r="A126" s="35" t="s">
        <v>59</v>
      </c>
      <c r="B126" s="63" t="str">
        <f>C1</f>
        <v>UX</v>
      </c>
      <c r="C126" s="6">
        <v>3240000</v>
      </c>
      <c r="D126" s="6"/>
      <c r="E126" s="6"/>
      <c r="F126" s="6">
        <v>540000</v>
      </c>
      <c r="G126" s="6"/>
      <c r="H126" s="6"/>
      <c r="I126" s="6">
        <v>0</v>
      </c>
      <c r="J126" s="6"/>
      <c r="K126" s="6"/>
      <c r="L126" s="6"/>
      <c r="M126" s="6">
        <f t="shared" si="13"/>
        <v>5861295</v>
      </c>
      <c r="N126" s="6"/>
      <c r="O126" s="6"/>
      <c r="P126" s="5">
        <f t="shared" si="14"/>
        <v>52477.159090909088</v>
      </c>
      <c r="Q126" s="5"/>
      <c r="R126" s="5"/>
      <c r="S126" s="48"/>
      <c r="T126" s="48"/>
      <c r="U126" s="23">
        <f t="shared" si="15"/>
        <v>0</v>
      </c>
      <c r="W126" s="64">
        <f t="shared" si="16"/>
        <v>0</v>
      </c>
      <c r="Y126" s="23"/>
      <c r="Z126" s="23"/>
      <c r="AA126" s="23"/>
      <c r="AB126" s="23"/>
      <c r="AC126" s="47"/>
      <c r="AD126" s="23"/>
      <c r="AE126" s="23"/>
    </row>
    <row r="127" spans="1:31" ht="12.75" customHeight="1">
      <c r="A127" s="35" t="s">
        <v>60</v>
      </c>
      <c r="B127" s="63" t="str">
        <f>D1</f>
        <v>FM</v>
      </c>
      <c r="C127" s="6">
        <v>3240000</v>
      </c>
      <c r="D127" s="6"/>
      <c r="E127" s="6"/>
      <c r="F127" s="6">
        <v>540000</v>
      </c>
      <c r="G127" s="6"/>
      <c r="H127" s="6"/>
      <c r="I127" s="6">
        <v>0</v>
      </c>
      <c r="J127" s="6"/>
      <c r="K127" s="6"/>
      <c r="L127" s="6"/>
      <c r="M127" s="6">
        <f t="shared" si="13"/>
        <v>5861295</v>
      </c>
      <c r="N127" s="6"/>
      <c r="O127" s="6"/>
      <c r="P127" s="5">
        <f t="shared" si="14"/>
        <v>52477.159090909088</v>
      </c>
      <c r="Q127" s="5"/>
      <c r="R127" s="5"/>
      <c r="S127" s="48"/>
      <c r="T127" s="48"/>
      <c r="U127" s="23">
        <f t="shared" si="15"/>
        <v>0</v>
      </c>
      <c r="W127" s="64">
        <f t="shared" si="16"/>
        <v>0</v>
      </c>
      <c r="Y127" s="23"/>
      <c r="Z127" s="23"/>
      <c r="AA127" s="23"/>
      <c r="AB127" s="23"/>
      <c r="AC127" s="47"/>
      <c r="AD127" s="23"/>
      <c r="AE127" s="23"/>
    </row>
    <row r="128" spans="1:31" ht="12.75" customHeight="1">
      <c r="A128" s="35" t="s">
        <v>61</v>
      </c>
      <c r="B128" s="63" t="str">
        <f>E1</f>
        <v>BS</v>
      </c>
      <c r="C128" s="6">
        <v>4320000</v>
      </c>
      <c r="D128" s="6"/>
      <c r="E128" s="6"/>
      <c r="F128" s="6">
        <v>1620000</v>
      </c>
      <c r="G128" s="6"/>
      <c r="H128" s="6"/>
      <c r="I128" s="6">
        <v>0</v>
      </c>
      <c r="J128" s="6"/>
      <c r="K128" s="6"/>
      <c r="L128" s="6"/>
      <c r="M128" s="6">
        <f t="shared" si="13"/>
        <v>8209600</v>
      </c>
      <c r="N128" s="6"/>
      <c r="O128" s="6"/>
      <c r="P128" s="5">
        <f t="shared" si="14"/>
        <v>73501.928374655647</v>
      </c>
      <c r="Q128" s="5"/>
      <c r="R128" s="5"/>
      <c r="S128" s="48"/>
      <c r="T128" s="48"/>
      <c r="U128" s="23">
        <f t="shared" si="15"/>
        <v>0</v>
      </c>
      <c r="W128" s="64">
        <f t="shared" si="16"/>
        <v>0</v>
      </c>
      <c r="Y128" s="23"/>
      <c r="Z128" s="23"/>
      <c r="AA128" s="23"/>
      <c r="AB128" s="23"/>
      <c r="AC128" s="47"/>
      <c r="AD128" s="23"/>
      <c r="AE128" s="23"/>
    </row>
    <row r="129" spans="1:31" ht="12.75" customHeight="1">
      <c r="A129" s="35" t="s">
        <v>62</v>
      </c>
      <c r="B129" s="63" t="str">
        <f>F1</f>
        <v>BM</v>
      </c>
      <c r="C129" s="6">
        <v>3780000</v>
      </c>
      <c r="D129" s="6"/>
      <c r="E129" s="6"/>
      <c r="F129" s="6">
        <v>1080000</v>
      </c>
      <c r="G129" s="6"/>
      <c r="H129" s="6"/>
      <c r="I129" s="6">
        <v>0</v>
      </c>
      <c r="J129" s="6"/>
      <c r="K129" s="6"/>
      <c r="L129" s="6"/>
      <c r="M129" s="6">
        <f t="shared" si="13"/>
        <v>6910900</v>
      </c>
      <c r="N129" s="6"/>
      <c r="O129" s="6"/>
      <c r="P129" s="5">
        <f t="shared" si="14"/>
        <v>61874.449035812671</v>
      </c>
      <c r="Q129" s="5"/>
      <c r="R129" s="5"/>
      <c r="S129" s="48"/>
      <c r="T129" s="48"/>
      <c r="U129" s="23">
        <f t="shared" si="15"/>
        <v>0</v>
      </c>
      <c r="W129" s="64">
        <f t="shared" si="16"/>
        <v>0</v>
      </c>
      <c r="Y129" s="23"/>
      <c r="Z129" s="23"/>
      <c r="AA129" s="23"/>
      <c r="AB129" s="23"/>
      <c r="AC129" s="47"/>
      <c r="AD129" s="23"/>
      <c r="AE129" s="23"/>
    </row>
    <row r="130" spans="1:31" ht="12.75" customHeight="1">
      <c r="A130" s="35" t="s">
        <v>63</v>
      </c>
      <c r="B130" s="63" t="str">
        <f>G1</f>
        <v>QA</v>
      </c>
      <c r="C130" s="6">
        <v>2700000</v>
      </c>
      <c r="D130" s="6"/>
      <c r="E130" s="6"/>
      <c r="F130" s="6">
        <v>1080000</v>
      </c>
      <c r="G130" s="6"/>
      <c r="H130" s="6"/>
      <c r="I130" s="6">
        <v>54000</v>
      </c>
      <c r="J130" s="6"/>
      <c r="K130" s="6"/>
      <c r="L130" s="6"/>
      <c r="M130" s="6">
        <f t="shared" si="13"/>
        <v>5696595</v>
      </c>
      <c r="N130" s="6"/>
      <c r="O130" s="6"/>
      <c r="P130" s="5">
        <f t="shared" si="14"/>
        <v>51002.572314049583</v>
      </c>
      <c r="Q130" s="5"/>
      <c r="R130" s="5"/>
      <c r="S130" s="48"/>
      <c r="T130" s="48"/>
      <c r="U130" s="23">
        <f t="shared" si="15"/>
        <v>0</v>
      </c>
      <c r="W130" s="64">
        <f t="shared" si="16"/>
        <v>0</v>
      </c>
      <c r="Y130" s="23"/>
      <c r="Z130" s="23"/>
      <c r="AA130" s="23"/>
      <c r="AB130" s="23"/>
      <c r="AC130" s="47"/>
      <c r="AD130" s="23"/>
      <c r="AE130" s="23"/>
    </row>
    <row r="131" spans="1:31" ht="12.75" customHeight="1">
      <c r="A131" s="35" t="s">
        <v>64</v>
      </c>
      <c r="B131" s="63" t="str">
        <f>H1</f>
        <v>IM</v>
      </c>
      <c r="C131" s="6">
        <v>2700000</v>
      </c>
      <c r="D131" s="6"/>
      <c r="E131" s="6"/>
      <c r="F131" s="6">
        <v>1080000</v>
      </c>
      <c r="G131" s="6"/>
      <c r="H131" s="6"/>
      <c r="I131" s="6">
        <v>0</v>
      </c>
      <c r="J131" s="6"/>
      <c r="K131" s="6"/>
      <c r="L131" s="6"/>
      <c r="M131" s="6">
        <f t="shared" si="13"/>
        <v>5642595</v>
      </c>
      <c r="N131" s="6"/>
      <c r="O131" s="6"/>
      <c r="P131" s="5">
        <f t="shared" si="14"/>
        <v>50519.10123966942</v>
      </c>
      <c r="Q131" s="5"/>
      <c r="R131" s="5"/>
      <c r="S131" s="48"/>
      <c r="T131" s="48"/>
      <c r="U131" s="23">
        <f t="shared" si="15"/>
        <v>0</v>
      </c>
      <c r="W131" s="64">
        <f t="shared" si="16"/>
        <v>0</v>
      </c>
      <c r="Y131" s="23"/>
      <c r="Z131" s="23"/>
      <c r="AA131" s="23"/>
      <c r="AB131" s="23"/>
      <c r="AC131" s="47"/>
      <c r="AD131" s="23"/>
      <c r="AE131" s="23"/>
    </row>
    <row r="132" spans="1:31" ht="12.75" customHeight="1">
      <c r="A132" s="35" t="s">
        <v>65</v>
      </c>
      <c r="B132" s="63" t="str">
        <f>I1</f>
        <v>MS</v>
      </c>
      <c r="C132" s="6">
        <v>8100000</v>
      </c>
      <c r="D132" s="6"/>
      <c r="E132" s="6"/>
      <c r="F132" s="6">
        <v>2160000</v>
      </c>
      <c r="G132" s="6"/>
      <c r="H132" s="6"/>
      <c r="I132" s="6">
        <v>132000</v>
      </c>
      <c r="J132" s="6"/>
      <c r="K132" s="6"/>
      <c r="L132" s="6"/>
      <c r="M132" s="6">
        <f t="shared" si="13"/>
        <v>14192500</v>
      </c>
      <c r="N132" s="6"/>
      <c r="O132" s="6"/>
      <c r="P132" s="5">
        <f t="shared" si="14"/>
        <v>127067.83746556473</v>
      </c>
      <c r="Q132" s="5"/>
      <c r="R132" s="5"/>
      <c r="S132" s="48"/>
      <c r="T132" s="48"/>
      <c r="U132" s="23">
        <f t="shared" si="15"/>
        <v>0</v>
      </c>
      <c r="W132" s="64">
        <f t="shared" si="16"/>
        <v>0</v>
      </c>
      <c r="Y132" s="23"/>
      <c r="Z132" s="23"/>
      <c r="AA132" s="23"/>
      <c r="AB132" s="23"/>
      <c r="AC132" s="47"/>
      <c r="AD132" s="23"/>
      <c r="AE132" s="23"/>
    </row>
    <row r="133" spans="1:31" ht="12.75" customHeight="1">
      <c r="A133" s="35" t="s">
        <v>66</v>
      </c>
      <c r="B133" s="63" t="str">
        <f>J1</f>
        <v>MM</v>
      </c>
      <c r="C133" s="6">
        <v>3240000</v>
      </c>
      <c r="D133" s="6"/>
      <c r="E133" s="6"/>
      <c r="F133" s="6">
        <v>1080000</v>
      </c>
      <c r="G133" s="6"/>
      <c r="H133" s="6"/>
      <c r="I133" s="6">
        <v>132000</v>
      </c>
      <c r="J133" s="6"/>
      <c r="K133" s="6"/>
      <c r="L133" s="6"/>
      <c r="M133" s="6">
        <f t="shared" si="13"/>
        <v>6533295</v>
      </c>
      <c r="N133" s="6"/>
      <c r="O133" s="6"/>
      <c r="P133" s="5">
        <f t="shared" si="14"/>
        <v>58493.688016528926</v>
      </c>
      <c r="Q133" s="5"/>
      <c r="R133" s="5"/>
      <c r="S133" s="48"/>
      <c r="T133" s="48"/>
      <c r="U133" s="23">
        <f t="shared" si="15"/>
        <v>0</v>
      </c>
      <c r="W133" s="64">
        <f t="shared" si="16"/>
        <v>0</v>
      </c>
      <c r="Y133" s="23"/>
      <c r="Z133" s="23"/>
      <c r="AA133" s="23"/>
      <c r="AB133" s="23"/>
      <c r="AC133" s="47"/>
      <c r="AD133" s="23"/>
      <c r="AE133" s="23"/>
    </row>
    <row r="134" spans="1:31" ht="12.75" customHeight="1">
      <c r="A134" s="35" t="s">
        <v>67</v>
      </c>
      <c r="B134" s="63" t="s">
        <v>10</v>
      </c>
      <c r="C134" s="6">
        <v>3240000</v>
      </c>
      <c r="D134" s="6"/>
      <c r="E134" s="6"/>
      <c r="F134" s="6">
        <v>1080000</v>
      </c>
      <c r="G134" s="6"/>
      <c r="H134" s="6"/>
      <c r="I134" s="6"/>
      <c r="J134" s="6"/>
      <c r="K134" s="6"/>
      <c r="L134" s="6"/>
      <c r="M134" s="6">
        <f t="shared" si="13"/>
        <v>6401295</v>
      </c>
      <c r="N134" s="6"/>
      <c r="O134" s="6"/>
      <c r="P134" s="5">
        <f t="shared" si="14"/>
        <v>57311.869834710742</v>
      </c>
      <c r="Q134" s="5"/>
      <c r="R134" s="5"/>
      <c r="S134" s="48"/>
      <c r="T134" s="48"/>
      <c r="U134" s="23">
        <f t="shared" si="15"/>
        <v>0</v>
      </c>
      <c r="W134" s="64">
        <f t="shared" si="16"/>
        <v>0</v>
      </c>
      <c r="Y134" s="23"/>
      <c r="Z134" s="23"/>
      <c r="AA134" s="23"/>
      <c r="AB134" s="23"/>
      <c r="AC134" s="47"/>
      <c r="AD134" s="23"/>
      <c r="AE134" s="23"/>
    </row>
    <row r="135" spans="1:31" ht="12.75" customHeight="1">
      <c r="A135" s="35"/>
      <c r="B135" s="63"/>
      <c r="C135" s="48"/>
      <c r="D135" s="48"/>
      <c r="E135" s="48"/>
      <c r="F135" s="48"/>
      <c r="G135" s="48"/>
      <c r="H135" s="48"/>
      <c r="I135" s="23"/>
      <c r="J135" s="23"/>
      <c r="K135" s="23"/>
      <c r="L135" s="23"/>
      <c r="M135" s="23"/>
      <c r="N135" s="23"/>
      <c r="O135" s="23"/>
      <c r="P135" s="4">
        <f>SUM(P125:P134)</f>
        <v>680564.0564738292</v>
      </c>
      <c r="Q135" s="4"/>
      <c r="R135" s="4"/>
      <c r="S135" s="48"/>
      <c r="T135" s="48"/>
      <c r="U135" s="48"/>
      <c r="W135" s="65">
        <f>SUM(W125:W134)</f>
        <v>0</v>
      </c>
      <c r="Y135" s="23"/>
      <c r="Z135" s="23"/>
      <c r="AA135" s="23"/>
      <c r="AB135" s="23"/>
      <c r="AC135" s="47"/>
      <c r="AD135" s="23"/>
      <c r="AE135" s="23"/>
    </row>
    <row r="136" spans="1:31" ht="12.75" customHeight="1">
      <c r="A136" s="23"/>
      <c r="B136" s="23"/>
      <c r="C136" s="66"/>
      <c r="D136" s="66"/>
      <c r="E136" s="23"/>
      <c r="F136" s="23"/>
      <c r="G136" s="23"/>
      <c r="H136" s="48"/>
      <c r="I136" s="23"/>
      <c r="J136" s="23"/>
      <c r="K136" s="23"/>
      <c r="L136" s="48"/>
      <c r="M136" s="23"/>
      <c r="N136" s="23"/>
      <c r="O136" s="23"/>
      <c r="P136" s="23"/>
      <c r="Q136" s="23"/>
      <c r="R136" s="23"/>
      <c r="S136" s="23"/>
      <c r="T136" s="23"/>
      <c r="U136" s="23"/>
      <c r="V136" s="23"/>
      <c r="W136" s="23"/>
      <c r="X136" s="23"/>
      <c r="Y136" s="23"/>
      <c r="Z136" s="23"/>
      <c r="AA136" s="23"/>
      <c r="AB136" s="23"/>
      <c r="AC136" s="47"/>
      <c r="AD136" s="23"/>
      <c r="AE136" s="23"/>
    </row>
    <row r="137" spans="1:31" ht="12.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47"/>
      <c r="AD137" s="23"/>
      <c r="AE137" s="23"/>
    </row>
    <row r="138" spans="1:31" ht="12.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8"/>
      <c r="AD138" s="67"/>
      <c r="AE138" s="67"/>
    </row>
    <row r="139" spans="1:31" ht="15" customHeight="1">
      <c r="A139" s="67"/>
      <c r="B139" s="67"/>
      <c r="C139" s="3"/>
      <c r="D139" s="3"/>
      <c r="E139" s="3"/>
      <c r="F139" s="3"/>
      <c r="G139" s="2"/>
      <c r="H139" s="2"/>
      <c r="I139" s="2"/>
      <c r="J139" s="2"/>
      <c r="K139" s="69"/>
      <c r="L139" s="1"/>
      <c r="M139" s="1"/>
      <c r="N139" s="1"/>
      <c r="O139" s="1"/>
      <c r="P139" s="2"/>
      <c r="Q139" s="2"/>
      <c r="R139" s="2"/>
      <c r="S139" s="2"/>
      <c r="T139" s="1"/>
      <c r="U139" s="1"/>
      <c r="V139" s="1"/>
      <c r="W139" s="1"/>
      <c r="X139" s="2"/>
      <c r="Y139" s="2"/>
      <c r="Z139" s="2"/>
      <c r="AA139" s="1"/>
      <c r="AB139" s="1"/>
      <c r="AC139" s="1"/>
      <c r="AD139" s="70"/>
      <c r="AE139" s="67"/>
    </row>
    <row r="140" spans="1:31" ht="12.75" customHeight="1">
      <c r="A140" s="71" t="e">
        <f t="array" aca="1" ref="A140:A144" ca="1">unique(L1:L120)</f>
        <v>#NAME?</v>
      </c>
      <c r="B140" s="72"/>
      <c r="C140" s="73"/>
      <c r="D140" s="73"/>
      <c r="E140" s="73"/>
      <c r="F140" s="74"/>
      <c r="G140" s="75" t="s">
        <v>68</v>
      </c>
      <c r="H140" s="75" t="s">
        <v>69</v>
      </c>
      <c r="I140" s="75" t="s">
        <v>70</v>
      </c>
      <c r="J140" s="75" t="s">
        <v>71</v>
      </c>
      <c r="K140" s="75" t="s">
        <v>72</v>
      </c>
      <c r="L140" s="76" t="s">
        <v>73</v>
      </c>
      <c r="M140" s="76" t="s">
        <v>74</v>
      </c>
      <c r="N140" s="76" t="s">
        <v>75</v>
      </c>
      <c r="O140" s="76" t="s">
        <v>76</v>
      </c>
      <c r="P140" s="75" t="s">
        <v>77</v>
      </c>
      <c r="Q140" s="75"/>
      <c r="R140" s="75"/>
      <c r="S140" s="75"/>
      <c r="T140" s="76"/>
      <c r="U140" s="76"/>
      <c r="V140" s="76"/>
      <c r="W140" s="76"/>
      <c r="X140" s="75"/>
      <c r="Y140" s="75"/>
      <c r="Z140" s="75"/>
      <c r="AA140" s="76"/>
      <c r="AB140" s="76"/>
      <c r="AC140" s="77"/>
      <c r="AD140" s="76"/>
      <c r="AE140" s="67"/>
    </row>
    <row r="141" spans="1:31" ht="12.75" customHeight="1">
      <c r="A141" s="78" t="e">
        <f ca="1"/>
        <v>#NAME?</v>
      </c>
      <c r="B141" s="79"/>
      <c r="C141" s="79"/>
      <c r="D141" s="79" t="s">
        <v>78</v>
      </c>
      <c r="E141" s="79"/>
      <c r="F141" s="80"/>
      <c r="G141" s="81"/>
      <c r="H141" s="81"/>
      <c r="I141" s="81"/>
      <c r="J141" s="81"/>
      <c r="K141" s="81"/>
      <c r="L141" s="82"/>
      <c r="M141" s="82"/>
      <c r="N141" s="82"/>
      <c r="O141" s="82"/>
      <c r="P141" s="81"/>
      <c r="Q141" s="81"/>
      <c r="R141" s="81"/>
      <c r="S141" s="81"/>
      <c r="T141" s="82"/>
      <c r="U141" s="82"/>
      <c r="V141" s="82"/>
      <c r="W141" s="82"/>
      <c r="X141" s="81"/>
      <c r="Y141" s="81"/>
      <c r="Z141" s="81"/>
      <c r="AA141" s="82"/>
      <c r="AB141" s="82"/>
      <c r="AC141" s="83"/>
      <c r="AD141" s="82"/>
      <c r="AE141" s="67"/>
    </row>
    <row r="142" spans="1:31" ht="12.75" customHeight="1">
      <c r="A142" s="78" t="e">
        <f ca="1"/>
        <v>#NAME?</v>
      </c>
      <c r="B142" s="79"/>
      <c r="C142" s="79"/>
      <c r="D142" s="79"/>
      <c r="E142" s="79"/>
      <c r="F142" s="80"/>
      <c r="G142" s="81"/>
      <c r="H142" s="81"/>
      <c r="I142" s="81"/>
      <c r="J142" s="81"/>
      <c r="K142" s="81"/>
      <c r="L142" s="82"/>
      <c r="M142" s="82"/>
      <c r="N142" s="82"/>
      <c r="O142" s="82"/>
      <c r="P142" s="81"/>
      <c r="Q142" s="81"/>
      <c r="R142" s="81"/>
      <c r="S142" s="81"/>
      <c r="T142" s="82"/>
      <c r="U142" s="82"/>
      <c r="V142" s="82"/>
      <c r="W142" s="82"/>
      <c r="X142" s="81"/>
      <c r="Y142" s="81"/>
      <c r="Z142" s="81"/>
      <c r="AA142" s="82"/>
      <c r="AB142" s="82"/>
      <c r="AC142" s="83"/>
      <c r="AD142" s="82"/>
      <c r="AE142" s="67"/>
    </row>
    <row r="143" spans="1:31" ht="12.75" customHeight="1">
      <c r="A143" s="78" t="e">
        <f ca="1"/>
        <v>#NAME?</v>
      </c>
      <c r="B143" s="79"/>
      <c r="C143" s="79"/>
      <c r="D143" s="79"/>
      <c r="E143" s="79"/>
      <c r="F143" s="80"/>
      <c r="G143" s="81"/>
      <c r="H143" s="81"/>
      <c r="I143" s="81"/>
      <c r="J143" s="81"/>
      <c r="K143" s="81"/>
      <c r="L143" s="82"/>
      <c r="M143" s="82"/>
      <c r="N143" s="82"/>
      <c r="O143" s="82"/>
      <c r="P143" s="81"/>
      <c r="Q143" s="81"/>
      <c r="R143" s="81"/>
      <c r="S143" s="81"/>
      <c r="T143" s="82"/>
      <c r="U143" s="82"/>
      <c r="V143" s="82"/>
      <c r="W143" s="82"/>
      <c r="X143" s="81"/>
      <c r="Y143" s="81"/>
      <c r="Z143" s="81"/>
      <c r="AA143" s="82"/>
      <c r="AB143" s="82"/>
      <c r="AC143" s="83"/>
      <c r="AD143" s="82"/>
      <c r="AE143" s="67"/>
    </row>
    <row r="144" spans="1:31" ht="12.75" customHeight="1">
      <c r="A144" s="78" t="e">
        <f ca="1"/>
        <v>#NAME?</v>
      </c>
      <c r="B144" s="79"/>
      <c r="C144" s="79"/>
      <c r="D144" s="79"/>
      <c r="E144" s="79"/>
      <c r="F144" s="80"/>
      <c r="G144" s="81"/>
      <c r="H144" s="81"/>
      <c r="I144" s="81"/>
      <c r="J144" s="81"/>
      <c r="K144" s="81"/>
      <c r="L144" s="82"/>
      <c r="M144" s="82"/>
      <c r="N144" s="82"/>
      <c r="O144" s="82"/>
      <c r="P144" s="81"/>
      <c r="Q144" s="81"/>
      <c r="R144" s="81"/>
      <c r="S144" s="81"/>
      <c r="T144" s="82"/>
      <c r="U144" s="82"/>
      <c r="V144" s="82"/>
      <c r="W144" s="82"/>
      <c r="X144" s="81"/>
      <c r="Y144" s="81"/>
      <c r="Z144" s="81"/>
      <c r="AA144" s="82"/>
      <c r="AB144" s="82"/>
      <c r="AC144" s="83"/>
      <c r="AD144" s="82"/>
      <c r="AE144" s="67"/>
    </row>
    <row r="145" spans="1:31" ht="12.75" customHeight="1">
      <c r="A145" s="78"/>
      <c r="B145" s="79"/>
      <c r="C145" s="79"/>
      <c r="D145" s="79"/>
      <c r="E145" s="79"/>
      <c r="F145" s="80"/>
      <c r="G145" s="81"/>
      <c r="H145" s="81"/>
      <c r="I145" s="81"/>
      <c r="J145" s="81"/>
      <c r="K145" s="81"/>
      <c r="L145" s="82"/>
      <c r="M145" s="82"/>
      <c r="N145" s="82"/>
      <c r="O145" s="82"/>
      <c r="P145" s="81"/>
      <c r="Q145" s="81"/>
      <c r="R145" s="81"/>
      <c r="S145" s="81"/>
      <c r="T145" s="82"/>
      <c r="U145" s="82"/>
      <c r="V145" s="82"/>
      <c r="W145" s="82"/>
      <c r="X145" s="81"/>
      <c r="Y145" s="81"/>
      <c r="Z145" s="81"/>
      <c r="AA145" s="82"/>
      <c r="AB145" s="82"/>
      <c r="AC145" s="83"/>
      <c r="AD145" s="82"/>
      <c r="AE145" s="67"/>
    </row>
    <row r="146" spans="1:31" ht="12.75" customHeight="1">
      <c r="A146" s="78"/>
      <c r="B146" s="79"/>
      <c r="C146" s="79"/>
      <c r="D146" s="79"/>
      <c r="E146" s="79"/>
      <c r="F146" s="80"/>
      <c r="G146" s="81"/>
      <c r="H146" s="81"/>
      <c r="I146" s="81"/>
      <c r="J146" s="81"/>
      <c r="K146" s="81"/>
      <c r="L146" s="82"/>
      <c r="M146" s="82"/>
      <c r="N146" s="82"/>
      <c r="O146" s="82"/>
      <c r="P146" s="81"/>
      <c r="Q146" s="81"/>
      <c r="R146" s="81"/>
      <c r="S146" s="81"/>
      <c r="T146" s="82"/>
      <c r="U146" s="82"/>
      <c r="V146" s="82"/>
      <c r="W146" s="82"/>
      <c r="X146" s="81"/>
      <c r="Y146" s="81"/>
      <c r="Z146" s="81"/>
      <c r="AA146" s="82"/>
      <c r="AB146" s="82"/>
      <c r="AC146" s="83"/>
      <c r="AD146" s="82"/>
      <c r="AE146" s="67"/>
    </row>
    <row r="147" spans="1:31" ht="12.75" customHeight="1">
      <c r="A147" s="78"/>
      <c r="B147" s="79"/>
      <c r="C147" s="79"/>
      <c r="D147" s="79"/>
      <c r="E147" s="79"/>
      <c r="F147" s="80"/>
      <c r="G147" s="81"/>
      <c r="H147" s="81"/>
      <c r="I147" s="81"/>
      <c r="J147" s="81"/>
      <c r="K147" s="81"/>
      <c r="L147" s="82"/>
      <c r="M147" s="82"/>
      <c r="N147" s="82"/>
      <c r="O147" s="82"/>
      <c r="P147" s="81"/>
      <c r="Q147" s="81"/>
      <c r="R147" s="81"/>
      <c r="S147" s="81"/>
      <c r="T147" s="82"/>
      <c r="U147" s="82"/>
      <c r="V147" s="82"/>
      <c r="W147" s="82"/>
      <c r="X147" s="81"/>
      <c r="Y147" s="81"/>
      <c r="Z147" s="81"/>
      <c r="AA147" s="82"/>
      <c r="AB147" s="82"/>
      <c r="AC147" s="83"/>
      <c r="AD147" s="82"/>
      <c r="AE147" s="67"/>
    </row>
    <row r="148" spans="1:31" ht="12.75" customHeight="1">
      <c r="A148" s="78"/>
      <c r="B148" s="79"/>
      <c r="C148" s="79"/>
      <c r="D148" s="79"/>
      <c r="E148" s="79"/>
      <c r="F148" s="80"/>
      <c r="G148" s="81"/>
      <c r="H148" s="81"/>
      <c r="I148" s="81"/>
      <c r="J148" s="81"/>
      <c r="K148" s="81"/>
      <c r="L148" s="82"/>
      <c r="M148" s="82"/>
      <c r="N148" s="82"/>
      <c r="O148" s="82"/>
      <c r="P148" s="81"/>
      <c r="Q148" s="81"/>
      <c r="R148" s="81"/>
      <c r="S148" s="81"/>
      <c r="T148" s="82"/>
      <c r="U148" s="82"/>
      <c r="V148" s="82"/>
      <c r="W148" s="82"/>
      <c r="X148" s="81"/>
      <c r="Y148" s="81"/>
      <c r="Z148" s="81"/>
      <c r="AA148" s="82"/>
      <c r="AB148" s="82"/>
      <c r="AC148" s="83"/>
      <c r="AD148" s="82"/>
      <c r="AE148" s="67"/>
    </row>
    <row r="149" spans="1:31" ht="12.75" customHeight="1">
      <c r="A149" s="78"/>
      <c r="B149" s="79"/>
      <c r="C149" s="79"/>
      <c r="D149" s="79"/>
      <c r="E149" s="79"/>
      <c r="F149" s="80"/>
      <c r="G149" s="81"/>
      <c r="H149" s="81"/>
      <c r="I149" s="81"/>
      <c r="J149" s="81"/>
      <c r="K149" s="81"/>
      <c r="L149" s="82"/>
      <c r="M149" s="82"/>
      <c r="N149" s="82"/>
      <c r="O149" s="82"/>
      <c r="P149" s="81"/>
      <c r="Q149" s="81"/>
      <c r="R149" s="81"/>
      <c r="S149" s="81"/>
      <c r="T149" s="82"/>
      <c r="U149" s="82"/>
      <c r="V149" s="82"/>
      <c r="W149" s="82"/>
      <c r="X149" s="81"/>
      <c r="Y149" s="81"/>
      <c r="Z149" s="81"/>
      <c r="AA149" s="82"/>
      <c r="AB149" s="82"/>
      <c r="AC149" s="83"/>
      <c r="AD149" s="82"/>
      <c r="AE149" s="67"/>
    </row>
    <row r="150" spans="1:31" ht="12.75" customHeight="1">
      <c r="A150" s="78"/>
      <c r="B150" s="79"/>
      <c r="C150" s="79"/>
      <c r="D150" s="79"/>
      <c r="E150" s="79"/>
      <c r="F150" s="80"/>
      <c r="G150" s="81"/>
      <c r="H150" s="81"/>
      <c r="I150" s="81"/>
      <c r="J150" s="81"/>
      <c r="K150" s="81"/>
      <c r="L150" s="82"/>
      <c r="M150" s="82"/>
      <c r="N150" s="82"/>
      <c r="O150" s="82"/>
      <c r="P150" s="81"/>
      <c r="Q150" s="81"/>
      <c r="R150" s="81"/>
      <c r="S150" s="81"/>
      <c r="T150" s="82"/>
      <c r="U150" s="82"/>
      <c r="V150" s="82"/>
      <c r="W150" s="82"/>
      <c r="X150" s="81"/>
      <c r="Y150" s="81"/>
      <c r="Z150" s="81"/>
      <c r="AA150" s="82"/>
      <c r="AB150" s="82"/>
      <c r="AC150" s="83"/>
      <c r="AD150" s="82"/>
      <c r="AE150" s="67"/>
    </row>
    <row r="151" spans="1:31" ht="12.75" customHeight="1">
      <c r="A151" s="78"/>
      <c r="B151" s="79"/>
      <c r="C151" s="79"/>
      <c r="D151" s="79"/>
      <c r="E151" s="79"/>
      <c r="F151" s="80"/>
      <c r="G151" s="81"/>
      <c r="H151" s="81"/>
      <c r="I151" s="81"/>
      <c r="J151" s="81"/>
      <c r="K151" s="81"/>
      <c r="L151" s="82"/>
      <c r="M151" s="82"/>
      <c r="N151" s="82"/>
      <c r="O151" s="82"/>
      <c r="P151" s="81"/>
      <c r="Q151" s="81"/>
      <c r="R151" s="81"/>
      <c r="S151" s="81"/>
      <c r="T151" s="82"/>
      <c r="U151" s="82"/>
      <c r="V151" s="82"/>
      <c r="W151" s="82"/>
      <c r="X151" s="81"/>
      <c r="Y151" s="81"/>
      <c r="Z151" s="81"/>
      <c r="AA151" s="82"/>
      <c r="AB151" s="82"/>
      <c r="AC151" s="83"/>
      <c r="AD151" s="82"/>
      <c r="AE151" s="67"/>
    </row>
    <row r="152" spans="1:31" ht="12.75" customHeight="1">
      <c r="A152" s="78"/>
      <c r="B152" s="79"/>
      <c r="C152" s="79"/>
      <c r="D152" s="79"/>
      <c r="E152" s="79"/>
      <c r="F152" s="80"/>
      <c r="G152" s="81"/>
      <c r="H152" s="81"/>
      <c r="I152" s="81"/>
      <c r="J152" s="81"/>
      <c r="K152" s="81"/>
      <c r="L152" s="82"/>
      <c r="M152" s="82"/>
      <c r="N152" s="82"/>
      <c r="O152" s="82"/>
      <c r="P152" s="81"/>
      <c r="Q152" s="81"/>
      <c r="R152" s="81"/>
      <c r="S152" s="81"/>
      <c r="T152" s="82"/>
      <c r="U152" s="82"/>
      <c r="V152" s="82"/>
      <c r="W152" s="82"/>
      <c r="X152" s="81"/>
      <c r="Y152" s="81"/>
      <c r="Z152" s="81"/>
      <c r="AA152" s="82"/>
      <c r="AB152" s="82"/>
      <c r="AC152" s="83"/>
      <c r="AD152" s="82"/>
      <c r="AE152" s="67"/>
    </row>
    <row r="153" spans="1:31" ht="12.75" customHeight="1">
      <c r="A153" s="78"/>
      <c r="B153" s="79"/>
      <c r="C153" s="79"/>
      <c r="D153" s="79"/>
      <c r="E153" s="79"/>
      <c r="F153" s="80"/>
      <c r="G153" s="81"/>
      <c r="H153" s="81"/>
      <c r="I153" s="81"/>
      <c r="J153" s="81"/>
      <c r="K153" s="81"/>
      <c r="L153" s="82"/>
      <c r="M153" s="82"/>
      <c r="N153" s="82"/>
      <c r="O153" s="82"/>
      <c r="P153" s="81"/>
      <c r="Q153" s="81"/>
      <c r="R153" s="81"/>
      <c r="S153" s="81"/>
      <c r="T153" s="82"/>
      <c r="U153" s="82"/>
      <c r="V153" s="82"/>
      <c r="W153" s="82"/>
      <c r="X153" s="81"/>
      <c r="Y153" s="81"/>
      <c r="Z153" s="81"/>
      <c r="AA153" s="82"/>
      <c r="AB153" s="82"/>
      <c r="AC153" s="83"/>
      <c r="AD153" s="82"/>
      <c r="AE153" s="67"/>
    </row>
    <row r="154" spans="1:31" ht="12.75" customHeight="1">
      <c r="A154" s="78"/>
      <c r="B154" s="79"/>
      <c r="C154" s="79"/>
      <c r="D154" s="79"/>
      <c r="E154" s="79"/>
      <c r="F154" s="80"/>
      <c r="G154" s="81"/>
      <c r="H154" s="81"/>
      <c r="I154" s="81"/>
      <c r="J154" s="81"/>
      <c r="K154" s="81"/>
      <c r="L154" s="82"/>
      <c r="M154" s="82"/>
      <c r="N154" s="82"/>
      <c r="O154" s="82"/>
      <c r="P154" s="81"/>
      <c r="Q154" s="81"/>
      <c r="R154" s="81"/>
      <c r="S154" s="81"/>
      <c r="T154" s="82"/>
      <c r="U154" s="82"/>
      <c r="V154" s="82"/>
      <c r="W154" s="82"/>
      <c r="X154" s="81"/>
      <c r="Y154" s="81"/>
      <c r="Z154" s="81"/>
      <c r="AA154" s="82"/>
      <c r="AB154" s="82"/>
      <c r="AC154" s="83"/>
      <c r="AD154" s="82"/>
      <c r="AE154" s="67"/>
    </row>
    <row r="155" spans="1:31" ht="12.75" customHeight="1">
      <c r="A155" s="78"/>
      <c r="B155" s="79"/>
      <c r="C155" s="79"/>
      <c r="D155" s="79"/>
      <c r="E155" s="79"/>
      <c r="F155" s="80"/>
      <c r="G155" s="81"/>
      <c r="H155" s="81"/>
      <c r="I155" s="81"/>
      <c r="J155" s="81"/>
      <c r="K155" s="81"/>
      <c r="L155" s="82"/>
      <c r="M155" s="82"/>
      <c r="N155" s="82"/>
      <c r="O155" s="82"/>
      <c r="P155" s="81"/>
      <c r="Q155" s="81"/>
      <c r="R155" s="81"/>
      <c r="S155" s="81"/>
      <c r="T155" s="82"/>
      <c r="U155" s="82"/>
      <c r="V155" s="82"/>
      <c r="W155" s="82"/>
      <c r="X155" s="81"/>
      <c r="Y155" s="81"/>
      <c r="Z155" s="81"/>
      <c r="AA155" s="82"/>
      <c r="AB155" s="82"/>
      <c r="AC155" s="83"/>
      <c r="AD155" s="82"/>
      <c r="AE155" s="67"/>
    </row>
    <row r="156" spans="1:31" ht="12.75" customHeight="1">
      <c r="A156" s="78"/>
      <c r="B156" s="79"/>
      <c r="C156" s="79"/>
      <c r="D156" s="79"/>
      <c r="E156" s="79"/>
      <c r="F156" s="80"/>
      <c r="G156" s="81"/>
      <c r="H156" s="81"/>
      <c r="I156" s="81"/>
      <c r="J156" s="81"/>
      <c r="K156" s="81"/>
      <c r="L156" s="82"/>
      <c r="M156" s="82"/>
      <c r="N156" s="82"/>
      <c r="O156" s="82"/>
      <c r="P156" s="81"/>
      <c r="Q156" s="81"/>
      <c r="R156" s="81"/>
      <c r="S156" s="81"/>
      <c r="T156" s="82"/>
      <c r="U156" s="82"/>
      <c r="V156" s="82"/>
      <c r="W156" s="82"/>
      <c r="X156" s="81"/>
      <c r="Y156" s="81"/>
      <c r="Z156" s="81"/>
      <c r="AA156" s="82"/>
      <c r="AB156" s="82"/>
      <c r="AC156" s="83"/>
      <c r="AD156" s="82"/>
      <c r="AE156" s="67"/>
    </row>
    <row r="157" spans="1:31" ht="12.75" customHeight="1">
      <c r="A157" s="78"/>
      <c r="B157" s="79"/>
      <c r="C157" s="79"/>
      <c r="D157" s="79"/>
      <c r="E157" s="79"/>
      <c r="F157" s="80"/>
      <c r="G157" s="81"/>
      <c r="H157" s="81"/>
      <c r="I157" s="81"/>
      <c r="J157" s="81"/>
      <c r="K157" s="81"/>
      <c r="L157" s="82"/>
      <c r="M157" s="82"/>
      <c r="N157" s="82"/>
      <c r="O157" s="82"/>
      <c r="P157" s="81"/>
      <c r="Q157" s="81"/>
      <c r="R157" s="81"/>
      <c r="S157" s="81"/>
      <c r="T157" s="82"/>
      <c r="U157" s="82"/>
      <c r="V157" s="82"/>
      <c r="W157" s="82"/>
      <c r="X157" s="81"/>
      <c r="Y157" s="81"/>
      <c r="Z157" s="81"/>
      <c r="AA157" s="82"/>
      <c r="AB157" s="82"/>
      <c r="AC157" s="83"/>
      <c r="AD157" s="82"/>
      <c r="AE157" s="67"/>
    </row>
    <row r="158" spans="1:31" ht="12.75" customHeight="1">
      <c r="A158" s="78"/>
      <c r="B158" s="79"/>
      <c r="C158" s="79"/>
      <c r="D158" s="79"/>
      <c r="E158" s="79"/>
      <c r="F158" s="80"/>
      <c r="G158" s="81"/>
      <c r="H158" s="81"/>
      <c r="I158" s="81"/>
      <c r="J158" s="81"/>
      <c r="K158" s="81"/>
      <c r="L158" s="82"/>
      <c r="M158" s="82"/>
      <c r="N158" s="82"/>
      <c r="O158" s="82"/>
      <c r="P158" s="81"/>
      <c r="Q158" s="81"/>
      <c r="R158" s="81"/>
      <c r="S158" s="81"/>
      <c r="T158" s="82"/>
      <c r="U158" s="82"/>
      <c r="V158" s="82"/>
      <c r="W158" s="82"/>
      <c r="X158" s="81"/>
      <c r="Y158" s="81"/>
      <c r="Z158" s="81"/>
      <c r="AA158" s="82"/>
      <c r="AB158" s="82"/>
      <c r="AC158" s="83"/>
      <c r="AD158" s="82"/>
      <c r="AE158" s="67"/>
    </row>
    <row r="159" spans="1:31" ht="12.75" customHeight="1">
      <c r="A159" s="78"/>
      <c r="B159" s="79"/>
      <c r="C159" s="79"/>
      <c r="D159" s="79"/>
      <c r="E159" s="79"/>
      <c r="F159" s="80"/>
      <c r="G159" s="81"/>
      <c r="H159" s="81"/>
      <c r="I159" s="81"/>
      <c r="J159" s="81"/>
      <c r="K159" s="81"/>
      <c r="L159" s="82"/>
      <c r="M159" s="82"/>
      <c r="N159" s="82"/>
      <c r="O159" s="82"/>
      <c r="P159" s="81"/>
      <c r="Q159" s="81"/>
      <c r="R159" s="81"/>
      <c r="S159" s="81"/>
      <c r="T159" s="82"/>
      <c r="U159" s="82"/>
      <c r="V159" s="82"/>
      <c r="W159" s="82"/>
      <c r="X159" s="81"/>
      <c r="Y159" s="81"/>
      <c r="Z159" s="81"/>
      <c r="AA159" s="82"/>
      <c r="AB159" s="82"/>
      <c r="AC159" s="83"/>
      <c r="AD159" s="82"/>
      <c r="AE159" s="67"/>
    </row>
    <row r="160" spans="1:31" ht="12.75" customHeight="1">
      <c r="A160" s="78"/>
      <c r="B160" s="79"/>
      <c r="C160" s="79"/>
      <c r="D160" s="79"/>
      <c r="E160" s="79"/>
      <c r="F160" s="80"/>
      <c r="G160" s="81"/>
      <c r="H160" s="81"/>
      <c r="I160" s="81"/>
      <c r="J160" s="81"/>
      <c r="K160" s="81"/>
      <c r="L160" s="82"/>
      <c r="M160" s="82"/>
      <c r="N160" s="82"/>
      <c r="O160" s="82"/>
      <c r="P160" s="81"/>
      <c r="Q160" s="81"/>
      <c r="R160" s="81"/>
      <c r="S160" s="81"/>
      <c r="T160" s="82"/>
      <c r="U160" s="82"/>
      <c r="V160" s="82"/>
      <c r="W160" s="82"/>
      <c r="X160" s="81"/>
      <c r="Y160" s="81"/>
      <c r="Z160" s="81"/>
      <c r="AA160" s="82"/>
      <c r="AB160" s="82"/>
      <c r="AC160" s="83"/>
      <c r="AD160" s="82"/>
      <c r="AE160" s="67"/>
    </row>
    <row r="161" spans="1:31" ht="12.75" customHeight="1">
      <c r="A161" s="78"/>
      <c r="B161" s="79"/>
      <c r="C161" s="79"/>
      <c r="D161" s="79"/>
      <c r="E161" s="79"/>
      <c r="F161" s="80"/>
      <c r="G161" s="81"/>
      <c r="H161" s="81"/>
      <c r="I161" s="81"/>
      <c r="J161" s="81"/>
      <c r="K161" s="81"/>
      <c r="L161" s="82"/>
      <c r="M161" s="82"/>
      <c r="N161" s="82"/>
      <c r="O161" s="82"/>
      <c r="P161" s="81"/>
      <c r="Q161" s="81"/>
      <c r="R161" s="81"/>
      <c r="S161" s="81"/>
      <c r="T161" s="82"/>
      <c r="U161" s="82"/>
      <c r="V161" s="82"/>
      <c r="W161" s="82"/>
      <c r="X161" s="81"/>
      <c r="Y161" s="81"/>
      <c r="Z161" s="81"/>
      <c r="AA161" s="82"/>
      <c r="AB161" s="82"/>
      <c r="AC161" s="83"/>
      <c r="AD161" s="82"/>
      <c r="AE161" s="67"/>
    </row>
    <row r="162" spans="1:31" ht="12.75" customHeight="1">
      <c r="A162" s="78"/>
      <c r="B162" s="79"/>
      <c r="C162" s="79"/>
      <c r="D162" s="79"/>
      <c r="E162" s="79"/>
      <c r="F162" s="80"/>
      <c r="G162" s="81"/>
      <c r="H162" s="81"/>
      <c r="I162" s="81"/>
      <c r="J162" s="81"/>
      <c r="K162" s="81"/>
      <c r="L162" s="82"/>
      <c r="M162" s="82"/>
      <c r="N162" s="82"/>
      <c r="O162" s="82"/>
      <c r="P162" s="81"/>
      <c r="Q162" s="81"/>
      <c r="R162" s="81"/>
      <c r="S162" s="81"/>
      <c r="T162" s="82"/>
      <c r="U162" s="82"/>
      <c r="V162" s="82"/>
      <c r="W162" s="82"/>
      <c r="X162" s="81"/>
      <c r="Y162" s="81"/>
      <c r="Z162" s="81"/>
      <c r="AA162" s="82"/>
      <c r="AB162" s="82"/>
      <c r="AC162" s="83"/>
      <c r="AD162" s="82"/>
      <c r="AE162" s="67"/>
    </row>
    <row r="163" spans="1:31" ht="12.75" customHeight="1">
      <c r="A163" s="78"/>
      <c r="B163" s="79"/>
      <c r="C163" s="79"/>
      <c r="D163" s="79"/>
      <c r="E163" s="79"/>
      <c r="F163" s="80"/>
      <c r="G163" s="81"/>
      <c r="H163" s="81"/>
      <c r="I163" s="81"/>
      <c r="J163" s="81"/>
      <c r="K163" s="81"/>
      <c r="L163" s="82"/>
      <c r="M163" s="82"/>
      <c r="N163" s="82"/>
      <c r="O163" s="82"/>
      <c r="P163" s="81"/>
      <c r="Q163" s="81"/>
      <c r="R163" s="81"/>
      <c r="S163" s="81"/>
      <c r="T163" s="82"/>
      <c r="U163" s="82"/>
      <c r="V163" s="82"/>
      <c r="W163" s="82"/>
      <c r="X163" s="81"/>
      <c r="Y163" s="81"/>
      <c r="Z163" s="81"/>
      <c r="AA163" s="82"/>
      <c r="AB163" s="82"/>
      <c r="AC163" s="83"/>
      <c r="AD163" s="82"/>
      <c r="AE163" s="67"/>
    </row>
    <row r="164" spans="1:31" ht="12.75" customHeight="1">
      <c r="A164" s="78"/>
      <c r="B164" s="79"/>
      <c r="C164" s="79"/>
      <c r="D164" s="79"/>
      <c r="E164" s="79"/>
      <c r="F164" s="80"/>
      <c r="G164" s="81"/>
      <c r="H164" s="81"/>
      <c r="I164" s="81"/>
      <c r="J164" s="81"/>
      <c r="K164" s="81"/>
      <c r="L164" s="82"/>
      <c r="M164" s="82"/>
      <c r="N164" s="82"/>
      <c r="O164" s="82"/>
      <c r="P164" s="81"/>
      <c r="Q164" s="81"/>
      <c r="R164" s="81"/>
      <c r="S164" s="81"/>
      <c r="T164" s="82"/>
      <c r="U164" s="82"/>
      <c r="V164" s="82"/>
      <c r="W164" s="82"/>
      <c r="X164" s="81"/>
      <c r="Y164" s="81"/>
      <c r="Z164" s="81"/>
      <c r="AA164" s="82"/>
      <c r="AB164" s="82"/>
      <c r="AC164" s="83"/>
      <c r="AD164" s="82"/>
      <c r="AE164" s="67"/>
    </row>
    <row r="165" spans="1:31" ht="12.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47"/>
      <c r="AD165" s="23"/>
      <c r="AE165" s="67"/>
    </row>
    <row r="166" spans="1:31" ht="12.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47"/>
      <c r="AD166" s="23"/>
      <c r="AE166" s="23"/>
    </row>
    <row r="167" spans="1:31" ht="12.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47"/>
      <c r="AD167" s="23"/>
      <c r="AE167" s="23"/>
    </row>
  </sheetData>
  <mergeCells count="68">
    <mergeCell ref="T139:W139"/>
    <mergeCell ref="X139:Z139"/>
    <mergeCell ref="AA139:AC139"/>
    <mergeCell ref="P135:R135"/>
    <mergeCell ref="C139:F139"/>
    <mergeCell ref="G139:J139"/>
    <mergeCell ref="L139:O139"/>
    <mergeCell ref="P139:S139"/>
    <mergeCell ref="C134:E134"/>
    <mergeCell ref="F134:H134"/>
    <mergeCell ref="I134:L134"/>
    <mergeCell ref="M134:O134"/>
    <mergeCell ref="P134:R134"/>
    <mergeCell ref="C133:E133"/>
    <mergeCell ref="F133:H133"/>
    <mergeCell ref="I133:L133"/>
    <mergeCell ref="M133:O133"/>
    <mergeCell ref="P133:R133"/>
    <mergeCell ref="C132:E132"/>
    <mergeCell ref="F132:H132"/>
    <mergeCell ref="I132:L132"/>
    <mergeCell ref="M132:O132"/>
    <mergeCell ref="P132:R132"/>
    <mergeCell ref="C131:E131"/>
    <mergeCell ref="F131:H131"/>
    <mergeCell ref="I131:L131"/>
    <mergeCell ref="M131:O131"/>
    <mergeCell ref="P131:R131"/>
    <mergeCell ref="C130:E130"/>
    <mergeCell ref="F130:H130"/>
    <mergeCell ref="I130:L130"/>
    <mergeCell ref="M130:O130"/>
    <mergeCell ref="P130:R130"/>
    <mergeCell ref="C129:E129"/>
    <mergeCell ref="F129:H129"/>
    <mergeCell ref="I129:L129"/>
    <mergeCell ref="M129:O129"/>
    <mergeCell ref="P129:R129"/>
    <mergeCell ref="C128:E128"/>
    <mergeCell ref="F128:H128"/>
    <mergeCell ref="I128:L128"/>
    <mergeCell ref="M128:O128"/>
    <mergeCell ref="P128:R128"/>
    <mergeCell ref="C127:E127"/>
    <mergeCell ref="F127:H127"/>
    <mergeCell ref="I127:L127"/>
    <mergeCell ref="M127:O127"/>
    <mergeCell ref="P127:R127"/>
    <mergeCell ref="C126:E126"/>
    <mergeCell ref="F126:H126"/>
    <mergeCell ref="I126:L126"/>
    <mergeCell ref="M126:O126"/>
    <mergeCell ref="P126:R126"/>
    <mergeCell ref="V124:X124"/>
    <mergeCell ref="C125:E125"/>
    <mergeCell ref="F125:H125"/>
    <mergeCell ref="I125:L125"/>
    <mergeCell ref="M125:O125"/>
    <mergeCell ref="P125:R125"/>
    <mergeCell ref="M1:N1"/>
    <mergeCell ref="O1:U1"/>
    <mergeCell ref="I122:L122"/>
    <mergeCell ref="M122:O122"/>
    <mergeCell ref="C124:E124"/>
    <mergeCell ref="F124:H124"/>
    <mergeCell ref="I124:L124"/>
    <mergeCell ref="M124:O124"/>
    <mergeCell ref="P124:R124"/>
  </mergeCells>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heetPr>
  <dimension ref="A1:AE167"/>
  <sheetViews>
    <sheetView tabSelected="1" zoomScaleNormal="100" workbookViewId="0"/>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ustomHeight="1">
      <c r="A1" s="12" t="s">
        <v>0</v>
      </c>
      <c r="B1" s="13" t="s">
        <v>1</v>
      </c>
      <c r="C1" s="13" t="s">
        <v>2</v>
      </c>
      <c r="D1" s="13" t="s">
        <v>3</v>
      </c>
      <c r="E1" s="13" t="s">
        <v>4</v>
      </c>
      <c r="F1" s="13" t="s">
        <v>5</v>
      </c>
      <c r="G1" s="13" t="s">
        <v>6</v>
      </c>
      <c r="H1" s="13" t="s">
        <v>7</v>
      </c>
      <c r="I1" s="13" t="s">
        <v>8</v>
      </c>
      <c r="J1" s="13" t="s">
        <v>9</v>
      </c>
      <c r="K1" s="13" t="s">
        <v>10</v>
      </c>
      <c r="L1" s="14"/>
      <c r="M1" s="11" t="s">
        <v>11</v>
      </c>
      <c r="N1" s="11"/>
      <c r="O1" s="10" t="s">
        <v>12</v>
      </c>
      <c r="P1" s="10"/>
      <c r="Q1" s="10"/>
      <c r="R1" s="10"/>
      <c r="S1" s="10"/>
      <c r="T1" s="10"/>
      <c r="U1" s="10"/>
      <c r="V1" s="14"/>
      <c r="W1" s="15">
        <v>46049</v>
      </c>
      <c r="X1" s="14"/>
      <c r="Y1" s="16">
        <f>SUMIFS(Y2:Y120,L2:L120,"&lt;&gt;"&amp;"")</f>
        <v>0</v>
      </c>
      <c r="Z1" s="14" t="s">
        <v>13</v>
      </c>
      <c r="AA1" s="17" t="s">
        <v>14</v>
      </c>
      <c r="AB1" s="18" t="s">
        <v>15</v>
      </c>
      <c r="AC1" s="19">
        <f>SUM(AC2:AC120)</f>
        <v>0</v>
      </c>
      <c r="AD1" s="14"/>
      <c r="AE1" s="14"/>
    </row>
    <row r="2" spans="1:31" ht="15.75" customHeight="1">
      <c r="A2" s="20">
        <f t="shared" ref="A2:A33" si="0">(B2*$P$125+C2*$P$126+D2*$P$127+E2*$P$128+F2*$P$129+G2*$P$130+H2*$P$131+I2*$P$132+J2*$P$133+K2*$P$134)*$T$123</f>
        <v>0</v>
      </c>
      <c r="B2" s="21"/>
      <c r="C2" s="22"/>
      <c r="D2" s="22"/>
      <c r="E2" s="22"/>
      <c r="F2" s="22"/>
      <c r="G2" s="22"/>
      <c r="H2" s="22"/>
      <c r="I2" s="22"/>
      <c r="J2" s="23"/>
      <c r="K2" s="23"/>
      <c r="L2" s="24" t="s">
        <v>16</v>
      </c>
      <c r="M2" s="25"/>
      <c r="N2" s="26"/>
      <c r="O2" s="26"/>
      <c r="P2" s="26"/>
      <c r="Q2" s="26"/>
      <c r="R2" s="26"/>
      <c r="S2" s="26"/>
      <c r="T2" s="26"/>
      <c r="U2" s="26"/>
      <c r="V2" s="26"/>
      <c r="W2" s="26"/>
      <c r="X2" s="26">
        <f>COUNTIF($L$2:L2,"&lt;&gt;"&amp;"")</f>
        <v>1</v>
      </c>
      <c r="Y2" s="27">
        <f t="shared" ref="Y2:Y33" si="1">SUMIF($X$2:$X$120,X2,$A$2:$A$120)</f>
        <v>0</v>
      </c>
      <c r="Z2" s="28"/>
      <c r="AA2" s="29"/>
      <c r="AB2" s="30" t="b">
        <f>TRUE()</f>
        <v>1</v>
      </c>
      <c r="AC2" s="31">
        <f t="shared" ref="AC2:AC33" si="2">IF(L2="",0,IF(AB2=FALSE(),0,Y2))</f>
        <v>0</v>
      </c>
      <c r="AD2" s="23"/>
      <c r="AE2" s="23"/>
    </row>
    <row r="3" spans="1:31" ht="15.75" customHeight="1">
      <c r="A3" s="20">
        <f t="shared" si="0"/>
        <v>0</v>
      </c>
      <c r="B3" s="22"/>
      <c r="C3" s="21"/>
      <c r="D3" s="21"/>
      <c r="E3" s="22"/>
      <c r="F3" s="22"/>
      <c r="G3" s="22"/>
      <c r="H3" s="22"/>
      <c r="I3" s="22"/>
      <c r="J3" s="23"/>
      <c r="K3" s="23"/>
      <c r="L3" s="24" t="s">
        <v>17</v>
      </c>
      <c r="M3" s="26"/>
      <c r="N3" s="26"/>
      <c r="O3" s="26"/>
      <c r="P3" s="26"/>
      <c r="Q3" s="26"/>
      <c r="R3" s="26"/>
      <c r="S3" s="26"/>
      <c r="T3" s="26"/>
      <c r="U3" s="26"/>
      <c r="V3" s="26"/>
      <c r="W3" s="26"/>
      <c r="X3" s="26">
        <f>COUNTIF($L$2:L3,"&lt;&gt;"&amp;"")</f>
        <v>2</v>
      </c>
      <c r="Y3" s="27">
        <f t="shared" si="1"/>
        <v>0</v>
      </c>
      <c r="Z3" s="28"/>
      <c r="AA3" s="29"/>
      <c r="AB3" s="30" t="b">
        <f>TRUE()</f>
        <v>1</v>
      </c>
      <c r="AC3" s="31">
        <f t="shared" si="2"/>
        <v>0</v>
      </c>
      <c r="AD3" s="23"/>
      <c r="AE3" s="23"/>
    </row>
    <row r="4" spans="1:31" ht="15.75" customHeight="1">
      <c r="A4" s="20">
        <f t="shared" si="0"/>
        <v>0</v>
      </c>
      <c r="B4" s="22"/>
      <c r="C4" s="22"/>
      <c r="D4" s="22"/>
      <c r="E4" s="22"/>
      <c r="F4" s="22"/>
      <c r="G4" s="22"/>
      <c r="H4" s="21"/>
      <c r="I4" s="22"/>
      <c r="J4" s="23"/>
      <c r="K4" s="23"/>
      <c r="L4" s="24" t="s">
        <v>18</v>
      </c>
      <c r="M4" s="26"/>
      <c r="N4" s="26"/>
      <c r="O4" s="26"/>
      <c r="P4" s="26"/>
      <c r="Q4" s="26"/>
      <c r="R4" s="26"/>
      <c r="S4" s="26"/>
      <c r="T4" s="26"/>
      <c r="U4" s="26"/>
      <c r="V4" s="26"/>
      <c r="W4" s="26"/>
      <c r="X4" s="26">
        <f>COUNTIF($L$2:L4,"&lt;&gt;"&amp;"")</f>
        <v>3</v>
      </c>
      <c r="Y4" s="27">
        <f t="shared" si="1"/>
        <v>0</v>
      </c>
      <c r="Z4" s="28"/>
      <c r="AA4" s="32"/>
      <c r="AB4" s="30" t="b">
        <f>TRUE()</f>
        <v>1</v>
      </c>
      <c r="AC4" s="31">
        <f t="shared" si="2"/>
        <v>0</v>
      </c>
      <c r="AD4" s="23"/>
      <c r="AE4" s="23"/>
    </row>
    <row r="5" spans="1:31" ht="15.75" customHeight="1">
      <c r="A5" s="20">
        <f t="shared" si="0"/>
        <v>0</v>
      </c>
      <c r="B5" s="23"/>
      <c r="C5" s="23"/>
      <c r="D5" s="23"/>
      <c r="E5" s="23"/>
      <c r="F5" s="23"/>
      <c r="G5" s="23"/>
      <c r="H5" s="23"/>
      <c r="I5" s="23"/>
      <c r="J5" s="23"/>
      <c r="K5" s="23"/>
      <c r="L5" s="24" t="s">
        <v>19</v>
      </c>
      <c r="M5" s="26"/>
      <c r="N5" s="26"/>
      <c r="O5" s="26"/>
      <c r="P5" s="26"/>
      <c r="Q5" s="26"/>
      <c r="R5" s="26"/>
      <c r="S5" s="26"/>
      <c r="T5" s="26"/>
      <c r="U5" s="26"/>
      <c r="V5" s="26"/>
      <c r="W5" s="26"/>
      <c r="X5" s="26">
        <f>COUNTIF($L$2:L5,"&lt;&gt;"&amp;"")</f>
        <v>4</v>
      </c>
      <c r="Y5" s="27">
        <f t="shared" si="1"/>
        <v>0</v>
      </c>
      <c r="Z5" s="28"/>
      <c r="AA5" s="32"/>
      <c r="AB5" s="30" t="b">
        <f>TRUE()</f>
        <v>1</v>
      </c>
      <c r="AC5" s="31">
        <f t="shared" si="2"/>
        <v>0</v>
      </c>
      <c r="AD5" s="23"/>
      <c r="AE5" s="23"/>
    </row>
    <row r="6" spans="1:31" ht="15" customHeight="1">
      <c r="A6" s="20">
        <f t="shared" si="0"/>
        <v>0</v>
      </c>
      <c r="B6" s="23"/>
      <c r="C6" s="23"/>
      <c r="D6" s="23"/>
      <c r="E6" s="23"/>
      <c r="F6" s="23"/>
      <c r="G6" s="23"/>
      <c r="H6" s="23"/>
      <c r="I6" s="23"/>
      <c r="J6" s="23"/>
      <c r="K6" s="23"/>
      <c r="L6" s="33"/>
      <c r="M6" s="26"/>
      <c r="N6" s="26"/>
      <c r="O6" s="26"/>
      <c r="P6" s="26"/>
      <c r="Q6" s="26"/>
      <c r="R6" s="26"/>
      <c r="S6" s="26"/>
      <c r="T6" s="26"/>
      <c r="U6" s="26"/>
      <c r="V6" s="26"/>
      <c r="W6" s="26"/>
      <c r="X6" s="26">
        <f>COUNTIF($L$2:L6,"&lt;&gt;"&amp;"")</f>
        <v>4</v>
      </c>
      <c r="Y6" s="27">
        <f t="shared" si="1"/>
        <v>0</v>
      </c>
      <c r="Z6" s="28"/>
      <c r="AA6" s="29"/>
      <c r="AB6" s="30" t="b">
        <f>TRUE()</f>
        <v>1</v>
      </c>
      <c r="AC6" s="31">
        <f t="shared" si="2"/>
        <v>0</v>
      </c>
      <c r="AD6" s="23"/>
      <c r="AE6" s="23"/>
    </row>
    <row r="7" spans="1:31" ht="15" customHeight="1">
      <c r="A7" s="20">
        <f t="shared" si="0"/>
        <v>0</v>
      </c>
      <c r="B7" s="23"/>
      <c r="C7" s="23"/>
      <c r="D7" s="23"/>
      <c r="E7" s="23"/>
      <c r="F7" s="23"/>
      <c r="G7" s="23"/>
      <c r="H7" s="23"/>
      <c r="I7" s="23"/>
      <c r="J7" s="23"/>
      <c r="K7" s="23"/>
      <c r="L7" s="33"/>
      <c r="M7" s="26"/>
      <c r="N7" s="26"/>
      <c r="O7" s="26"/>
      <c r="P7" s="26"/>
      <c r="Q7" s="26"/>
      <c r="R7" s="26"/>
      <c r="S7" s="26"/>
      <c r="T7" s="26"/>
      <c r="U7" s="26"/>
      <c r="V7" s="26"/>
      <c r="W7" s="26"/>
      <c r="X7" s="26">
        <f>COUNTIF($L$2:L7,"&lt;&gt;"&amp;"")</f>
        <v>4</v>
      </c>
      <c r="Y7" s="27">
        <f t="shared" si="1"/>
        <v>0</v>
      </c>
      <c r="Z7" s="28"/>
      <c r="AA7" s="32"/>
      <c r="AB7" s="30" t="b">
        <f>TRUE()</f>
        <v>1</v>
      </c>
      <c r="AC7" s="31">
        <f t="shared" si="2"/>
        <v>0</v>
      </c>
      <c r="AD7" s="23"/>
      <c r="AE7" s="23"/>
    </row>
    <row r="8" spans="1:31" ht="15.75" customHeight="1">
      <c r="A8" s="20">
        <f t="shared" si="0"/>
        <v>0</v>
      </c>
      <c r="B8" s="23"/>
      <c r="C8" s="23"/>
      <c r="D8" s="23"/>
      <c r="E8" s="23"/>
      <c r="F8" s="23"/>
      <c r="G8" s="23"/>
      <c r="H8" s="23"/>
      <c r="I8" s="23"/>
      <c r="J8" s="23"/>
      <c r="K8" s="23"/>
      <c r="L8" s="34" t="s">
        <v>132</v>
      </c>
      <c r="M8" s="26"/>
      <c r="N8" s="26"/>
      <c r="O8" s="26"/>
      <c r="P8" s="26"/>
      <c r="Q8" s="26"/>
      <c r="R8" s="26"/>
      <c r="S8" s="26"/>
      <c r="T8" s="26"/>
      <c r="U8" s="26"/>
      <c r="V8" s="26"/>
      <c r="W8" s="26"/>
      <c r="X8" s="26">
        <f>COUNTIF($L$2:L8,"&lt;&gt;"&amp;"")</f>
        <v>5</v>
      </c>
      <c r="Y8" s="27">
        <f t="shared" si="1"/>
        <v>0</v>
      </c>
      <c r="Z8" s="28"/>
      <c r="AA8" s="29"/>
      <c r="AB8" s="30" t="b">
        <f>TRUE()</f>
        <v>1</v>
      </c>
      <c r="AC8" s="31">
        <f t="shared" si="2"/>
        <v>0</v>
      </c>
      <c r="AD8" s="35"/>
      <c r="AE8" s="35"/>
    </row>
    <row r="9" spans="1:31" ht="12.75" customHeight="1">
      <c r="A9" s="20">
        <f t="shared" si="0"/>
        <v>0</v>
      </c>
      <c r="B9" s="23"/>
      <c r="C9" s="23"/>
      <c r="D9" s="23"/>
      <c r="E9" s="23"/>
      <c r="F9" s="23"/>
      <c r="G9" s="23"/>
      <c r="H9" s="23"/>
      <c r="I9" s="23"/>
      <c r="J9" s="23"/>
      <c r="K9" s="23"/>
      <c r="L9" s="26"/>
      <c r="M9" s="36" t="s">
        <v>133</v>
      </c>
      <c r="N9" s="26"/>
      <c r="O9" s="26"/>
      <c r="P9" s="26"/>
      <c r="Q9" s="26"/>
      <c r="R9" s="26"/>
      <c r="S9" s="26"/>
      <c r="T9" s="26"/>
      <c r="U9" s="26"/>
      <c r="V9" s="26"/>
      <c r="W9" s="26"/>
      <c r="X9" s="26">
        <f>COUNTIF($L$2:L9,"&lt;&gt;"&amp;"")</f>
        <v>5</v>
      </c>
      <c r="Y9" s="27">
        <f t="shared" si="1"/>
        <v>0</v>
      </c>
      <c r="Z9" s="28"/>
      <c r="AA9" s="29"/>
      <c r="AB9" s="30" t="b">
        <f>TRUE()</f>
        <v>1</v>
      </c>
      <c r="AC9" s="31">
        <f t="shared" si="2"/>
        <v>0</v>
      </c>
      <c r="AD9" s="35"/>
      <c r="AE9" s="35"/>
    </row>
    <row r="10" spans="1:31" ht="12.75" customHeight="1">
      <c r="A10" s="20">
        <f t="shared" si="0"/>
        <v>0</v>
      </c>
      <c r="B10" s="23"/>
      <c r="C10" s="23"/>
      <c r="D10" s="23"/>
      <c r="E10" s="23"/>
      <c r="F10" s="23"/>
      <c r="G10" s="23"/>
      <c r="H10" s="23"/>
      <c r="I10" s="23"/>
      <c r="J10" s="23"/>
      <c r="K10" s="23"/>
      <c r="L10" s="26"/>
      <c r="M10" s="26"/>
      <c r="N10" s="37" t="s">
        <v>134</v>
      </c>
      <c r="O10" s="26"/>
      <c r="P10" s="26"/>
      <c r="Q10" s="26"/>
      <c r="R10" s="26"/>
      <c r="S10" s="26"/>
      <c r="T10" s="26"/>
      <c r="U10" s="26"/>
      <c r="V10" s="26"/>
      <c r="W10" s="26"/>
      <c r="X10" s="26">
        <f>COUNTIF($L$2:L10,"&lt;&gt;"&amp;"")</f>
        <v>5</v>
      </c>
      <c r="Y10" s="27">
        <f t="shared" si="1"/>
        <v>0</v>
      </c>
      <c r="Z10" s="28"/>
      <c r="AA10" s="29"/>
      <c r="AB10" s="30" t="b">
        <f>TRUE()</f>
        <v>1</v>
      </c>
      <c r="AC10" s="31">
        <f t="shared" si="2"/>
        <v>0</v>
      </c>
      <c r="AD10" s="35"/>
      <c r="AE10" s="35"/>
    </row>
    <row r="11" spans="1:31" ht="12.75" customHeight="1">
      <c r="A11" s="20">
        <f t="shared" si="0"/>
        <v>0</v>
      </c>
      <c r="B11" s="23"/>
      <c r="C11" s="23"/>
      <c r="D11" s="23"/>
      <c r="E11" s="23"/>
      <c r="F11" s="23"/>
      <c r="G11" s="23"/>
      <c r="H11" s="23"/>
      <c r="I11" s="23"/>
      <c r="J11" s="23"/>
      <c r="K11" s="23"/>
      <c r="L11" s="26"/>
      <c r="M11" s="36" t="s">
        <v>135</v>
      </c>
      <c r="N11" s="38"/>
      <c r="O11" s="26"/>
      <c r="P11" s="26"/>
      <c r="Q11" s="26"/>
      <c r="R11" s="26"/>
      <c r="S11" s="26"/>
      <c r="T11" s="26"/>
      <c r="U11" s="26"/>
      <c r="V11" s="26"/>
      <c r="W11" s="26"/>
      <c r="X11" s="26">
        <f>COUNTIF($L$2:L11,"&lt;&gt;"&amp;"")</f>
        <v>5</v>
      </c>
      <c r="Y11" s="27">
        <f t="shared" si="1"/>
        <v>0</v>
      </c>
      <c r="Z11" s="28"/>
      <c r="AA11" s="29"/>
      <c r="AB11" s="30" t="b">
        <f>TRUE()</f>
        <v>1</v>
      </c>
      <c r="AC11" s="31">
        <f t="shared" si="2"/>
        <v>0</v>
      </c>
      <c r="AD11" s="35"/>
      <c r="AE11" s="35"/>
    </row>
    <row r="12" spans="1:31" ht="12.75" customHeight="1">
      <c r="A12" s="20">
        <f t="shared" si="0"/>
        <v>0</v>
      </c>
      <c r="B12" s="23"/>
      <c r="C12" s="23"/>
      <c r="D12" s="23"/>
      <c r="E12" s="23"/>
      <c r="F12" s="23"/>
      <c r="G12" s="23"/>
      <c r="H12" s="23"/>
      <c r="I12" s="23"/>
      <c r="J12" s="23"/>
      <c r="K12" s="23"/>
      <c r="L12" s="26"/>
      <c r="M12" s="39"/>
      <c r="N12" s="37" t="s">
        <v>136</v>
      </c>
      <c r="O12" s="26"/>
      <c r="P12" s="26"/>
      <c r="Q12" s="26"/>
      <c r="R12" s="26"/>
      <c r="S12" s="26"/>
      <c r="T12" s="26"/>
      <c r="U12" s="26"/>
      <c r="V12" s="26"/>
      <c r="W12" s="26"/>
      <c r="X12" s="26">
        <f>COUNTIF($L$2:L12,"&lt;&gt;"&amp;"")</f>
        <v>5</v>
      </c>
      <c r="Y12" s="27">
        <f t="shared" si="1"/>
        <v>0</v>
      </c>
      <c r="Z12" s="28"/>
      <c r="AA12" s="29"/>
      <c r="AB12" s="30" t="b">
        <f>TRUE()</f>
        <v>1</v>
      </c>
      <c r="AC12" s="31">
        <f t="shared" si="2"/>
        <v>0</v>
      </c>
      <c r="AD12" s="35"/>
      <c r="AE12" s="35"/>
    </row>
    <row r="13" spans="1:31" ht="12.75" customHeight="1">
      <c r="A13" s="20">
        <f t="shared" si="0"/>
        <v>0</v>
      </c>
      <c r="B13" s="23"/>
      <c r="C13" s="23"/>
      <c r="D13" s="23"/>
      <c r="E13" s="23"/>
      <c r="F13" s="23"/>
      <c r="G13" s="23"/>
      <c r="H13" s="23"/>
      <c r="I13" s="23"/>
      <c r="J13" s="23"/>
      <c r="K13" s="23"/>
      <c r="L13" s="26"/>
      <c r="M13" s="26"/>
      <c r="N13" s="38"/>
      <c r="O13" s="26"/>
      <c r="P13" s="26"/>
      <c r="Q13" s="26"/>
      <c r="R13" s="26"/>
      <c r="S13" s="26"/>
      <c r="T13" s="26"/>
      <c r="U13" s="26"/>
      <c r="V13" s="26"/>
      <c r="W13" s="26"/>
      <c r="X13" s="26">
        <f>COUNTIF($L$2:L13,"&lt;&gt;"&amp;"")</f>
        <v>5</v>
      </c>
      <c r="Y13" s="27">
        <f t="shared" si="1"/>
        <v>0</v>
      </c>
      <c r="Z13" s="28"/>
      <c r="AA13" s="29"/>
      <c r="AB13" s="30" t="b">
        <f>TRUE()</f>
        <v>1</v>
      </c>
      <c r="AC13" s="31">
        <f t="shared" si="2"/>
        <v>0</v>
      </c>
      <c r="AD13" s="35"/>
      <c r="AE13" s="35"/>
    </row>
    <row r="14" spans="1:31" ht="15" customHeight="1">
      <c r="A14" s="20">
        <f t="shared" si="0"/>
        <v>0</v>
      </c>
      <c r="B14" s="23"/>
      <c r="C14" s="23"/>
      <c r="D14" s="23"/>
      <c r="E14" s="23"/>
      <c r="F14" s="23"/>
      <c r="G14" s="23"/>
      <c r="H14" s="23"/>
      <c r="I14" s="23"/>
      <c r="J14" s="23"/>
      <c r="K14" s="23"/>
      <c r="L14" s="33"/>
      <c r="M14" s="26"/>
      <c r="N14" s="38"/>
      <c r="O14" s="26"/>
      <c r="P14" s="26"/>
      <c r="Q14" s="26"/>
      <c r="R14" s="26"/>
      <c r="S14" s="26"/>
      <c r="T14" s="26"/>
      <c r="U14" s="26"/>
      <c r="V14" s="26"/>
      <c r="W14" s="26"/>
      <c r="X14" s="26">
        <f>COUNTIF($L$2:L14,"&lt;&gt;"&amp;"")</f>
        <v>5</v>
      </c>
      <c r="Y14" s="27">
        <f t="shared" si="1"/>
        <v>0</v>
      </c>
      <c r="Z14" s="28"/>
      <c r="AA14" s="29"/>
      <c r="AB14" s="30" t="b">
        <f>TRUE()</f>
        <v>1</v>
      </c>
      <c r="AC14" s="31">
        <f t="shared" si="2"/>
        <v>0</v>
      </c>
      <c r="AD14" s="35"/>
      <c r="AE14" s="35"/>
    </row>
    <row r="15" spans="1:31" ht="12.75" customHeight="1">
      <c r="A15" s="20">
        <f t="shared" si="0"/>
        <v>0</v>
      </c>
      <c r="B15" s="23"/>
      <c r="C15" s="23"/>
      <c r="D15" s="23"/>
      <c r="E15" s="23"/>
      <c r="F15" s="23"/>
      <c r="G15" s="23"/>
      <c r="H15" s="23"/>
      <c r="I15" s="23"/>
      <c r="J15" s="23"/>
      <c r="K15" s="23"/>
      <c r="L15" s="26"/>
      <c r="M15" s="26"/>
      <c r="N15" s="26"/>
      <c r="O15" s="26"/>
      <c r="P15" s="26"/>
      <c r="Q15" s="26"/>
      <c r="R15" s="26"/>
      <c r="S15" s="26"/>
      <c r="T15" s="26"/>
      <c r="U15" s="26"/>
      <c r="V15" s="26"/>
      <c r="W15" s="26"/>
      <c r="X15" s="26">
        <f>COUNTIF($L$2:L15,"&lt;&gt;"&amp;"")</f>
        <v>5</v>
      </c>
      <c r="Y15" s="27">
        <f t="shared" si="1"/>
        <v>0</v>
      </c>
      <c r="Z15" s="28"/>
      <c r="AA15" s="29"/>
      <c r="AB15" s="30" t="b">
        <f>TRUE()</f>
        <v>1</v>
      </c>
      <c r="AC15" s="31">
        <f t="shared" si="2"/>
        <v>0</v>
      </c>
      <c r="AD15" s="35"/>
      <c r="AE15" s="35"/>
    </row>
    <row r="16" spans="1:31" ht="12.75" customHeight="1">
      <c r="A16" s="20">
        <f t="shared" si="0"/>
        <v>0</v>
      </c>
      <c r="B16" s="23"/>
      <c r="C16" s="23"/>
      <c r="D16" s="23"/>
      <c r="E16" s="23"/>
      <c r="F16" s="23"/>
      <c r="G16" s="23"/>
      <c r="H16" s="23"/>
      <c r="I16" s="23"/>
      <c r="J16" s="23"/>
      <c r="K16" s="23"/>
      <c r="L16" s="26"/>
      <c r="M16" s="26"/>
      <c r="N16" s="26"/>
      <c r="O16" s="26"/>
      <c r="P16" s="26"/>
      <c r="Q16" s="26"/>
      <c r="R16" s="26"/>
      <c r="S16" s="26"/>
      <c r="T16" s="26"/>
      <c r="U16" s="26"/>
      <c r="V16" s="26"/>
      <c r="W16" s="26"/>
      <c r="X16" s="26">
        <f>COUNTIF($L$2:L16,"&lt;&gt;"&amp;"")</f>
        <v>5</v>
      </c>
      <c r="Y16" s="27">
        <f t="shared" si="1"/>
        <v>0</v>
      </c>
      <c r="Z16" s="28"/>
      <c r="AA16" s="29"/>
      <c r="AB16" s="30" t="b">
        <f>TRUE()</f>
        <v>1</v>
      </c>
      <c r="AC16" s="31">
        <f t="shared" si="2"/>
        <v>0</v>
      </c>
      <c r="AD16" s="35"/>
      <c r="AE16" s="35"/>
    </row>
    <row r="17" spans="1:31" ht="12.75" customHeight="1">
      <c r="A17" s="20">
        <f t="shared" si="0"/>
        <v>0</v>
      </c>
      <c r="B17" s="23"/>
      <c r="C17" s="23"/>
      <c r="D17" s="23"/>
      <c r="E17" s="23"/>
      <c r="F17" s="23"/>
      <c r="G17" s="23"/>
      <c r="H17" s="23"/>
      <c r="I17" s="23"/>
      <c r="J17" s="23"/>
      <c r="K17" s="23"/>
      <c r="L17" s="26"/>
      <c r="M17" s="26"/>
      <c r="N17" s="26"/>
      <c r="O17" s="26"/>
      <c r="P17" s="26"/>
      <c r="Q17" s="26"/>
      <c r="R17" s="26"/>
      <c r="S17" s="26"/>
      <c r="T17" s="26"/>
      <c r="U17" s="26"/>
      <c r="V17" s="26"/>
      <c r="W17" s="26"/>
      <c r="X17" s="26">
        <f>COUNTIF($L$2:L17,"&lt;&gt;"&amp;"")</f>
        <v>5</v>
      </c>
      <c r="Y17" s="27">
        <f t="shared" si="1"/>
        <v>0</v>
      </c>
      <c r="Z17" s="28"/>
      <c r="AA17" s="29"/>
      <c r="AB17" s="30" t="b">
        <f>TRUE()</f>
        <v>1</v>
      </c>
      <c r="AC17" s="31">
        <f t="shared" si="2"/>
        <v>0</v>
      </c>
      <c r="AD17" s="35"/>
      <c r="AE17" s="35"/>
    </row>
    <row r="18" spans="1:31" ht="12.75" customHeight="1">
      <c r="A18" s="20">
        <f t="shared" si="0"/>
        <v>0</v>
      </c>
      <c r="B18" s="23"/>
      <c r="C18" s="23"/>
      <c r="D18" s="23"/>
      <c r="E18" s="23"/>
      <c r="F18" s="23"/>
      <c r="G18" s="23"/>
      <c r="H18" s="23"/>
      <c r="I18" s="23"/>
      <c r="J18" s="23"/>
      <c r="K18" s="23"/>
      <c r="L18" s="26"/>
      <c r="M18" s="26"/>
      <c r="N18" s="26"/>
      <c r="O18" s="26"/>
      <c r="P18" s="26"/>
      <c r="Q18" s="26"/>
      <c r="R18" s="26"/>
      <c r="S18" s="26"/>
      <c r="T18" s="26"/>
      <c r="U18" s="26"/>
      <c r="V18" s="26"/>
      <c r="W18" s="26"/>
      <c r="X18" s="26">
        <f>COUNTIF($L$2:L18,"&lt;&gt;"&amp;"")</f>
        <v>5</v>
      </c>
      <c r="Y18" s="27">
        <f t="shared" si="1"/>
        <v>0</v>
      </c>
      <c r="Z18" s="28"/>
      <c r="AA18" s="29"/>
      <c r="AB18" s="30" t="b">
        <f>TRUE()</f>
        <v>1</v>
      </c>
      <c r="AC18" s="31">
        <f t="shared" si="2"/>
        <v>0</v>
      </c>
      <c r="AD18" s="35"/>
      <c r="AE18" s="35"/>
    </row>
    <row r="19" spans="1:31" ht="15" customHeight="1">
      <c r="A19" s="20">
        <f t="shared" si="0"/>
        <v>0</v>
      </c>
      <c r="B19" s="23"/>
      <c r="C19" s="23"/>
      <c r="D19" s="23"/>
      <c r="E19" s="23"/>
      <c r="F19" s="23"/>
      <c r="G19" s="23"/>
      <c r="H19" s="23"/>
      <c r="I19" s="23"/>
      <c r="J19" s="23"/>
      <c r="K19" s="23"/>
      <c r="L19" s="33"/>
      <c r="M19" s="26"/>
      <c r="N19" s="26"/>
      <c r="O19" s="26"/>
      <c r="P19" s="26"/>
      <c r="Q19" s="26"/>
      <c r="R19" s="26"/>
      <c r="S19" s="26"/>
      <c r="T19" s="26"/>
      <c r="U19" s="26"/>
      <c r="V19" s="26"/>
      <c r="W19" s="26"/>
      <c r="X19" s="26">
        <f>COUNTIF($L$2:L19,"&lt;&gt;"&amp;"")</f>
        <v>5</v>
      </c>
      <c r="Y19" s="27">
        <f t="shared" si="1"/>
        <v>0</v>
      </c>
      <c r="Z19" s="28"/>
      <c r="AA19" s="29"/>
      <c r="AB19" s="30" t="b">
        <f>TRUE()</f>
        <v>1</v>
      </c>
      <c r="AC19" s="31">
        <f t="shared" si="2"/>
        <v>0</v>
      </c>
      <c r="AD19" s="35"/>
      <c r="AE19" s="35"/>
    </row>
    <row r="20" spans="1:31" ht="12.75" customHeight="1">
      <c r="A20" s="20">
        <f t="shared" si="0"/>
        <v>0</v>
      </c>
      <c r="B20" s="23"/>
      <c r="C20" s="23"/>
      <c r="D20" s="23"/>
      <c r="E20" s="23"/>
      <c r="F20" s="23"/>
      <c r="G20" s="23"/>
      <c r="H20" s="23"/>
      <c r="I20" s="23"/>
      <c r="J20" s="23"/>
      <c r="K20" s="23"/>
      <c r="L20" s="26"/>
      <c r="M20" s="26"/>
      <c r="N20" s="26"/>
      <c r="O20" s="26"/>
      <c r="P20" s="26"/>
      <c r="Q20" s="26"/>
      <c r="R20" s="26"/>
      <c r="S20" s="26"/>
      <c r="T20" s="26"/>
      <c r="U20" s="26"/>
      <c r="V20" s="26"/>
      <c r="W20" s="26"/>
      <c r="X20" s="26">
        <f>COUNTIF($L$2:L20,"&lt;&gt;"&amp;"")</f>
        <v>5</v>
      </c>
      <c r="Y20" s="27">
        <f t="shared" si="1"/>
        <v>0</v>
      </c>
      <c r="Z20" s="28"/>
      <c r="AA20" s="29"/>
      <c r="AB20" s="30" t="b">
        <f>TRUE()</f>
        <v>1</v>
      </c>
      <c r="AC20" s="31">
        <f t="shared" si="2"/>
        <v>0</v>
      </c>
      <c r="AD20" s="35"/>
      <c r="AE20" s="35"/>
    </row>
    <row r="21" spans="1:31" ht="12.75" customHeight="1">
      <c r="A21" s="20">
        <f t="shared" si="0"/>
        <v>0</v>
      </c>
      <c r="B21" s="23"/>
      <c r="C21" s="23"/>
      <c r="D21" s="23"/>
      <c r="E21" s="23"/>
      <c r="F21" s="23"/>
      <c r="G21" s="23"/>
      <c r="H21" s="23"/>
      <c r="I21" s="23"/>
      <c r="J21" s="23"/>
      <c r="K21" s="23"/>
      <c r="L21" s="26"/>
      <c r="M21" s="26"/>
      <c r="N21" s="26"/>
      <c r="O21" s="26"/>
      <c r="P21" s="26"/>
      <c r="Q21" s="26"/>
      <c r="R21" s="26"/>
      <c r="S21" s="26"/>
      <c r="T21" s="26"/>
      <c r="U21" s="26"/>
      <c r="V21" s="26"/>
      <c r="W21" s="26"/>
      <c r="X21" s="26">
        <f>COUNTIF($L$2:L21,"&lt;&gt;"&amp;"")</f>
        <v>5</v>
      </c>
      <c r="Y21" s="27">
        <f t="shared" si="1"/>
        <v>0</v>
      </c>
      <c r="Z21" s="28"/>
      <c r="AA21" s="29"/>
      <c r="AB21" s="30" t="b">
        <f>TRUE()</f>
        <v>1</v>
      </c>
      <c r="AC21" s="31">
        <f t="shared" si="2"/>
        <v>0</v>
      </c>
      <c r="AD21" s="35"/>
      <c r="AE21" s="35"/>
    </row>
    <row r="22" spans="1:31" ht="12.75" customHeight="1">
      <c r="A22" s="20">
        <f t="shared" si="0"/>
        <v>0</v>
      </c>
      <c r="B22" s="23"/>
      <c r="C22" s="23"/>
      <c r="D22" s="23"/>
      <c r="E22" s="23"/>
      <c r="F22" s="23"/>
      <c r="G22" s="23"/>
      <c r="H22" s="23"/>
      <c r="I22" s="23"/>
      <c r="J22" s="23"/>
      <c r="K22" s="23"/>
      <c r="L22" s="26"/>
      <c r="M22" s="26"/>
      <c r="N22" s="26"/>
      <c r="O22" s="26"/>
      <c r="P22" s="26"/>
      <c r="Q22" s="26"/>
      <c r="R22" s="26"/>
      <c r="S22" s="26"/>
      <c r="T22" s="26"/>
      <c r="U22" s="26"/>
      <c r="V22" s="26"/>
      <c r="W22" s="26"/>
      <c r="X22" s="26">
        <f>COUNTIF($L$2:L22,"&lt;&gt;"&amp;"")</f>
        <v>5</v>
      </c>
      <c r="Y22" s="27">
        <f t="shared" si="1"/>
        <v>0</v>
      </c>
      <c r="Z22" s="28"/>
      <c r="AA22" s="29"/>
      <c r="AB22" s="30" t="b">
        <f>TRUE()</f>
        <v>1</v>
      </c>
      <c r="AC22" s="31">
        <f t="shared" si="2"/>
        <v>0</v>
      </c>
      <c r="AD22" s="35"/>
      <c r="AE22" s="35"/>
    </row>
    <row r="23" spans="1:31" ht="12.75" customHeight="1">
      <c r="A23" s="20">
        <f t="shared" si="0"/>
        <v>0</v>
      </c>
      <c r="B23" s="23"/>
      <c r="C23" s="23"/>
      <c r="D23" s="23"/>
      <c r="E23" s="23"/>
      <c r="F23" s="23"/>
      <c r="G23" s="23"/>
      <c r="H23" s="23"/>
      <c r="I23" s="23"/>
      <c r="J23" s="23"/>
      <c r="K23" s="23"/>
      <c r="L23" s="26"/>
      <c r="M23" s="26"/>
      <c r="N23" s="26"/>
      <c r="O23" s="26"/>
      <c r="P23" s="26"/>
      <c r="Q23" s="26"/>
      <c r="R23" s="26"/>
      <c r="S23" s="26"/>
      <c r="T23" s="26"/>
      <c r="U23" s="26"/>
      <c r="V23" s="26"/>
      <c r="W23" s="26"/>
      <c r="X23" s="26">
        <f>COUNTIF($L$2:L23,"&lt;&gt;"&amp;"")</f>
        <v>5</v>
      </c>
      <c r="Y23" s="27">
        <f t="shared" si="1"/>
        <v>0</v>
      </c>
      <c r="Z23" s="28"/>
      <c r="AA23" s="29"/>
      <c r="AB23" s="30" t="b">
        <f>TRUE()</f>
        <v>1</v>
      </c>
      <c r="AC23" s="31">
        <f t="shared" si="2"/>
        <v>0</v>
      </c>
      <c r="AD23" s="35"/>
      <c r="AE23" s="35"/>
    </row>
    <row r="24" spans="1:31" ht="12.75" customHeight="1">
      <c r="A24" s="20">
        <f t="shared" si="0"/>
        <v>0</v>
      </c>
      <c r="B24" s="23"/>
      <c r="C24" s="23"/>
      <c r="D24" s="23"/>
      <c r="E24" s="23"/>
      <c r="F24" s="23"/>
      <c r="G24" s="23"/>
      <c r="H24" s="23"/>
      <c r="I24" s="23"/>
      <c r="J24" s="23"/>
      <c r="K24" s="23"/>
      <c r="L24" s="26"/>
      <c r="M24" s="40"/>
      <c r="N24" s="26"/>
      <c r="O24" s="26"/>
      <c r="P24" s="26"/>
      <c r="Q24" s="26"/>
      <c r="R24" s="26"/>
      <c r="S24" s="26"/>
      <c r="T24" s="26"/>
      <c r="U24" s="26"/>
      <c r="V24" s="26"/>
      <c r="W24" s="26"/>
      <c r="X24" s="26">
        <f>COUNTIF($L$2:L24,"&lt;&gt;"&amp;"")</f>
        <v>5</v>
      </c>
      <c r="Y24" s="27">
        <f t="shared" si="1"/>
        <v>0</v>
      </c>
      <c r="Z24" s="28"/>
      <c r="AA24" s="29"/>
      <c r="AB24" s="30" t="b">
        <f>TRUE()</f>
        <v>1</v>
      </c>
      <c r="AC24" s="31">
        <f t="shared" si="2"/>
        <v>0</v>
      </c>
      <c r="AD24" s="35"/>
      <c r="AE24" s="35"/>
    </row>
    <row r="25" spans="1:31" ht="15" customHeight="1">
      <c r="A25" s="20">
        <f t="shared" si="0"/>
        <v>0</v>
      </c>
      <c r="B25" s="23"/>
      <c r="C25" s="23"/>
      <c r="D25" s="23"/>
      <c r="E25" s="23"/>
      <c r="F25" s="23"/>
      <c r="G25" s="23"/>
      <c r="H25" s="23"/>
      <c r="I25" s="23"/>
      <c r="J25" s="23"/>
      <c r="K25" s="23"/>
      <c r="L25" s="33"/>
      <c r="M25" s="26"/>
      <c r="N25" s="26"/>
      <c r="O25" s="26"/>
      <c r="P25" s="26"/>
      <c r="Q25" s="26"/>
      <c r="R25" s="26"/>
      <c r="S25" s="26"/>
      <c r="T25" s="26"/>
      <c r="U25" s="26"/>
      <c r="V25" s="26"/>
      <c r="W25" s="26"/>
      <c r="X25" s="26">
        <f>COUNTIF($L$2:L25,"&lt;&gt;"&amp;"")</f>
        <v>5</v>
      </c>
      <c r="Y25" s="27">
        <f t="shared" si="1"/>
        <v>0</v>
      </c>
      <c r="Z25" s="28"/>
      <c r="AA25" s="29"/>
      <c r="AB25" s="30" t="b">
        <f>TRUE()</f>
        <v>1</v>
      </c>
      <c r="AC25" s="31">
        <f t="shared" si="2"/>
        <v>0</v>
      </c>
      <c r="AD25" s="35"/>
      <c r="AE25" s="35"/>
    </row>
    <row r="26" spans="1:31" ht="15" customHeight="1">
      <c r="A26" s="20">
        <f t="shared" si="0"/>
        <v>0</v>
      </c>
      <c r="B26" s="23"/>
      <c r="C26" s="23"/>
      <c r="D26" s="23"/>
      <c r="E26" s="23"/>
      <c r="F26" s="23"/>
      <c r="G26" s="23"/>
      <c r="H26" s="23"/>
      <c r="I26" s="23"/>
      <c r="J26" s="23"/>
      <c r="K26" s="23"/>
      <c r="L26" s="33"/>
      <c r="M26" s="26"/>
      <c r="N26" s="26"/>
      <c r="O26" s="26"/>
      <c r="P26" s="26"/>
      <c r="Q26" s="26"/>
      <c r="R26" s="26"/>
      <c r="S26" s="26"/>
      <c r="T26" s="26"/>
      <c r="U26" s="26"/>
      <c r="V26" s="26"/>
      <c r="W26" s="26"/>
      <c r="X26" s="26">
        <f>COUNTIF($L$2:L26,"&lt;&gt;"&amp;"")</f>
        <v>5</v>
      </c>
      <c r="Y26" s="27">
        <f t="shared" si="1"/>
        <v>0</v>
      </c>
      <c r="Z26" s="28"/>
      <c r="AA26" s="29"/>
      <c r="AB26" s="30" t="b">
        <f>TRUE()</f>
        <v>1</v>
      </c>
      <c r="AC26" s="31">
        <f t="shared" si="2"/>
        <v>0</v>
      </c>
      <c r="AD26" s="35"/>
      <c r="AE26" s="35"/>
    </row>
    <row r="27" spans="1:31" ht="15" customHeight="1">
      <c r="A27" s="20">
        <f t="shared" si="0"/>
        <v>0</v>
      </c>
      <c r="B27" s="23"/>
      <c r="C27" s="23"/>
      <c r="D27" s="23"/>
      <c r="E27" s="23"/>
      <c r="F27" s="23"/>
      <c r="G27" s="23"/>
      <c r="H27" s="23"/>
      <c r="I27" s="23"/>
      <c r="J27" s="23"/>
      <c r="K27" s="23"/>
      <c r="L27" s="33"/>
      <c r="M27" s="26"/>
      <c r="N27" s="26"/>
      <c r="O27" s="26"/>
      <c r="P27" s="26"/>
      <c r="Q27" s="26"/>
      <c r="R27" s="26"/>
      <c r="S27" s="26"/>
      <c r="T27" s="26"/>
      <c r="U27" s="26"/>
      <c r="V27" s="26"/>
      <c r="W27" s="26"/>
      <c r="X27" s="26">
        <f>COUNTIF($L$2:L27,"&lt;&gt;"&amp;"")</f>
        <v>5</v>
      </c>
      <c r="Y27" s="27">
        <f t="shared" si="1"/>
        <v>0</v>
      </c>
      <c r="Z27" s="28"/>
      <c r="AA27" s="29"/>
      <c r="AB27" s="30" t="b">
        <f>TRUE()</f>
        <v>1</v>
      </c>
      <c r="AC27" s="31">
        <f t="shared" si="2"/>
        <v>0</v>
      </c>
      <c r="AD27" s="35"/>
      <c r="AE27" s="35"/>
    </row>
    <row r="28" spans="1:31" ht="15" customHeight="1">
      <c r="A28" s="20">
        <f t="shared" si="0"/>
        <v>0</v>
      </c>
      <c r="B28" s="23"/>
      <c r="C28" s="23"/>
      <c r="D28" s="23"/>
      <c r="E28" s="23"/>
      <c r="F28" s="23"/>
      <c r="G28" s="23"/>
      <c r="H28" s="23"/>
      <c r="I28" s="23"/>
      <c r="J28" s="23"/>
      <c r="K28" s="23"/>
      <c r="L28" s="33"/>
      <c r="M28" s="26"/>
      <c r="N28" s="26"/>
      <c r="O28" s="26"/>
      <c r="P28" s="26"/>
      <c r="Q28" s="26"/>
      <c r="R28" s="26"/>
      <c r="S28" s="26"/>
      <c r="T28" s="26"/>
      <c r="U28" s="26"/>
      <c r="V28" s="26"/>
      <c r="W28" s="26"/>
      <c r="X28" s="26">
        <f>COUNTIF($L$2:L28,"&lt;&gt;"&amp;"")</f>
        <v>5</v>
      </c>
      <c r="Y28" s="27">
        <f t="shared" si="1"/>
        <v>0</v>
      </c>
      <c r="Z28" s="28"/>
      <c r="AA28" s="29"/>
      <c r="AB28" s="30" t="b">
        <f>TRUE()</f>
        <v>1</v>
      </c>
      <c r="AC28" s="31">
        <f t="shared" si="2"/>
        <v>0</v>
      </c>
      <c r="AD28" s="35"/>
      <c r="AE28" s="35"/>
    </row>
    <row r="29" spans="1:31" ht="15" customHeight="1">
      <c r="A29" s="20">
        <f t="shared" si="0"/>
        <v>0</v>
      </c>
      <c r="B29" s="23"/>
      <c r="C29" s="23"/>
      <c r="D29" s="23"/>
      <c r="E29" s="23"/>
      <c r="F29" s="23"/>
      <c r="G29" s="23"/>
      <c r="H29" s="23"/>
      <c r="I29" s="23"/>
      <c r="J29" s="23"/>
      <c r="K29" s="23"/>
      <c r="L29" s="33"/>
      <c r="M29" s="26"/>
      <c r="N29" s="26"/>
      <c r="O29" s="26"/>
      <c r="P29" s="26"/>
      <c r="Q29" s="26"/>
      <c r="R29" s="26"/>
      <c r="S29" s="26"/>
      <c r="T29" s="26"/>
      <c r="U29" s="26"/>
      <c r="V29" s="26"/>
      <c r="W29" s="26"/>
      <c r="X29" s="26">
        <f>COUNTIF($L$2:L29,"&lt;&gt;"&amp;"")</f>
        <v>5</v>
      </c>
      <c r="Y29" s="27">
        <f t="shared" si="1"/>
        <v>0</v>
      </c>
      <c r="Z29" s="28"/>
      <c r="AA29" s="29"/>
      <c r="AB29" s="30" t="b">
        <f>TRUE()</f>
        <v>1</v>
      </c>
      <c r="AC29" s="31">
        <f t="shared" si="2"/>
        <v>0</v>
      </c>
      <c r="AD29" s="35"/>
      <c r="AE29" s="35"/>
    </row>
    <row r="30" spans="1:31" ht="15" customHeight="1">
      <c r="A30" s="20">
        <f t="shared" si="0"/>
        <v>0</v>
      </c>
      <c r="B30" s="23"/>
      <c r="C30" s="23"/>
      <c r="D30" s="23"/>
      <c r="E30" s="23"/>
      <c r="F30" s="23"/>
      <c r="G30" s="23"/>
      <c r="H30" s="23"/>
      <c r="I30" s="23"/>
      <c r="J30" s="23"/>
      <c r="K30" s="23"/>
      <c r="L30" s="33"/>
      <c r="M30" s="26"/>
      <c r="N30" s="26"/>
      <c r="O30" s="26"/>
      <c r="P30" s="26"/>
      <c r="Q30" s="26"/>
      <c r="R30" s="26"/>
      <c r="S30" s="26"/>
      <c r="T30" s="26"/>
      <c r="U30" s="26"/>
      <c r="V30" s="26"/>
      <c r="W30" s="26"/>
      <c r="X30" s="26">
        <f>COUNTIF($L$2:L30,"&lt;&gt;"&amp;"")</f>
        <v>5</v>
      </c>
      <c r="Y30" s="27">
        <f t="shared" si="1"/>
        <v>0</v>
      </c>
      <c r="Z30" s="28"/>
      <c r="AA30" s="29"/>
      <c r="AB30" s="30" t="b">
        <f>TRUE()</f>
        <v>1</v>
      </c>
      <c r="AC30" s="31">
        <f t="shared" si="2"/>
        <v>0</v>
      </c>
      <c r="AD30" s="35"/>
      <c r="AE30" s="35"/>
    </row>
    <row r="31" spans="1:31" ht="15" customHeight="1">
      <c r="A31" s="20">
        <f t="shared" si="0"/>
        <v>0</v>
      </c>
      <c r="B31" s="23"/>
      <c r="C31" s="23"/>
      <c r="D31" s="23"/>
      <c r="E31" s="23"/>
      <c r="F31" s="23"/>
      <c r="G31" s="23"/>
      <c r="H31" s="23"/>
      <c r="I31" s="23"/>
      <c r="J31" s="23"/>
      <c r="K31" s="23"/>
      <c r="L31" s="33"/>
      <c r="M31" s="26"/>
      <c r="N31" s="26"/>
      <c r="O31" s="26"/>
      <c r="P31" s="26"/>
      <c r="Q31" s="26"/>
      <c r="R31" s="26"/>
      <c r="S31" s="26"/>
      <c r="T31" s="26"/>
      <c r="U31" s="26"/>
      <c r="V31" s="26"/>
      <c r="W31" s="26"/>
      <c r="X31" s="26">
        <f>COUNTIF($L$2:L31,"&lt;&gt;"&amp;"")</f>
        <v>5</v>
      </c>
      <c r="Y31" s="27">
        <f t="shared" si="1"/>
        <v>0</v>
      </c>
      <c r="Z31" s="28"/>
      <c r="AA31" s="29"/>
      <c r="AB31" s="30" t="b">
        <f>TRUE()</f>
        <v>1</v>
      </c>
      <c r="AC31" s="31">
        <f t="shared" si="2"/>
        <v>0</v>
      </c>
      <c r="AD31" s="35"/>
      <c r="AE31" s="35"/>
    </row>
    <row r="32" spans="1:31" ht="15" customHeight="1">
      <c r="A32" s="20">
        <f t="shared" si="0"/>
        <v>0</v>
      </c>
      <c r="B32" s="23"/>
      <c r="C32" s="23"/>
      <c r="D32" s="23"/>
      <c r="E32" s="23"/>
      <c r="F32" s="23"/>
      <c r="G32" s="23"/>
      <c r="H32" s="23"/>
      <c r="I32" s="23"/>
      <c r="J32" s="23"/>
      <c r="K32" s="23"/>
      <c r="L32" s="33"/>
      <c r="M32" s="26"/>
      <c r="N32" s="26"/>
      <c r="O32" s="26"/>
      <c r="P32" s="26"/>
      <c r="Q32" s="26"/>
      <c r="R32" s="26"/>
      <c r="S32" s="26"/>
      <c r="T32" s="26"/>
      <c r="U32" s="26"/>
      <c r="V32" s="26"/>
      <c r="W32" s="26"/>
      <c r="X32" s="26">
        <f>COUNTIF($L$2:L32,"&lt;&gt;"&amp;"")</f>
        <v>5</v>
      </c>
      <c r="Y32" s="27">
        <f t="shared" si="1"/>
        <v>0</v>
      </c>
      <c r="Z32" s="28"/>
      <c r="AA32" s="29"/>
      <c r="AB32" s="30" t="b">
        <f>TRUE()</f>
        <v>1</v>
      </c>
      <c r="AC32" s="31">
        <f t="shared" si="2"/>
        <v>0</v>
      </c>
      <c r="AD32" s="35"/>
      <c r="AE32" s="35"/>
    </row>
    <row r="33" spans="1:31" ht="15" customHeight="1">
      <c r="A33" s="20">
        <f t="shared" si="0"/>
        <v>0</v>
      </c>
      <c r="B33" s="23"/>
      <c r="C33" s="23"/>
      <c r="D33" s="23"/>
      <c r="E33" s="23"/>
      <c r="F33" s="23"/>
      <c r="G33" s="23"/>
      <c r="H33" s="23"/>
      <c r="I33" s="23"/>
      <c r="J33" s="23"/>
      <c r="K33" s="23"/>
      <c r="L33" s="33"/>
      <c r="M33" s="26"/>
      <c r="N33" s="26"/>
      <c r="O33" s="26"/>
      <c r="P33" s="26"/>
      <c r="Q33" s="26"/>
      <c r="R33" s="26"/>
      <c r="S33" s="26"/>
      <c r="T33" s="26"/>
      <c r="U33" s="26"/>
      <c r="V33" s="26"/>
      <c r="W33" s="26"/>
      <c r="X33" s="26">
        <f>COUNTIF($L$2:L33,"&lt;&gt;"&amp;"")</f>
        <v>5</v>
      </c>
      <c r="Y33" s="27">
        <f t="shared" si="1"/>
        <v>0</v>
      </c>
      <c r="Z33" s="28"/>
      <c r="AA33" s="29"/>
      <c r="AB33" s="30" t="b">
        <f>TRUE()</f>
        <v>1</v>
      </c>
      <c r="AC33" s="31">
        <f t="shared" si="2"/>
        <v>0</v>
      </c>
      <c r="AD33" s="35"/>
      <c r="AE33" s="35"/>
    </row>
    <row r="34" spans="1:31" ht="15" customHeight="1">
      <c r="A34" s="20">
        <f t="shared" ref="A34:A65" si="3">(B34*$P$125+C34*$P$126+D34*$P$127+E34*$P$128+F34*$P$129+G34*$P$130+H34*$P$131+I34*$P$132+J34*$P$133+K34*$P$134)*$T$123</f>
        <v>0</v>
      </c>
      <c r="B34" s="23"/>
      <c r="C34" s="23"/>
      <c r="D34" s="23"/>
      <c r="E34" s="23"/>
      <c r="F34" s="23"/>
      <c r="G34" s="23"/>
      <c r="H34" s="23"/>
      <c r="I34" s="23"/>
      <c r="J34" s="23"/>
      <c r="K34" s="23"/>
      <c r="L34" s="33"/>
      <c r="M34" s="33"/>
      <c r="N34" s="26"/>
      <c r="O34" s="26"/>
      <c r="P34" s="26"/>
      <c r="Q34" s="26"/>
      <c r="R34" s="26"/>
      <c r="S34" s="26"/>
      <c r="T34" s="26"/>
      <c r="U34" s="26"/>
      <c r="V34" s="26"/>
      <c r="W34" s="26"/>
      <c r="X34" s="26">
        <f>COUNTIF($L$2:L34,"&lt;&gt;"&amp;"")</f>
        <v>5</v>
      </c>
      <c r="Y34" s="27">
        <f t="shared" ref="Y34:Y65" si="4">SUMIF($X$2:$X$120,X34,$A$2:$A$120)</f>
        <v>0</v>
      </c>
      <c r="Z34" s="28"/>
      <c r="AA34" s="29"/>
      <c r="AB34" s="30" t="b">
        <f>TRUE()</f>
        <v>1</v>
      </c>
      <c r="AC34" s="31">
        <f t="shared" ref="AC34:AC65" si="5">IF(L34="",0,IF(AB34=FALSE(),0,Y34))</f>
        <v>0</v>
      </c>
      <c r="AD34" s="35"/>
      <c r="AE34" s="35"/>
    </row>
    <row r="35" spans="1:31" ht="15" customHeight="1">
      <c r="A35" s="20">
        <f t="shared" si="3"/>
        <v>0</v>
      </c>
      <c r="B35" s="23"/>
      <c r="C35" s="23"/>
      <c r="D35" s="23"/>
      <c r="E35" s="23"/>
      <c r="F35" s="23"/>
      <c r="G35" s="23"/>
      <c r="H35" s="23"/>
      <c r="I35" s="23"/>
      <c r="J35" s="23"/>
      <c r="K35" s="23"/>
      <c r="L35" s="33"/>
      <c r="M35" s="26"/>
      <c r="N35" s="41"/>
      <c r="O35" s="26"/>
      <c r="P35" s="26"/>
      <c r="Q35" s="26"/>
      <c r="R35" s="26"/>
      <c r="S35" s="26"/>
      <c r="T35" s="26"/>
      <c r="U35" s="26"/>
      <c r="V35" s="26"/>
      <c r="W35" s="26"/>
      <c r="X35" s="26">
        <f>COUNTIF($L$2:L35,"&lt;&gt;"&amp;"")</f>
        <v>5</v>
      </c>
      <c r="Y35" s="27">
        <f t="shared" si="4"/>
        <v>0</v>
      </c>
      <c r="Z35" s="28"/>
      <c r="AA35" s="29"/>
      <c r="AB35" s="30" t="b">
        <f>TRUE()</f>
        <v>1</v>
      </c>
      <c r="AC35" s="31">
        <f t="shared" si="5"/>
        <v>0</v>
      </c>
      <c r="AD35" s="35"/>
      <c r="AE35" s="35"/>
    </row>
    <row r="36" spans="1:31" ht="15" customHeight="1">
      <c r="A36" s="20">
        <f t="shared" si="3"/>
        <v>0</v>
      </c>
      <c r="B36" s="23"/>
      <c r="C36" s="23"/>
      <c r="D36" s="23"/>
      <c r="E36" s="23"/>
      <c r="F36" s="23"/>
      <c r="G36" s="23"/>
      <c r="H36" s="23"/>
      <c r="I36" s="23"/>
      <c r="J36" s="23"/>
      <c r="K36" s="23"/>
      <c r="L36" s="33"/>
      <c r="M36" s="26"/>
      <c r="N36" s="26"/>
      <c r="O36" s="26"/>
      <c r="P36" s="26"/>
      <c r="Q36" s="26"/>
      <c r="R36" s="26"/>
      <c r="S36" s="26"/>
      <c r="T36" s="26"/>
      <c r="U36" s="26"/>
      <c r="V36" s="26"/>
      <c r="W36" s="26"/>
      <c r="X36" s="26">
        <f>COUNTIF($L$2:L36,"&lt;&gt;"&amp;"")</f>
        <v>5</v>
      </c>
      <c r="Y36" s="27">
        <f t="shared" si="4"/>
        <v>0</v>
      </c>
      <c r="Z36" s="28"/>
      <c r="AA36" s="29"/>
      <c r="AB36" s="30" t="b">
        <f>TRUE()</f>
        <v>1</v>
      </c>
      <c r="AC36" s="31">
        <f t="shared" si="5"/>
        <v>0</v>
      </c>
      <c r="AD36" s="35"/>
      <c r="AE36" s="35"/>
    </row>
    <row r="37" spans="1:31" ht="15" customHeight="1">
      <c r="A37" s="20">
        <f t="shared" si="3"/>
        <v>0</v>
      </c>
      <c r="B37" s="23"/>
      <c r="C37" s="23"/>
      <c r="D37" s="23"/>
      <c r="E37" s="23"/>
      <c r="F37" s="23"/>
      <c r="G37" s="23"/>
      <c r="H37" s="23"/>
      <c r="I37" s="23"/>
      <c r="J37" s="23"/>
      <c r="K37" s="23"/>
      <c r="L37" s="33"/>
      <c r="M37" s="26"/>
      <c r="N37" s="26"/>
      <c r="O37" s="26"/>
      <c r="P37" s="26"/>
      <c r="Q37" s="26"/>
      <c r="R37" s="26"/>
      <c r="S37" s="26"/>
      <c r="T37" s="26"/>
      <c r="U37" s="26"/>
      <c r="V37" s="26"/>
      <c r="W37" s="26"/>
      <c r="X37" s="26">
        <f>COUNTIF($L$2:L37,"&lt;&gt;"&amp;"")</f>
        <v>5</v>
      </c>
      <c r="Y37" s="27">
        <f t="shared" si="4"/>
        <v>0</v>
      </c>
      <c r="Z37" s="28"/>
      <c r="AA37" s="29"/>
      <c r="AB37" s="30" t="b">
        <f>TRUE()</f>
        <v>1</v>
      </c>
      <c r="AC37" s="31">
        <f t="shared" si="5"/>
        <v>0</v>
      </c>
      <c r="AD37" s="35"/>
      <c r="AE37" s="35"/>
    </row>
    <row r="38" spans="1:31" ht="15" customHeight="1">
      <c r="A38" s="20">
        <f t="shared" si="3"/>
        <v>0</v>
      </c>
      <c r="B38" s="23"/>
      <c r="C38" s="23"/>
      <c r="D38" s="23"/>
      <c r="E38" s="23"/>
      <c r="F38" s="23"/>
      <c r="G38" s="23"/>
      <c r="H38" s="23"/>
      <c r="I38" s="23"/>
      <c r="J38" s="23"/>
      <c r="K38" s="23"/>
      <c r="L38" s="33"/>
      <c r="M38" s="26"/>
      <c r="N38" s="26"/>
      <c r="O38" s="26"/>
      <c r="P38" s="26"/>
      <c r="Q38" s="26"/>
      <c r="R38" s="26"/>
      <c r="S38" s="26"/>
      <c r="T38" s="26"/>
      <c r="U38" s="26"/>
      <c r="V38" s="26"/>
      <c r="W38" s="26"/>
      <c r="X38" s="26">
        <f>COUNTIF($L$2:L38,"&lt;&gt;"&amp;"")</f>
        <v>5</v>
      </c>
      <c r="Y38" s="27">
        <f t="shared" si="4"/>
        <v>0</v>
      </c>
      <c r="Z38" s="28"/>
      <c r="AA38" s="29"/>
      <c r="AB38" s="30" t="b">
        <f>TRUE()</f>
        <v>1</v>
      </c>
      <c r="AC38" s="31">
        <f t="shared" si="5"/>
        <v>0</v>
      </c>
      <c r="AD38" s="42"/>
      <c r="AE38" s="42"/>
    </row>
    <row r="39" spans="1:31" ht="15" customHeight="1">
      <c r="A39" s="20">
        <f t="shared" si="3"/>
        <v>0</v>
      </c>
      <c r="B39" s="23"/>
      <c r="C39" s="23"/>
      <c r="D39" s="23"/>
      <c r="E39" s="23"/>
      <c r="F39" s="23"/>
      <c r="G39" s="23"/>
      <c r="H39" s="23"/>
      <c r="I39" s="23"/>
      <c r="J39" s="23"/>
      <c r="K39" s="23"/>
      <c r="L39" s="33"/>
      <c r="M39" s="26"/>
      <c r="N39" s="26"/>
      <c r="O39" s="26"/>
      <c r="P39" s="26"/>
      <c r="Q39" s="26"/>
      <c r="R39" s="26"/>
      <c r="S39" s="26"/>
      <c r="T39" s="26"/>
      <c r="U39" s="26"/>
      <c r="V39" s="26"/>
      <c r="W39" s="26"/>
      <c r="X39" s="26">
        <f>COUNTIF($L$2:L39,"&lt;&gt;"&amp;"")</f>
        <v>5</v>
      </c>
      <c r="Y39" s="27">
        <f t="shared" si="4"/>
        <v>0</v>
      </c>
      <c r="Z39" s="28"/>
      <c r="AA39" s="29"/>
      <c r="AB39" s="30" t="b">
        <f>TRUE()</f>
        <v>1</v>
      </c>
      <c r="AC39" s="31">
        <f t="shared" si="5"/>
        <v>0</v>
      </c>
      <c r="AD39" s="35"/>
      <c r="AE39" s="35"/>
    </row>
    <row r="40" spans="1:31" ht="15" customHeight="1">
      <c r="A40" s="20">
        <f t="shared" si="3"/>
        <v>0</v>
      </c>
      <c r="B40" s="23"/>
      <c r="C40" s="23"/>
      <c r="D40" s="23"/>
      <c r="E40" s="23"/>
      <c r="F40" s="23"/>
      <c r="G40" s="23"/>
      <c r="H40" s="23"/>
      <c r="I40" s="23"/>
      <c r="J40" s="23"/>
      <c r="K40" s="23"/>
      <c r="L40" s="33"/>
      <c r="M40" s="26"/>
      <c r="N40" s="26"/>
      <c r="O40" s="26"/>
      <c r="P40" s="26"/>
      <c r="Q40" s="26"/>
      <c r="R40" s="26"/>
      <c r="S40" s="26"/>
      <c r="T40" s="26"/>
      <c r="U40" s="26"/>
      <c r="V40" s="26"/>
      <c r="W40" s="26"/>
      <c r="X40" s="26">
        <f>COUNTIF($L$2:L40,"&lt;&gt;"&amp;"")</f>
        <v>5</v>
      </c>
      <c r="Y40" s="27">
        <f t="shared" si="4"/>
        <v>0</v>
      </c>
      <c r="Z40" s="28"/>
      <c r="AA40" s="29"/>
      <c r="AB40" s="30" t="b">
        <f>TRUE()</f>
        <v>1</v>
      </c>
      <c r="AC40" s="31">
        <f t="shared" si="5"/>
        <v>0</v>
      </c>
      <c r="AD40" s="42"/>
      <c r="AE40" s="42"/>
    </row>
    <row r="41" spans="1:31" ht="15" customHeight="1">
      <c r="A41" s="20">
        <f t="shared" si="3"/>
        <v>0</v>
      </c>
      <c r="B41" s="23"/>
      <c r="C41" s="23"/>
      <c r="D41" s="23"/>
      <c r="E41" s="23"/>
      <c r="F41" s="23"/>
      <c r="G41" s="23"/>
      <c r="H41" s="23"/>
      <c r="I41" s="23"/>
      <c r="J41" s="23"/>
      <c r="K41" s="23"/>
      <c r="L41" s="33"/>
      <c r="M41" s="26"/>
      <c r="N41" s="26"/>
      <c r="O41" s="26"/>
      <c r="P41" s="26"/>
      <c r="Q41" s="26"/>
      <c r="R41" s="26"/>
      <c r="S41" s="26"/>
      <c r="T41" s="26"/>
      <c r="U41" s="26"/>
      <c r="V41" s="26"/>
      <c r="W41" s="26"/>
      <c r="X41" s="26">
        <f>COUNTIF($L$2:L41,"&lt;&gt;"&amp;"")</f>
        <v>5</v>
      </c>
      <c r="Y41" s="27">
        <f t="shared" si="4"/>
        <v>0</v>
      </c>
      <c r="Z41" s="28"/>
      <c r="AA41" s="29"/>
      <c r="AB41" s="30" t="b">
        <f>TRUE()</f>
        <v>1</v>
      </c>
      <c r="AC41" s="31">
        <f t="shared" si="5"/>
        <v>0</v>
      </c>
      <c r="AD41" s="42"/>
      <c r="AE41" s="42"/>
    </row>
    <row r="42" spans="1:31" ht="15" customHeight="1">
      <c r="A42" s="20">
        <f t="shared" si="3"/>
        <v>0</v>
      </c>
      <c r="B42" s="23"/>
      <c r="C42" s="23"/>
      <c r="D42" s="23"/>
      <c r="E42" s="23"/>
      <c r="F42" s="23"/>
      <c r="G42" s="23"/>
      <c r="H42" s="23"/>
      <c r="I42" s="23"/>
      <c r="J42" s="23"/>
      <c r="K42" s="23"/>
      <c r="L42" s="33"/>
      <c r="M42" s="26"/>
      <c r="N42" s="40"/>
      <c r="O42" s="26"/>
      <c r="P42" s="26"/>
      <c r="Q42" s="26"/>
      <c r="R42" s="26"/>
      <c r="S42" s="26"/>
      <c r="T42" s="26"/>
      <c r="U42" s="26"/>
      <c r="V42" s="26"/>
      <c r="W42" s="26"/>
      <c r="X42" s="26">
        <f>COUNTIF($L$2:L42,"&lt;&gt;"&amp;"")</f>
        <v>5</v>
      </c>
      <c r="Y42" s="27">
        <f t="shared" si="4"/>
        <v>0</v>
      </c>
      <c r="Z42" s="28"/>
      <c r="AA42" s="29"/>
      <c r="AB42" s="30" t="b">
        <f>TRUE()</f>
        <v>1</v>
      </c>
      <c r="AC42" s="31">
        <f t="shared" si="5"/>
        <v>0</v>
      </c>
      <c r="AD42" s="35"/>
      <c r="AE42" s="35"/>
    </row>
    <row r="43" spans="1:31" ht="15" customHeight="1">
      <c r="A43" s="20">
        <f t="shared" si="3"/>
        <v>0</v>
      </c>
      <c r="B43" s="23"/>
      <c r="C43" s="23"/>
      <c r="D43" s="23"/>
      <c r="E43" s="23"/>
      <c r="F43" s="23"/>
      <c r="G43" s="23"/>
      <c r="H43" s="23"/>
      <c r="I43" s="23"/>
      <c r="J43" s="23"/>
      <c r="K43" s="23"/>
      <c r="L43" s="33"/>
      <c r="M43" s="33"/>
      <c r="N43" s="26"/>
      <c r="O43" s="26"/>
      <c r="P43" s="26"/>
      <c r="Q43" s="26"/>
      <c r="R43" s="26"/>
      <c r="S43" s="26"/>
      <c r="T43" s="26"/>
      <c r="U43" s="26"/>
      <c r="V43" s="26"/>
      <c r="W43" s="26"/>
      <c r="X43" s="26">
        <f>COUNTIF($L$2:L43,"&lt;&gt;"&amp;"")</f>
        <v>5</v>
      </c>
      <c r="Y43" s="27">
        <f t="shared" si="4"/>
        <v>0</v>
      </c>
      <c r="Z43" s="28"/>
      <c r="AA43" s="29"/>
      <c r="AB43" s="30" t="b">
        <f>TRUE()</f>
        <v>1</v>
      </c>
      <c r="AC43" s="31">
        <f t="shared" si="5"/>
        <v>0</v>
      </c>
      <c r="AD43" s="35"/>
      <c r="AE43" s="35"/>
    </row>
    <row r="44" spans="1:31" ht="15" customHeight="1">
      <c r="A44" s="20">
        <f t="shared" si="3"/>
        <v>0</v>
      </c>
      <c r="B44" s="23"/>
      <c r="C44" s="23"/>
      <c r="D44" s="23"/>
      <c r="E44" s="23"/>
      <c r="F44" s="23"/>
      <c r="G44" s="23"/>
      <c r="H44" s="23"/>
      <c r="I44" s="23"/>
      <c r="J44" s="23"/>
      <c r="K44" s="23"/>
      <c r="L44" s="33"/>
      <c r="M44" s="26"/>
      <c r="N44" s="26"/>
      <c r="O44" s="26"/>
      <c r="P44" s="26"/>
      <c r="Q44" s="26"/>
      <c r="R44" s="26"/>
      <c r="S44" s="26"/>
      <c r="T44" s="26"/>
      <c r="U44" s="26"/>
      <c r="V44" s="26"/>
      <c r="W44" s="26"/>
      <c r="X44" s="26">
        <f>COUNTIF($L$2:L44,"&lt;&gt;"&amp;"")</f>
        <v>5</v>
      </c>
      <c r="Y44" s="27">
        <f t="shared" si="4"/>
        <v>0</v>
      </c>
      <c r="Z44" s="28"/>
      <c r="AA44" s="29"/>
      <c r="AB44" s="30" t="b">
        <f>TRUE()</f>
        <v>1</v>
      </c>
      <c r="AC44" s="31">
        <f t="shared" si="5"/>
        <v>0</v>
      </c>
      <c r="AD44" s="35"/>
      <c r="AE44" s="35"/>
    </row>
    <row r="45" spans="1:31" ht="15" customHeight="1">
      <c r="A45" s="20">
        <f t="shared" si="3"/>
        <v>0</v>
      </c>
      <c r="B45" s="23"/>
      <c r="C45" s="23"/>
      <c r="D45" s="23"/>
      <c r="E45" s="23"/>
      <c r="F45" s="23"/>
      <c r="G45" s="23"/>
      <c r="H45" s="23"/>
      <c r="I45" s="23"/>
      <c r="J45" s="23"/>
      <c r="K45" s="23"/>
      <c r="L45" s="33"/>
      <c r="M45" s="26"/>
      <c r="N45" s="26"/>
      <c r="O45" s="26"/>
      <c r="P45" s="26"/>
      <c r="Q45" s="26"/>
      <c r="R45" s="26"/>
      <c r="S45" s="26"/>
      <c r="T45" s="26"/>
      <c r="U45" s="26"/>
      <c r="V45" s="26"/>
      <c r="W45" s="26"/>
      <c r="X45" s="26">
        <f>COUNTIF($L$2:L45,"&lt;&gt;"&amp;"")</f>
        <v>5</v>
      </c>
      <c r="Y45" s="27">
        <f t="shared" si="4"/>
        <v>0</v>
      </c>
      <c r="Z45" s="28"/>
      <c r="AA45" s="29"/>
      <c r="AB45" s="30" t="b">
        <f>TRUE()</f>
        <v>1</v>
      </c>
      <c r="AC45" s="31">
        <f t="shared" si="5"/>
        <v>0</v>
      </c>
      <c r="AD45" s="35"/>
      <c r="AE45" s="35"/>
    </row>
    <row r="46" spans="1:31" ht="15" customHeight="1">
      <c r="A46" s="20">
        <f t="shared" si="3"/>
        <v>0</v>
      </c>
      <c r="B46" s="23"/>
      <c r="C46" s="23"/>
      <c r="D46" s="23"/>
      <c r="E46" s="23"/>
      <c r="F46" s="23"/>
      <c r="G46" s="23"/>
      <c r="H46" s="23"/>
      <c r="I46" s="23"/>
      <c r="J46" s="23"/>
      <c r="K46" s="23"/>
      <c r="L46" s="33"/>
      <c r="M46" s="26"/>
      <c r="N46" s="26"/>
      <c r="O46" s="26"/>
      <c r="P46" s="26"/>
      <c r="Q46" s="26"/>
      <c r="R46" s="26"/>
      <c r="S46" s="26"/>
      <c r="T46" s="26"/>
      <c r="U46" s="26"/>
      <c r="V46" s="26"/>
      <c r="W46" s="26"/>
      <c r="X46" s="26">
        <f>COUNTIF($L$2:L46,"&lt;&gt;"&amp;"")</f>
        <v>5</v>
      </c>
      <c r="Y46" s="27">
        <f t="shared" si="4"/>
        <v>0</v>
      </c>
      <c r="Z46" s="28"/>
      <c r="AA46" s="29"/>
      <c r="AB46" s="30" t="b">
        <f>TRUE()</f>
        <v>1</v>
      </c>
      <c r="AC46" s="31">
        <f t="shared" si="5"/>
        <v>0</v>
      </c>
      <c r="AD46" s="35"/>
      <c r="AE46" s="35"/>
    </row>
    <row r="47" spans="1:31" ht="15" customHeight="1">
      <c r="A47" s="20">
        <f t="shared" si="3"/>
        <v>0</v>
      </c>
      <c r="B47" s="23"/>
      <c r="C47" s="23"/>
      <c r="D47" s="23"/>
      <c r="E47" s="23"/>
      <c r="F47" s="23"/>
      <c r="G47" s="23"/>
      <c r="H47" s="23"/>
      <c r="I47" s="23"/>
      <c r="J47" s="23"/>
      <c r="K47" s="23"/>
      <c r="L47" s="33"/>
      <c r="M47" s="26"/>
      <c r="N47" s="26"/>
      <c r="O47" s="26"/>
      <c r="P47" s="26"/>
      <c r="Q47" s="26"/>
      <c r="R47" s="26"/>
      <c r="S47" s="26"/>
      <c r="T47" s="26"/>
      <c r="U47" s="26"/>
      <c r="V47" s="26"/>
      <c r="W47" s="26"/>
      <c r="X47" s="26">
        <f>COUNTIF($L$2:L47,"&lt;&gt;"&amp;"")</f>
        <v>5</v>
      </c>
      <c r="Y47" s="27">
        <f t="shared" si="4"/>
        <v>0</v>
      </c>
      <c r="Z47" s="28"/>
      <c r="AA47" s="29"/>
      <c r="AB47" s="30" t="b">
        <f>TRUE()</f>
        <v>1</v>
      </c>
      <c r="AC47" s="31">
        <f t="shared" si="5"/>
        <v>0</v>
      </c>
      <c r="AD47" s="35"/>
      <c r="AE47" s="35"/>
    </row>
    <row r="48" spans="1:31" ht="15" customHeight="1">
      <c r="A48" s="20">
        <f t="shared" si="3"/>
        <v>0</v>
      </c>
      <c r="B48" s="23"/>
      <c r="C48" s="23"/>
      <c r="D48" s="23"/>
      <c r="E48" s="23"/>
      <c r="F48" s="23"/>
      <c r="G48" s="23"/>
      <c r="H48" s="23"/>
      <c r="I48" s="23"/>
      <c r="J48" s="23"/>
      <c r="K48" s="23"/>
      <c r="L48" s="33"/>
      <c r="M48" s="26"/>
      <c r="N48" s="26"/>
      <c r="O48" s="26"/>
      <c r="P48" s="26"/>
      <c r="Q48" s="26"/>
      <c r="R48" s="26"/>
      <c r="S48" s="26"/>
      <c r="T48" s="26"/>
      <c r="U48" s="26"/>
      <c r="V48" s="26"/>
      <c r="W48" s="26"/>
      <c r="X48" s="26">
        <f>COUNTIF($L$2:L48,"&lt;&gt;"&amp;"")</f>
        <v>5</v>
      </c>
      <c r="Y48" s="27">
        <f t="shared" si="4"/>
        <v>0</v>
      </c>
      <c r="Z48" s="28"/>
      <c r="AA48" s="29"/>
      <c r="AB48" s="30" t="b">
        <f>TRUE()</f>
        <v>1</v>
      </c>
      <c r="AC48" s="31">
        <f t="shared" si="5"/>
        <v>0</v>
      </c>
      <c r="AD48" s="42"/>
      <c r="AE48" s="42"/>
    </row>
    <row r="49" spans="1:31" ht="15" customHeight="1">
      <c r="A49" s="20">
        <f t="shared" si="3"/>
        <v>0</v>
      </c>
      <c r="B49" s="23"/>
      <c r="C49" s="23"/>
      <c r="D49" s="23"/>
      <c r="E49" s="23"/>
      <c r="F49" s="23"/>
      <c r="G49" s="23"/>
      <c r="H49" s="23"/>
      <c r="I49" s="23"/>
      <c r="J49" s="23"/>
      <c r="K49" s="23"/>
      <c r="L49" s="33"/>
      <c r="M49" s="26"/>
      <c r="N49" s="26"/>
      <c r="O49" s="26"/>
      <c r="P49" s="26"/>
      <c r="Q49" s="26"/>
      <c r="R49" s="26"/>
      <c r="S49" s="26"/>
      <c r="T49" s="26"/>
      <c r="U49" s="26"/>
      <c r="V49" s="26"/>
      <c r="W49" s="26"/>
      <c r="X49" s="26">
        <f>COUNTIF($L$2:L49,"&lt;&gt;"&amp;"")</f>
        <v>5</v>
      </c>
      <c r="Y49" s="27">
        <f t="shared" si="4"/>
        <v>0</v>
      </c>
      <c r="Z49" s="28"/>
      <c r="AA49" s="29"/>
      <c r="AB49" s="30" t="b">
        <f>TRUE()</f>
        <v>1</v>
      </c>
      <c r="AC49" s="31">
        <f t="shared" si="5"/>
        <v>0</v>
      </c>
      <c r="AD49" s="42"/>
      <c r="AE49" s="42"/>
    </row>
    <row r="50" spans="1:31" ht="15" customHeight="1">
      <c r="A50" s="20">
        <f t="shared" si="3"/>
        <v>0</v>
      </c>
      <c r="B50" s="23"/>
      <c r="C50" s="23"/>
      <c r="D50" s="23"/>
      <c r="E50" s="23"/>
      <c r="F50" s="23"/>
      <c r="G50" s="23"/>
      <c r="H50" s="23"/>
      <c r="I50" s="23"/>
      <c r="J50" s="23"/>
      <c r="K50" s="23"/>
      <c r="L50" s="33"/>
      <c r="M50" s="33"/>
      <c r="N50" s="26"/>
      <c r="O50" s="26"/>
      <c r="P50" s="26"/>
      <c r="Q50" s="26"/>
      <c r="R50" s="26"/>
      <c r="S50" s="26"/>
      <c r="T50" s="26"/>
      <c r="U50" s="26"/>
      <c r="V50" s="26"/>
      <c r="W50" s="26"/>
      <c r="X50" s="26">
        <f>COUNTIF($L$2:L50,"&lt;&gt;"&amp;"")</f>
        <v>5</v>
      </c>
      <c r="Y50" s="27">
        <f t="shared" si="4"/>
        <v>0</v>
      </c>
      <c r="Z50" s="28"/>
      <c r="AA50" s="29"/>
      <c r="AB50" s="30" t="b">
        <f>TRUE()</f>
        <v>1</v>
      </c>
      <c r="AC50" s="31">
        <f t="shared" si="5"/>
        <v>0</v>
      </c>
      <c r="AD50" s="42"/>
      <c r="AE50" s="42"/>
    </row>
    <row r="51" spans="1:31" ht="15" customHeight="1">
      <c r="A51" s="20">
        <f t="shared" si="3"/>
        <v>0</v>
      </c>
      <c r="B51" s="23"/>
      <c r="C51" s="23"/>
      <c r="D51" s="23"/>
      <c r="E51" s="23"/>
      <c r="F51" s="23"/>
      <c r="G51" s="23"/>
      <c r="H51" s="23"/>
      <c r="I51" s="23"/>
      <c r="J51" s="23"/>
      <c r="K51" s="23"/>
      <c r="L51" s="33"/>
      <c r="M51" s="26"/>
      <c r="N51" s="26"/>
      <c r="O51" s="26"/>
      <c r="P51" s="26"/>
      <c r="Q51" s="26"/>
      <c r="R51" s="26"/>
      <c r="S51" s="26"/>
      <c r="T51" s="26"/>
      <c r="U51" s="26"/>
      <c r="V51" s="26"/>
      <c r="W51" s="26"/>
      <c r="X51" s="26">
        <f>COUNTIF($L$2:L51,"&lt;&gt;"&amp;"")</f>
        <v>5</v>
      </c>
      <c r="Y51" s="27">
        <f t="shared" si="4"/>
        <v>0</v>
      </c>
      <c r="Z51" s="28"/>
      <c r="AA51" s="29"/>
      <c r="AB51" s="30" t="b">
        <f>TRUE()</f>
        <v>1</v>
      </c>
      <c r="AC51" s="31">
        <f t="shared" si="5"/>
        <v>0</v>
      </c>
      <c r="AD51" s="42"/>
      <c r="AE51" s="42"/>
    </row>
    <row r="52" spans="1:31" ht="15" customHeight="1">
      <c r="A52" s="20">
        <f t="shared" si="3"/>
        <v>0</v>
      </c>
      <c r="B52" s="23"/>
      <c r="C52" s="23"/>
      <c r="D52" s="23"/>
      <c r="E52" s="23"/>
      <c r="F52" s="23"/>
      <c r="G52" s="23"/>
      <c r="H52" s="23"/>
      <c r="I52" s="23"/>
      <c r="J52" s="23"/>
      <c r="K52" s="23"/>
      <c r="L52" s="33"/>
      <c r="M52" s="26"/>
      <c r="N52" s="26"/>
      <c r="O52" s="26"/>
      <c r="P52" s="26"/>
      <c r="Q52" s="26"/>
      <c r="R52" s="26"/>
      <c r="S52" s="26"/>
      <c r="T52" s="26"/>
      <c r="U52" s="26"/>
      <c r="V52" s="26"/>
      <c r="W52" s="26"/>
      <c r="X52" s="26">
        <f>COUNTIF($L$2:L52,"&lt;&gt;"&amp;"")</f>
        <v>5</v>
      </c>
      <c r="Y52" s="27">
        <f t="shared" si="4"/>
        <v>0</v>
      </c>
      <c r="Z52" s="28"/>
      <c r="AA52" s="29"/>
      <c r="AB52" s="30" t="b">
        <f>TRUE()</f>
        <v>1</v>
      </c>
      <c r="AC52" s="31">
        <f t="shared" si="5"/>
        <v>0</v>
      </c>
      <c r="AD52" s="42"/>
      <c r="AE52" s="42"/>
    </row>
    <row r="53" spans="1:31" ht="15" customHeight="1">
      <c r="A53" s="20">
        <f t="shared" si="3"/>
        <v>0</v>
      </c>
      <c r="B53" s="23"/>
      <c r="C53" s="23"/>
      <c r="D53" s="23"/>
      <c r="E53" s="23"/>
      <c r="F53" s="23"/>
      <c r="G53" s="23"/>
      <c r="H53" s="23"/>
      <c r="I53" s="23"/>
      <c r="J53" s="23"/>
      <c r="K53" s="23"/>
      <c r="L53" s="33"/>
      <c r="M53" s="33"/>
      <c r="N53" s="26"/>
      <c r="O53" s="26"/>
      <c r="P53" s="26"/>
      <c r="Q53" s="26"/>
      <c r="R53" s="26"/>
      <c r="S53" s="26"/>
      <c r="T53" s="26"/>
      <c r="U53" s="26"/>
      <c r="V53" s="26"/>
      <c r="W53" s="26"/>
      <c r="X53" s="26">
        <f>COUNTIF($L$2:L53,"&lt;&gt;"&amp;"")</f>
        <v>5</v>
      </c>
      <c r="Y53" s="27">
        <f t="shared" si="4"/>
        <v>0</v>
      </c>
      <c r="Z53" s="28"/>
      <c r="AA53" s="29"/>
      <c r="AB53" s="30" t="b">
        <f>TRUE()</f>
        <v>1</v>
      </c>
      <c r="AC53" s="31">
        <f t="shared" si="5"/>
        <v>0</v>
      </c>
      <c r="AD53" s="42"/>
      <c r="AE53" s="42"/>
    </row>
    <row r="54" spans="1:31" ht="15" customHeight="1">
      <c r="A54" s="20">
        <f t="shared" si="3"/>
        <v>0</v>
      </c>
      <c r="B54" s="23"/>
      <c r="C54" s="23"/>
      <c r="D54" s="23"/>
      <c r="E54" s="23"/>
      <c r="F54" s="23"/>
      <c r="G54" s="23"/>
      <c r="H54" s="23"/>
      <c r="I54" s="23"/>
      <c r="J54" s="23"/>
      <c r="K54" s="23"/>
      <c r="L54" s="33"/>
      <c r="M54" s="26"/>
      <c r="N54" s="26"/>
      <c r="O54" s="26"/>
      <c r="P54" s="26"/>
      <c r="Q54" s="26"/>
      <c r="R54" s="26"/>
      <c r="S54" s="26"/>
      <c r="T54" s="26"/>
      <c r="U54" s="26"/>
      <c r="V54" s="26"/>
      <c r="W54" s="26"/>
      <c r="X54" s="26">
        <f>COUNTIF($L$2:L54,"&lt;&gt;"&amp;"")</f>
        <v>5</v>
      </c>
      <c r="Y54" s="27">
        <f t="shared" si="4"/>
        <v>0</v>
      </c>
      <c r="Z54" s="28"/>
      <c r="AA54" s="29"/>
      <c r="AB54" s="30" t="b">
        <f>TRUE()</f>
        <v>1</v>
      </c>
      <c r="AC54" s="31">
        <f t="shared" si="5"/>
        <v>0</v>
      </c>
      <c r="AD54" s="42"/>
      <c r="AE54" s="42"/>
    </row>
    <row r="55" spans="1:31" ht="15" customHeight="1">
      <c r="A55" s="20">
        <f t="shared" si="3"/>
        <v>0</v>
      </c>
      <c r="B55" s="23"/>
      <c r="C55" s="23"/>
      <c r="D55" s="23"/>
      <c r="E55" s="23"/>
      <c r="F55" s="23"/>
      <c r="G55" s="23"/>
      <c r="H55" s="23"/>
      <c r="I55" s="23"/>
      <c r="J55" s="23"/>
      <c r="K55" s="23"/>
      <c r="L55" s="33"/>
      <c r="M55" s="26"/>
      <c r="N55" s="26"/>
      <c r="O55" s="26"/>
      <c r="P55" s="26"/>
      <c r="Q55" s="26"/>
      <c r="R55" s="26"/>
      <c r="S55" s="26"/>
      <c r="T55" s="26"/>
      <c r="U55" s="26"/>
      <c r="V55" s="26"/>
      <c r="W55" s="26"/>
      <c r="X55" s="26">
        <f>COUNTIF($L$2:L55,"&lt;&gt;"&amp;"")</f>
        <v>5</v>
      </c>
      <c r="Y55" s="27">
        <f t="shared" si="4"/>
        <v>0</v>
      </c>
      <c r="Z55" s="28"/>
      <c r="AA55" s="29"/>
      <c r="AB55" s="30" t="b">
        <f>TRUE()</f>
        <v>1</v>
      </c>
      <c r="AC55" s="31">
        <f t="shared" si="5"/>
        <v>0</v>
      </c>
      <c r="AD55" s="42"/>
      <c r="AE55" s="42"/>
    </row>
    <row r="56" spans="1:31" ht="15" customHeight="1">
      <c r="A56" s="20">
        <f t="shared" si="3"/>
        <v>0</v>
      </c>
      <c r="B56" s="23"/>
      <c r="C56" s="23"/>
      <c r="D56" s="23"/>
      <c r="E56" s="23"/>
      <c r="F56" s="23"/>
      <c r="G56" s="23"/>
      <c r="H56" s="23"/>
      <c r="I56" s="23"/>
      <c r="J56" s="23"/>
      <c r="K56" s="23"/>
      <c r="L56" s="33"/>
      <c r="M56" s="26"/>
      <c r="N56" s="26"/>
      <c r="O56" s="26"/>
      <c r="P56" s="26"/>
      <c r="Q56" s="26"/>
      <c r="R56" s="26"/>
      <c r="S56" s="26"/>
      <c r="T56" s="26"/>
      <c r="U56" s="26"/>
      <c r="V56" s="26"/>
      <c r="W56" s="26"/>
      <c r="X56" s="26">
        <f>COUNTIF($L$2:L56,"&lt;&gt;"&amp;"")</f>
        <v>5</v>
      </c>
      <c r="Y56" s="27">
        <f t="shared" si="4"/>
        <v>0</v>
      </c>
      <c r="Z56" s="28"/>
      <c r="AA56" s="29"/>
      <c r="AB56" s="30" t="b">
        <f>TRUE()</f>
        <v>1</v>
      </c>
      <c r="AC56" s="31">
        <f t="shared" si="5"/>
        <v>0</v>
      </c>
      <c r="AD56" s="42"/>
      <c r="AE56" s="42"/>
    </row>
    <row r="57" spans="1:31" ht="15" customHeight="1">
      <c r="A57" s="20">
        <f t="shared" si="3"/>
        <v>0</v>
      </c>
      <c r="B57" s="23"/>
      <c r="C57" s="23"/>
      <c r="D57" s="23"/>
      <c r="E57" s="23"/>
      <c r="F57" s="23"/>
      <c r="G57" s="23"/>
      <c r="H57" s="23"/>
      <c r="I57" s="23"/>
      <c r="J57" s="23"/>
      <c r="K57" s="23"/>
      <c r="L57" s="33"/>
      <c r="M57" s="26"/>
      <c r="N57" s="26"/>
      <c r="O57" s="26"/>
      <c r="P57" s="26"/>
      <c r="Q57" s="26"/>
      <c r="R57" s="26"/>
      <c r="S57" s="26"/>
      <c r="T57" s="26"/>
      <c r="U57" s="26"/>
      <c r="V57" s="26"/>
      <c r="W57" s="26"/>
      <c r="X57" s="26">
        <f>COUNTIF($L$2:L57,"&lt;&gt;"&amp;"")</f>
        <v>5</v>
      </c>
      <c r="Y57" s="27">
        <f t="shared" si="4"/>
        <v>0</v>
      </c>
      <c r="Z57" s="28"/>
      <c r="AA57" s="29"/>
      <c r="AB57" s="30" t="b">
        <f>TRUE()</f>
        <v>1</v>
      </c>
      <c r="AC57" s="31">
        <f t="shared" si="5"/>
        <v>0</v>
      </c>
      <c r="AD57" s="42"/>
      <c r="AE57" s="42"/>
    </row>
    <row r="58" spans="1:31" ht="15" customHeight="1">
      <c r="A58" s="20">
        <f t="shared" si="3"/>
        <v>0</v>
      </c>
      <c r="B58" s="23"/>
      <c r="C58" s="23"/>
      <c r="D58" s="23"/>
      <c r="E58" s="23"/>
      <c r="F58" s="23"/>
      <c r="G58" s="23"/>
      <c r="H58" s="23"/>
      <c r="I58" s="23"/>
      <c r="J58" s="23"/>
      <c r="K58" s="23"/>
      <c r="L58" s="33"/>
      <c r="M58" s="26"/>
      <c r="N58" s="26"/>
      <c r="O58" s="26"/>
      <c r="P58" s="26"/>
      <c r="Q58" s="26"/>
      <c r="R58" s="26"/>
      <c r="S58" s="26"/>
      <c r="T58" s="26"/>
      <c r="U58" s="26"/>
      <c r="V58" s="26"/>
      <c r="W58" s="26"/>
      <c r="X58" s="26">
        <f>COUNTIF($L$2:L58,"&lt;&gt;"&amp;"")</f>
        <v>5</v>
      </c>
      <c r="Y58" s="27">
        <f t="shared" si="4"/>
        <v>0</v>
      </c>
      <c r="Z58" s="28"/>
      <c r="AA58" s="29"/>
      <c r="AB58" s="30" t="b">
        <f>TRUE()</f>
        <v>1</v>
      </c>
      <c r="AC58" s="31">
        <f t="shared" si="5"/>
        <v>0</v>
      </c>
      <c r="AD58" s="42"/>
      <c r="AE58" s="42"/>
    </row>
    <row r="59" spans="1:31" ht="15" customHeight="1">
      <c r="A59" s="20">
        <f t="shared" si="3"/>
        <v>0</v>
      </c>
      <c r="B59" s="23"/>
      <c r="C59" s="23"/>
      <c r="D59" s="23"/>
      <c r="E59" s="23"/>
      <c r="F59" s="23"/>
      <c r="G59" s="23"/>
      <c r="H59" s="23"/>
      <c r="I59" s="23"/>
      <c r="J59" s="23"/>
      <c r="K59" s="23"/>
      <c r="L59" s="33"/>
      <c r="M59" s="26"/>
      <c r="N59" s="26"/>
      <c r="O59" s="26"/>
      <c r="P59" s="26"/>
      <c r="Q59" s="26"/>
      <c r="R59" s="26"/>
      <c r="S59" s="26"/>
      <c r="T59" s="26"/>
      <c r="U59" s="26"/>
      <c r="V59" s="26"/>
      <c r="W59" s="26"/>
      <c r="X59" s="26">
        <f>COUNTIF($L$2:L59,"&lt;&gt;"&amp;"")</f>
        <v>5</v>
      </c>
      <c r="Y59" s="27">
        <f t="shared" si="4"/>
        <v>0</v>
      </c>
      <c r="Z59" s="28"/>
      <c r="AA59" s="29"/>
      <c r="AB59" s="30" t="b">
        <f>TRUE()</f>
        <v>1</v>
      </c>
      <c r="AC59" s="31">
        <f t="shared" si="5"/>
        <v>0</v>
      </c>
      <c r="AD59" s="42"/>
      <c r="AE59" s="42"/>
    </row>
    <row r="60" spans="1:31" ht="15" customHeight="1">
      <c r="A60" s="20">
        <f t="shared" si="3"/>
        <v>0</v>
      </c>
      <c r="B60" s="23"/>
      <c r="C60" s="23"/>
      <c r="D60" s="23"/>
      <c r="E60" s="23"/>
      <c r="F60" s="23"/>
      <c r="G60" s="23"/>
      <c r="H60" s="23"/>
      <c r="I60" s="23"/>
      <c r="J60" s="23"/>
      <c r="K60" s="23"/>
      <c r="L60" s="33"/>
      <c r="M60" s="26"/>
      <c r="N60" s="26"/>
      <c r="O60" s="26"/>
      <c r="P60" s="26"/>
      <c r="Q60" s="26"/>
      <c r="R60" s="26"/>
      <c r="S60" s="26"/>
      <c r="T60" s="26"/>
      <c r="U60" s="26"/>
      <c r="V60" s="26"/>
      <c r="W60" s="26"/>
      <c r="X60" s="26">
        <f>COUNTIF($L$2:L60,"&lt;&gt;"&amp;"")</f>
        <v>5</v>
      </c>
      <c r="Y60" s="27">
        <f t="shared" si="4"/>
        <v>0</v>
      </c>
      <c r="Z60" s="28"/>
      <c r="AA60" s="29"/>
      <c r="AB60" s="30" t="b">
        <f>TRUE()</f>
        <v>1</v>
      </c>
      <c r="AC60" s="31">
        <f t="shared" si="5"/>
        <v>0</v>
      </c>
      <c r="AD60" s="42"/>
      <c r="AE60" s="42"/>
    </row>
    <row r="61" spans="1:31" ht="15" customHeight="1">
      <c r="A61" s="20">
        <f t="shared" si="3"/>
        <v>0</v>
      </c>
      <c r="B61" s="23"/>
      <c r="C61" s="23"/>
      <c r="D61" s="23"/>
      <c r="E61" s="23"/>
      <c r="F61" s="23"/>
      <c r="G61" s="23"/>
      <c r="H61" s="23"/>
      <c r="I61" s="23"/>
      <c r="J61" s="23"/>
      <c r="K61" s="23"/>
      <c r="L61" s="33"/>
      <c r="M61" s="26"/>
      <c r="N61" s="26"/>
      <c r="O61" s="26"/>
      <c r="P61" s="26"/>
      <c r="Q61" s="26"/>
      <c r="R61" s="26"/>
      <c r="S61" s="26"/>
      <c r="T61" s="26"/>
      <c r="U61" s="26"/>
      <c r="V61" s="26"/>
      <c r="W61" s="26"/>
      <c r="X61" s="26">
        <f>COUNTIF($L$2:L61,"&lt;&gt;"&amp;"")</f>
        <v>5</v>
      </c>
      <c r="Y61" s="27">
        <f t="shared" si="4"/>
        <v>0</v>
      </c>
      <c r="Z61" s="28"/>
      <c r="AA61" s="29"/>
      <c r="AB61" s="30" t="b">
        <f>TRUE()</f>
        <v>1</v>
      </c>
      <c r="AC61" s="31">
        <f t="shared" si="5"/>
        <v>0</v>
      </c>
      <c r="AD61" s="42"/>
      <c r="AE61" s="42"/>
    </row>
    <row r="62" spans="1:31" ht="15" customHeight="1">
      <c r="A62" s="20">
        <f t="shared" si="3"/>
        <v>0</v>
      </c>
      <c r="B62" s="23"/>
      <c r="C62" s="23"/>
      <c r="D62" s="23"/>
      <c r="E62" s="23"/>
      <c r="F62" s="23"/>
      <c r="G62" s="23"/>
      <c r="H62" s="23"/>
      <c r="I62" s="23"/>
      <c r="J62" s="23"/>
      <c r="K62" s="23"/>
      <c r="L62" s="33"/>
      <c r="M62" s="26"/>
      <c r="N62" s="26"/>
      <c r="O62" s="26"/>
      <c r="P62" s="26"/>
      <c r="Q62" s="26"/>
      <c r="R62" s="26"/>
      <c r="S62" s="26"/>
      <c r="T62" s="26"/>
      <c r="U62" s="26"/>
      <c r="V62" s="26"/>
      <c r="W62" s="26"/>
      <c r="X62" s="26">
        <f>COUNTIF($L$2:L62,"&lt;&gt;"&amp;"")</f>
        <v>5</v>
      </c>
      <c r="Y62" s="27">
        <f t="shared" si="4"/>
        <v>0</v>
      </c>
      <c r="Z62" s="28"/>
      <c r="AA62" s="29"/>
      <c r="AB62" s="30" t="b">
        <f>TRUE()</f>
        <v>1</v>
      </c>
      <c r="AC62" s="31">
        <f t="shared" si="5"/>
        <v>0</v>
      </c>
      <c r="AD62" s="42"/>
      <c r="AE62" s="42"/>
    </row>
    <row r="63" spans="1:31" ht="15" customHeight="1">
      <c r="A63" s="20">
        <f t="shared" si="3"/>
        <v>0</v>
      </c>
      <c r="B63" s="23"/>
      <c r="C63" s="23"/>
      <c r="D63" s="23"/>
      <c r="E63" s="23"/>
      <c r="F63" s="23"/>
      <c r="G63" s="23"/>
      <c r="H63" s="23"/>
      <c r="I63" s="23"/>
      <c r="J63" s="23"/>
      <c r="K63" s="23"/>
      <c r="L63" s="33"/>
      <c r="M63" s="26"/>
      <c r="N63" s="26"/>
      <c r="O63" s="26"/>
      <c r="P63" s="26"/>
      <c r="Q63" s="26"/>
      <c r="R63" s="26"/>
      <c r="S63" s="26"/>
      <c r="T63" s="26"/>
      <c r="U63" s="26"/>
      <c r="V63" s="26"/>
      <c r="W63" s="26"/>
      <c r="X63" s="26">
        <f>COUNTIF($L$2:L63,"&lt;&gt;"&amp;"")</f>
        <v>5</v>
      </c>
      <c r="Y63" s="27">
        <f t="shared" si="4"/>
        <v>0</v>
      </c>
      <c r="Z63" s="28"/>
      <c r="AA63" s="29"/>
      <c r="AB63" s="30" t="b">
        <f>TRUE()</f>
        <v>1</v>
      </c>
      <c r="AC63" s="31">
        <f t="shared" si="5"/>
        <v>0</v>
      </c>
      <c r="AD63" s="42"/>
      <c r="AE63" s="42"/>
    </row>
    <row r="64" spans="1:31" ht="15" customHeight="1">
      <c r="A64" s="20">
        <f t="shared" si="3"/>
        <v>0</v>
      </c>
      <c r="B64" s="23"/>
      <c r="C64" s="23"/>
      <c r="D64" s="23"/>
      <c r="E64" s="23"/>
      <c r="F64" s="23"/>
      <c r="G64" s="23"/>
      <c r="H64" s="23"/>
      <c r="I64" s="23"/>
      <c r="J64" s="23"/>
      <c r="K64" s="23"/>
      <c r="L64" s="33"/>
      <c r="M64" s="26"/>
      <c r="N64" s="26"/>
      <c r="O64" s="26"/>
      <c r="P64" s="26"/>
      <c r="Q64" s="26"/>
      <c r="R64" s="26"/>
      <c r="S64" s="26"/>
      <c r="T64" s="26"/>
      <c r="U64" s="26"/>
      <c r="V64" s="26"/>
      <c r="W64" s="26"/>
      <c r="X64" s="26">
        <f>COUNTIF($L$2:L64,"&lt;&gt;"&amp;"")</f>
        <v>5</v>
      </c>
      <c r="Y64" s="27">
        <f t="shared" si="4"/>
        <v>0</v>
      </c>
      <c r="Z64" s="28"/>
      <c r="AA64" s="29"/>
      <c r="AB64" s="30" t="b">
        <f>TRUE()</f>
        <v>1</v>
      </c>
      <c r="AC64" s="31">
        <f t="shared" si="5"/>
        <v>0</v>
      </c>
      <c r="AD64" s="35"/>
      <c r="AE64" s="35"/>
    </row>
    <row r="65" spans="1:31" ht="15" customHeight="1">
      <c r="A65" s="20">
        <f t="shared" si="3"/>
        <v>0</v>
      </c>
      <c r="B65" s="23"/>
      <c r="C65" s="23"/>
      <c r="D65" s="23"/>
      <c r="E65" s="23"/>
      <c r="F65" s="23"/>
      <c r="G65" s="23"/>
      <c r="H65" s="23"/>
      <c r="I65" s="23"/>
      <c r="J65" s="23"/>
      <c r="K65" s="23"/>
      <c r="L65" s="33"/>
      <c r="M65" s="26"/>
      <c r="N65" s="26"/>
      <c r="O65" s="26"/>
      <c r="P65" s="26"/>
      <c r="Q65" s="26"/>
      <c r="R65" s="26"/>
      <c r="S65" s="26"/>
      <c r="T65" s="26"/>
      <c r="U65" s="26"/>
      <c r="V65" s="26"/>
      <c r="W65" s="26"/>
      <c r="X65" s="26">
        <f>COUNTIF($L$2:L65,"&lt;&gt;"&amp;"")</f>
        <v>5</v>
      </c>
      <c r="Y65" s="27">
        <f t="shared" si="4"/>
        <v>0</v>
      </c>
      <c r="Z65" s="28"/>
      <c r="AA65" s="29"/>
      <c r="AB65" s="30" t="b">
        <f>TRUE()</f>
        <v>1</v>
      </c>
      <c r="AC65" s="31">
        <f t="shared" si="5"/>
        <v>0</v>
      </c>
      <c r="AD65" s="42"/>
      <c r="AE65" s="42"/>
    </row>
    <row r="66" spans="1:31" ht="15" customHeight="1">
      <c r="A66" s="20">
        <f t="shared" ref="A66:A97" si="6">(B66*$P$125+C66*$P$126+D66*$P$127+E66*$P$128+F66*$P$129+G66*$P$130+H66*$P$131+I66*$P$132+J66*$P$133+K66*$P$134)*$T$123</f>
        <v>0</v>
      </c>
      <c r="B66" s="23"/>
      <c r="C66" s="23"/>
      <c r="D66" s="23"/>
      <c r="E66" s="23"/>
      <c r="F66" s="23"/>
      <c r="G66" s="23"/>
      <c r="H66" s="23"/>
      <c r="I66" s="23"/>
      <c r="J66" s="23"/>
      <c r="K66" s="23"/>
      <c r="L66" s="33"/>
      <c r="M66" s="33"/>
      <c r="N66" s="26"/>
      <c r="O66" s="26"/>
      <c r="P66" s="26"/>
      <c r="Q66" s="26"/>
      <c r="R66" s="26"/>
      <c r="S66" s="26"/>
      <c r="T66" s="26"/>
      <c r="U66" s="26"/>
      <c r="V66" s="26"/>
      <c r="W66" s="26"/>
      <c r="X66" s="26">
        <f>COUNTIF($L$2:L66,"&lt;&gt;"&amp;"")</f>
        <v>5</v>
      </c>
      <c r="Y66" s="27">
        <f t="shared" ref="Y66:Y97" si="7">SUMIF($X$2:$X$120,X66,$A$2:$A$120)</f>
        <v>0</v>
      </c>
      <c r="Z66" s="28"/>
      <c r="AA66" s="29"/>
      <c r="AB66" s="30" t="b">
        <f>TRUE()</f>
        <v>1</v>
      </c>
      <c r="AC66" s="31">
        <f t="shared" ref="AC66:AC97" si="8">IF(L66="",0,IF(AB66=FALSE(),0,Y66))</f>
        <v>0</v>
      </c>
      <c r="AD66" s="42"/>
      <c r="AE66" s="42"/>
    </row>
    <row r="67" spans="1:31" ht="15" customHeight="1">
      <c r="A67" s="20">
        <f t="shared" si="6"/>
        <v>0</v>
      </c>
      <c r="B67" s="23"/>
      <c r="C67" s="23"/>
      <c r="D67" s="23"/>
      <c r="E67" s="23"/>
      <c r="F67" s="23"/>
      <c r="G67" s="23"/>
      <c r="H67" s="23"/>
      <c r="I67" s="23"/>
      <c r="J67" s="23"/>
      <c r="K67" s="23"/>
      <c r="L67" s="33"/>
      <c r="M67" s="26"/>
      <c r="N67" s="33"/>
      <c r="O67" s="26"/>
      <c r="P67" s="26"/>
      <c r="Q67" s="26"/>
      <c r="R67" s="26"/>
      <c r="S67" s="26"/>
      <c r="T67" s="26"/>
      <c r="U67" s="26"/>
      <c r="V67" s="26"/>
      <c r="W67" s="26"/>
      <c r="X67" s="26">
        <f>COUNTIF($L$2:L67,"&lt;&gt;"&amp;"")</f>
        <v>5</v>
      </c>
      <c r="Y67" s="27">
        <f t="shared" si="7"/>
        <v>0</v>
      </c>
      <c r="Z67" s="28"/>
      <c r="AA67" s="29"/>
      <c r="AB67" s="30" t="b">
        <f>TRUE()</f>
        <v>1</v>
      </c>
      <c r="AC67" s="31">
        <f t="shared" si="8"/>
        <v>0</v>
      </c>
      <c r="AD67" s="42"/>
      <c r="AE67" s="42"/>
    </row>
    <row r="68" spans="1:31" ht="15" customHeight="1">
      <c r="A68" s="20">
        <f t="shared" si="6"/>
        <v>0</v>
      </c>
      <c r="B68" s="23"/>
      <c r="C68" s="23"/>
      <c r="D68" s="23"/>
      <c r="E68" s="23"/>
      <c r="F68" s="23"/>
      <c r="G68" s="23"/>
      <c r="H68" s="23"/>
      <c r="I68" s="23"/>
      <c r="J68" s="23"/>
      <c r="K68" s="23"/>
      <c r="L68" s="33"/>
      <c r="M68" s="26"/>
      <c r="N68" s="26"/>
      <c r="O68" s="26"/>
      <c r="P68" s="26"/>
      <c r="Q68" s="26"/>
      <c r="R68" s="26"/>
      <c r="S68" s="26"/>
      <c r="T68" s="26"/>
      <c r="U68" s="26"/>
      <c r="V68" s="26"/>
      <c r="W68" s="26"/>
      <c r="X68" s="26">
        <f>COUNTIF($L$2:L68,"&lt;&gt;"&amp;"")</f>
        <v>5</v>
      </c>
      <c r="Y68" s="27">
        <f t="shared" si="7"/>
        <v>0</v>
      </c>
      <c r="Z68" s="28"/>
      <c r="AA68" s="29"/>
      <c r="AB68" s="30" t="b">
        <f>TRUE()</f>
        <v>1</v>
      </c>
      <c r="AC68" s="31">
        <f t="shared" si="8"/>
        <v>0</v>
      </c>
      <c r="AD68" s="42"/>
      <c r="AE68" s="42"/>
    </row>
    <row r="69" spans="1:31" ht="15" customHeight="1">
      <c r="A69" s="20">
        <f t="shared" si="6"/>
        <v>0</v>
      </c>
      <c r="B69" s="23"/>
      <c r="C69" s="23"/>
      <c r="D69" s="23"/>
      <c r="E69" s="23"/>
      <c r="F69" s="23"/>
      <c r="G69" s="23"/>
      <c r="H69" s="23"/>
      <c r="I69" s="23"/>
      <c r="J69" s="23"/>
      <c r="K69" s="23"/>
      <c r="L69" s="33"/>
      <c r="M69" s="26"/>
      <c r="N69" s="26"/>
      <c r="O69" s="26"/>
      <c r="P69" s="26"/>
      <c r="Q69" s="26"/>
      <c r="R69" s="26"/>
      <c r="S69" s="26"/>
      <c r="T69" s="26"/>
      <c r="U69" s="26"/>
      <c r="V69" s="26"/>
      <c r="W69" s="26"/>
      <c r="X69" s="26">
        <f>COUNTIF($L$2:L69,"&lt;&gt;"&amp;"")</f>
        <v>5</v>
      </c>
      <c r="Y69" s="27">
        <f t="shared" si="7"/>
        <v>0</v>
      </c>
      <c r="Z69" s="28"/>
      <c r="AA69" s="29"/>
      <c r="AB69" s="30" t="b">
        <f>TRUE()</f>
        <v>1</v>
      </c>
      <c r="AC69" s="31">
        <f t="shared" si="8"/>
        <v>0</v>
      </c>
      <c r="AD69" s="42"/>
      <c r="AE69" s="42"/>
    </row>
    <row r="70" spans="1:31" ht="15" customHeight="1">
      <c r="A70" s="20">
        <f t="shared" si="6"/>
        <v>0</v>
      </c>
      <c r="B70" s="23"/>
      <c r="C70" s="23"/>
      <c r="D70" s="23"/>
      <c r="E70" s="23"/>
      <c r="F70" s="23"/>
      <c r="G70" s="23"/>
      <c r="H70" s="23"/>
      <c r="I70" s="23"/>
      <c r="J70" s="23"/>
      <c r="K70" s="23"/>
      <c r="L70" s="33"/>
      <c r="M70" s="26"/>
      <c r="N70" s="26"/>
      <c r="O70" s="26"/>
      <c r="P70" s="26"/>
      <c r="Q70" s="26"/>
      <c r="R70" s="26"/>
      <c r="S70" s="26"/>
      <c r="T70" s="26"/>
      <c r="U70" s="26"/>
      <c r="V70" s="26"/>
      <c r="W70" s="26"/>
      <c r="X70" s="26">
        <f>COUNTIF($L$2:L70,"&lt;&gt;"&amp;"")</f>
        <v>5</v>
      </c>
      <c r="Y70" s="27">
        <f t="shared" si="7"/>
        <v>0</v>
      </c>
      <c r="Z70" s="28"/>
      <c r="AA70" s="29"/>
      <c r="AB70" s="30" t="b">
        <f>TRUE()</f>
        <v>1</v>
      </c>
      <c r="AC70" s="31">
        <f t="shared" si="8"/>
        <v>0</v>
      </c>
      <c r="AD70" s="42"/>
      <c r="AE70" s="42"/>
    </row>
    <row r="71" spans="1:31" ht="15" customHeight="1">
      <c r="A71" s="20">
        <f t="shared" si="6"/>
        <v>0</v>
      </c>
      <c r="B71" s="23"/>
      <c r="C71" s="23"/>
      <c r="D71" s="23"/>
      <c r="E71" s="23"/>
      <c r="F71" s="23"/>
      <c r="G71" s="23"/>
      <c r="H71" s="23"/>
      <c r="I71" s="23"/>
      <c r="J71" s="23"/>
      <c r="K71" s="23"/>
      <c r="L71" s="33"/>
      <c r="M71" s="26"/>
      <c r="N71" s="26"/>
      <c r="O71" s="26"/>
      <c r="P71" s="26"/>
      <c r="Q71" s="26"/>
      <c r="R71" s="26"/>
      <c r="S71" s="26"/>
      <c r="T71" s="26"/>
      <c r="U71" s="26"/>
      <c r="V71" s="26"/>
      <c r="W71" s="26"/>
      <c r="X71" s="26">
        <f>COUNTIF($L$2:L71,"&lt;&gt;"&amp;"")</f>
        <v>5</v>
      </c>
      <c r="Y71" s="27">
        <f t="shared" si="7"/>
        <v>0</v>
      </c>
      <c r="Z71" s="28"/>
      <c r="AA71" s="29"/>
      <c r="AB71" s="30" t="b">
        <f>TRUE()</f>
        <v>1</v>
      </c>
      <c r="AC71" s="31">
        <f t="shared" si="8"/>
        <v>0</v>
      </c>
      <c r="AD71" s="42"/>
      <c r="AE71" s="42"/>
    </row>
    <row r="72" spans="1:31" ht="15" customHeight="1">
      <c r="A72" s="20">
        <f t="shared" si="6"/>
        <v>0</v>
      </c>
      <c r="B72" s="23"/>
      <c r="C72" s="23"/>
      <c r="D72" s="23"/>
      <c r="E72" s="23"/>
      <c r="F72" s="23"/>
      <c r="G72" s="23"/>
      <c r="H72" s="23"/>
      <c r="I72" s="23"/>
      <c r="J72" s="23"/>
      <c r="K72" s="23"/>
      <c r="L72" s="33"/>
      <c r="M72" s="26"/>
      <c r="N72" s="26"/>
      <c r="O72" s="26"/>
      <c r="P72" s="26"/>
      <c r="Q72" s="26"/>
      <c r="R72" s="26"/>
      <c r="S72" s="26"/>
      <c r="T72" s="26"/>
      <c r="U72" s="26"/>
      <c r="V72" s="26"/>
      <c r="W72" s="26"/>
      <c r="X72" s="26">
        <f>COUNTIF($L$2:L72,"&lt;&gt;"&amp;"")</f>
        <v>5</v>
      </c>
      <c r="Y72" s="27">
        <f t="shared" si="7"/>
        <v>0</v>
      </c>
      <c r="Z72" s="28"/>
      <c r="AA72" s="29"/>
      <c r="AB72" s="30" t="b">
        <f>TRUE()</f>
        <v>1</v>
      </c>
      <c r="AC72" s="31">
        <f t="shared" si="8"/>
        <v>0</v>
      </c>
      <c r="AD72" s="42"/>
      <c r="AE72" s="42"/>
    </row>
    <row r="73" spans="1:31" ht="15" customHeight="1">
      <c r="A73" s="20">
        <f t="shared" si="6"/>
        <v>0</v>
      </c>
      <c r="B73" s="23"/>
      <c r="C73" s="23"/>
      <c r="D73" s="23"/>
      <c r="E73" s="23"/>
      <c r="F73" s="23"/>
      <c r="G73" s="23"/>
      <c r="H73" s="23"/>
      <c r="I73" s="23"/>
      <c r="J73" s="23"/>
      <c r="K73" s="23"/>
      <c r="L73" s="33"/>
      <c r="M73" s="26"/>
      <c r="N73" s="26"/>
      <c r="O73" s="26"/>
      <c r="P73" s="26"/>
      <c r="Q73" s="26"/>
      <c r="R73" s="26"/>
      <c r="S73" s="26"/>
      <c r="T73" s="26"/>
      <c r="U73" s="26"/>
      <c r="V73" s="26"/>
      <c r="W73" s="26"/>
      <c r="X73" s="26">
        <f>COUNTIF($L$2:L73,"&lt;&gt;"&amp;"")</f>
        <v>5</v>
      </c>
      <c r="Y73" s="27">
        <f t="shared" si="7"/>
        <v>0</v>
      </c>
      <c r="Z73" s="28"/>
      <c r="AA73" s="29"/>
      <c r="AB73" s="30" t="b">
        <f>TRUE()</f>
        <v>1</v>
      </c>
      <c r="AC73" s="31">
        <f t="shared" si="8"/>
        <v>0</v>
      </c>
      <c r="AD73" s="42"/>
      <c r="AE73" s="42"/>
    </row>
    <row r="74" spans="1:31" ht="15" customHeight="1">
      <c r="A74" s="20">
        <f t="shared" si="6"/>
        <v>0</v>
      </c>
      <c r="B74" s="23"/>
      <c r="C74" s="23"/>
      <c r="D74" s="23"/>
      <c r="E74" s="23"/>
      <c r="F74" s="23"/>
      <c r="G74" s="23"/>
      <c r="H74" s="23"/>
      <c r="I74" s="23"/>
      <c r="J74" s="23"/>
      <c r="K74" s="23"/>
      <c r="L74" s="33"/>
      <c r="M74" s="33"/>
      <c r="N74" s="26"/>
      <c r="O74" s="26"/>
      <c r="P74" s="26"/>
      <c r="Q74" s="26"/>
      <c r="R74" s="26"/>
      <c r="S74" s="26"/>
      <c r="T74" s="26"/>
      <c r="U74" s="26"/>
      <c r="V74" s="26"/>
      <c r="W74" s="26"/>
      <c r="X74" s="26">
        <f>COUNTIF($L$2:L74,"&lt;&gt;"&amp;"")</f>
        <v>5</v>
      </c>
      <c r="Y74" s="27">
        <f t="shared" si="7"/>
        <v>0</v>
      </c>
      <c r="Z74" s="28"/>
      <c r="AA74" s="29"/>
      <c r="AB74" s="30" t="b">
        <f>TRUE()</f>
        <v>1</v>
      </c>
      <c r="AC74" s="31">
        <f t="shared" si="8"/>
        <v>0</v>
      </c>
      <c r="AD74" s="42"/>
      <c r="AE74" s="42"/>
    </row>
    <row r="75" spans="1:31" ht="15" customHeight="1">
      <c r="A75" s="20">
        <f t="shared" si="6"/>
        <v>0</v>
      </c>
      <c r="B75" s="23"/>
      <c r="C75" s="23"/>
      <c r="D75" s="23"/>
      <c r="E75" s="23"/>
      <c r="F75" s="23"/>
      <c r="G75" s="23"/>
      <c r="H75" s="23"/>
      <c r="I75" s="23"/>
      <c r="J75" s="23"/>
      <c r="K75" s="23"/>
      <c r="L75" s="33"/>
      <c r="M75" s="26"/>
      <c r="N75" s="26"/>
      <c r="O75" s="26"/>
      <c r="P75" s="26"/>
      <c r="Q75" s="26"/>
      <c r="R75" s="26"/>
      <c r="S75" s="26"/>
      <c r="T75" s="26"/>
      <c r="U75" s="26"/>
      <c r="V75" s="26"/>
      <c r="W75" s="26"/>
      <c r="X75" s="26">
        <f>COUNTIF($L$2:L75,"&lt;&gt;"&amp;"")</f>
        <v>5</v>
      </c>
      <c r="Y75" s="27">
        <f t="shared" si="7"/>
        <v>0</v>
      </c>
      <c r="Z75" s="28"/>
      <c r="AA75" s="29"/>
      <c r="AB75" s="30" t="b">
        <f>TRUE()</f>
        <v>1</v>
      </c>
      <c r="AC75" s="31">
        <f t="shared" si="8"/>
        <v>0</v>
      </c>
      <c r="AD75" s="35"/>
      <c r="AE75" s="35"/>
    </row>
    <row r="76" spans="1:31" ht="15" customHeight="1">
      <c r="A76" s="20">
        <f t="shared" si="6"/>
        <v>0</v>
      </c>
      <c r="B76" s="23"/>
      <c r="C76" s="23"/>
      <c r="D76" s="23"/>
      <c r="E76" s="23"/>
      <c r="F76" s="23"/>
      <c r="G76" s="23"/>
      <c r="H76" s="23"/>
      <c r="I76" s="23"/>
      <c r="J76" s="23"/>
      <c r="K76" s="23"/>
      <c r="L76" s="33"/>
      <c r="M76" s="26"/>
      <c r="N76" s="26"/>
      <c r="O76" s="26"/>
      <c r="P76" s="26"/>
      <c r="Q76" s="26"/>
      <c r="R76" s="26"/>
      <c r="S76" s="26"/>
      <c r="T76" s="26"/>
      <c r="U76" s="26"/>
      <c r="V76" s="26"/>
      <c r="W76" s="26"/>
      <c r="X76" s="26">
        <f>COUNTIF($L$2:L76,"&lt;&gt;"&amp;"")</f>
        <v>5</v>
      </c>
      <c r="Y76" s="27">
        <f t="shared" si="7"/>
        <v>0</v>
      </c>
      <c r="Z76" s="28"/>
      <c r="AA76" s="29"/>
      <c r="AB76" s="30" t="b">
        <f>TRUE()</f>
        <v>1</v>
      </c>
      <c r="AC76" s="31">
        <f t="shared" si="8"/>
        <v>0</v>
      </c>
      <c r="AD76" s="35"/>
      <c r="AE76" s="35"/>
    </row>
    <row r="77" spans="1:31" ht="15" customHeight="1">
      <c r="A77" s="20">
        <f t="shared" si="6"/>
        <v>0</v>
      </c>
      <c r="B77" s="23"/>
      <c r="C77" s="23"/>
      <c r="D77" s="23"/>
      <c r="E77" s="23"/>
      <c r="F77" s="23"/>
      <c r="G77" s="23"/>
      <c r="H77" s="23"/>
      <c r="I77" s="23"/>
      <c r="J77" s="23"/>
      <c r="K77" s="23"/>
      <c r="L77" s="33"/>
      <c r="M77" s="26"/>
      <c r="N77" s="26"/>
      <c r="O77" s="26"/>
      <c r="P77" s="26"/>
      <c r="Q77" s="26"/>
      <c r="R77" s="26"/>
      <c r="S77" s="26"/>
      <c r="T77" s="26"/>
      <c r="U77" s="26"/>
      <c r="V77" s="26"/>
      <c r="W77" s="26"/>
      <c r="X77" s="26">
        <f>COUNTIF($L$2:L77,"&lt;&gt;"&amp;"")</f>
        <v>5</v>
      </c>
      <c r="Y77" s="27">
        <f t="shared" si="7"/>
        <v>0</v>
      </c>
      <c r="Z77" s="28"/>
      <c r="AA77" s="29"/>
      <c r="AB77" s="30" t="b">
        <f>TRUE()</f>
        <v>1</v>
      </c>
      <c r="AC77" s="31">
        <f t="shared" si="8"/>
        <v>0</v>
      </c>
      <c r="AD77" s="35"/>
      <c r="AE77" s="35"/>
    </row>
    <row r="78" spans="1:31" ht="15" customHeight="1">
      <c r="A78" s="20">
        <f t="shared" si="6"/>
        <v>0</v>
      </c>
      <c r="B78" s="23"/>
      <c r="C78" s="23"/>
      <c r="D78" s="23"/>
      <c r="E78" s="23"/>
      <c r="F78" s="23"/>
      <c r="G78" s="23"/>
      <c r="H78" s="23"/>
      <c r="I78" s="23"/>
      <c r="J78" s="23"/>
      <c r="K78" s="23"/>
      <c r="L78" s="33"/>
      <c r="M78" s="26"/>
      <c r="N78" s="26"/>
      <c r="O78" s="26"/>
      <c r="P78" s="26"/>
      <c r="Q78" s="26"/>
      <c r="R78" s="26"/>
      <c r="S78" s="26"/>
      <c r="T78" s="26"/>
      <c r="U78" s="26"/>
      <c r="V78" s="26"/>
      <c r="W78" s="26"/>
      <c r="X78" s="26">
        <f>COUNTIF($L$2:L78,"&lt;&gt;"&amp;"")</f>
        <v>5</v>
      </c>
      <c r="Y78" s="27">
        <f t="shared" si="7"/>
        <v>0</v>
      </c>
      <c r="Z78" s="28"/>
      <c r="AA78" s="29"/>
      <c r="AB78" s="30" t="b">
        <f>TRUE()</f>
        <v>1</v>
      </c>
      <c r="AC78" s="31">
        <f t="shared" si="8"/>
        <v>0</v>
      </c>
      <c r="AD78" s="35"/>
      <c r="AE78" s="35"/>
    </row>
    <row r="79" spans="1:31" ht="15" customHeight="1">
      <c r="A79" s="20">
        <f t="shared" si="6"/>
        <v>0</v>
      </c>
      <c r="B79" s="23"/>
      <c r="C79" s="23"/>
      <c r="D79" s="23"/>
      <c r="E79" s="23"/>
      <c r="F79" s="23"/>
      <c r="G79" s="23"/>
      <c r="H79" s="23"/>
      <c r="I79" s="23"/>
      <c r="J79" s="23"/>
      <c r="K79" s="23"/>
      <c r="L79" s="33"/>
      <c r="M79" s="26"/>
      <c r="N79" s="26"/>
      <c r="O79" s="26"/>
      <c r="P79" s="26"/>
      <c r="Q79" s="26"/>
      <c r="R79" s="26"/>
      <c r="S79" s="26"/>
      <c r="T79" s="26"/>
      <c r="U79" s="26"/>
      <c r="V79" s="26"/>
      <c r="W79" s="26"/>
      <c r="X79" s="26">
        <f>COUNTIF($L$2:L79,"&lt;&gt;"&amp;"")</f>
        <v>5</v>
      </c>
      <c r="Y79" s="27">
        <f t="shared" si="7"/>
        <v>0</v>
      </c>
      <c r="Z79" s="28"/>
      <c r="AA79" s="29"/>
      <c r="AB79" s="30" t="b">
        <f>TRUE()</f>
        <v>1</v>
      </c>
      <c r="AC79" s="31">
        <f t="shared" si="8"/>
        <v>0</v>
      </c>
      <c r="AD79" s="35"/>
      <c r="AE79" s="35"/>
    </row>
    <row r="80" spans="1:31" ht="15" customHeight="1">
      <c r="A80" s="20">
        <f t="shared" si="6"/>
        <v>0</v>
      </c>
      <c r="B80" s="23"/>
      <c r="C80" s="23"/>
      <c r="D80" s="23"/>
      <c r="E80" s="23"/>
      <c r="F80" s="23"/>
      <c r="G80" s="23"/>
      <c r="H80" s="23"/>
      <c r="I80" s="23"/>
      <c r="J80" s="23"/>
      <c r="K80" s="23"/>
      <c r="L80" s="33"/>
      <c r="M80" s="26"/>
      <c r="N80" s="26"/>
      <c r="O80" s="26"/>
      <c r="P80" s="26"/>
      <c r="Q80" s="26"/>
      <c r="R80" s="26"/>
      <c r="S80" s="26"/>
      <c r="T80" s="26"/>
      <c r="U80" s="26"/>
      <c r="V80" s="26"/>
      <c r="W80" s="26"/>
      <c r="X80" s="26">
        <f>COUNTIF($L$2:L80,"&lt;&gt;"&amp;"")</f>
        <v>5</v>
      </c>
      <c r="Y80" s="27">
        <f t="shared" si="7"/>
        <v>0</v>
      </c>
      <c r="Z80" s="28"/>
      <c r="AA80" s="29"/>
      <c r="AB80" s="30" t="b">
        <f>TRUE()</f>
        <v>1</v>
      </c>
      <c r="AC80" s="31">
        <f t="shared" si="8"/>
        <v>0</v>
      </c>
      <c r="AD80" s="23"/>
      <c r="AE80" s="23"/>
    </row>
    <row r="81" spans="1:31" ht="15" customHeight="1">
      <c r="A81" s="20">
        <f t="shared" si="6"/>
        <v>0</v>
      </c>
      <c r="B81" s="23"/>
      <c r="C81" s="23"/>
      <c r="D81" s="23"/>
      <c r="E81" s="23"/>
      <c r="F81" s="23"/>
      <c r="G81" s="23"/>
      <c r="H81" s="23"/>
      <c r="I81" s="23"/>
      <c r="J81" s="23"/>
      <c r="K81" s="23"/>
      <c r="L81" s="33"/>
      <c r="M81" s="26"/>
      <c r="N81" s="26"/>
      <c r="O81" s="26"/>
      <c r="P81" s="26"/>
      <c r="Q81" s="26"/>
      <c r="R81" s="26"/>
      <c r="S81" s="26"/>
      <c r="T81" s="26"/>
      <c r="U81" s="26"/>
      <c r="V81" s="26"/>
      <c r="W81" s="26"/>
      <c r="X81" s="26">
        <f>COUNTIF($L$2:L81,"&lt;&gt;"&amp;"")</f>
        <v>5</v>
      </c>
      <c r="Y81" s="27">
        <f t="shared" si="7"/>
        <v>0</v>
      </c>
      <c r="Z81" s="28"/>
      <c r="AA81" s="29"/>
      <c r="AB81" s="30" t="b">
        <f>TRUE()</f>
        <v>1</v>
      </c>
      <c r="AC81" s="31">
        <f t="shared" si="8"/>
        <v>0</v>
      </c>
      <c r="AD81" s="23"/>
      <c r="AE81" s="23"/>
    </row>
    <row r="82" spans="1:31" ht="15" customHeight="1">
      <c r="A82" s="20">
        <f t="shared" si="6"/>
        <v>0</v>
      </c>
      <c r="B82" s="23"/>
      <c r="C82" s="23"/>
      <c r="D82" s="23"/>
      <c r="E82" s="23"/>
      <c r="F82" s="23"/>
      <c r="G82" s="23"/>
      <c r="H82" s="23"/>
      <c r="I82" s="23"/>
      <c r="J82" s="23"/>
      <c r="K82" s="23"/>
      <c r="L82" s="33"/>
      <c r="M82" s="26"/>
      <c r="N82" s="26"/>
      <c r="O82" s="26"/>
      <c r="P82" s="26"/>
      <c r="Q82" s="26"/>
      <c r="R82" s="26"/>
      <c r="S82" s="26"/>
      <c r="T82" s="26"/>
      <c r="U82" s="26"/>
      <c r="V82" s="26"/>
      <c r="W82" s="26"/>
      <c r="X82" s="26">
        <f>COUNTIF($L$2:L82,"&lt;&gt;"&amp;"")</f>
        <v>5</v>
      </c>
      <c r="Y82" s="27">
        <f t="shared" si="7"/>
        <v>0</v>
      </c>
      <c r="Z82" s="28"/>
      <c r="AA82" s="29"/>
      <c r="AB82" s="30" t="b">
        <f>TRUE()</f>
        <v>1</v>
      </c>
      <c r="AC82" s="31">
        <f t="shared" si="8"/>
        <v>0</v>
      </c>
      <c r="AD82" s="23"/>
      <c r="AE82" s="23"/>
    </row>
    <row r="83" spans="1:31" ht="15" customHeight="1">
      <c r="A83" s="20">
        <f t="shared" si="6"/>
        <v>0</v>
      </c>
      <c r="B83" s="23"/>
      <c r="C83" s="23"/>
      <c r="D83" s="23"/>
      <c r="E83" s="23"/>
      <c r="F83" s="23"/>
      <c r="G83" s="23"/>
      <c r="H83" s="23"/>
      <c r="I83" s="23"/>
      <c r="J83" s="23"/>
      <c r="K83" s="23"/>
      <c r="L83" s="33"/>
      <c r="M83" s="26"/>
      <c r="N83" s="26"/>
      <c r="O83" s="26"/>
      <c r="P83" s="26"/>
      <c r="Q83" s="26"/>
      <c r="R83" s="26"/>
      <c r="S83" s="26"/>
      <c r="T83" s="26"/>
      <c r="U83" s="26"/>
      <c r="V83" s="26"/>
      <c r="W83" s="26"/>
      <c r="X83" s="26">
        <f>COUNTIF($L$2:L83,"&lt;&gt;"&amp;"")</f>
        <v>5</v>
      </c>
      <c r="Y83" s="27">
        <f t="shared" si="7"/>
        <v>0</v>
      </c>
      <c r="Z83" s="28"/>
      <c r="AA83" s="29"/>
      <c r="AB83" s="30" t="b">
        <f>TRUE()</f>
        <v>1</v>
      </c>
      <c r="AC83" s="31">
        <f t="shared" si="8"/>
        <v>0</v>
      </c>
      <c r="AD83" s="23"/>
      <c r="AE83" s="23"/>
    </row>
    <row r="84" spans="1:31" ht="15" customHeight="1">
      <c r="A84" s="20">
        <f t="shared" si="6"/>
        <v>0</v>
      </c>
      <c r="B84" s="23"/>
      <c r="C84" s="23"/>
      <c r="D84" s="23"/>
      <c r="E84" s="23"/>
      <c r="F84" s="23"/>
      <c r="G84" s="23"/>
      <c r="H84" s="23"/>
      <c r="I84" s="23"/>
      <c r="J84" s="23"/>
      <c r="K84" s="23"/>
      <c r="L84" s="33"/>
      <c r="M84" s="26"/>
      <c r="N84" s="26"/>
      <c r="O84" s="26"/>
      <c r="P84" s="26"/>
      <c r="Q84" s="26"/>
      <c r="R84" s="26"/>
      <c r="S84" s="26"/>
      <c r="T84" s="26"/>
      <c r="U84" s="26"/>
      <c r="V84" s="26"/>
      <c r="W84" s="26"/>
      <c r="X84" s="26">
        <f>COUNTIF($L$2:L84,"&lt;&gt;"&amp;"")</f>
        <v>5</v>
      </c>
      <c r="Y84" s="27">
        <f t="shared" si="7"/>
        <v>0</v>
      </c>
      <c r="Z84" s="28"/>
      <c r="AA84" s="29"/>
      <c r="AB84" s="30" t="b">
        <f>TRUE()</f>
        <v>1</v>
      </c>
      <c r="AC84" s="31">
        <f t="shared" si="8"/>
        <v>0</v>
      </c>
      <c r="AD84" s="23"/>
      <c r="AE84" s="23"/>
    </row>
    <row r="85" spans="1:31" ht="15" customHeight="1">
      <c r="A85" s="20">
        <f t="shared" si="6"/>
        <v>0</v>
      </c>
      <c r="B85" s="23"/>
      <c r="C85" s="23"/>
      <c r="D85" s="23"/>
      <c r="E85" s="23"/>
      <c r="F85" s="23"/>
      <c r="G85" s="23"/>
      <c r="H85" s="23"/>
      <c r="I85" s="23"/>
      <c r="J85" s="23"/>
      <c r="K85" s="23"/>
      <c r="L85" s="33"/>
      <c r="M85" s="26"/>
      <c r="N85" s="26"/>
      <c r="O85" s="26"/>
      <c r="P85" s="26"/>
      <c r="Q85" s="26"/>
      <c r="R85" s="26"/>
      <c r="S85" s="26"/>
      <c r="T85" s="26"/>
      <c r="U85" s="26"/>
      <c r="V85" s="26"/>
      <c r="W85" s="26"/>
      <c r="X85" s="26">
        <f>COUNTIF($L$2:L85,"&lt;&gt;"&amp;"")</f>
        <v>5</v>
      </c>
      <c r="Y85" s="27">
        <f t="shared" si="7"/>
        <v>0</v>
      </c>
      <c r="Z85" s="28"/>
      <c r="AA85" s="29"/>
      <c r="AB85" s="30" t="b">
        <f>TRUE()</f>
        <v>1</v>
      </c>
      <c r="AC85" s="31">
        <f t="shared" si="8"/>
        <v>0</v>
      </c>
      <c r="AD85" s="42"/>
      <c r="AE85" s="42"/>
    </row>
    <row r="86" spans="1:31" ht="15" customHeight="1">
      <c r="A86" s="20">
        <f t="shared" si="6"/>
        <v>0</v>
      </c>
      <c r="B86" s="23"/>
      <c r="C86" s="23"/>
      <c r="D86" s="23"/>
      <c r="E86" s="23"/>
      <c r="F86" s="23"/>
      <c r="G86" s="23"/>
      <c r="H86" s="23"/>
      <c r="I86" s="23"/>
      <c r="J86" s="23"/>
      <c r="K86" s="23"/>
      <c r="L86" s="33"/>
      <c r="M86" s="26"/>
      <c r="N86" s="26"/>
      <c r="O86" s="26"/>
      <c r="P86" s="26"/>
      <c r="Q86" s="26"/>
      <c r="R86" s="26"/>
      <c r="S86" s="26"/>
      <c r="T86" s="26"/>
      <c r="U86" s="26"/>
      <c r="V86" s="26"/>
      <c r="W86" s="26"/>
      <c r="X86" s="26">
        <f>COUNTIF($L$2:L86,"&lt;&gt;"&amp;"")</f>
        <v>5</v>
      </c>
      <c r="Y86" s="27">
        <f t="shared" si="7"/>
        <v>0</v>
      </c>
      <c r="Z86" s="28"/>
      <c r="AA86" s="29"/>
      <c r="AB86" s="30" t="b">
        <f>TRUE()</f>
        <v>1</v>
      </c>
      <c r="AC86" s="31">
        <f t="shared" si="8"/>
        <v>0</v>
      </c>
      <c r="AD86" s="42"/>
      <c r="AE86" s="42"/>
    </row>
    <row r="87" spans="1:31" ht="15" customHeight="1">
      <c r="A87" s="20">
        <f t="shared" si="6"/>
        <v>0</v>
      </c>
      <c r="B87" s="23"/>
      <c r="C87" s="23"/>
      <c r="D87" s="23"/>
      <c r="E87" s="23"/>
      <c r="F87" s="23"/>
      <c r="G87" s="23"/>
      <c r="H87" s="23"/>
      <c r="I87" s="23"/>
      <c r="J87" s="23"/>
      <c r="K87" s="23"/>
      <c r="L87" s="33"/>
      <c r="M87" s="26"/>
      <c r="N87" s="26"/>
      <c r="O87" s="26"/>
      <c r="P87" s="26"/>
      <c r="Q87" s="26"/>
      <c r="R87" s="26"/>
      <c r="S87" s="26"/>
      <c r="T87" s="26"/>
      <c r="U87" s="26"/>
      <c r="V87" s="26"/>
      <c r="W87" s="26"/>
      <c r="X87" s="26">
        <f>COUNTIF($L$2:L87,"&lt;&gt;"&amp;"")</f>
        <v>5</v>
      </c>
      <c r="Y87" s="27">
        <f t="shared" si="7"/>
        <v>0</v>
      </c>
      <c r="Z87" s="28"/>
      <c r="AA87" s="29"/>
      <c r="AB87" s="30" t="b">
        <f>TRUE()</f>
        <v>1</v>
      </c>
      <c r="AC87" s="31">
        <f t="shared" si="8"/>
        <v>0</v>
      </c>
      <c r="AD87" s="42"/>
      <c r="AE87" s="42"/>
    </row>
    <row r="88" spans="1:31" ht="15" customHeight="1">
      <c r="A88" s="20">
        <f t="shared" si="6"/>
        <v>0</v>
      </c>
      <c r="B88" s="23"/>
      <c r="C88" s="23"/>
      <c r="D88" s="23"/>
      <c r="E88" s="23"/>
      <c r="F88" s="23"/>
      <c r="G88" s="23"/>
      <c r="H88" s="23"/>
      <c r="I88" s="23"/>
      <c r="J88" s="23"/>
      <c r="K88" s="23"/>
      <c r="L88" s="33"/>
      <c r="M88" s="26"/>
      <c r="N88" s="26"/>
      <c r="O88" s="26"/>
      <c r="P88" s="26"/>
      <c r="Q88" s="26"/>
      <c r="R88" s="26"/>
      <c r="S88" s="26"/>
      <c r="T88" s="26"/>
      <c r="U88" s="26"/>
      <c r="V88" s="26"/>
      <c r="W88" s="26"/>
      <c r="X88" s="26">
        <f>COUNTIF($L$2:L88,"&lt;&gt;"&amp;"")</f>
        <v>5</v>
      </c>
      <c r="Y88" s="27">
        <f t="shared" si="7"/>
        <v>0</v>
      </c>
      <c r="Z88" s="28"/>
      <c r="AA88" s="29"/>
      <c r="AB88" s="30" t="b">
        <f>TRUE()</f>
        <v>1</v>
      </c>
      <c r="AC88" s="31">
        <f t="shared" si="8"/>
        <v>0</v>
      </c>
      <c r="AD88" s="42"/>
      <c r="AE88" s="42"/>
    </row>
    <row r="89" spans="1:31" ht="15" customHeight="1">
      <c r="A89" s="20">
        <f t="shared" si="6"/>
        <v>0</v>
      </c>
      <c r="B89" s="23"/>
      <c r="C89" s="23"/>
      <c r="D89" s="23"/>
      <c r="E89" s="23"/>
      <c r="F89" s="23"/>
      <c r="G89" s="23"/>
      <c r="H89" s="23"/>
      <c r="I89" s="23"/>
      <c r="J89" s="23"/>
      <c r="K89" s="23"/>
      <c r="L89" s="33"/>
      <c r="M89" s="26"/>
      <c r="N89" s="26"/>
      <c r="O89" s="26"/>
      <c r="P89" s="26"/>
      <c r="Q89" s="26"/>
      <c r="R89" s="26"/>
      <c r="S89" s="26"/>
      <c r="T89" s="26"/>
      <c r="U89" s="26"/>
      <c r="V89" s="26"/>
      <c r="W89" s="26"/>
      <c r="X89" s="26">
        <f>COUNTIF($L$2:L89,"&lt;&gt;"&amp;"")</f>
        <v>5</v>
      </c>
      <c r="Y89" s="27">
        <f t="shared" si="7"/>
        <v>0</v>
      </c>
      <c r="Z89" s="28"/>
      <c r="AA89" s="29"/>
      <c r="AB89" s="30" t="b">
        <f>TRUE()</f>
        <v>1</v>
      </c>
      <c r="AC89" s="31">
        <f t="shared" si="8"/>
        <v>0</v>
      </c>
      <c r="AD89" s="42"/>
      <c r="AE89" s="42"/>
    </row>
    <row r="90" spans="1:31" ht="15" customHeight="1">
      <c r="A90" s="20">
        <f t="shared" si="6"/>
        <v>0</v>
      </c>
      <c r="B90" s="23"/>
      <c r="C90" s="23"/>
      <c r="D90" s="23"/>
      <c r="E90" s="23"/>
      <c r="F90" s="23"/>
      <c r="G90" s="23"/>
      <c r="H90" s="23"/>
      <c r="I90" s="23"/>
      <c r="J90" s="23"/>
      <c r="K90" s="23"/>
      <c r="L90" s="33"/>
      <c r="M90" s="26"/>
      <c r="N90" s="26"/>
      <c r="O90" s="26"/>
      <c r="P90" s="26"/>
      <c r="Q90" s="26"/>
      <c r="R90" s="26"/>
      <c r="S90" s="26"/>
      <c r="T90" s="26"/>
      <c r="U90" s="26"/>
      <c r="V90" s="26"/>
      <c r="W90" s="26"/>
      <c r="X90" s="26">
        <f>COUNTIF($L$2:L90,"&lt;&gt;"&amp;"")</f>
        <v>5</v>
      </c>
      <c r="Y90" s="27">
        <f t="shared" si="7"/>
        <v>0</v>
      </c>
      <c r="Z90" s="28"/>
      <c r="AA90" s="29"/>
      <c r="AB90" s="30" t="b">
        <f>TRUE()</f>
        <v>1</v>
      </c>
      <c r="AC90" s="31">
        <f t="shared" si="8"/>
        <v>0</v>
      </c>
      <c r="AD90" s="42"/>
      <c r="AE90" s="42"/>
    </row>
    <row r="91" spans="1:31" ht="15" customHeight="1">
      <c r="A91" s="20">
        <f t="shared" si="6"/>
        <v>0</v>
      </c>
      <c r="B91" s="23"/>
      <c r="C91" s="23"/>
      <c r="D91" s="23"/>
      <c r="E91" s="23"/>
      <c r="F91" s="23"/>
      <c r="G91" s="23"/>
      <c r="H91" s="23"/>
      <c r="I91" s="23"/>
      <c r="J91" s="23"/>
      <c r="K91" s="23"/>
      <c r="L91" s="33"/>
      <c r="M91" s="26"/>
      <c r="N91" s="26"/>
      <c r="O91" s="26"/>
      <c r="P91" s="26"/>
      <c r="Q91" s="26"/>
      <c r="R91" s="26"/>
      <c r="S91" s="26"/>
      <c r="T91" s="26"/>
      <c r="U91" s="26"/>
      <c r="V91" s="26"/>
      <c r="W91" s="26"/>
      <c r="X91" s="26">
        <f>COUNTIF($L$2:L91,"&lt;&gt;"&amp;"")</f>
        <v>5</v>
      </c>
      <c r="Y91" s="27">
        <f t="shared" si="7"/>
        <v>0</v>
      </c>
      <c r="Z91" s="28"/>
      <c r="AA91" s="29"/>
      <c r="AB91" s="30" t="b">
        <f>TRUE()</f>
        <v>1</v>
      </c>
      <c r="AC91" s="31">
        <f t="shared" si="8"/>
        <v>0</v>
      </c>
      <c r="AD91" s="42"/>
      <c r="AE91" s="42"/>
    </row>
    <row r="92" spans="1:31" ht="15" customHeight="1">
      <c r="A92" s="20">
        <f t="shared" si="6"/>
        <v>0</v>
      </c>
      <c r="B92" s="23"/>
      <c r="C92" s="23"/>
      <c r="D92" s="23"/>
      <c r="E92" s="23"/>
      <c r="F92" s="23"/>
      <c r="G92" s="23"/>
      <c r="H92" s="23"/>
      <c r="I92" s="23"/>
      <c r="J92" s="23"/>
      <c r="K92" s="23"/>
      <c r="L92" s="33"/>
      <c r="M92" s="26"/>
      <c r="N92" s="26"/>
      <c r="O92" s="26"/>
      <c r="P92" s="26"/>
      <c r="Q92" s="26"/>
      <c r="R92" s="26"/>
      <c r="S92" s="26"/>
      <c r="T92" s="26"/>
      <c r="U92" s="26"/>
      <c r="V92" s="26"/>
      <c r="W92" s="26"/>
      <c r="X92" s="26">
        <f>COUNTIF($L$2:L92,"&lt;&gt;"&amp;"")</f>
        <v>5</v>
      </c>
      <c r="Y92" s="27">
        <f t="shared" si="7"/>
        <v>0</v>
      </c>
      <c r="Z92" s="28"/>
      <c r="AA92" s="29"/>
      <c r="AB92" s="30" t="b">
        <f>TRUE()</f>
        <v>1</v>
      </c>
      <c r="AC92" s="31">
        <f t="shared" si="8"/>
        <v>0</v>
      </c>
      <c r="AD92" s="42"/>
      <c r="AE92" s="42"/>
    </row>
    <row r="93" spans="1:31" ht="15" customHeight="1">
      <c r="A93" s="20">
        <f t="shared" si="6"/>
        <v>0</v>
      </c>
      <c r="B93" s="23"/>
      <c r="C93" s="23"/>
      <c r="D93" s="23"/>
      <c r="E93" s="23"/>
      <c r="F93" s="23"/>
      <c r="G93" s="23"/>
      <c r="H93" s="23"/>
      <c r="I93" s="23"/>
      <c r="J93" s="23"/>
      <c r="K93" s="23"/>
      <c r="L93" s="33"/>
      <c r="M93" s="26"/>
      <c r="N93" s="26"/>
      <c r="O93" s="26"/>
      <c r="P93" s="26"/>
      <c r="Q93" s="26"/>
      <c r="R93" s="26"/>
      <c r="S93" s="26"/>
      <c r="T93" s="26"/>
      <c r="U93" s="26"/>
      <c r="V93" s="26"/>
      <c r="W93" s="26"/>
      <c r="X93" s="26">
        <f>COUNTIF($L$2:L95,"&lt;&gt;"&amp;"")</f>
        <v>5</v>
      </c>
      <c r="Y93" s="27">
        <f t="shared" si="7"/>
        <v>0</v>
      </c>
      <c r="Z93" s="28"/>
      <c r="AA93" s="29"/>
      <c r="AB93" s="30" t="b">
        <f>TRUE()</f>
        <v>1</v>
      </c>
      <c r="AC93" s="31">
        <f t="shared" si="8"/>
        <v>0</v>
      </c>
      <c r="AD93" s="42"/>
      <c r="AE93" s="42"/>
    </row>
    <row r="94" spans="1:31" ht="15" customHeight="1">
      <c r="A94" s="20">
        <f t="shared" si="6"/>
        <v>0</v>
      </c>
      <c r="B94" s="23"/>
      <c r="C94" s="23"/>
      <c r="D94" s="23"/>
      <c r="E94" s="23"/>
      <c r="F94" s="23"/>
      <c r="G94" s="23"/>
      <c r="H94" s="23"/>
      <c r="I94" s="23"/>
      <c r="J94" s="23"/>
      <c r="K94" s="23"/>
      <c r="L94" s="33"/>
      <c r="M94" s="26"/>
      <c r="N94" s="26"/>
      <c r="O94" s="26"/>
      <c r="P94" s="26"/>
      <c r="Q94" s="26"/>
      <c r="R94" s="26"/>
      <c r="S94" s="26"/>
      <c r="T94" s="26"/>
      <c r="U94" s="26"/>
      <c r="V94" s="26"/>
      <c r="W94" s="26"/>
      <c r="X94" s="26">
        <f>COUNTIF($L$2:L94,"&lt;&gt;"&amp;"")</f>
        <v>5</v>
      </c>
      <c r="Y94" s="27">
        <f t="shared" si="7"/>
        <v>0</v>
      </c>
      <c r="Z94" s="28"/>
      <c r="AA94" s="29"/>
      <c r="AB94" s="30" t="b">
        <f>TRUE()</f>
        <v>1</v>
      </c>
      <c r="AC94" s="31">
        <f t="shared" si="8"/>
        <v>0</v>
      </c>
      <c r="AD94" s="42"/>
      <c r="AE94" s="42"/>
    </row>
    <row r="95" spans="1:31" ht="15" customHeight="1">
      <c r="A95" s="20">
        <f t="shared" si="6"/>
        <v>0</v>
      </c>
      <c r="B95" s="23"/>
      <c r="C95" s="23"/>
      <c r="D95" s="23"/>
      <c r="E95" s="23"/>
      <c r="F95" s="23"/>
      <c r="G95" s="23"/>
      <c r="H95" s="23"/>
      <c r="I95" s="23"/>
      <c r="J95" s="23"/>
      <c r="K95" s="23"/>
      <c r="L95" s="33"/>
      <c r="M95" s="26"/>
      <c r="N95" s="26"/>
      <c r="O95" s="26"/>
      <c r="P95" s="26"/>
      <c r="Q95" s="26"/>
      <c r="R95" s="26"/>
      <c r="S95" s="26"/>
      <c r="T95" s="26"/>
      <c r="U95" s="26"/>
      <c r="V95" s="26"/>
      <c r="W95" s="26"/>
      <c r="X95" s="26">
        <f>COUNTIF($L$2:L95,"&lt;&gt;"&amp;"")</f>
        <v>5</v>
      </c>
      <c r="Y95" s="27">
        <f t="shared" si="7"/>
        <v>0</v>
      </c>
      <c r="Z95" s="28"/>
      <c r="AA95" s="29"/>
      <c r="AB95" s="30" t="b">
        <f>TRUE()</f>
        <v>1</v>
      </c>
      <c r="AC95" s="31">
        <f t="shared" si="8"/>
        <v>0</v>
      </c>
      <c r="AD95" s="42"/>
      <c r="AE95" s="42"/>
    </row>
    <row r="96" spans="1:31" ht="15" customHeight="1">
      <c r="A96" s="20">
        <f t="shared" si="6"/>
        <v>0</v>
      </c>
      <c r="B96" s="23"/>
      <c r="C96" s="23"/>
      <c r="D96" s="23"/>
      <c r="E96" s="23"/>
      <c r="F96" s="23"/>
      <c r="G96" s="23"/>
      <c r="H96" s="23"/>
      <c r="I96" s="23"/>
      <c r="J96" s="23"/>
      <c r="K96" s="23"/>
      <c r="L96" s="33"/>
      <c r="M96" s="26"/>
      <c r="N96" s="26"/>
      <c r="O96" s="26"/>
      <c r="P96" s="26"/>
      <c r="Q96" s="26"/>
      <c r="R96" s="26"/>
      <c r="S96" s="26"/>
      <c r="T96" s="26"/>
      <c r="U96" s="26"/>
      <c r="V96" s="26"/>
      <c r="W96" s="26"/>
      <c r="X96" s="26">
        <f>COUNTIF($L$2:L96,"&lt;&gt;"&amp;"")</f>
        <v>5</v>
      </c>
      <c r="Y96" s="27">
        <f t="shared" si="7"/>
        <v>0</v>
      </c>
      <c r="Z96" s="28"/>
      <c r="AA96" s="29"/>
      <c r="AB96" s="30" t="b">
        <f>TRUE()</f>
        <v>1</v>
      </c>
      <c r="AC96" s="31">
        <f t="shared" si="8"/>
        <v>0</v>
      </c>
      <c r="AD96" s="42"/>
      <c r="AE96" s="42"/>
    </row>
    <row r="97" spans="1:31" ht="15" customHeight="1">
      <c r="A97" s="20">
        <f t="shared" si="6"/>
        <v>0</v>
      </c>
      <c r="B97" s="23"/>
      <c r="C97" s="23"/>
      <c r="D97" s="23"/>
      <c r="E97" s="23"/>
      <c r="F97" s="23"/>
      <c r="G97" s="23"/>
      <c r="H97" s="23"/>
      <c r="I97" s="23"/>
      <c r="J97" s="23"/>
      <c r="K97" s="23"/>
      <c r="L97" s="33"/>
      <c r="M97" s="26"/>
      <c r="N97" s="26"/>
      <c r="O97" s="26"/>
      <c r="P97" s="26"/>
      <c r="Q97" s="26"/>
      <c r="R97" s="26"/>
      <c r="S97" s="26"/>
      <c r="T97" s="26"/>
      <c r="U97" s="26"/>
      <c r="V97" s="26"/>
      <c r="W97" s="26"/>
      <c r="X97" s="26">
        <f>COUNTIF($L$2:L97,"&lt;&gt;"&amp;"")</f>
        <v>5</v>
      </c>
      <c r="Y97" s="27">
        <f t="shared" si="7"/>
        <v>0</v>
      </c>
      <c r="Z97" s="28"/>
      <c r="AA97" s="29"/>
      <c r="AB97" s="30" t="b">
        <f>TRUE()</f>
        <v>1</v>
      </c>
      <c r="AC97" s="31">
        <f t="shared" si="8"/>
        <v>0</v>
      </c>
      <c r="AD97" s="42"/>
      <c r="AE97" s="42"/>
    </row>
    <row r="98" spans="1:31" ht="15" customHeight="1">
      <c r="A98" s="20">
        <f t="shared" ref="A98:A129" si="9">(B98*$P$125+C98*$P$126+D98*$P$127+E98*$P$128+F98*$P$129+G98*$P$130+H98*$P$131+I98*$P$132+J98*$P$133+K98*$P$134)*$T$123</f>
        <v>0</v>
      </c>
      <c r="B98" s="23"/>
      <c r="C98" s="23"/>
      <c r="D98" s="23"/>
      <c r="E98" s="23"/>
      <c r="F98" s="23"/>
      <c r="G98" s="23"/>
      <c r="H98" s="23"/>
      <c r="I98" s="23"/>
      <c r="J98" s="23"/>
      <c r="K98" s="23"/>
      <c r="L98" s="33"/>
      <c r="M98" s="26"/>
      <c r="N98" s="26"/>
      <c r="O98" s="26"/>
      <c r="P98" s="26"/>
      <c r="Q98" s="26"/>
      <c r="R98" s="26"/>
      <c r="S98" s="26"/>
      <c r="T98" s="26"/>
      <c r="U98" s="26"/>
      <c r="V98" s="26"/>
      <c r="W98" s="26"/>
      <c r="X98" s="26">
        <f>COUNTIF($L$2:L98,"&lt;&gt;"&amp;"")</f>
        <v>5</v>
      </c>
      <c r="Y98" s="27">
        <f t="shared" ref="Y98:Y129" si="10">SUMIF($X$2:$X$120,X98,$A$2:$A$120)</f>
        <v>0</v>
      </c>
      <c r="Z98" s="28"/>
      <c r="AA98" s="29"/>
      <c r="AB98" s="30" t="b">
        <f>TRUE()</f>
        <v>1</v>
      </c>
      <c r="AC98" s="31">
        <f t="shared" ref="AC98:AC129" si="11">IF(L98="",0,IF(AB98=FALSE(),0,Y98))</f>
        <v>0</v>
      </c>
      <c r="AD98" s="42"/>
      <c r="AE98" s="42"/>
    </row>
    <row r="99" spans="1:31" ht="15" customHeight="1">
      <c r="A99" s="20">
        <f t="shared" si="9"/>
        <v>0</v>
      </c>
      <c r="B99" s="23"/>
      <c r="C99" s="23"/>
      <c r="D99" s="23"/>
      <c r="E99" s="23"/>
      <c r="F99" s="23"/>
      <c r="G99" s="23"/>
      <c r="H99" s="23"/>
      <c r="I99" s="23"/>
      <c r="J99" s="23"/>
      <c r="K99" s="23"/>
      <c r="L99" s="33"/>
      <c r="M99" s="26"/>
      <c r="N99" s="26"/>
      <c r="O99" s="26"/>
      <c r="P99" s="26"/>
      <c r="Q99" s="26"/>
      <c r="R99" s="26"/>
      <c r="S99" s="26"/>
      <c r="T99" s="26"/>
      <c r="U99" s="26"/>
      <c r="V99" s="26"/>
      <c r="W99" s="26"/>
      <c r="X99" s="26">
        <f>COUNTIF($L$2:L99,"&lt;&gt;"&amp;"")</f>
        <v>5</v>
      </c>
      <c r="Y99" s="27">
        <f t="shared" si="10"/>
        <v>0</v>
      </c>
      <c r="Z99" s="28"/>
      <c r="AA99" s="29"/>
      <c r="AB99" s="30" t="b">
        <f>TRUE()</f>
        <v>1</v>
      </c>
      <c r="AC99" s="31">
        <f t="shared" si="11"/>
        <v>0</v>
      </c>
      <c r="AD99" s="42"/>
      <c r="AE99" s="42"/>
    </row>
    <row r="100" spans="1:31" ht="15" customHeight="1">
      <c r="A100" s="20">
        <f t="shared" si="9"/>
        <v>0</v>
      </c>
      <c r="B100" s="23"/>
      <c r="C100" s="23"/>
      <c r="D100" s="23"/>
      <c r="E100" s="23"/>
      <c r="F100" s="23"/>
      <c r="G100" s="23"/>
      <c r="H100" s="23"/>
      <c r="I100" s="23"/>
      <c r="J100" s="23"/>
      <c r="K100" s="23"/>
      <c r="L100" s="33"/>
      <c r="M100" s="26"/>
      <c r="N100" s="26"/>
      <c r="O100" s="26"/>
      <c r="P100" s="26"/>
      <c r="Q100" s="26"/>
      <c r="R100" s="26"/>
      <c r="S100" s="26"/>
      <c r="T100" s="26"/>
      <c r="U100" s="26"/>
      <c r="V100" s="26"/>
      <c r="W100" s="26"/>
      <c r="X100" s="26">
        <f>COUNTIF($L$2:L100,"&lt;&gt;"&amp;"")</f>
        <v>5</v>
      </c>
      <c r="Y100" s="27">
        <f t="shared" si="10"/>
        <v>0</v>
      </c>
      <c r="Z100" s="28"/>
      <c r="AA100" s="29"/>
      <c r="AB100" s="30" t="b">
        <f>TRUE()</f>
        <v>1</v>
      </c>
      <c r="AC100" s="31">
        <f t="shared" si="11"/>
        <v>0</v>
      </c>
      <c r="AD100" s="42"/>
      <c r="AE100" s="42"/>
    </row>
    <row r="101" spans="1:31" ht="15" customHeight="1">
      <c r="A101" s="20">
        <f t="shared" si="9"/>
        <v>0</v>
      </c>
      <c r="B101" s="23"/>
      <c r="C101" s="23"/>
      <c r="D101" s="23"/>
      <c r="E101" s="23"/>
      <c r="F101" s="23"/>
      <c r="G101" s="23"/>
      <c r="H101" s="23"/>
      <c r="I101" s="23"/>
      <c r="J101" s="23"/>
      <c r="K101" s="23"/>
      <c r="L101" s="33"/>
      <c r="M101" s="26"/>
      <c r="N101" s="26"/>
      <c r="O101" s="26"/>
      <c r="P101" s="26"/>
      <c r="Q101" s="26"/>
      <c r="R101" s="26"/>
      <c r="S101" s="26"/>
      <c r="T101" s="26"/>
      <c r="U101" s="26"/>
      <c r="V101" s="26"/>
      <c r="W101" s="26"/>
      <c r="X101" s="26">
        <f>COUNTIF($L$2:L101,"&lt;&gt;"&amp;"")</f>
        <v>5</v>
      </c>
      <c r="Y101" s="27">
        <f t="shared" si="10"/>
        <v>0</v>
      </c>
      <c r="Z101" s="28"/>
      <c r="AA101" s="29"/>
      <c r="AB101" s="30" t="b">
        <f>TRUE()</f>
        <v>1</v>
      </c>
      <c r="AC101" s="31">
        <f t="shared" si="11"/>
        <v>0</v>
      </c>
      <c r="AD101" s="23"/>
      <c r="AE101" s="23"/>
    </row>
    <row r="102" spans="1:31" ht="15" customHeight="1">
      <c r="A102" s="20">
        <f t="shared" si="9"/>
        <v>0</v>
      </c>
      <c r="B102" s="23"/>
      <c r="C102" s="23"/>
      <c r="D102" s="23"/>
      <c r="E102" s="23"/>
      <c r="F102" s="23"/>
      <c r="G102" s="23"/>
      <c r="H102" s="23"/>
      <c r="I102" s="23"/>
      <c r="J102" s="23"/>
      <c r="K102" s="23"/>
      <c r="L102" s="33"/>
      <c r="M102" s="26"/>
      <c r="N102" s="26"/>
      <c r="O102" s="26"/>
      <c r="P102" s="26"/>
      <c r="Q102" s="26"/>
      <c r="R102" s="26"/>
      <c r="S102" s="26"/>
      <c r="T102" s="26"/>
      <c r="U102" s="26"/>
      <c r="V102" s="26"/>
      <c r="W102" s="26"/>
      <c r="X102" s="26">
        <f>COUNTIF($L$2:L106,"&lt;&gt;"&amp;"")</f>
        <v>5</v>
      </c>
      <c r="Y102" s="27">
        <f t="shared" si="10"/>
        <v>0</v>
      </c>
      <c r="Z102" s="28"/>
      <c r="AA102" s="29"/>
      <c r="AB102" s="30" t="b">
        <f>TRUE()</f>
        <v>1</v>
      </c>
      <c r="AC102" s="31">
        <f t="shared" si="11"/>
        <v>0</v>
      </c>
      <c r="AD102" s="23"/>
      <c r="AE102" s="23"/>
    </row>
    <row r="103" spans="1:31" ht="15" customHeight="1">
      <c r="A103" s="20">
        <f t="shared" si="9"/>
        <v>0</v>
      </c>
      <c r="B103" s="23"/>
      <c r="C103" s="23"/>
      <c r="D103" s="23"/>
      <c r="E103" s="23"/>
      <c r="F103" s="23"/>
      <c r="G103" s="23"/>
      <c r="H103" s="23"/>
      <c r="I103" s="23"/>
      <c r="J103" s="23"/>
      <c r="K103" s="23"/>
      <c r="L103" s="33"/>
      <c r="M103" s="26"/>
      <c r="N103" s="26"/>
      <c r="O103" s="26"/>
      <c r="P103" s="26"/>
      <c r="Q103" s="26"/>
      <c r="R103" s="26"/>
      <c r="S103" s="26"/>
      <c r="T103" s="26"/>
      <c r="U103" s="26"/>
      <c r="V103" s="26"/>
      <c r="W103" s="26"/>
      <c r="X103" s="26">
        <f>COUNTIF($L$2:L103,"&lt;&gt;"&amp;"")</f>
        <v>5</v>
      </c>
      <c r="Y103" s="27">
        <f t="shared" si="10"/>
        <v>0</v>
      </c>
      <c r="Z103" s="28"/>
      <c r="AA103" s="29"/>
      <c r="AB103" s="30" t="b">
        <f>TRUE()</f>
        <v>1</v>
      </c>
      <c r="AC103" s="31">
        <f t="shared" si="11"/>
        <v>0</v>
      </c>
      <c r="AD103" s="42"/>
      <c r="AE103" s="42"/>
    </row>
    <row r="104" spans="1:31" ht="15" customHeight="1">
      <c r="A104" s="20">
        <f t="shared" si="9"/>
        <v>0</v>
      </c>
      <c r="B104" s="23"/>
      <c r="C104" s="23"/>
      <c r="D104" s="23"/>
      <c r="E104" s="23"/>
      <c r="F104" s="23"/>
      <c r="G104" s="23"/>
      <c r="H104" s="23"/>
      <c r="I104" s="23"/>
      <c r="J104" s="23"/>
      <c r="K104" s="23"/>
      <c r="L104" s="33"/>
      <c r="M104" s="26"/>
      <c r="N104" s="26"/>
      <c r="O104" s="26"/>
      <c r="P104" s="26"/>
      <c r="Q104" s="26"/>
      <c r="R104" s="26"/>
      <c r="S104" s="26"/>
      <c r="T104" s="26"/>
      <c r="U104" s="26"/>
      <c r="V104" s="26"/>
      <c r="W104" s="26"/>
      <c r="X104" s="26">
        <f>COUNTIF($L$2:L104,"&lt;&gt;"&amp;"")</f>
        <v>5</v>
      </c>
      <c r="Y104" s="27">
        <f t="shared" si="10"/>
        <v>0</v>
      </c>
      <c r="Z104" s="28"/>
      <c r="AA104" s="29"/>
      <c r="AB104" s="30" t="b">
        <f>TRUE()</f>
        <v>1</v>
      </c>
      <c r="AC104" s="31">
        <f t="shared" si="11"/>
        <v>0</v>
      </c>
      <c r="AD104" s="42"/>
      <c r="AE104" s="42"/>
    </row>
    <row r="105" spans="1:31" ht="15" customHeight="1">
      <c r="A105" s="20">
        <f t="shared" si="9"/>
        <v>0</v>
      </c>
      <c r="B105" s="23"/>
      <c r="C105" s="23"/>
      <c r="D105" s="23"/>
      <c r="E105" s="23"/>
      <c r="F105" s="23"/>
      <c r="G105" s="23"/>
      <c r="H105" s="23"/>
      <c r="I105" s="23"/>
      <c r="J105" s="23"/>
      <c r="K105" s="23"/>
      <c r="L105" s="33"/>
      <c r="M105" s="26"/>
      <c r="N105" s="26"/>
      <c r="O105" s="26"/>
      <c r="P105" s="26"/>
      <c r="Q105" s="26"/>
      <c r="R105" s="26"/>
      <c r="S105" s="26"/>
      <c r="T105" s="26"/>
      <c r="U105" s="26"/>
      <c r="V105" s="26"/>
      <c r="W105" s="26"/>
      <c r="X105" s="26">
        <f>COUNTIF($L$2:L105,"&lt;&gt;"&amp;"")</f>
        <v>5</v>
      </c>
      <c r="Y105" s="27">
        <f t="shared" si="10"/>
        <v>0</v>
      </c>
      <c r="Z105" s="28"/>
      <c r="AA105" s="29"/>
      <c r="AB105" s="30" t="b">
        <f>TRUE()</f>
        <v>1</v>
      </c>
      <c r="AC105" s="31">
        <f t="shared" si="11"/>
        <v>0</v>
      </c>
      <c r="AD105" s="42"/>
      <c r="AE105" s="42"/>
    </row>
    <row r="106" spans="1:31" ht="15" customHeight="1">
      <c r="A106" s="20">
        <f t="shared" si="9"/>
        <v>0</v>
      </c>
      <c r="B106" s="23"/>
      <c r="C106" s="23"/>
      <c r="D106" s="23"/>
      <c r="E106" s="23"/>
      <c r="F106" s="23"/>
      <c r="G106" s="23"/>
      <c r="H106" s="23"/>
      <c r="I106" s="23"/>
      <c r="J106" s="23"/>
      <c r="K106" s="23"/>
      <c r="L106" s="33"/>
      <c r="M106" s="26"/>
      <c r="N106" s="26"/>
      <c r="O106" s="26"/>
      <c r="P106" s="26"/>
      <c r="Q106" s="26"/>
      <c r="R106" s="26"/>
      <c r="S106" s="26"/>
      <c r="T106" s="26"/>
      <c r="U106" s="26"/>
      <c r="V106" s="26"/>
      <c r="W106" s="26"/>
      <c r="X106" s="26">
        <f>COUNTIF($L$2:L106,"&lt;&gt;"&amp;"")</f>
        <v>5</v>
      </c>
      <c r="Y106" s="27">
        <f t="shared" si="10"/>
        <v>0</v>
      </c>
      <c r="Z106" s="28"/>
      <c r="AA106" s="29"/>
      <c r="AB106" s="30" t="b">
        <f>TRUE()</f>
        <v>1</v>
      </c>
      <c r="AC106" s="31">
        <f t="shared" si="11"/>
        <v>0</v>
      </c>
      <c r="AD106" s="42"/>
      <c r="AE106" s="42"/>
    </row>
    <row r="107" spans="1:31" ht="15" customHeight="1">
      <c r="A107" s="20">
        <f t="shared" si="9"/>
        <v>0</v>
      </c>
      <c r="B107" s="23"/>
      <c r="C107" s="23"/>
      <c r="D107" s="23"/>
      <c r="E107" s="23"/>
      <c r="F107" s="23"/>
      <c r="G107" s="23"/>
      <c r="H107" s="23"/>
      <c r="I107" s="23"/>
      <c r="J107" s="23"/>
      <c r="K107" s="23"/>
      <c r="L107" s="33"/>
      <c r="M107" s="26"/>
      <c r="N107" s="26"/>
      <c r="O107" s="26"/>
      <c r="P107" s="26"/>
      <c r="Q107" s="26"/>
      <c r="R107" s="26"/>
      <c r="S107" s="26"/>
      <c r="T107" s="26"/>
      <c r="U107" s="26"/>
      <c r="V107" s="26"/>
      <c r="W107" s="26"/>
      <c r="X107" s="26">
        <f>COUNTIF($L$2:L107,"&lt;&gt;"&amp;"")</f>
        <v>5</v>
      </c>
      <c r="Y107" s="27">
        <f t="shared" si="10"/>
        <v>0</v>
      </c>
      <c r="Z107" s="28"/>
      <c r="AA107" s="29"/>
      <c r="AB107" s="30" t="b">
        <f>TRUE()</f>
        <v>1</v>
      </c>
      <c r="AC107" s="31">
        <f t="shared" si="11"/>
        <v>0</v>
      </c>
      <c r="AD107" s="23"/>
      <c r="AE107" s="23"/>
    </row>
    <row r="108" spans="1:31" ht="15" customHeight="1">
      <c r="A108" s="20">
        <f t="shared" si="9"/>
        <v>0</v>
      </c>
      <c r="B108" s="23"/>
      <c r="C108" s="23"/>
      <c r="D108" s="23"/>
      <c r="E108" s="23"/>
      <c r="F108" s="23"/>
      <c r="G108" s="23"/>
      <c r="H108" s="23"/>
      <c r="I108" s="23"/>
      <c r="J108" s="23"/>
      <c r="K108" s="23"/>
      <c r="L108" s="33"/>
      <c r="M108" s="26"/>
      <c r="N108" s="26"/>
      <c r="O108" s="26"/>
      <c r="P108" s="26"/>
      <c r="Q108" s="26"/>
      <c r="R108" s="26"/>
      <c r="S108" s="26"/>
      <c r="T108" s="26"/>
      <c r="U108" s="26"/>
      <c r="V108" s="26"/>
      <c r="W108" s="26"/>
      <c r="X108" s="26">
        <f>COUNTIF($L$2:L108,"&lt;&gt;"&amp;"")</f>
        <v>5</v>
      </c>
      <c r="Y108" s="27">
        <f t="shared" si="10"/>
        <v>0</v>
      </c>
      <c r="Z108" s="28"/>
      <c r="AA108" s="29"/>
      <c r="AB108" s="30" t="b">
        <f>TRUE()</f>
        <v>1</v>
      </c>
      <c r="AC108" s="31">
        <f t="shared" si="11"/>
        <v>0</v>
      </c>
      <c r="AD108" s="23"/>
      <c r="AE108" s="23"/>
    </row>
    <row r="109" spans="1:31" ht="15" customHeight="1">
      <c r="A109" s="20">
        <f t="shared" si="9"/>
        <v>0</v>
      </c>
      <c r="B109" s="23"/>
      <c r="C109" s="23"/>
      <c r="D109" s="23"/>
      <c r="E109" s="23"/>
      <c r="F109" s="23"/>
      <c r="G109" s="23"/>
      <c r="H109" s="23"/>
      <c r="I109" s="23"/>
      <c r="J109" s="23"/>
      <c r="K109" s="23"/>
      <c r="L109" s="33"/>
      <c r="M109" s="26"/>
      <c r="N109" s="26"/>
      <c r="O109" s="26"/>
      <c r="P109" s="26"/>
      <c r="Q109" s="26"/>
      <c r="R109" s="26"/>
      <c r="S109" s="26"/>
      <c r="T109" s="26"/>
      <c r="U109" s="26"/>
      <c r="V109" s="26"/>
      <c r="W109" s="26"/>
      <c r="X109" s="26">
        <f>COUNTIF($L$2:L109,"&lt;&gt;"&amp;"")</f>
        <v>5</v>
      </c>
      <c r="Y109" s="27">
        <f t="shared" si="10"/>
        <v>0</v>
      </c>
      <c r="Z109" s="28"/>
      <c r="AA109" s="29"/>
      <c r="AB109" s="30" t="b">
        <f>TRUE()</f>
        <v>1</v>
      </c>
      <c r="AC109" s="31">
        <f t="shared" si="11"/>
        <v>0</v>
      </c>
      <c r="AD109" s="23"/>
      <c r="AE109" s="23"/>
    </row>
    <row r="110" spans="1:31" ht="15" customHeight="1">
      <c r="A110" s="20">
        <f t="shared" si="9"/>
        <v>0</v>
      </c>
      <c r="B110" s="23"/>
      <c r="C110" s="23"/>
      <c r="D110" s="23"/>
      <c r="E110" s="23"/>
      <c r="F110" s="23"/>
      <c r="G110" s="23"/>
      <c r="H110" s="23"/>
      <c r="I110" s="23"/>
      <c r="J110" s="23"/>
      <c r="K110" s="23"/>
      <c r="L110" s="33"/>
      <c r="M110" s="26"/>
      <c r="N110" s="26"/>
      <c r="O110" s="26"/>
      <c r="P110" s="26"/>
      <c r="Q110" s="26"/>
      <c r="R110" s="26"/>
      <c r="S110" s="26"/>
      <c r="T110" s="26"/>
      <c r="U110" s="26"/>
      <c r="V110" s="26"/>
      <c r="W110" s="26"/>
      <c r="X110" s="26">
        <f>COUNTIF($L$2:L110,"&lt;&gt;"&amp;"")</f>
        <v>5</v>
      </c>
      <c r="Y110" s="27">
        <f t="shared" si="10"/>
        <v>0</v>
      </c>
      <c r="Z110" s="28"/>
      <c r="AA110" s="29"/>
      <c r="AB110" s="30" t="b">
        <f>TRUE()</f>
        <v>1</v>
      </c>
      <c r="AC110" s="31">
        <f t="shared" si="11"/>
        <v>0</v>
      </c>
      <c r="AD110" s="23"/>
      <c r="AE110" s="23"/>
    </row>
    <row r="111" spans="1:31" ht="15" customHeight="1">
      <c r="A111" s="20">
        <f t="shared" si="9"/>
        <v>0</v>
      </c>
      <c r="B111" s="23"/>
      <c r="C111" s="23"/>
      <c r="D111" s="23"/>
      <c r="E111" s="23"/>
      <c r="F111" s="23"/>
      <c r="G111" s="23"/>
      <c r="H111" s="23"/>
      <c r="I111" s="23"/>
      <c r="J111" s="23"/>
      <c r="K111" s="23"/>
      <c r="L111" s="33"/>
      <c r="M111" s="26"/>
      <c r="N111" s="26"/>
      <c r="O111" s="26"/>
      <c r="P111" s="26"/>
      <c r="Q111" s="26"/>
      <c r="R111" s="26"/>
      <c r="S111" s="26"/>
      <c r="T111" s="26"/>
      <c r="U111" s="26"/>
      <c r="V111" s="26"/>
      <c r="W111" s="26"/>
      <c r="X111" s="26">
        <f>COUNTIF($L$2:L111,"&lt;&gt;"&amp;"")</f>
        <v>5</v>
      </c>
      <c r="Y111" s="27">
        <f t="shared" si="10"/>
        <v>0</v>
      </c>
      <c r="Z111" s="28"/>
      <c r="AA111" s="29"/>
      <c r="AB111" s="30" t="b">
        <f>TRUE()</f>
        <v>1</v>
      </c>
      <c r="AC111" s="31">
        <f t="shared" si="11"/>
        <v>0</v>
      </c>
      <c r="AD111" s="23"/>
      <c r="AE111" s="23"/>
    </row>
    <row r="112" spans="1:31" ht="15" customHeight="1">
      <c r="A112" s="20">
        <f t="shared" si="9"/>
        <v>0</v>
      </c>
      <c r="B112" s="23"/>
      <c r="C112" s="23"/>
      <c r="D112" s="23"/>
      <c r="E112" s="23"/>
      <c r="F112" s="23"/>
      <c r="G112" s="23"/>
      <c r="H112" s="23"/>
      <c r="I112" s="23"/>
      <c r="J112" s="23"/>
      <c r="K112" s="23"/>
      <c r="L112" s="33"/>
      <c r="M112" s="26"/>
      <c r="N112" s="26"/>
      <c r="O112" s="26"/>
      <c r="P112" s="26"/>
      <c r="Q112" s="26"/>
      <c r="R112" s="26"/>
      <c r="S112" s="26"/>
      <c r="T112" s="26"/>
      <c r="U112" s="26"/>
      <c r="V112" s="26"/>
      <c r="W112" s="26"/>
      <c r="X112" s="26">
        <f>COUNTIF($L$2:L112,"&lt;&gt;"&amp;"")</f>
        <v>5</v>
      </c>
      <c r="Y112" s="27">
        <f t="shared" si="10"/>
        <v>0</v>
      </c>
      <c r="Z112" s="28"/>
      <c r="AA112" s="29"/>
      <c r="AB112" s="30" t="b">
        <f>TRUE()</f>
        <v>1</v>
      </c>
      <c r="AC112" s="31">
        <f t="shared" si="11"/>
        <v>0</v>
      </c>
      <c r="AD112" s="23"/>
      <c r="AE112" s="23"/>
    </row>
    <row r="113" spans="1:31" ht="15" customHeight="1">
      <c r="A113" s="20">
        <f t="shared" si="9"/>
        <v>0</v>
      </c>
      <c r="B113" s="23"/>
      <c r="C113" s="23"/>
      <c r="D113" s="23"/>
      <c r="E113" s="23"/>
      <c r="F113" s="23"/>
      <c r="G113" s="23"/>
      <c r="H113" s="23"/>
      <c r="I113" s="23"/>
      <c r="J113" s="23"/>
      <c r="K113" s="23"/>
      <c r="L113" s="33"/>
      <c r="M113" s="26"/>
      <c r="N113" s="26"/>
      <c r="O113" s="26"/>
      <c r="P113" s="26"/>
      <c r="Q113" s="26"/>
      <c r="R113" s="26"/>
      <c r="S113" s="26"/>
      <c r="T113" s="26"/>
      <c r="U113" s="26"/>
      <c r="V113" s="26"/>
      <c r="W113" s="26"/>
      <c r="X113" s="26">
        <f>COUNTIF($L$2:L113,"&lt;&gt;"&amp;"")</f>
        <v>5</v>
      </c>
      <c r="Y113" s="27">
        <f t="shared" si="10"/>
        <v>0</v>
      </c>
      <c r="Z113" s="28"/>
      <c r="AA113" s="29"/>
      <c r="AB113" s="30" t="b">
        <f>TRUE()</f>
        <v>1</v>
      </c>
      <c r="AC113" s="31">
        <f t="shared" si="11"/>
        <v>0</v>
      </c>
      <c r="AD113" s="23"/>
      <c r="AE113" s="23"/>
    </row>
    <row r="114" spans="1:31" ht="15" customHeight="1">
      <c r="A114" s="20">
        <f t="shared" si="9"/>
        <v>0</v>
      </c>
      <c r="B114" s="23"/>
      <c r="C114" s="23"/>
      <c r="D114" s="23"/>
      <c r="E114" s="23"/>
      <c r="F114" s="23"/>
      <c r="G114" s="23"/>
      <c r="H114" s="23"/>
      <c r="I114" s="23"/>
      <c r="J114" s="23"/>
      <c r="K114" s="23"/>
      <c r="L114" s="33"/>
      <c r="M114" s="26"/>
      <c r="N114" s="26"/>
      <c r="O114" s="26"/>
      <c r="P114" s="26"/>
      <c r="Q114" s="26"/>
      <c r="R114" s="26"/>
      <c r="S114" s="26"/>
      <c r="T114" s="26"/>
      <c r="U114" s="26"/>
      <c r="V114" s="26"/>
      <c r="W114" s="26"/>
      <c r="X114" s="26">
        <f>COUNTIF($L$2:L114,"&lt;&gt;"&amp;"")</f>
        <v>5</v>
      </c>
      <c r="Y114" s="27">
        <f t="shared" si="10"/>
        <v>0</v>
      </c>
      <c r="Z114" s="28"/>
      <c r="AA114" s="29"/>
      <c r="AB114" s="30" t="b">
        <f>TRUE()</f>
        <v>1</v>
      </c>
      <c r="AC114" s="31">
        <f t="shared" si="11"/>
        <v>0</v>
      </c>
      <c r="AD114" s="23"/>
      <c r="AE114" s="23"/>
    </row>
    <row r="115" spans="1:31" ht="15" customHeight="1">
      <c r="A115" s="20">
        <f t="shared" si="9"/>
        <v>0</v>
      </c>
      <c r="B115" s="23"/>
      <c r="C115" s="23"/>
      <c r="D115" s="23"/>
      <c r="E115" s="23"/>
      <c r="F115" s="23"/>
      <c r="G115" s="23"/>
      <c r="H115" s="23"/>
      <c r="I115" s="23"/>
      <c r="J115" s="23"/>
      <c r="K115" s="23"/>
      <c r="L115" s="33"/>
      <c r="M115" s="26"/>
      <c r="N115" s="26"/>
      <c r="O115" s="26"/>
      <c r="P115" s="26"/>
      <c r="Q115" s="26"/>
      <c r="R115" s="26"/>
      <c r="S115" s="26"/>
      <c r="T115" s="26"/>
      <c r="U115" s="26"/>
      <c r="V115" s="26"/>
      <c r="W115" s="26"/>
      <c r="X115" s="26">
        <f>COUNTIF($L$2:L115,"&lt;&gt;"&amp;"")</f>
        <v>5</v>
      </c>
      <c r="Y115" s="27">
        <f t="shared" si="10"/>
        <v>0</v>
      </c>
      <c r="Z115" s="28"/>
      <c r="AA115" s="29"/>
      <c r="AB115" s="30" t="b">
        <f>TRUE()</f>
        <v>1</v>
      </c>
      <c r="AC115" s="31">
        <f t="shared" si="11"/>
        <v>0</v>
      </c>
      <c r="AD115" s="23"/>
      <c r="AE115" s="23"/>
    </row>
    <row r="116" spans="1:31" ht="15" customHeight="1">
      <c r="A116" s="20">
        <f t="shared" si="9"/>
        <v>0</v>
      </c>
      <c r="B116" s="23"/>
      <c r="C116" s="23"/>
      <c r="D116" s="23"/>
      <c r="E116" s="23"/>
      <c r="F116" s="23"/>
      <c r="G116" s="23"/>
      <c r="H116" s="23"/>
      <c r="I116" s="23"/>
      <c r="J116" s="23"/>
      <c r="K116" s="23"/>
      <c r="L116" s="33"/>
      <c r="M116" s="26"/>
      <c r="N116" s="26"/>
      <c r="O116" s="26"/>
      <c r="P116" s="26"/>
      <c r="Q116" s="26"/>
      <c r="R116" s="26"/>
      <c r="S116" s="26"/>
      <c r="T116" s="26"/>
      <c r="U116" s="26"/>
      <c r="V116" s="26"/>
      <c r="W116" s="26"/>
      <c r="X116" s="26">
        <f>COUNTIF($L$2:L116,"&lt;&gt;"&amp;"")</f>
        <v>5</v>
      </c>
      <c r="Y116" s="27">
        <f t="shared" si="10"/>
        <v>0</v>
      </c>
      <c r="Z116" s="28"/>
      <c r="AA116" s="29"/>
      <c r="AB116" s="30" t="b">
        <f>TRUE()</f>
        <v>1</v>
      </c>
      <c r="AC116" s="31">
        <f t="shared" si="11"/>
        <v>0</v>
      </c>
      <c r="AD116" s="23"/>
      <c r="AE116" s="23"/>
    </row>
    <row r="117" spans="1:31" ht="15" customHeight="1">
      <c r="A117" s="20">
        <f t="shared" si="9"/>
        <v>0</v>
      </c>
      <c r="B117" s="23"/>
      <c r="C117" s="23"/>
      <c r="D117" s="23"/>
      <c r="E117" s="23"/>
      <c r="F117" s="23"/>
      <c r="G117" s="23"/>
      <c r="H117" s="23"/>
      <c r="I117" s="23"/>
      <c r="J117" s="23"/>
      <c r="K117" s="23"/>
      <c r="L117" s="33"/>
      <c r="M117" s="26"/>
      <c r="N117" s="26"/>
      <c r="O117" s="26"/>
      <c r="P117" s="26"/>
      <c r="Q117" s="26"/>
      <c r="R117" s="26"/>
      <c r="S117" s="26"/>
      <c r="T117" s="26"/>
      <c r="U117" s="26"/>
      <c r="V117" s="26"/>
      <c r="W117" s="26"/>
      <c r="X117" s="26">
        <f>COUNTIF($L$2:L117,"&lt;&gt;"&amp;"")</f>
        <v>5</v>
      </c>
      <c r="Y117" s="27">
        <f t="shared" si="10"/>
        <v>0</v>
      </c>
      <c r="Z117" s="28"/>
      <c r="AA117" s="29"/>
      <c r="AB117" s="30" t="b">
        <f>TRUE()</f>
        <v>1</v>
      </c>
      <c r="AC117" s="31">
        <f t="shared" si="11"/>
        <v>0</v>
      </c>
      <c r="AD117" s="23"/>
      <c r="AE117" s="23"/>
    </row>
    <row r="118" spans="1:31" ht="15" customHeight="1">
      <c r="A118" s="20">
        <f t="shared" si="9"/>
        <v>0</v>
      </c>
      <c r="B118" s="23"/>
      <c r="C118" s="23"/>
      <c r="D118" s="23"/>
      <c r="E118" s="23"/>
      <c r="F118" s="23"/>
      <c r="G118" s="23"/>
      <c r="H118" s="23"/>
      <c r="I118" s="23"/>
      <c r="J118" s="23"/>
      <c r="K118" s="23"/>
      <c r="L118" s="33"/>
      <c r="M118" s="26"/>
      <c r="N118" s="26"/>
      <c r="O118" s="26"/>
      <c r="P118" s="26"/>
      <c r="Q118" s="26"/>
      <c r="R118" s="26"/>
      <c r="S118" s="26"/>
      <c r="T118" s="26"/>
      <c r="U118" s="26"/>
      <c r="V118" s="26"/>
      <c r="W118" s="26"/>
      <c r="X118" s="26">
        <f>COUNTIF($L$2:L118,"&lt;&gt;"&amp;"")</f>
        <v>5</v>
      </c>
      <c r="Y118" s="27">
        <f t="shared" si="10"/>
        <v>0</v>
      </c>
      <c r="Z118" s="28"/>
      <c r="AA118" s="29"/>
      <c r="AB118" s="30" t="b">
        <f>TRUE()</f>
        <v>1</v>
      </c>
      <c r="AC118" s="31">
        <f t="shared" si="11"/>
        <v>0</v>
      </c>
      <c r="AD118" s="23"/>
      <c r="AE118" s="23"/>
    </row>
    <row r="119" spans="1:31" ht="15" customHeight="1">
      <c r="A119" s="20">
        <f t="shared" si="9"/>
        <v>0</v>
      </c>
      <c r="B119" s="23"/>
      <c r="C119" s="23"/>
      <c r="D119" s="23"/>
      <c r="E119" s="23"/>
      <c r="F119" s="23"/>
      <c r="G119" s="23"/>
      <c r="H119" s="23"/>
      <c r="I119" s="23"/>
      <c r="J119" s="23"/>
      <c r="K119" s="23"/>
      <c r="L119" s="33"/>
      <c r="M119" s="26"/>
      <c r="N119" s="26"/>
      <c r="O119" s="26"/>
      <c r="P119" s="26"/>
      <c r="Q119" s="26"/>
      <c r="R119" s="26"/>
      <c r="S119" s="26"/>
      <c r="T119" s="26"/>
      <c r="U119" s="26"/>
      <c r="V119" s="26"/>
      <c r="W119" s="26"/>
      <c r="X119" s="26">
        <f>COUNTIF($L$2:L119,"&lt;&gt;"&amp;"")</f>
        <v>5</v>
      </c>
      <c r="Y119" s="27">
        <f t="shared" si="10"/>
        <v>0</v>
      </c>
      <c r="Z119" s="28"/>
      <c r="AA119" s="29"/>
      <c r="AB119" s="30" t="b">
        <f>TRUE()</f>
        <v>1</v>
      </c>
      <c r="AC119" s="31">
        <f t="shared" si="11"/>
        <v>0</v>
      </c>
      <c r="AD119" s="23"/>
      <c r="AE119" s="23"/>
    </row>
    <row r="120" spans="1:31" ht="12.75" customHeight="1">
      <c r="A120" s="43"/>
      <c r="B120" s="43"/>
      <c r="C120" s="43"/>
      <c r="D120" s="43"/>
      <c r="E120" s="43"/>
      <c r="F120" s="43"/>
      <c r="G120" s="43"/>
      <c r="H120" s="43"/>
      <c r="I120" s="43"/>
      <c r="J120" s="43"/>
      <c r="K120" s="43"/>
      <c r="L120" s="44"/>
      <c r="M120" s="44"/>
      <c r="N120" s="45"/>
      <c r="O120" s="45" t="s">
        <v>43</v>
      </c>
      <c r="P120" s="44"/>
      <c r="Q120" s="44"/>
      <c r="R120" s="44"/>
      <c r="S120" s="44"/>
      <c r="T120" s="44"/>
      <c r="U120" s="44"/>
      <c r="V120" s="44"/>
      <c r="W120" s="44"/>
      <c r="X120" s="44"/>
      <c r="Y120" s="44"/>
      <c r="Z120" s="44"/>
      <c r="AA120" s="44"/>
      <c r="AB120" s="44"/>
      <c r="AC120" s="44"/>
      <c r="AD120" s="23"/>
      <c r="AE120" s="23"/>
    </row>
    <row r="121" spans="1:31" ht="15" customHeight="1">
      <c r="A121" s="46">
        <f>ROW()</f>
        <v>121</v>
      </c>
      <c r="B121" s="23">
        <f t="shared" ref="B121:K121" si="12">SUM(B2:B120)</f>
        <v>0</v>
      </c>
      <c r="C121" s="23">
        <f t="shared" si="12"/>
        <v>0</v>
      </c>
      <c r="D121" s="23">
        <f t="shared" si="12"/>
        <v>0</v>
      </c>
      <c r="E121" s="23">
        <f t="shared" si="12"/>
        <v>0</v>
      </c>
      <c r="F121" s="23">
        <f t="shared" si="12"/>
        <v>0</v>
      </c>
      <c r="G121" s="23">
        <f t="shared" si="12"/>
        <v>0</v>
      </c>
      <c r="H121" s="23">
        <f t="shared" si="12"/>
        <v>0</v>
      </c>
      <c r="I121" s="23">
        <f t="shared" si="12"/>
        <v>0</v>
      </c>
      <c r="J121" s="23">
        <f t="shared" si="12"/>
        <v>0</v>
      </c>
      <c r="K121" s="23">
        <f t="shared" si="12"/>
        <v>0</v>
      </c>
      <c r="L121" s="33"/>
      <c r="M121" s="26"/>
      <c r="N121" s="26"/>
      <c r="O121" s="26"/>
      <c r="P121" s="23"/>
      <c r="Q121" s="23"/>
      <c r="R121" s="23"/>
      <c r="S121" s="23"/>
      <c r="T121" s="23"/>
      <c r="U121" s="23"/>
      <c r="V121" s="23"/>
      <c r="W121" s="23"/>
      <c r="X121" s="23"/>
      <c r="Y121" s="23"/>
      <c r="Z121" s="23"/>
      <c r="AA121" s="23"/>
      <c r="AB121" s="23"/>
      <c r="AC121" s="47"/>
      <c r="AD121" s="23"/>
      <c r="AE121" s="23"/>
    </row>
    <row r="122" spans="1:31" ht="12.75" customHeight="1">
      <c r="A122" s="23"/>
      <c r="B122" s="23"/>
      <c r="C122" s="48"/>
      <c r="D122" s="48"/>
      <c r="E122" s="48"/>
      <c r="F122" s="48"/>
      <c r="G122" s="48"/>
      <c r="H122" s="48"/>
      <c r="I122" s="9" t="s">
        <v>44</v>
      </c>
      <c r="J122" s="9"/>
      <c r="K122" s="9"/>
      <c r="L122" s="9"/>
      <c r="M122" s="8">
        <f>400000+120000</f>
        <v>520000</v>
      </c>
      <c r="N122" s="8"/>
      <c r="O122" s="8"/>
      <c r="P122" s="23"/>
      <c r="Q122" s="23"/>
      <c r="R122" s="23"/>
      <c r="S122" s="48"/>
      <c r="T122" s="48"/>
      <c r="U122" s="48"/>
      <c r="V122" s="23"/>
      <c r="W122" s="23"/>
      <c r="X122" s="23"/>
      <c r="Y122" s="23"/>
      <c r="Z122" s="23"/>
      <c r="AA122" s="23"/>
      <c r="AB122" s="23"/>
      <c r="AC122" s="47"/>
      <c r="AD122" s="23"/>
      <c r="AE122" s="23"/>
    </row>
    <row r="123" spans="1:31" ht="15" customHeight="1">
      <c r="A123" s="23"/>
      <c r="B123" s="23"/>
      <c r="C123" s="48"/>
      <c r="D123" s="49" t="s">
        <v>45</v>
      </c>
      <c r="E123" s="50">
        <v>1750905</v>
      </c>
      <c r="F123" s="51" t="s">
        <v>46</v>
      </c>
      <c r="G123" s="52">
        <v>249095</v>
      </c>
      <c r="H123" s="48"/>
      <c r="I123" s="53" t="s">
        <v>47</v>
      </c>
      <c r="J123" s="54">
        <v>0.18</v>
      </c>
      <c r="K123" s="54"/>
      <c r="L123" s="55" t="s">
        <v>48</v>
      </c>
      <c r="M123" s="56">
        <f>2.7/12</f>
        <v>0.22500000000000001</v>
      </c>
      <c r="N123" s="57" t="s">
        <v>49</v>
      </c>
      <c r="O123" s="58">
        <f>40*4.2*((244-2)/260)</f>
        <v>156.36923076923077</v>
      </c>
      <c r="P123" s="48"/>
      <c r="Q123" s="53" t="s">
        <v>50</v>
      </c>
      <c r="R123" s="59">
        <v>0.4</v>
      </c>
      <c r="S123" s="48"/>
      <c r="T123" s="60">
        <v>8</v>
      </c>
      <c r="U123" s="61" t="s">
        <v>51</v>
      </c>
      <c r="V123" s="62"/>
      <c r="W123" s="23"/>
      <c r="X123" s="23"/>
      <c r="Y123" s="23"/>
      <c r="Z123" s="23"/>
      <c r="AA123" s="23"/>
      <c r="AB123" s="23"/>
      <c r="AC123" s="47"/>
      <c r="AD123" s="23"/>
      <c r="AE123" s="23"/>
    </row>
    <row r="124" spans="1:31" ht="12.75" customHeight="1">
      <c r="A124" s="23"/>
      <c r="B124" s="23"/>
      <c r="C124" s="7" t="s">
        <v>52</v>
      </c>
      <c r="D124" s="7"/>
      <c r="E124" s="7"/>
      <c r="F124" s="7" t="s">
        <v>53</v>
      </c>
      <c r="G124" s="7"/>
      <c r="H124" s="7"/>
      <c r="I124" s="7" t="s">
        <v>54</v>
      </c>
      <c r="J124" s="7"/>
      <c r="K124" s="7"/>
      <c r="L124" s="7"/>
      <c r="M124" s="7" t="s">
        <v>55</v>
      </c>
      <c r="N124" s="7"/>
      <c r="O124" s="7"/>
      <c r="P124" s="7" t="s">
        <v>56</v>
      </c>
      <c r="Q124" s="7"/>
      <c r="R124" s="7"/>
      <c r="S124" s="48"/>
      <c r="T124" s="48"/>
      <c r="U124" s="63" t="s">
        <v>49</v>
      </c>
      <c r="V124" s="7" t="s">
        <v>57</v>
      </c>
      <c r="W124" s="7"/>
      <c r="X124" s="7"/>
      <c r="Y124" s="23"/>
      <c r="Z124" s="23"/>
      <c r="AA124" s="23"/>
      <c r="AB124" s="23"/>
      <c r="AC124" s="47"/>
      <c r="AD124" s="23"/>
      <c r="AE124" s="23"/>
    </row>
    <row r="125" spans="1:31" ht="12.75" customHeight="1">
      <c r="A125" s="35" t="s">
        <v>58</v>
      </c>
      <c r="B125" s="63" t="str">
        <f>B1</f>
        <v>DB</v>
      </c>
      <c r="C125" s="6">
        <v>6480000</v>
      </c>
      <c r="D125" s="6"/>
      <c r="E125" s="6"/>
      <c r="F125" s="6">
        <v>1080000</v>
      </c>
      <c r="G125" s="6"/>
      <c r="H125" s="6"/>
      <c r="I125" s="6">
        <v>0</v>
      </c>
      <c r="J125" s="6"/>
      <c r="K125" s="6"/>
      <c r="L125" s="6"/>
      <c r="M125" s="6">
        <f t="shared" ref="M125:M134" si="13">C125*(1+$J$123+$M$123)+F125+I125+$M$122+IF(($E$123*2)&gt;=C125,$G$123,0)</f>
        <v>10704400</v>
      </c>
      <c r="N125" s="6"/>
      <c r="O125" s="6"/>
      <c r="P125" s="5">
        <f t="shared" ref="P125:P134" si="14">M125/$O$123*(1+$R$123)</f>
        <v>95838.292011019294</v>
      </c>
      <c r="Q125" s="5"/>
      <c r="R125" s="5"/>
      <c r="S125" s="48"/>
      <c r="T125" s="48"/>
      <c r="U125" s="23">
        <f t="shared" ref="U125:U134" si="15">HLOOKUP(B125,$B$1:$K$121,$A$121,0)*$T$123</f>
        <v>0</v>
      </c>
      <c r="W125" s="64">
        <f t="shared" ref="W125:W134" si="16">P125*U125</f>
        <v>0</v>
      </c>
      <c r="Y125" s="23"/>
      <c r="Z125" s="23"/>
      <c r="AA125" s="23"/>
      <c r="AB125" s="23"/>
      <c r="AC125" s="47"/>
      <c r="AD125" s="23"/>
      <c r="AE125" s="23"/>
    </row>
    <row r="126" spans="1:31" ht="12.75" customHeight="1">
      <c r="A126" s="35" t="s">
        <v>59</v>
      </c>
      <c r="B126" s="63" t="str">
        <f>C1</f>
        <v>UX</v>
      </c>
      <c r="C126" s="6">
        <v>3240000</v>
      </c>
      <c r="D126" s="6"/>
      <c r="E126" s="6"/>
      <c r="F126" s="6">
        <v>540000</v>
      </c>
      <c r="G126" s="6"/>
      <c r="H126" s="6"/>
      <c r="I126" s="6">
        <v>0</v>
      </c>
      <c r="J126" s="6"/>
      <c r="K126" s="6"/>
      <c r="L126" s="6"/>
      <c r="M126" s="6">
        <f t="shared" si="13"/>
        <v>5861295</v>
      </c>
      <c r="N126" s="6"/>
      <c r="O126" s="6"/>
      <c r="P126" s="5">
        <f t="shared" si="14"/>
        <v>52477.159090909088</v>
      </c>
      <c r="Q126" s="5"/>
      <c r="R126" s="5"/>
      <c r="S126" s="48"/>
      <c r="T126" s="48"/>
      <c r="U126" s="23">
        <f t="shared" si="15"/>
        <v>0</v>
      </c>
      <c r="W126" s="64">
        <f t="shared" si="16"/>
        <v>0</v>
      </c>
      <c r="Y126" s="23"/>
      <c r="Z126" s="23"/>
      <c r="AA126" s="23"/>
      <c r="AB126" s="23"/>
      <c r="AC126" s="47"/>
      <c r="AD126" s="23"/>
      <c r="AE126" s="23"/>
    </row>
    <row r="127" spans="1:31" ht="12.75" customHeight="1">
      <c r="A127" s="35" t="s">
        <v>60</v>
      </c>
      <c r="B127" s="63" t="str">
        <f>D1</f>
        <v>FM</v>
      </c>
      <c r="C127" s="6">
        <v>3240000</v>
      </c>
      <c r="D127" s="6"/>
      <c r="E127" s="6"/>
      <c r="F127" s="6">
        <v>540000</v>
      </c>
      <c r="G127" s="6"/>
      <c r="H127" s="6"/>
      <c r="I127" s="6">
        <v>0</v>
      </c>
      <c r="J127" s="6"/>
      <c r="K127" s="6"/>
      <c r="L127" s="6"/>
      <c r="M127" s="6">
        <f t="shared" si="13"/>
        <v>5861295</v>
      </c>
      <c r="N127" s="6"/>
      <c r="O127" s="6"/>
      <c r="P127" s="5">
        <f t="shared" si="14"/>
        <v>52477.159090909088</v>
      </c>
      <c r="Q127" s="5"/>
      <c r="R127" s="5"/>
      <c r="S127" s="48"/>
      <c r="T127" s="48"/>
      <c r="U127" s="23">
        <f t="shared" si="15"/>
        <v>0</v>
      </c>
      <c r="W127" s="64">
        <f t="shared" si="16"/>
        <v>0</v>
      </c>
      <c r="Y127" s="23"/>
      <c r="Z127" s="23"/>
      <c r="AA127" s="23"/>
      <c r="AB127" s="23"/>
      <c r="AC127" s="47"/>
      <c r="AD127" s="23"/>
      <c r="AE127" s="23"/>
    </row>
    <row r="128" spans="1:31" ht="12.75" customHeight="1">
      <c r="A128" s="35" t="s">
        <v>61</v>
      </c>
      <c r="B128" s="63" t="str">
        <f>E1</f>
        <v>BS</v>
      </c>
      <c r="C128" s="6">
        <v>4320000</v>
      </c>
      <c r="D128" s="6"/>
      <c r="E128" s="6"/>
      <c r="F128" s="6">
        <v>1620000</v>
      </c>
      <c r="G128" s="6"/>
      <c r="H128" s="6"/>
      <c r="I128" s="6">
        <v>0</v>
      </c>
      <c r="J128" s="6"/>
      <c r="K128" s="6"/>
      <c r="L128" s="6"/>
      <c r="M128" s="6">
        <f t="shared" si="13"/>
        <v>8209600</v>
      </c>
      <c r="N128" s="6"/>
      <c r="O128" s="6"/>
      <c r="P128" s="5">
        <f t="shared" si="14"/>
        <v>73501.928374655647</v>
      </c>
      <c r="Q128" s="5"/>
      <c r="R128" s="5"/>
      <c r="S128" s="48"/>
      <c r="T128" s="48"/>
      <c r="U128" s="23">
        <f t="shared" si="15"/>
        <v>0</v>
      </c>
      <c r="W128" s="64">
        <f t="shared" si="16"/>
        <v>0</v>
      </c>
      <c r="Y128" s="23"/>
      <c r="Z128" s="23"/>
      <c r="AA128" s="23"/>
      <c r="AB128" s="23"/>
      <c r="AC128" s="47"/>
      <c r="AD128" s="23"/>
      <c r="AE128" s="23"/>
    </row>
    <row r="129" spans="1:31" ht="12.75" customHeight="1">
      <c r="A129" s="35" t="s">
        <v>62</v>
      </c>
      <c r="B129" s="63" t="str">
        <f>F1</f>
        <v>BM</v>
      </c>
      <c r="C129" s="6">
        <v>3780000</v>
      </c>
      <c r="D129" s="6"/>
      <c r="E129" s="6"/>
      <c r="F129" s="6">
        <v>1080000</v>
      </c>
      <c r="G129" s="6"/>
      <c r="H129" s="6"/>
      <c r="I129" s="6">
        <v>0</v>
      </c>
      <c r="J129" s="6"/>
      <c r="K129" s="6"/>
      <c r="L129" s="6"/>
      <c r="M129" s="6">
        <f t="shared" si="13"/>
        <v>6910900</v>
      </c>
      <c r="N129" s="6"/>
      <c r="O129" s="6"/>
      <c r="P129" s="5">
        <f t="shared" si="14"/>
        <v>61874.449035812671</v>
      </c>
      <c r="Q129" s="5"/>
      <c r="R129" s="5"/>
      <c r="S129" s="48"/>
      <c r="T129" s="48"/>
      <c r="U129" s="23">
        <f t="shared" si="15"/>
        <v>0</v>
      </c>
      <c r="W129" s="64">
        <f t="shared" si="16"/>
        <v>0</v>
      </c>
      <c r="Y129" s="23"/>
      <c r="Z129" s="23"/>
      <c r="AA129" s="23"/>
      <c r="AB129" s="23"/>
      <c r="AC129" s="47"/>
      <c r="AD129" s="23"/>
      <c r="AE129" s="23"/>
    </row>
    <row r="130" spans="1:31" ht="12.75" customHeight="1">
      <c r="A130" s="35" t="s">
        <v>63</v>
      </c>
      <c r="B130" s="63" t="str">
        <f>G1</f>
        <v>QA</v>
      </c>
      <c r="C130" s="6">
        <v>2700000</v>
      </c>
      <c r="D130" s="6"/>
      <c r="E130" s="6"/>
      <c r="F130" s="6">
        <v>1080000</v>
      </c>
      <c r="G130" s="6"/>
      <c r="H130" s="6"/>
      <c r="I130" s="6">
        <v>54000</v>
      </c>
      <c r="J130" s="6"/>
      <c r="K130" s="6"/>
      <c r="L130" s="6"/>
      <c r="M130" s="6">
        <f t="shared" si="13"/>
        <v>5696595</v>
      </c>
      <c r="N130" s="6"/>
      <c r="O130" s="6"/>
      <c r="P130" s="5">
        <f t="shared" si="14"/>
        <v>51002.572314049583</v>
      </c>
      <c r="Q130" s="5"/>
      <c r="R130" s="5"/>
      <c r="S130" s="48"/>
      <c r="T130" s="48"/>
      <c r="U130" s="23">
        <f t="shared" si="15"/>
        <v>0</v>
      </c>
      <c r="W130" s="64">
        <f t="shared" si="16"/>
        <v>0</v>
      </c>
      <c r="Y130" s="23"/>
      <c r="Z130" s="23"/>
      <c r="AA130" s="23"/>
      <c r="AB130" s="23"/>
      <c r="AC130" s="47"/>
      <c r="AD130" s="23"/>
      <c r="AE130" s="23"/>
    </row>
    <row r="131" spans="1:31" ht="12.75" customHeight="1">
      <c r="A131" s="35" t="s">
        <v>64</v>
      </c>
      <c r="B131" s="63" t="str">
        <f>H1</f>
        <v>IM</v>
      </c>
      <c r="C131" s="6">
        <v>2700000</v>
      </c>
      <c r="D131" s="6"/>
      <c r="E131" s="6"/>
      <c r="F131" s="6">
        <v>1080000</v>
      </c>
      <c r="G131" s="6"/>
      <c r="H131" s="6"/>
      <c r="I131" s="6">
        <v>0</v>
      </c>
      <c r="J131" s="6"/>
      <c r="K131" s="6"/>
      <c r="L131" s="6"/>
      <c r="M131" s="6">
        <f t="shared" si="13"/>
        <v>5642595</v>
      </c>
      <c r="N131" s="6"/>
      <c r="O131" s="6"/>
      <c r="P131" s="5">
        <f t="shared" si="14"/>
        <v>50519.10123966942</v>
      </c>
      <c r="Q131" s="5"/>
      <c r="R131" s="5"/>
      <c r="S131" s="48"/>
      <c r="T131" s="48"/>
      <c r="U131" s="23">
        <f t="shared" si="15"/>
        <v>0</v>
      </c>
      <c r="W131" s="64">
        <f t="shared" si="16"/>
        <v>0</v>
      </c>
      <c r="Y131" s="23"/>
      <c r="Z131" s="23"/>
      <c r="AA131" s="23"/>
      <c r="AB131" s="23"/>
      <c r="AC131" s="47"/>
      <c r="AD131" s="23"/>
      <c r="AE131" s="23"/>
    </row>
    <row r="132" spans="1:31" ht="12.75" customHeight="1">
      <c r="A132" s="35" t="s">
        <v>65</v>
      </c>
      <c r="B132" s="63" t="str">
        <f>I1</f>
        <v>MS</v>
      </c>
      <c r="C132" s="6">
        <v>8100000</v>
      </c>
      <c r="D132" s="6"/>
      <c r="E132" s="6"/>
      <c r="F132" s="6">
        <v>2160000</v>
      </c>
      <c r="G132" s="6"/>
      <c r="H132" s="6"/>
      <c r="I132" s="6">
        <v>132000</v>
      </c>
      <c r="J132" s="6"/>
      <c r="K132" s="6"/>
      <c r="L132" s="6"/>
      <c r="M132" s="6">
        <f t="shared" si="13"/>
        <v>14192500</v>
      </c>
      <c r="N132" s="6"/>
      <c r="O132" s="6"/>
      <c r="P132" s="5">
        <f t="shared" si="14"/>
        <v>127067.83746556473</v>
      </c>
      <c r="Q132" s="5"/>
      <c r="R132" s="5"/>
      <c r="S132" s="48"/>
      <c r="T132" s="48"/>
      <c r="U132" s="23">
        <f t="shared" si="15"/>
        <v>0</v>
      </c>
      <c r="W132" s="64">
        <f t="shared" si="16"/>
        <v>0</v>
      </c>
      <c r="Y132" s="23"/>
      <c r="Z132" s="23"/>
      <c r="AA132" s="23"/>
      <c r="AB132" s="23"/>
      <c r="AC132" s="47"/>
      <c r="AD132" s="23"/>
      <c r="AE132" s="23"/>
    </row>
    <row r="133" spans="1:31" ht="12.75" customHeight="1">
      <c r="A133" s="35" t="s">
        <v>66</v>
      </c>
      <c r="B133" s="63" t="str">
        <f>J1</f>
        <v>MM</v>
      </c>
      <c r="C133" s="6">
        <v>3240000</v>
      </c>
      <c r="D133" s="6"/>
      <c r="E133" s="6"/>
      <c r="F133" s="6">
        <v>1080000</v>
      </c>
      <c r="G133" s="6"/>
      <c r="H133" s="6"/>
      <c r="I133" s="6">
        <v>132000</v>
      </c>
      <c r="J133" s="6"/>
      <c r="K133" s="6"/>
      <c r="L133" s="6"/>
      <c r="M133" s="6">
        <f t="shared" si="13"/>
        <v>6533295</v>
      </c>
      <c r="N133" s="6"/>
      <c r="O133" s="6"/>
      <c r="P133" s="5">
        <f t="shared" si="14"/>
        <v>58493.688016528926</v>
      </c>
      <c r="Q133" s="5"/>
      <c r="R133" s="5"/>
      <c r="S133" s="48"/>
      <c r="T133" s="48"/>
      <c r="U133" s="23">
        <f t="shared" si="15"/>
        <v>0</v>
      </c>
      <c r="W133" s="64">
        <f t="shared" si="16"/>
        <v>0</v>
      </c>
      <c r="Y133" s="23"/>
      <c r="Z133" s="23"/>
      <c r="AA133" s="23"/>
      <c r="AB133" s="23"/>
      <c r="AC133" s="47"/>
      <c r="AD133" s="23"/>
      <c r="AE133" s="23"/>
    </row>
    <row r="134" spans="1:31" ht="12.75" customHeight="1">
      <c r="A134" s="35" t="s">
        <v>67</v>
      </c>
      <c r="B134" s="63" t="s">
        <v>10</v>
      </c>
      <c r="C134" s="6">
        <v>3240000</v>
      </c>
      <c r="D134" s="6"/>
      <c r="E134" s="6"/>
      <c r="F134" s="6">
        <v>1080000</v>
      </c>
      <c r="G134" s="6"/>
      <c r="H134" s="6"/>
      <c r="I134" s="6"/>
      <c r="J134" s="6"/>
      <c r="K134" s="6"/>
      <c r="L134" s="6"/>
      <c r="M134" s="6">
        <f t="shared" si="13"/>
        <v>6401295</v>
      </c>
      <c r="N134" s="6"/>
      <c r="O134" s="6"/>
      <c r="P134" s="5">
        <f t="shared" si="14"/>
        <v>57311.869834710742</v>
      </c>
      <c r="Q134" s="5"/>
      <c r="R134" s="5"/>
      <c r="S134" s="48"/>
      <c r="T134" s="48"/>
      <c r="U134" s="23">
        <f t="shared" si="15"/>
        <v>0</v>
      </c>
      <c r="W134" s="64">
        <f t="shared" si="16"/>
        <v>0</v>
      </c>
      <c r="Y134" s="23"/>
      <c r="Z134" s="23"/>
      <c r="AA134" s="23"/>
      <c r="AB134" s="23"/>
      <c r="AC134" s="47"/>
      <c r="AD134" s="23"/>
      <c r="AE134" s="23"/>
    </row>
    <row r="135" spans="1:31" ht="12.75" customHeight="1">
      <c r="A135" s="35"/>
      <c r="B135" s="63"/>
      <c r="C135" s="48"/>
      <c r="D135" s="48"/>
      <c r="E135" s="48"/>
      <c r="F135" s="48"/>
      <c r="G135" s="48"/>
      <c r="H135" s="48"/>
      <c r="I135" s="23"/>
      <c r="J135" s="23"/>
      <c r="K135" s="23"/>
      <c r="L135" s="23"/>
      <c r="M135" s="23"/>
      <c r="N135" s="23"/>
      <c r="O135" s="23"/>
      <c r="P135" s="4">
        <f>SUM(P125:P134)</f>
        <v>680564.0564738292</v>
      </c>
      <c r="Q135" s="4"/>
      <c r="R135" s="4"/>
      <c r="S135" s="48"/>
      <c r="T135" s="48"/>
      <c r="U135" s="48"/>
      <c r="W135" s="65">
        <f>SUM(W125:W134)</f>
        <v>0</v>
      </c>
      <c r="Y135" s="23"/>
      <c r="Z135" s="23"/>
      <c r="AA135" s="23"/>
      <c r="AB135" s="23"/>
      <c r="AC135" s="47"/>
      <c r="AD135" s="23"/>
      <c r="AE135" s="23"/>
    </row>
    <row r="136" spans="1:31" ht="12.75" customHeight="1">
      <c r="A136" s="23"/>
      <c r="B136" s="23"/>
      <c r="C136" s="66"/>
      <c r="D136" s="66"/>
      <c r="E136" s="23"/>
      <c r="F136" s="23"/>
      <c r="G136" s="23"/>
      <c r="H136" s="48"/>
      <c r="I136" s="23"/>
      <c r="J136" s="23"/>
      <c r="K136" s="23"/>
      <c r="L136" s="48"/>
      <c r="M136" s="23"/>
      <c r="N136" s="23"/>
      <c r="O136" s="23"/>
      <c r="P136" s="23"/>
      <c r="Q136" s="23"/>
      <c r="R136" s="23"/>
      <c r="S136" s="23"/>
      <c r="T136" s="23"/>
      <c r="U136" s="23"/>
      <c r="V136" s="23"/>
      <c r="W136" s="23"/>
      <c r="X136" s="23"/>
      <c r="Y136" s="23"/>
      <c r="Z136" s="23"/>
      <c r="AA136" s="23"/>
      <c r="AB136" s="23"/>
      <c r="AC136" s="47"/>
      <c r="AD136" s="23"/>
      <c r="AE136" s="23"/>
    </row>
    <row r="137" spans="1:31" ht="12.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47"/>
      <c r="AD137" s="23"/>
      <c r="AE137" s="23"/>
    </row>
    <row r="138" spans="1:31" ht="12.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8"/>
      <c r="AD138" s="67"/>
      <c r="AE138" s="67"/>
    </row>
    <row r="139" spans="1:31" ht="15" customHeight="1">
      <c r="A139" s="67"/>
      <c r="B139" s="67"/>
      <c r="C139" s="3"/>
      <c r="D139" s="3"/>
      <c r="E139" s="3"/>
      <c r="F139" s="3"/>
      <c r="G139" s="2"/>
      <c r="H139" s="2"/>
      <c r="I139" s="2"/>
      <c r="J139" s="2"/>
      <c r="K139" s="69"/>
      <c r="L139" s="1"/>
      <c r="M139" s="1"/>
      <c r="N139" s="1"/>
      <c r="O139" s="1"/>
      <c r="P139" s="2"/>
      <c r="Q139" s="2"/>
      <c r="R139" s="2"/>
      <c r="S139" s="2"/>
      <c r="T139" s="1"/>
      <c r="U139" s="1"/>
      <c r="V139" s="1"/>
      <c r="W139" s="1"/>
      <c r="X139" s="2"/>
      <c r="Y139" s="2"/>
      <c r="Z139" s="2"/>
      <c r="AA139" s="1"/>
      <c r="AB139" s="1"/>
      <c r="AC139" s="1"/>
      <c r="AD139" s="70"/>
      <c r="AE139" s="67"/>
    </row>
    <row r="140" spans="1:31" ht="12.75" customHeight="1">
      <c r="A140" s="71" t="e">
        <f t="array" aca="1" ref="A140:A144" ca="1">unique(L1:L120)</f>
        <v>#NAME?</v>
      </c>
      <c r="B140" s="72"/>
      <c r="C140" s="73"/>
      <c r="D140" s="73"/>
      <c r="E140" s="73"/>
      <c r="F140" s="74"/>
      <c r="G140" s="75" t="s">
        <v>68</v>
      </c>
      <c r="H140" s="75" t="s">
        <v>69</v>
      </c>
      <c r="I140" s="75" t="s">
        <v>70</v>
      </c>
      <c r="J140" s="75" t="s">
        <v>71</v>
      </c>
      <c r="K140" s="75" t="s">
        <v>72</v>
      </c>
      <c r="L140" s="76" t="s">
        <v>73</v>
      </c>
      <c r="M140" s="76" t="s">
        <v>74</v>
      </c>
      <c r="N140" s="76" t="s">
        <v>75</v>
      </c>
      <c r="O140" s="76" t="s">
        <v>76</v>
      </c>
      <c r="P140" s="75" t="s">
        <v>77</v>
      </c>
      <c r="Q140" s="75"/>
      <c r="R140" s="75"/>
      <c r="S140" s="75"/>
      <c r="T140" s="76"/>
      <c r="U140" s="76"/>
      <c r="V140" s="76"/>
      <c r="W140" s="76"/>
      <c r="X140" s="75"/>
      <c r="Y140" s="75"/>
      <c r="Z140" s="75"/>
      <c r="AA140" s="76"/>
      <c r="AB140" s="76"/>
      <c r="AC140" s="77"/>
      <c r="AD140" s="76"/>
      <c r="AE140" s="67"/>
    </row>
    <row r="141" spans="1:31" ht="12.75" customHeight="1">
      <c r="A141" s="78" t="e">
        <f ca="1"/>
        <v>#NAME?</v>
      </c>
      <c r="B141" s="79"/>
      <c r="C141" s="79"/>
      <c r="D141" s="79" t="s">
        <v>78</v>
      </c>
      <c r="E141" s="79"/>
      <c r="F141" s="80"/>
      <c r="G141" s="81"/>
      <c r="H141" s="81"/>
      <c r="I141" s="81"/>
      <c r="J141" s="81"/>
      <c r="K141" s="81"/>
      <c r="L141" s="82"/>
      <c r="M141" s="82"/>
      <c r="N141" s="82"/>
      <c r="O141" s="82"/>
      <c r="P141" s="81"/>
      <c r="Q141" s="81"/>
      <c r="R141" s="81"/>
      <c r="S141" s="81"/>
      <c r="T141" s="82"/>
      <c r="U141" s="82"/>
      <c r="V141" s="82"/>
      <c r="W141" s="82"/>
      <c r="X141" s="81"/>
      <c r="Y141" s="81"/>
      <c r="Z141" s="81"/>
      <c r="AA141" s="82"/>
      <c r="AB141" s="82"/>
      <c r="AC141" s="83"/>
      <c r="AD141" s="82"/>
      <c r="AE141" s="67"/>
    </row>
    <row r="142" spans="1:31" ht="12.75" customHeight="1">
      <c r="A142" s="78" t="e">
        <f ca="1"/>
        <v>#NAME?</v>
      </c>
      <c r="B142" s="79"/>
      <c r="C142" s="79"/>
      <c r="D142" s="79"/>
      <c r="E142" s="79"/>
      <c r="F142" s="80"/>
      <c r="G142" s="81"/>
      <c r="H142" s="81"/>
      <c r="I142" s="81"/>
      <c r="J142" s="81"/>
      <c r="K142" s="81"/>
      <c r="L142" s="82"/>
      <c r="M142" s="82"/>
      <c r="N142" s="82"/>
      <c r="O142" s="82"/>
      <c r="P142" s="81"/>
      <c r="Q142" s="81"/>
      <c r="R142" s="81"/>
      <c r="S142" s="81"/>
      <c r="T142" s="82"/>
      <c r="U142" s="82"/>
      <c r="V142" s="82"/>
      <c r="W142" s="82"/>
      <c r="X142" s="81"/>
      <c r="Y142" s="81"/>
      <c r="Z142" s="81"/>
      <c r="AA142" s="82"/>
      <c r="AB142" s="82"/>
      <c r="AC142" s="83"/>
      <c r="AD142" s="82"/>
      <c r="AE142" s="67"/>
    </row>
    <row r="143" spans="1:31" ht="12.75" customHeight="1">
      <c r="A143" s="78" t="e">
        <f ca="1"/>
        <v>#NAME?</v>
      </c>
      <c r="B143" s="79"/>
      <c r="C143" s="79"/>
      <c r="D143" s="79"/>
      <c r="E143" s="79"/>
      <c r="F143" s="80"/>
      <c r="G143" s="81"/>
      <c r="H143" s="81"/>
      <c r="I143" s="81"/>
      <c r="J143" s="81"/>
      <c r="K143" s="81"/>
      <c r="L143" s="82"/>
      <c r="M143" s="82"/>
      <c r="N143" s="82"/>
      <c r="O143" s="82"/>
      <c r="P143" s="81"/>
      <c r="Q143" s="81"/>
      <c r="R143" s="81"/>
      <c r="S143" s="81"/>
      <c r="T143" s="82"/>
      <c r="U143" s="82"/>
      <c r="V143" s="82"/>
      <c r="W143" s="82"/>
      <c r="X143" s="81"/>
      <c r="Y143" s="81"/>
      <c r="Z143" s="81"/>
      <c r="AA143" s="82"/>
      <c r="AB143" s="82"/>
      <c r="AC143" s="83"/>
      <c r="AD143" s="82"/>
      <c r="AE143" s="67"/>
    </row>
    <row r="144" spans="1:31" ht="12.75" customHeight="1">
      <c r="A144" s="78" t="e">
        <f ca="1"/>
        <v>#NAME?</v>
      </c>
      <c r="B144" s="79"/>
      <c r="C144" s="79"/>
      <c r="D144" s="79"/>
      <c r="E144" s="79"/>
      <c r="F144" s="80"/>
      <c r="G144" s="81"/>
      <c r="H144" s="81"/>
      <c r="I144" s="81"/>
      <c r="J144" s="81"/>
      <c r="K144" s="81"/>
      <c r="L144" s="82"/>
      <c r="M144" s="82"/>
      <c r="N144" s="82"/>
      <c r="O144" s="82"/>
      <c r="P144" s="81"/>
      <c r="Q144" s="81"/>
      <c r="R144" s="81"/>
      <c r="S144" s="81"/>
      <c r="T144" s="82"/>
      <c r="U144" s="82"/>
      <c r="V144" s="82"/>
      <c r="W144" s="82"/>
      <c r="X144" s="81"/>
      <c r="Y144" s="81"/>
      <c r="Z144" s="81"/>
      <c r="AA144" s="82"/>
      <c r="AB144" s="82"/>
      <c r="AC144" s="83"/>
      <c r="AD144" s="82"/>
      <c r="AE144" s="67"/>
    </row>
    <row r="145" spans="1:31" ht="12.75" customHeight="1">
      <c r="A145" s="78"/>
      <c r="B145" s="79"/>
      <c r="C145" s="79"/>
      <c r="D145" s="79"/>
      <c r="E145" s="79"/>
      <c r="F145" s="80"/>
      <c r="G145" s="81"/>
      <c r="H145" s="81"/>
      <c r="I145" s="81"/>
      <c r="J145" s="81"/>
      <c r="K145" s="81"/>
      <c r="L145" s="82"/>
      <c r="M145" s="82"/>
      <c r="N145" s="82"/>
      <c r="O145" s="82"/>
      <c r="P145" s="81"/>
      <c r="Q145" s="81"/>
      <c r="R145" s="81"/>
      <c r="S145" s="81"/>
      <c r="T145" s="82"/>
      <c r="U145" s="82"/>
      <c r="V145" s="82"/>
      <c r="W145" s="82"/>
      <c r="X145" s="81"/>
      <c r="Y145" s="81"/>
      <c r="Z145" s="81"/>
      <c r="AA145" s="82"/>
      <c r="AB145" s="82"/>
      <c r="AC145" s="83"/>
      <c r="AD145" s="82"/>
      <c r="AE145" s="67"/>
    </row>
    <row r="146" spans="1:31" ht="12.75" customHeight="1">
      <c r="A146" s="78"/>
      <c r="B146" s="79"/>
      <c r="C146" s="79"/>
      <c r="D146" s="79"/>
      <c r="E146" s="79"/>
      <c r="F146" s="80"/>
      <c r="G146" s="81"/>
      <c r="H146" s="81"/>
      <c r="I146" s="81"/>
      <c r="J146" s="81"/>
      <c r="K146" s="81"/>
      <c r="L146" s="82"/>
      <c r="M146" s="82"/>
      <c r="N146" s="82"/>
      <c r="O146" s="82"/>
      <c r="P146" s="81"/>
      <c r="Q146" s="81"/>
      <c r="R146" s="81"/>
      <c r="S146" s="81"/>
      <c r="T146" s="82"/>
      <c r="U146" s="82"/>
      <c r="V146" s="82"/>
      <c r="W146" s="82"/>
      <c r="X146" s="81"/>
      <c r="Y146" s="81"/>
      <c r="Z146" s="81"/>
      <c r="AA146" s="82"/>
      <c r="AB146" s="82"/>
      <c r="AC146" s="83"/>
      <c r="AD146" s="82"/>
      <c r="AE146" s="67"/>
    </row>
    <row r="147" spans="1:31" ht="12.75" customHeight="1">
      <c r="A147" s="78"/>
      <c r="B147" s="79"/>
      <c r="C147" s="79"/>
      <c r="D147" s="79"/>
      <c r="E147" s="79"/>
      <c r="F147" s="80"/>
      <c r="G147" s="81"/>
      <c r="H147" s="81"/>
      <c r="I147" s="81"/>
      <c r="J147" s="81"/>
      <c r="K147" s="81"/>
      <c r="L147" s="82"/>
      <c r="M147" s="82"/>
      <c r="N147" s="82"/>
      <c r="O147" s="82"/>
      <c r="P147" s="81"/>
      <c r="Q147" s="81"/>
      <c r="R147" s="81"/>
      <c r="S147" s="81"/>
      <c r="T147" s="82"/>
      <c r="U147" s="82"/>
      <c r="V147" s="82"/>
      <c r="W147" s="82"/>
      <c r="X147" s="81"/>
      <c r="Y147" s="81"/>
      <c r="Z147" s="81"/>
      <c r="AA147" s="82"/>
      <c r="AB147" s="82"/>
      <c r="AC147" s="83"/>
      <c r="AD147" s="82"/>
      <c r="AE147" s="67"/>
    </row>
    <row r="148" spans="1:31" ht="12.75" customHeight="1">
      <c r="A148" s="78"/>
      <c r="B148" s="79"/>
      <c r="C148" s="79"/>
      <c r="D148" s="79"/>
      <c r="E148" s="79"/>
      <c r="F148" s="80"/>
      <c r="G148" s="81"/>
      <c r="H148" s="81"/>
      <c r="I148" s="81"/>
      <c r="J148" s="81"/>
      <c r="K148" s="81"/>
      <c r="L148" s="82"/>
      <c r="M148" s="82"/>
      <c r="N148" s="82"/>
      <c r="O148" s="82"/>
      <c r="P148" s="81"/>
      <c r="Q148" s="81"/>
      <c r="R148" s="81"/>
      <c r="S148" s="81"/>
      <c r="T148" s="82"/>
      <c r="U148" s="82"/>
      <c r="V148" s="82"/>
      <c r="W148" s="82"/>
      <c r="X148" s="81"/>
      <c r="Y148" s="81"/>
      <c r="Z148" s="81"/>
      <c r="AA148" s="82"/>
      <c r="AB148" s="82"/>
      <c r="AC148" s="83"/>
      <c r="AD148" s="82"/>
      <c r="AE148" s="67"/>
    </row>
    <row r="149" spans="1:31" ht="12.75" customHeight="1">
      <c r="A149" s="78"/>
      <c r="B149" s="79"/>
      <c r="C149" s="79"/>
      <c r="D149" s="79"/>
      <c r="E149" s="79"/>
      <c r="F149" s="80"/>
      <c r="G149" s="81"/>
      <c r="H149" s="81"/>
      <c r="I149" s="81"/>
      <c r="J149" s="81"/>
      <c r="K149" s="81"/>
      <c r="L149" s="82"/>
      <c r="M149" s="82"/>
      <c r="N149" s="82"/>
      <c r="O149" s="82"/>
      <c r="P149" s="81"/>
      <c r="Q149" s="81"/>
      <c r="R149" s="81"/>
      <c r="S149" s="81"/>
      <c r="T149" s="82"/>
      <c r="U149" s="82"/>
      <c r="V149" s="82"/>
      <c r="W149" s="82"/>
      <c r="X149" s="81"/>
      <c r="Y149" s="81"/>
      <c r="Z149" s="81"/>
      <c r="AA149" s="82"/>
      <c r="AB149" s="82"/>
      <c r="AC149" s="83"/>
      <c r="AD149" s="82"/>
      <c r="AE149" s="67"/>
    </row>
    <row r="150" spans="1:31" ht="12.75" customHeight="1">
      <c r="A150" s="78"/>
      <c r="B150" s="79"/>
      <c r="C150" s="79"/>
      <c r="D150" s="79"/>
      <c r="E150" s="79"/>
      <c r="F150" s="80"/>
      <c r="G150" s="81"/>
      <c r="H150" s="81"/>
      <c r="I150" s="81"/>
      <c r="J150" s="81"/>
      <c r="K150" s="81"/>
      <c r="L150" s="82"/>
      <c r="M150" s="82"/>
      <c r="N150" s="82"/>
      <c r="O150" s="82"/>
      <c r="P150" s="81"/>
      <c r="Q150" s="81"/>
      <c r="R150" s="81"/>
      <c r="S150" s="81"/>
      <c r="T150" s="82"/>
      <c r="U150" s="82"/>
      <c r="V150" s="82"/>
      <c r="W150" s="82"/>
      <c r="X150" s="81"/>
      <c r="Y150" s="81"/>
      <c r="Z150" s="81"/>
      <c r="AA150" s="82"/>
      <c r="AB150" s="82"/>
      <c r="AC150" s="83"/>
      <c r="AD150" s="82"/>
      <c r="AE150" s="67"/>
    </row>
    <row r="151" spans="1:31" ht="12.75" customHeight="1">
      <c r="A151" s="78"/>
      <c r="B151" s="79"/>
      <c r="C151" s="79"/>
      <c r="D151" s="79"/>
      <c r="E151" s="79"/>
      <c r="F151" s="80"/>
      <c r="G151" s="81"/>
      <c r="H151" s="81"/>
      <c r="I151" s="81"/>
      <c r="J151" s="81"/>
      <c r="K151" s="81"/>
      <c r="L151" s="82"/>
      <c r="M151" s="82"/>
      <c r="N151" s="82"/>
      <c r="O151" s="82"/>
      <c r="P151" s="81"/>
      <c r="Q151" s="81"/>
      <c r="R151" s="81"/>
      <c r="S151" s="81"/>
      <c r="T151" s="82"/>
      <c r="U151" s="82"/>
      <c r="V151" s="82"/>
      <c r="W151" s="82"/>
      <c r="X151" s="81"/>
      <c r="Y151" s="81"/>
      <c r="Z151" s="81"/>
      <c r="AA151" s="82"/>
      <c r="AB151" s="82"/>
      <c r="AC151" s="83"/>
      <c r="AD151" s="82"/>
      <c r="AE151" s="67"/>
    </row>
    <row r="152" spans="1:31" ht="12.75" customHeight="1">
      <c r="A152" s="78"/>
      <c r="B152" s="79"/>
      <c r="C152" s="79"/>
      <c r="D152" s="79"/>
      <c r="E152" s="79"/>
      <c r="F152" s="80"/>
      <c r="G152" s="81"/>
      <c r="H152" s="81"/>
      <c r="I152" s="81"/>
      <c r="J152" s="81"/>
      <c r="K152" s="81"/>
      <c r="L152" s="82"/>
      <c r="M152" s="82"/>
      <c r="N152" s="82"/>
      <c r="O152" s="82"/>
      <c r="P152" s="81"/>
      <c r="Q152" s="81"/>
      <c r="R152" s="81"/>
      <c r="S152" s="81"/>
      <c r="T152" s="82"/>
      <c r="U152" s="82"/>
      <c r="V152" s="82"/>
      <c r="W152" s="82"/>
      <c r="X152" s="81"/>
      <c r="Y152" s="81"/>
      <c r="Z152" s="81"/>
      <c r="AA152" s="82"/>
      <c r="AB152" s="82"/>
      <c r="AC152" s="83"/>
      <c r="AD152" s="82"/>
      <c r="AE152" s="67"/>
    </row>
    <row r="153" spans="1:31" ht="12.75" customHeight="1">
      <c r="A153" s="78"/>
      <c r="B153" s="79"/>
      <c r="C153" s="79"/>
      <c r="D153" s="79"/>
      <c r="E153" s="79"/>
      <c r="F153" s="80"/>
      <c r="G153" s="81"/>
      <c r="H153" s="81"/>
      <c r="I153" s="81"/>
      <c r="J153" s="81"/>
      <c r="K153" s="81"/>
      <c r="L153" s="82"/>
      <c r="M153" s="82"/>
      <c r="N153" s="82"/>
      <c r="O153" s="82"/>
      <c r="P153" s="81"/>
      <c r="Q153" s="81"/>
      <c r="R153" s="81"/>
      <c r="S153" s="81"/>
      <c r="T153" s="82"/>
      <c r="U153" s="82"/>
      <c r="V153" s="82"/>
      <c r="W153" s="82"/>
      <c r="X153" s="81"/>
      <c r="Y153" s="81"/>
      <c r="Z153" s="81"/>
      <c r="AA153" s="82"/>
      <c r="AB153" s="82"/>
      <c r="AC153" s="83"/>
      <c r="AD153" s="82"/>
      <c r="AE153" s="67"/>
    </row>
    <row r="154" spans="1:31" ht="12.75" customHeight="1">
      <c r="A154" s="78"/>
      <c r="B154" s="79"/>
      <c r="C154" s="79"/>
      <c r="D154" s="79"/>
      <c r="E154" s="79"/>
      <c r="F154" s="80"/>
      <c r="G154" s="81"/>
      <c r="H154" s="81"/>
      <c r="I154" s="81"/>
      <c r="J154" s="81"/>
      <c r="K154" s="81"/>
      <c r="L154" s="82"/>
      <c r="M154" s="82"/>
      <c r="N154" s="82"/>
      <c r="O154" s="82"/>
      <c r="P154" s="81"/>
      <c r="Q154" s="81"/>
      <c r="R154" s="81"/>
      <c r="S154" s="81"/>
      <c r="T154" s="82"/>
      <c r="U154" s="82"/>
      <c r="V154" s="82"/>
      <c r="W154" s="82"/>
      <c r="X154" s="81"/>
      <c r="Y154" s="81"/>
      <c r="Z154" s="81"/>
      <c r="AA154" s="82"/>
      <c r="AB154" s="82"/>
      <c r="AC154" s="83"/>
      <c r="AD154" s="82"/>
      <c r="AE154" s="67"/>
    </row>
    <row r="155" spans="1:31" ht="12.75" customHeight="1">
      <c r="A155" s="78"/>
      <c r="B155" s="79"/>
      <c r="C155" s="79"/>
      <c r="D155" s="79"/>
      <c r="E155" s="79"/>
      <c r="F155" s="80"/>
      <c r="G155" s="81"/>
      <c r="H155" s="81"/>
      <c r="I155" s="81"/>
      <c r="J155" s="81"/>
      <c r="K155" s="81"/>
      <c r="L155" s="82"/>
      <c r="M155" s="82"/>
      <c r="N155" s="82"/>
      <c r="O155" s="82"/>
      <c r="P155" s="81"/>
      <c r="Q155" s="81"/>
      <c r="R155" s="81"/>
      <c r="S155" s="81"/>
      <c r="T155" s="82"/>
      <c r="U155" s="82"/>
      <c r="V155" s="82"/>
      <c r="W155" s="82"/>
      <c r="X155" s="81"/>
      <c r="Y155" s="81"/>
      <c r="Z155" s="81"/>
      <c r="AA155" s="82"/>
      <c r="AB155" s="82"/>
      <c r="AC155" s="83"/>
      <c r="AD155" s="82"/>
      <c r="AE155" s="67"/>
    </row>
    <row r="156" spans="1:31" ht="12.75" customHeight="1">
      <c r="A156" s="78"/>
      <c r="B156" s="79"/>
      <c r="C156" s="79"/>
      <c r="D156" s="79"/>
      <c r="E156" s="79"/>
      <c r="F156" s="80"/>
      <c r="G156" s="81"/>
      <c r="H156" s="81"/>
      <c r="I156" s="81"/>
      <c r="J156" s="81"/>
      <c r="K156" s="81"/>
      <c r="L156" s="82"/>
      <c r="M156" s="82"/>
      <c r="N156" s="82"/>
      <c r="O156" s="82"/>
      <c r="P156" s="81"/>
      <c r="Q156" s="81"/>
      <c r="R156" s="81"/>
      <c r="S156" s="81"/>
      <c r="T156" s="82"/>
      <c r="U156" s="82"/>
      <c r="V156" s="82"/>
      <c r="W156" s="82"/>
      <c r="X156" s="81"/>
      <c r="Y156" s="81"/>
      <c r="Z156" s="81"/>
      <c r="AA156" s="82"/>
      <c r="AB156" s="82"/>
      <c r="AC156" s="83"/>
      <c r="AD156" s="82"/>
      <c r="AE156" s="67"/>
    </row>
    <row r="157" spans="1:31" ht="12.75" customHeight="1">
      <c r="A157" s="78"/>
      <c r="B157" s="79"/>
      <c r="C157" s="79"/>
      <c r="D157" s="79"/>
      <c r="E157" s="79"/>
      <c r="F157" s="80"/>
      <c r="G157" s="81"/>
      <c r="H157" s="81"/>
      <c r="I157" s="81"/>
      <c r="J157" s="81"/>
      <c r="K157" s="81"/>
      <c r="L157" s="82"/>
      <c r="M157" s="82"/>
      <c r="N157" s="82"/>
      <c r="O157" s="82"/>
      <c r="P157" s="81"/>
      <c r="Q157" s="81"/>
      <c r="R157" s="81"/>
      <c r="S157" s="81"/>
      <c r="T157" s="82"/>
      <c r="U157" s="82"/>
      <c r="V157" s="82"/>
      <c r="W157" s="82"/>
      <c r="X157" s="81"/>
      <c r="Y157" s="81"/>
      <c r="Z157" s="81"/>
      <c r="AA157" s="82"/>
      <c r="AB157" s="82"/>
      <c r="AC157" s="83"/>
      <c r="AD157" s="82"/>
      <c r="AE157" s="67"/>
    </row>
    <row r="158" spans="1:31" ht="12.75" customHeight="1">
      <c r="A158" s="78"/>
      <c r="B158" s="79"/>
      <c r="C158" s="79"/>
      <c r="D158" s="79"/>
      <c r="E158" s="79"/>
      <c r="F158" s="80"/>
      <c r="G158" s="81"/>
      <c r="H158" s="81"/>
      <c r="I158" s="81"/>
      <c r="J158" s="81"/>
      <c r="K158" s="81"/>
      <c r="L158" s="82"/>
      <c r="M158" s="82"/>
      <c r="N158" s="82"/>
      <c r="O158" s="82"/>
      <c r="P158" s="81"/>
      <c r="Q158" s="81"/>
      <c r="R158" s="81"/>
      <c r="S158" s="81"/>
      <c r="T158" s="82"/>
      <c r="U158" s="82"/>
      <c r="V158" s="82"/>
      <c r="W158" s="82"/>
      <c r="X158" s="81"/>
      <c r="Y158" s="81"/>
      <c r="Z158" s="81"/>
      <c r="AA158" s="82"/>
      <c r="AB158" s="82"/>
      <c r="AC158" s="83"/>
      <c r="AD158" s="82"/>
      <c r="AE158" s="67"/>
    </row>
    <row r="159" spans="1:31" ht="12.75" customHeight="1">
      <c r="A159" s="78"/>
      <c r="B159" s="79"/>
      <c r="C159" s="79"/>
      <c r="D159" s="79"/>
      <c r="E159" s="79"/>
      <c r="F159" s="80"/>
      <c r="G159" s="81"/>
      <c r="H159" s="81"/>
      <c r="I159" s="81"/>
      <c r="J159" s="81"/>
      <c r="K159" s="81"/>
      <c r="L159" s="82"/>
      <c r="M159" s="82"/>
      <c r="N159" s="82"/>
      <c r="O159" s="82"/>
      <c r="P159" s="81"/>
      <c r="Q159" s="81"/>
      <c r="R159" s="81"/>
      <c r="S159" s="81"/>
      <c r="T159" s="82"/>
      <c r="U159" s="82"/>
      <c r="V159" s="82"/>
      <c r="W159" s="82"/>
      <c r="X159" s="81"/>
      <c r="Y159" s="81"/>
      <c r="Z159" s="81"/>
      <c r="AA159" s="82"/>
      <c r="AB159" s="82"/>
      <c r="AC159" s="83"/>
      <c r="AD159" s="82"/>
      <c r="AE159" s="67"/>
    </row>
    <row r="160" spans="1:31" ht="12.75" customHeight="1">
      <c r="A160" s="78"/>
      <c r="B160" s="79"/>
      <c r="C160" s="79"/>
      <c r="D160" s="79"/>
      <c r="E160" s="79"/>
      <c r="F160" s="80"/>
      <c r="G160" s="81"/>
      <c r="H160" s="81"/>
      <c r="I160" s="81"/>
      <c r="J160" s="81"/>
      <c r="K160" s="81"/>
      <c r="L160" s="82"/>
      <c r="M160" s="82"/>
      <c r="N160" s="82"/>
      <c r="O160" s="82"/>
      <c r="P160" s="81"/>
      <c r="Q160" s="81"/>
      <c r="R160" s="81"/>
      <c r="S160" s="81"/>
      <c r="T160" s="82"/>
      <c r="U160" s="82"/>
      <c r="V160" s="82"/>
      <c r="W160" s="82"/>
      <c r="X160" s="81"/>
      <c r="Y160" s="81"/>
      <c r="Z160" s="81"/>
      <c r="AA160" s="82"/>
      <c r="AB160" s="82"/>
      <c r="AC160" s="83"/>
      <c r="AD160" s="82"/>
      <c r="AE160" s="67"/>
    </row>
    <row r="161" spans="1:31" ht="12.75" customHeight="1">
      <c r="A161" s="78"/>
      <c r="B161" s="79"/>
      <c r="C161" s="79"/>
      <c r="D161" s="79"/>
      <c r="E161" s="79"/>
      <c r="F161" s="80"/>
      <c r="G161" s="81"/>
      <c r="H161" s="81"/>
      <c r="I161" s="81"/>
      <c r="J161" s="81"/>
      <c r="K161" s="81"/>
      <c r="L161" s="82"/>
      <c r="M161" s="82"/>
      <c r="N161" s="82"/>
      <c r="O161" s="82"/>
      <c r="P161" s="81"/>
      <c r="Q161" s="81"/>
      <c r="R161" s="81"/>
      <c r="S161" s="81"/>
      <c r="T161" s="82"/>
      <c r="U161" s="82"/>
      <c r="V161" s="82"/>
      <c r="W161" s="82"/>
      <c r="X161" s="81"/>
      <c r="Y161" s="81"/>
      <c r="Z161" s="81"/>
      <c r="AA161" s="82"/>
      <c r="AB161" s="82"/>
      <c r="AC161" s="83"/>
      <c r="AD161" s="82"/>
      <c r="AE161" s="67"/>
    </row>
    <row r="162" spans="1:31" ht="12.75" customHeight="1">
      <c r="A162" s="78"/>
      <c r="B162" s="79"/>
      <c r="C162" s="79"/>
      <c r="D162" s="79"/>
      <c r="E162" s="79"/>
      <c r="F162" s="80"/>
      <c r="G162" s="81"/>
      <c r="H162" s="81"/>
      <c r="I162" s="81"/>
      <c r="J162" s="81"/>
      <c r="K162" s="81"/>
      <c r="L162" s="82"/>
      <c r="M162" s="82"/>
      <c r="N162" s="82"/>
      <c r="O162" s="82"/>
      <c r="P162" s="81"/>
      <c r="Q162" s="81"/>
      <c r="R162" s="81"/>
      <c r="S162" s="81"/>
      <c r="T162" s="82"/>
      <c r="U162" s="82"/>
      <c r="V162" s="82"/>
      <c r="W162" s="82"/>
      <c r="X162" s="81"/>
      <c r="Y162" s="81"/>
      <c r="Z162" s="81"/>
      <c r="AA162" s="82"/>
      <c r="AB162" s="82"/>
      <c r="AC162" s="83"/>
      <c r="AD162" s="82"/>
      <c r="AE162" s="67"/>
    </row>
    <row r="163" spans="1:31" ht="12.75" customHeight="1">
      <c r="A163" s="78"/>
      <c r="B163" s="79"/>
      <c r="C163" s="79"/>
      <c r="D163" s="79"/>
      <c r="E163" s="79"/>
      <c r="F163" s="80"/>
      <c r="G163" s="81"/>
      <c r="H163" s="81"/>
      <c r="I163" s="81"/>
      <c r="J163" s="81"/>
      <c r="K163" s="81"/>
      <c r="L163" s="82"/>
      <c r="M163" s="82"/>
      <c r="N163" s="82"/>
      <c r="O163" s="82"/>
      <c r="P163" s="81"/>
      <c r="Q163" s="81"/>
      <c r="R163" s="81"/>
      <c r="S163" s="81"/>
      <c r="T163" s="82"/>
      <c r="U163" s="82"/>
      <c r="V163" s="82"/>
      <c r="W163" s="82"/>
      <c r="X163" s="81"/>
      <c r="Y163" s="81"/>
      <c r="Z163" s="81"/>
      <c r="AA163" s="82"/>
      <c r="AB163" s="82"/>
      <c r="AC163" s="83"/>
      <c r="AD163" s="82"/>
      <c r="AE163" s="67"/>
    </row>
    <row r="164" spans="1:31" ht="12.75" customHeight="1">
      <c r="A164" s="78"/>
      <c r="B164" s="79"/>
      <c r="C164" s="79"/>
      <c r="D164" s="79"/>
      <c r="E164" s="79"/>
      <c r="F164" s="80"/>
      <c r="G164" s="81"/>
      <c r="H164" s="81"/>
      <c r="I164" s="81"/>
      <c r="J164" s="81"/>
      <c r="K164" s="81"/>
      <c r="L164" s="82"/>
      <c r="M164" s="82"/>
      <c r="N164" s="82"/>
      <c r="O164" s="82"/>
      <c r="P164" s="81"/>
      <c r="Q164" s="81"/>
      <c r="R164" s="81"/>
      <c r="S164" s="81"/>
      <c r="T164" s="82"/>
      <c r="U164" s="82"/>
      <c r="V164" s="82"/>
      <c r="W164" s="82"/>
      <c r="X164" s="81"/>
      <c r="Y164" s="81"/>
      <c r="Z164" s="81"/>
      <c r="AA164" s="82"/>
      <c r="AB164" s="82"/>
      <c r="AC164" s="83"/>
      <c r="AD164" s="82"/>
      <c r="AE164" s="67"/>
    </row>
    <row r="165" spans="1:31" ht="12.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47"/>
      <c r="AD165" s="23"/>
      <c r="AE165" s="67"/>
    </row>
    <row r="166" spans="1:31" ht="12.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47"/>
      <c r="AD166" s="23"/>
      <c r="AE166" s="23"/>
    </row>
    <row r="167" spans="1:31" ht="12.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47"/>
      <c r="AD167" s="23"/>
      <c r="AE167" s="23"/>
    </row>
  </sheetData>
  <mergeCells count="68">
    <mergeCell ref="T139:W139"/>
    <mergeCell ref="X139:Z139"/>
    <mergeCell ref="AA139:AC139"/>
    <mergeCell ref="P135:R135"/>
    <mergeCell ref="C139:F139"/>
    <mergeCell ref="G139:J139"/>
    <mergeCell ref="L139:O139"/>
    <mergeCell ref="P139:S139"/>
    <mergeCell ref="C134:E134"/>
    <mergeCell ref="F134:H134"/>
    <mergeCell ref="I134:L134"/>
    <mergeCell ref="M134:O134"/>
    <mergeCell ref="P134:R134"/>
    <mergeCell ref="C133:E133"/>
    <mergeCell ref="F133:H133"/>
    <mergeCell ref="I133:L133"/>
    <mergeCell ref="M133:O133"/>
    <mergeCell ref="P133:R133"/>
    <mergeCell ref="C132:E132"/>
    <mergeCell ref="F132:H132"/>
    <mergeCell ref="I132:L132"/>
    <mergeCell ref="M132:O132"/>
    <mergeCell ref="P132:R132"/>
    <mergeCell ref="C131:E131"/>
    <mergeCell ref="F131:H131"/>
    <mergeCell ref="I131:L131"/>
    <mergeCell ref="M131:O131"/>
    <mergeCell ref="P131:R131"/>
    <mergeCell ref="C130:E130"/>
    <mergeCell ref="F130:H130"/>
    <mergeCell ref="I130:L130"/>
    <mergeCell ref="M130:O130"/>
    <mergeCell ref="P130:R130"/>
    <mergeCell ref="C129:E129"/>
    <mergeCell ref="F129:H129"/>
    <mergeCell ref="I129:L129"/>
    <mergeCell ref="M129:O129"/>
    <mergeCell ref="P129:R129"/>
    <mergeCell ref="C128:E128"/>
    <mergeCell ref="F128:H128"/>
    <mergeCell ref="I128:L128"/>
    <mergeCell ref="M128:O128"/>
    <mergeCell ref="P128:R128"/>
    <mergeCell ref="C127:E127"/>
    <mergeCell ref="F127:H127"/>
    <mergeCell ref="I127:L127"/>
    <mergeCell ref="M127:O127"/>
    <mergeCell ref="P127:R127"/>
    <mergeCell ref="C126:E126"/>
    <mergeCell ref="F126:H126"/>
    <mergeCell ref="I126:L126"/>
    <mergeCell ref="M126:O126"/>
    <mergeCell ref="P126:R126"/>
    <mergeCell ref="V124:X124"/>
    <mergeCell ref="C125:E125"/>
    <mergeCell ref="F125:H125"/>
    <mergeCell ref="I125:L125"/>
    <mergeCell ref="M125:O125"/>
    <mergeCell ref="P125:R125"/>
    <mergeCell ref="M1:N1"/>
    <mergeCell ref="O1:U1"/>
    <mergeCell ref="I122:L122"/>
    <mergeCell ref="M122:O122"/>
    <mergeCell ref="C124:E124"/>
    <mergeCell ref="F124:H124"/>
    <mergeCell ref="I124:L124"/>
    <mergeCell ref="M124:O124"/>
    <mergeCell ref="P124:R124"/>
  </mergeCells>
  <pageMargins left="0.7" right="0.7" top="0.75" bottom="0.75"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heetPr>
  <dimension ref="A1:AE167"/>
  <sheetViews>
    <sheetView zoomScaleNormal="100" workbookViewId="0"/>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ustomHeight="1">
      <c r="A1" s="12" t="s">
        <v>0</v>
      </c>
      <c r="B1" s="13" t="s">
        <v>1</v>
      </c>
      <c r="C1" s="13" t="s">
        <v>2</v>
      </c>
      <c r="D1" s="13" t="s">
        <v>3</v>
      </c>
      <c r="E1" s="13" t="s">
        <v>4</v>
      </c>
      <c r="F1" s="13" t="s">
        <v>5</v>
      </c>
      <c r="G1" s="13" t="s">
        <v>6</v>
      </c>
      <c r="H1" s="13" t="s">
        <v>7</v>
      </c>
      <c r="I1" s="13" t="s">
        <v>8</v>
      </c>
      <c r="J1" s="13" t="s">
        <v>9</v>
      </c>
      <c r="K1" s="13" t="s">
        <v>10</v>
      </c>
      <c r="L1" s="14"/>
      <c r="M1" s="11" t="s">
        <v>11</v>
      </c>
      <c r="N1" s="11"/>
      <c r="O1" s="10" t="s">
        <v>12</v>
      </c>
      <c r="P1" s="10"/>
      <c r="Q1" s="10"/>
      <c r="R1" s="10"/>
      <c r="S1" s="10"/>
      <c r="T1" s="10"/>
      <c r="U1" s="10"/>
      <c r="V1" s="14"/>
      <c r="W1" s="15">
        <v>46049</v>
      </c>
      <c r="X1" s="14"/>
      <c r="Y1" s="16">
        <f>SUMIFS(Y2:Y120,L2:L120,"&lt;&gt;"&amp;"")</f>
        <v>0</v>
      </c>
      <c r="Z1" s="14" t="s">
        <v>13</v>
      </c>
      <c r="AA1" s="17" t="s">
        <v>14</v>
      </c>
      <c r="AB1" s="18" t="s">
        <v>15</v>
      </c>
      <c r="AC1" s="19">
        <f>SUM(AC2:AC120)</f>
        <v>0</v>
      </c>
      <c r="AD1" s="14"/>
      <c r="AE1" s="14"/>
    </row>
    <row r="2" spans="1:31" ht="15.75" customHeight="1">
      <c r="A2" s="20">
        <f t="shared" ref="A2:A33" si="0">(B2*$P$125+C2*$P$126+D2*$P$127+E2*$P$128+F2*$P$129+G2*$P$130+H2*$P$131+I2*$P$132+J2*$P$133+K2*$P$134)*$T$123</f>
        <v>0</v>
      </c>
      <c r="B2" s="21"/>
      <c r="C2" s="22"/>
      <c r="D2" s="22"/>
      <c r="E2" s="22"/>
      <c r="F2" s="22"/>
      <c r="G2" s="22"/>
      <c r="H2" s="22"/>
      <c r="I2" s="22"/>
      <c r="J2" s="23"/>
      <c r="K2" s="23"/>
      <c r="L2" s="24" t="s">
        <v>16</v>
      </c>
      <c r="M2" s="25"/>
      <c r="N2" s="26"/>
      <c r="O2" s="26"/>
      <c r="P2" s="26"/>
      <c r="Q2" s="26"/>
      <c r="R2" s="26"/>
      <c r="S2" s="26"/>
      <c r="T2" s="26"/>
      <c r="U2" s="26"/>
      <c r="V2" s="26"/>
      <c r="W2" s="26"/>
      <c r="X2" s="26">
        <f>COUNTIF($L$2:L2,"&lt;&gt;"&amp;"")</f>
        <v>1</v>
      </c>
      <c r="Y2" s="27">
        <f t="shared" ref="Y2:Y33" si="1">SUMIF($X$2:$X$120,X2,$A$2:$A$120)</f>
        <v>0</v>
      </c>
      <c r="Z2" s="28"/>
      <c r="AA2" s="29"/>
      <c r="AB2" s="30" t="b">
        <f>TRUE()</f>
        <v>1</v>
      </c>
      <c r="AC2" s="31">
        <f t="shared" ref="AC2:AC33" si="2">IF(L2="",0,IF(AB2=FALSE(),0,Y2))</f>
        <v>0</v>
      </c>
      <c r="AD2" s="23"/>
      <c r="AE2" s="23"/>
    </row>
    <row r="3" spans="1:31" ht="15.75" customHeight="1">
      <c r="A3" s="20">
        <f t="shared" si="0"/>
        <v>0</v>
      </c>
      <c r="B3" s="22"/>
      <c r="C3" s="21"/>
      <c r="D3" s="21"/>
      <c r="E3" s="22"/>
      <c r="F3" s="22"/>
      <c r="G3" s="22"/>
      <c r="H3" s="22"/>
      <c r="I3" s="22"/>
      <c r="J3" s="23"/>
      <c r="K3" s="23"/>
      <c r="L3" s="24" t="s">
        <v>17</v>
      </c>
      <c r="M3" s="26"/>
      <c r="N3" s="26"/>
      <c r="O3" s="26"/>
      <c r="P3" s="26"/>
      <c r="Q3" s="26"/>
      <c r="R3" s="26"/>
      <c r="S3" s="26"/>
      <c r="T3" s="26"/>
      <c r="U3" s="26"/>
      <c r="V3" s="26"/>
      <c r="W3" s="26"/>
      <c r="X3" s="26">
        <f>COUNTIF($L$2:L3,"&lt;&gt;"&amp;"")</f>
        <v>2</v>
      </c>
      <c r="Y3" s="27">
        <f t="shared" si="1"/>
        <v>0</v>
      </c>
      <c r="Z3" s="28"/>
      <c r="AA3" s="29"/>
      <c r="AB3" s="30" t="b">
        <f>TRUE()</f>
        <v>1</v>
      </c>
      <c r="AC3" s="31">
        <f t="shared" si="2"/>
        <v>0</v>
      </c>
      <c r="AD3" s="23"/>
      <c r="AE3" s="23"/>
    </row>
    <row r="4" spans="1:31" ht="15.75" customHeight="1">
      <c r="A4" s="20">
        <f t="shared" si="0"/>
        <v>0</v>
      </c>
      <c r="B4" s="22"/>
      <c r="C4" s="22"/>
      <c r="D4" s="22"/>
      <c r="E4" s="22"/>
      <c r="F4" s="22"/>
      <c r="G4" s="22"/>
      <c r="H4" s="21"/>
      <c r="I4" s="22"/>
      <c r="J4" s="23"/>
      <c r="K4" s="23"/>
      <c r="L4" s="24" t="s">
        <v>18</v>
      </c>
      <c r="M4" s="26"/>
      <c r="N4" s="26"/>
      <c r="O4" s="26"/>
      <c r="P4" s="26"/>
      <c r="Q4" s="26"/>
      <c r="R4" s="26"/>
      <c r="S4" s="26"/>
      <c r="T4" s="26"/>
      <c r="U4" s="26"/>
      <c r="V4" s="26"/>
      <c r="W4" s="26"/>
      <c r="X4" s="26">
        <f>COUNTIF($L$2:L4,"&lt;&gt;"&amp;"")</f>
        <v>3</v>
      </c>
      <c r="Y4" s="27">
        <f t="shared" si="1"/>
        <v>0</v>
      </c>
      <c r="Z4" s="28"/>
      <c r="AA4" s="32"/>
      <c r="AB4" s="30" t="b">
        <f>TRUE()</f>
        <v>1</v>
      </c>
      <c r="AC4" s="31">
        <f t="shared" si="2"/>
        <v>0</v>
      </c>
      <c r="AD4" s="23"/>
      <c r="AE4" s="23"/>
    </row>
    <row r="5" spans="1:31" ht="15.75" customHeight="1">
      <c r="A5" s="20">
        <f t="shared" si="0"/>
        <v>0</v>
      </c>
      <c r="B5" s="23"/>
      <c r="C5" s="23"/>
      <c r="D5" s="23"/>
      <c r="E5" s="23"/>
      <c r="F5" s="23"/>
      <c r="G5" s="23"/>
      <c r="H5" s="23"/>
      <c r="I5" s="23"/>
      <c r="J5" s="23"/>
      <c r="K5" s="23"/>
      <c r="L5" s="24" t="s">
        <v>19</v>
      </c>
      <c r="M5" s="26"/>
      <c r="N5" s="26"/>
      <c r="O5" s="26"/>
      <c r="P5" s="26"/>
      <c r="Q5" s="26"/>
      <c r="R5" s="26"/>
      <c r="S5" s="26"/>
      <c r="T5" s="26"/>
      <c r="U5" s="26"/>
      <c r="V5" s="26"/>
      <c r="W5" s="26"/>
      <c r="X5" s="26">
        <f>COUNTIF($L$2:L5,"&lt;&gt;"&amp;"")</f>
        <v>4</v>
      </c>
      <c r="Y5" s="27">
        <f t="shared" si="1"/>
        <v>0</v>
      </c>
      <c r="Z5" s="28"/>
      <c r="AA5" s="32"/>
      <c r="AB5" s="30" t="b">
        <f>TRUE()</f>
        <v>1</v>
      </c>
      <c r="AC5" s="31">
        <f t="shared" si="2"/>
        <v>0</v>
      </c>
      <c r="AD5" s="23"/>
      <c r="AE5" s="23"/>
    </row>
    <row r="6" spans="1:31" ht="15" customHeight="1">
      <c r="A6" s="20">
        <f t="shared" si="0"/>
        <v>0</v>
      </c>
      <c r="B6" s="23"/>
      <c r="C6" s="23"/>
      <c r="D6" s="23"/>
      <c r="E6" s="23"/>
      <c r="F6" s="23"/>
      <c r="G6" s="23"/>
      <c r="H6" s="23"/>
      <c r="I6" s="23"/>
      <c r="J6" s="23"/>
      <c r="K6" s="23"/>
      <c r="L6" s="33"/>
      <c r="M6" s="26"/>
      <c r="N6" s="26"/>
      <c r="O6" s="26"/>
      <c r="P6" s="26"/>
      <c r="Q6" s="26"/>
      <c r="R6" s="26"/>
      <c r="S6" s="26"/>
      <c r="T6" s="26"/>
      <c r="U6" s="26"/>
      <c r="V6" s="26"/>
      <c r="W6" s="26"/>
      <c r="X6" s="26">
        <f>COUNTIF($L$2:L6,"&lt;&gt;"&amp;"")</f>
        <v>4</v>
      </c>
      <c r="Y6" s="27">
        <f t="shared" si="1"/>
        <v>0</v>
      </c>
      <c r="Z6" s="28"/>
      <c r="AA6" s="29"/>
      <c r="AB6" s="30" t="b">
        <f>TRUE()</f>
        <v>1</v>
      </c>
      <c r="AC6" s="31">
        <f t="shared" si="2"/>
        <v>0</v>
      </c>
      <c r="AD6" s="23"/>
      <c r="AE6" s="23"/>
    </row>
    <row r="7" spans="1:31" ht="15" customHeight="1">
      <c r="A7" s="20">
        <f t="shared" si="0"/>
        <v>0</v>
      </c>
      <c r="B7" s="23"/>
      <c r="C7" s="23"/>
      <c r="D7" s="23"/>
      <c r="E7" s="23"/>
      <c r="F7" s="23"/>
      <c r="G7" s="23"/>
      <c r="H7" s="23"/>
      <c r="I7" s="23"/>
      <c r="J7" s="23"/>
      <c r="K7" s="23"/>
      <c r="L7" s="33"/>
      <c r="M7" s="26"/>
      <c r="N7" s="26"/>
      <c r="O7" s="26"/>
      <c r="P7" s="26"/>
      <c r="Q7" s="26"/>
      <c r="R7" s="26"/>
      <c r="S7" s="26"/>
      <c r="T7" s="26"/>
      <c r="U7" s="26"/>
      <c r="V7" s="26"/>
      <c r="W7" s="26"/>
      <c r="X7" s="26">
        <f>COUNTIF($L$2:L7,"&lt;&gt;"&amp;"")</f>
        <v>4</v>
      </c>
      <c r="Y7" s="27">
        <f t="shared" si="1"/>
        <v>0</v>
      </c>
      <c r="Z7" s="28"/>
      <c r="AA7" s="32"/>
      <c r="AB7" s="30" t="b">
        <f>TRUE()</f>
        <v>1</v>
      </c>
      <c r="AC7" s="31">
        <f t="shared" si="2"/>
        <v>0</v>
      </c>
      <c r="AD7" s="23"/>
      <c r="AE7" s="23"/>
    </row>
    <row r="8" spans="1:31" ht="15.75" customHeight="1">
      <c r="A8" s="20">
        <f t="shared" si="0"/>
        <v>0</v>
      </c>
      <c r="B8" s="23"/>
      <c r="C8" s="23"/>
      <c r="D8" s="23"/>
      <c r="E8" s="23"/>
      <c r="F8" s="23"/>
      <c r="G8" s="23"/>
      <c r="H8" s="23"/>
      <c r="I8" s="23"/>
      <c r="J8" s="23"/>
      <c r="K8" s="23"/>
      <c r="L8" s="34" t="s">
        <v>137</v>
      </c>
      <c r="M8" s="26"/>
      <c r="N8" s="26"/>
      <c r="O8" s="26"/>
      <c r="P8" s="26"/>
      <c r="Q8" s="26"/>
      <c r="R8" s="26"/>
      <c r="S8" s="26"/>
      <c r="T8" s="26"/>
      <c r="U8" s="26"/>
      <c r="V8" s="26"/>
      <c r="W8" s="26"/>
      <c r="X8" s="26">
        <f>COUNTIF($L$2:L8,"&lt;&gt;"&amp;"")</f>
        <v>5</v>
      </c>
      <c r="Y8" s="27">
        <f t="shared" si="1"/>
        <v>0</v>
      </c>
      <c r="Z8" s="28"/>
      <c r="AA8" s="29"/>
      <c r="AB8" s="30" t="b">
        <f>TRUE()</f>
        <v>1</v>
      </c>
      <c r="AC8" s="31">
        <f t="shared" si="2"/>
        <v>0</v>
      </c>
      <c r="AD8" s="35"/>
      <c r="AE8" s="35"/>
    </row>
    <row r="9" spans="1:31" ht="12.75" customHeight="1">
      <c r="A9" s="20">
        <f t="shared" si="0"/>
        <v>0</v>
      </c>
      <c r="B9" s="23"/>
      <c r="C9" s="23"/>
      <c r="D9" s="23"/>
      <c r="E9" s="23"/>
      <c r="F9" s="23"/>
      <c r="G9" s="23"/>
      <c r="H9" s="23"/>
      <c r="I9" s="23"/>
      <c r="J9" s="23"/>
      <c r="K9" s="23"/>
      <c r="L9" s="26"/>
      <c r="M9" s="36" t="s">
        <v>138</v>
      </c>
      <c r="N9" s="26"/>
      <c r="O9" s="26"/>
      <c r="P9" s="26"/>
      <c r="Q9" s="26"/>
      <c r="R9" s="26"/>
      <c r="S9" s="26"/>
      <c r="T9" s="26"/>
      <c r="U9" s="26"/>
      <c r="V9" s="26"/>
      <c r="W9" s="26"/>
      <c r="X9" s="26">
        <f>COUNTIF($L$2:L9,"&lt;&gt;"&amp;"")</f>
        <v>5</v>
      </c>
      <c r="Y9" s="27">
        <f t="shared" si="1"/>
        <v>0</v>
      </c>
      <c r="Z9" s="28"/>
      <c r="AA9" s="29"/>
      <c r="AB9" s="30" t="b">
        <f>TRUE()</f>
        <v>1</v>
      </c>
      <c r="AC9" s="31">
        <f t="shared" si="2"/>
        <v>0</v>
      </c>
      <c r="AD9" s="35"/>
      <c r="AE9" s="35"/>
    </row>
    <row r="10" spans="1:31" ht="12.75" customHeight="1">
      <c r="A10" s="20">
        <f t="shared" si="0"/>
        <v>0</v>
      </c>
      <c r="B10" s="23"/>
      <c r="C10" s="23"/>
      <c r="D10" s="23"/>
      <c r="E10" s="23"/>
      <c r="F10" s="23"/>
      <c r="G10" s="23"/>
      <c r="H10" s="23"/>
      <c r="I10" s="23"/>
      <c r="J10" s="23"/>
      <c r="K10" s="23"/>
      <c r="L10" s="26"/>
      <c r="M10" s="26"/>
      <c r="N10" s="37" t="s">
        <v>139</v>
      </c>
      <c r="O10" s="26"/>
      <c r="P10" s="26"/>
      <c r="Q10" s="26"/>
      <c r="R10" s="26"/>
      <c r="S10" s="26"/>
      <c r="T10" s="26"/>
      <c r="U10" s="26"/>
      <c r="V10" s="26"/>
      <c r="W10" s="26"/>
      <c r="X10" s="26">
        <f>COUNTIF($L$2:L10,"&lt;&gt;"&amp;"")</f>
        <v>5</v>
      </c>
      <c r="Y10" s="27">
        <f t="shared" si="1"/>
        <v>0</v>
      </c>
      <c r="Z10" s="28"/>
      <c r="AA10" s="29"/>
      <c r="AB10" s="30" t="b">
        <f>TRUE()</f>
        <v>1</v>
      </c>
      <c r="AC10" s="31">
        <f t="shared" si="2"/>
        <v>0</v>
      </c>
      <c r="AD10" s="35"/>
      <c r="AE10" s="35"/>
    </row>
    <row r="11" spans="1:31" ht="12.75" customHeight="1">
      <c r="A11" s="20">
        <f t="shared" si="0"/>
        <v>0</v>
      </c>
      <c r="B11" s="23"/>
      <c r="C11" s="23"/>
      <c r="D11" s="23"/>
      <c r="E11" s="23"/>
      <c r="F11" s="23"/>
      <c r="G11" s="23"/>
      <c r="H11" s="23"/>
      <c r="I11" s="23"/>
      <c r="J11" s="23"/>
      <c r="K11" s="23"/>
      <c r="L11" s="26"/>
      <c r="M11" s="36" t="s">
        <v>140</v>
      </c>
      <c r="N11" s="38"/>
      <c r="O11" s="26"/>
      <c r="P11" s="26"/>
      <c r="Q11" s="26"/>
      <c r="R11" s="26"/>
      <c r="S11" s="26"/>
      <c r="T11" s="26"/>
      <c r="U11" s="26"/>
      <c r="V11" s="26"/>
      <c r="W11" s="26"/>
      <c r="X11" s="26">
        <f>COUNTIF($L$2:L11,"&lt;&gt;"&amp;"")</f>
        <v>5</v>
      </c>
      <c r="Y11" s="27">
        <f t="shared" si="1"/>
        <v>0</v>
      </c>
      <c r="Z11" s="28"/>
      <c r="AA11" s="29"/>
      <c r="AB11" s="30" t="b">
        <f>TRUE()</f>
        <v>1</v>
      </c>
      <c r="AC11" s="31">
        <f t="shared" si="2"/>
        <v>0</v>
      </c>
      <c r="AD11" s="35"/>
      <c r="AE11" s="35"/>
    </row>
    <row r="12" spans="1:31" ht="12.75" customHeight="1">
      <c r="A12" s="20">
        <f t="shared" si="0"/>
        <v>0</v>
      </c>
      <c r="B12" s="23"/>
      <c r="C12" s="23"/>
      <c r="D12" s="23"/>
      <c r="E12" s="23"/>
      <c r="F12" s="23"/>
      <c r="G12" s="23"/>
      <c r="H12" s="23"/>
      <c r="I12" s="23"/>
      <c r="J12" s="23"/>
      <c r="K12" s="23"/>
      <c r="L12" s="26"/>
      <c r="M12" s="39"/>
      <c r="N12" s="37" t="s">
        <v>141</v>
      </c>
      <c r="O12" s="26"/>
      <c r="P12" s="26"/>
      <c r="Q12" s="26"/>
      <c r="R12" s="26"/>
      <c r="S12" s="26"/>
      <c r="T12" s="26"/>
      <c r="U12" s="26"/>
      <c r="V12" s="26"/>
      <c r="W12" s="26"/>
      <c r="X12" s="26">
        <f>COUNTIF($L$2:L12,"&lt;&gt;"&amp;"")</f>
        <v>5</v>
      </c>
      <c r="Y12" s="27">
        <f t="shared" si="1"/>
        <v>0</v>
      </c>
      <c r="Z12" s="28"/>
      <c r="AA12" s="29"/>
      <c r="AB12" s="30" t="b">
        <f>TRUE()</f>
        <v>1</v>
      </c>
      <c r="AC12" s="31">
        <f t="shared" si="2"/>
        <v>0</v>
      </c>
      <c r="AD12" s="35"/>
      <c r="AE12" s="35"/>
    </row>
    <row r="13" spans="1:31" ht="12.75" customHeight="1">
      <c r="A13" s="20">
        <f t="shared" si="0"/>
        <v>0</v>
      </c>
      <c r="B13" s="23"/>
      <c r="C13" s="23"/>
      <c r="D13" s="23"/>
      <c r="E13" s="23"/>
      <c r="F13" s="23"/>
      <c r="G13" s="23"/>
      <c r="H13" s="23"/>
      <c r="I13" s="23"/>
      <c r="J13" s="23"/>
      <c r="K13" s="23"/>
      <c r="L13" s="26"/>
      <c r="M13" s="26"/>
      <c r="N13" s="38"/>
      <c r="O13" s="26"/>
      <c r="P13" s="26"/>
      <c r="Q13" s="26"/>
      <c r="R13" s="26"/>
      <c r="S13" s="26"/>
      <c r="T13" s="26"/>
      <c r="U13" s="26"/>
      <c r="V13" s="26"/>
      <c r="W13" s="26"/>
      <c r="X13" s="26">
        <f>COUNTIF($L$2:L13,"&lt;&gt;"&amp;"")</f>
        <v>5</v>
      </c>
      <c r="Y13" s="27">
        <f t="shared" si="1"/>
        <v>0</v>
      </c>
      <c r="Z13" s="28"/>
      <c r="AA13" s="29"/>
      <c r="AB13" s="30" t="b">
        <f>TRUE()</f>
        <v>1</v>
      </c>
      <c r="AC13" s="31">
        <f t="shared" si="2"/>
        <v>0</v>
      </c>
      <c r="AD13" s="35"/>
      <c r="AE13" s="35"/>
    </row>
    <row r="14" spans="1:31" ht="15" customHeight="1">
      <c r="A14" s="20">
        <f t="shared" si="0"/>
        <v>0</v>
      </c>
      <c r="B14" s="23"/>
      <c r="C14" s="23"/>
      <c r="D14" s="23"/>
      <c r="E14" s="23"/>
      <c r="F14" s="23"/>
      <c r="G14" s="23"/>
      <c r="H14" s="23"/>
      <c r="I14" s="23"/>
      <c r="J14" s="23"/>
      <c r="K14" s="23"/>
      <c r="L14" s="33"/>
      <c r="M14" s="26"/>
      <c r="N14" s="38"/>
      <c r="O14" s="26"/>
      <c r="P14" s="26"/>
      <c r="Q14" s="26"/>
      <c r="R14" s="26"/>
      <c r="S14" s="26"/>
      <c r="T14" s="26"/>
      <c r="U14" s="26"/>
      <c r="V14" s="26"/>
      <c r="W14" s="26"/>
      <c r="X14" s="26">
        <f>COUNTIF($L$2:L14,"&lt;&gt;"&amp;"")</f>
        <v>5</v>
      </c>
      <c r="Y14" s="27">
        <f t="shared" si="1"/>
        <v>0</v>
      </c>
      <c r="Z14" s="28"/>
      <c r="AA14" s="29"/>
      <c r="AB14" s="30" t="b">
        <f>TRUE()</f>
        <v>1</v>
      </c>
      <c r="AC14" s="31">
        <f t="shared" si="2"/>
        <v>0</v>
      </c>
      <c r="AD14" s="35"/>
      <c r="AE14" s="35"/>
    </row>
    <row r="15" spans="1:31" ht="12.75" customHeight="1">
      <c r="A15" s="20">
        <f t="shared" si="0"/>
        <v>0</v>
      </c>
      <c r="B15" s="23"/>
      <c r="C15" s="23"/>
      <c r="D15" s="23"/>
      <c r="E15" s="23"/>
      <c r="F15" s="23"/>
      <c r="G15" s="23"/>
      <c r="H15" s="23"/>
      <c r="I15" s="23"/>
      <c r="J15" s="23"/>
      <c r="K15" s="23"/>
      <c r="L15" s="26"/>
      <c r="M15" s="26"/>
      <c r="N15" s="26"/>
      <c r="O15" s="26"/>
      <c r="P15" s="26"/>
      <c r="Q15" s="26"/>
      <c r="R15" s="26"/>
      <c r="S15" s="26"/>
      <c r="T15" s="26"/>
      <c r="U15" s="26"/>
      <c r="V15" s="26"/>
      <c r="W15" s="26"/>
      <c r="X15" s="26">
        <f>COUNTIF($L$2:L15,"&lt;&gt;"&amp;"")</f>
        <v>5</v>
      </c>
      <c r="Y15" s="27">
        <f t="shared" si="1"/>
        <v>0</v>
      </c>
      <c r="Z15" s="28"/>
      <c r="AA15" s="29"/>
      <c r="AB15" s="30" t="b">
        <f>TRUE()</f>
        <v>1</v>
      </c>
      <c r="AC15" s="31">
        <f t="shared" si="2"/>
        <v>0</v>
      </c>
      <c r="AD15" s="35"/>
      <c r="AE15" s="35"/>
    </row>
    <row r="16" spans="1:31" ht="12.75" customHeight="1">
      <c r="A16" s="20">
        <f t="shared" si="0"/>
        <v>0</v>
      </c>
      <c r="B16" s="23"/>
      <c r="C16" s="23"/>
      <c r="D16" s="23"/>
      <c r="E16" s="23"/>
      <c r="F16" s="23"/>
      <c r="G16" s="23"/>
      <c r="H16" s="23"/>
      <c r="I16" s="23"/>
      <c r="J16" s="23"/>
      <c r="K16" s="23"/>
      <c r="L16" s="26"/>
      <c r="M16" s="26"/>
      <c r="N16" s="26"/>
      <c r="O16" s="26"/>
      <c r="P16" s="26"/>
      <c r="Q16" s="26"/>
      <c r="R16" s="26"/>
      <c r="S16" s="26"/>
      <c r="T16" s="26"/>
      <c r="U16" s="26"/>
      <c r="V16" s="26"/>
      <c r="W16" s="26"/>
      <c r="X16" s="26">
        <f>COUNTIF($L$2:L16,"&lt;&gt;"&amp;"")</f>
        <v>5</v>
      </c>
      <c r="Y16" s="27">
        <f t="shared" si="1"/>
        <v>0</v>
      </c>
      <c r="Z16" s="28"/>
      <c r="AA16" s="29"/>
      <c r="AB16" s="30" t="b">
        <f>TRUE()</f>
        <v>1</v>
      </c>
      <c r="AC16" s="31">
        <f t="shared" si="2"/>
        <v>0</v>
      </c>
      <c r="AD16" s="35"/>
      <c r="AE16" s="35"/>
    </row>
    <row r="17" spans="1:31" ht="12.75" customHeight="1">
      <c r="A17" s="20">
        <f t="shared" si="0"/>
        <v>0</v>
      </c>
      <c r="B17" s="23"/>
      <c r="C17" s="23"/>
      <c r="D17" s="23"/>
      <c r="E17" s="23"/>
      <c r="F17" s="23"/>
      <c r="G17" s="23"/>
      <c r="H17" s="23"/>
      <c r="I17" s="23"/>
      <c r="J17" s="23"/>
      <c r="K17" s="23"/>
      <c r="L17" s="26"/>
      <c r="M17" s="26"/>
      <c r="N17" s="26"/>
      <c r="O17" s="26"/>
      <c r="P17" s="26"/>
      <c r="Q17" s="26"/>
      <c r="R17" s="26"/>
      <c r="S17" s="26"/>
      <c r="T17" s="26"/>
      <c r="U17" s="26"/>
      <c r="V17" s="26"/>
      <c r="W17" s="26"/>
      <c r="X17" s="26">
        <f>COUNTIF($L$2:L17,"&lt;&gt;"&amp;"")</f>
        <v>5</v>
      </c>
      <c r="Y17" s="27">
        <f t="shared" si="1"/>
        <v>0</v>
      </c>
      <c r="Z17" s="28"/>
      <c r="AA17" s="29"/>
      <c r="AB17" s="30" t="b">
        <f>TRUE()</f>
        <v>1</v>
      </c>
      <c r="AC17" s="31">
        <f t="shared" si="2"/>
        <v>0</v>
      </c>
      <c r="AD17" s="35"/>
      <c r="AE17" s="35"/>
    </row>
    <row r="18" spans="1:31" ht="12.75" customHeight="1">
      <c r="A18" s="20">
        <f t="shared" si="0"/>
        <v>0</v>
      </c>
      <c r="B18" s="23"/>
      <c r="C18" s="23"/>
      <c r="D18" s="23"/>
      <c r="E18" s="23"/>
      <c r="F18" s="23"/>
      <c r="G18" s="23"/>
      <c r="H18" s="23"/>
      <c r="I18" s="23"/>
      <c r="J18" s="23"/>
      <c r="K18" s="23"/>
      <c r="L18" s="26"/>
      <c r="M18" s="26"/>
      <c r="N18" s="26"/>
      <c r="O18" s="26"/>
      <c r="P18" s="26"/>
      <c r="Q18" s="26"/>
      <c r="R18" s="26"/>
      <c r="S18" s="26"/>
      <c r="T18" s="26"/>
      <c r="U18" s="26"/>
      <c r="V18" s="26"/>
      <c r="W18" s="26"/>
      <c r="X18" s="26">
        <f>COUNTIF($L$2:L18,"&lt;&gt;"&amp;"")</f>
        <v>5</v>
      </c>
      <c r="Y18" s="27">
        <f t="shared" si="1"/>
        <v>0</v>
      </c>
      <c r="Z18" s="28"/>
      <c r="AA18" s="29"/>
      <c r="AB18" s="30" t="b">
        <f>TRUE()</f>
        <v>1</v>
      </c>
      <c r="AC18" s="31">
        <f t="shared" si="2"/>
        <v>0</v>
      </c>
      <c r="AD18" s="35"/>
      <c r="AE18" s="35"/>
    </row>
    <row r="19" spans="1:31" ht="15" customHeight="1">
      <c r="A19" s="20">
        <f t="shared" si="0"/>
        <v>0</v>
      </c>
      <c r="B19" s="23"/>
      <c r="C19" s="23"/>
      <c r="D19" s="23"/>
      <c r="E19" s="23"/>
      <c r="F19" s="23"/>
      <c r="G19" s="23"/>
      <c r="H19" s="23"/>
      <c r="I19" s="23"/>
      <c r="J19" s="23"/>
      <c r="K19" s="23"/>
      <c r="L19" s="33"/>
      <c r="M19" s="26"/>
      <c r="N19" s="26"/>
      <c r="O19" s="26"/>
      <c r="P19" s="26"/>
      <c r="Q19" s="26"/>
      <c r="R19" s="26"/>
      <c r="S19" s="26"/>
      <c r="T19" s="26"/>
      <c r="U19" s="26"/>
      <c r="V19" s="26"/>
      <c r="W19" s="26"/>
      <c r="X19" s="26">
        <f>COUNTIF($L$2:L19,"&lt;&gt;"&amp;"")</f>
        <v>5</v>
      </c>
      <c r="Y19" s="27">
        <f t="shared" si="1"/>
        <v>0</v>
      </c>
      <c r="Z19" s="28"/>
      <c r="AA19" s="29"/>
      <c r="AB19" s="30" t="b">
        <f>TRUE()</f>
        <v>1</v>
      </c>
      <c r="AC19" s="31">
        <f t="shared" si="2"/>
        <v>0</v>
      </c>
      <c r="AD19" s="35"/>
      <c r="AE19" s="35"/>
    </row>
    <row r="20" spans="1:31" ht="12.75" customHeight="1">
      <c r="A20" s="20">
        <f t="shared" si="0"/>
        <v>0</v>
      </c>
      <c r="B20" s="23"/>
      <c r="C20" s="23"/>
      <c r="D20" s="23"/>
      <c r="E20" s="23"/>
      <c r="F20" s="23"/>
      <c r="G20" s="23"/>
      <c r="H20" s="23"/>
      <c r="I20" s="23"/>
      <c r="J20" s="23"/>
      <c r="K20" s="23"/>
      <c r="L20" s="26"/>
      <c r="M20" s="26"/>
      <c r="N20" s="26"/>
      <c r="O20" s="26"/>
      <c r="P20" s="26"/>
      <c r="Q20" s="26"/>
      <c r="R20" s="26"/>
      <c r="S20" s="26"/>
      <c r="T20" s="26"/>
      <c r="U20" s="26"/>
      <c r="V20" s="26"/>
      <c r="W20" s="26"/>
      <c r="X20" s="26">
        <f>COUNTIF($L$2:L20,"&lt;&gt;"&amp;"")</f>
        <v>5</v>
      </c>
      <c r="Y20" s="27">
        <f t="shared" si="1"/>
        <v>0</v>
      </c>
      <c r="Z20" s="28"/>
      <c r="AA20" s="29"/>
      <c r="AB20" s="30" t="b">
        <f>TRUE()</f>
        <v>1</v>
      </c>
      <c r="AC20" s="31">
        <f t="shared" si="2"/>
        <v>0</v>
      </c>
      <c r="AD20" s="35"/>
      <c r="AE20" s="35"/>
    </row>
    <row r="21" spans="1:31" ht="12.75" customHeight="1">
      <c r="A21" s="20">
        <f t="shared" si="0"/>
        <v>0</v>
      </c>
      <c r="B21" s="23"/>
      <c r="C21" s="23"/>
      <c r="D21" s="23"/>
      <c r="E21" s="23"/>
      <c r="F21" s="23"/>
      <c r="G21" s="23"/>
      <c r="H21" s="23"/>
      <c r="I21" s="23"/>
      <c r="J21" s="23"/>
      <c r="K21" s="23"/>
      <c r="L21" s="26"/>
      <c r="M21" s="26"/>
      <c r="N21" s="26"/>
      <c r="O21" s="26"/>
      <c r="P21" s="26"/>
      <c r="Q21" s="26"/>
      <c r="R21" s="26"/>
      <c r="S21" s="26"/>
      <c r="T21" s="26"/>
      <c r="U21" s="26"/>
      <c r="V21" s="26"/>
      <c r="W21" s="26"/>
      <c r="X21" s="26">
        <f>COUNTIF($L$2:L21,"&lt;&gt;"&amp;"")</f>
        <v>5</v>
      </c>
      <c r="Y21" s="27">
        <f t="shared" si="1"/>
        <v>0</v>
      </c>
      <c r="Z21" s="28"/>
      <c r="AA21" s="29"/>
      <c r="AB21" s="30" t="b">
        <f>TRUE()</f>
        <v>1</v>
      </c>
      <c r="AC21" s="31">
        <f t="shared" si="2"/>
        <v>0</v>
      </c>
      <c r="AD21" s="35"/>
      <c r="AE21" s="35"/>
    </row>
    <row r="22" spans="1:31" ht="12.75" customHeight="1">
      <c r="A22" s="20">
        <f t="shared" si="0"/>
        <v>0</v>
      </c>
      <c r="B22" s="23"/>
      <c r="C22" s="23"/>
      <c r="D22" s="23"/>
      <c r="E22" s="23"/>
      <c r="F22" s="23"/>
      <c r="G22" s="23"/>
      <c r="H22" s="23"/>
      <c r="I22" s="23"/>
      <c r="J22" s="23"/>
      <c r="K22" s="23"/>
      <c r="L22" s="26"/>
      <c r="M22" s="26"/>
      <c r="N22" s="26"/>
      <c r="O22" s="26"/>
      <c r="P22" s="26"/>
      <c r="Q22" s="26"/>
      <c r="R22" s="26"/>
      <c r="S22" s="26"/>
      <c r="T22" s="26"/>
      <c r="U22" s="26"/>
      <c r="V22" s="26"/>
      <c r="W22" s="26"/>
      <c r="X22" s="26">
        <f>COUNTIF($L$2:L22,"&lt;&gt;"&amp;"")</f>
        <v>5</v>
      </c>
      <c r="Y22" s="27">
        <f t="shared" si="1"/>
        <v>0</v>
      </c>
      <c r="Z22" s="28"/>
      <c r="AA22" s="29"/>
      <c r="AB22" s="30" t="b">
        <f>TRUE()</f>
        <v>1</v>
      </c>
      <c r="AC22" s="31">
        <f t="shared" si="2"/>
        <v>0</v>
      </c>
      <c r="AD22" s="35"/>
      <c r="AE22" s="35"/>
    </row>
    <row r="23" spans="1:31" ht="12.75" customHeight="1">
      <c r="A23" s="20">
        <f t="shared" si="0"/>
        <v>0</v>
      </c>
      <c r="B23" s="23"/>
      <c r="C23" s="23"/>
      <c r="D23" s="23"/>
      <c r="E23" s="23"/>
      <c r="F23" s="23"/>
      <c r="G23" s="23"/>
      <c r="H23" s="23"/>
      <c r="I23" s="23"/>
      <c r="J23" s="23"/>
      <c r="K23" s="23"/>
      <c r="L23" s="26"/>
      <c r="M23" s="26"/>
      <c r="N23" s="26"/>
      <c r="O23" s="26"/>
      <c r="P23" s="26"/>
      <c r="Q23" s="26"/>
      <c r="R23" s="26"/>
      <c r="S23" s="26"/>
      <c r="T23" s="26"/>
      <c r="U23" s="26"/>
      <c r="V23" s="26"/>
      <c r="W23" s="26"/>
      <c r="X23" s="26">
        <f>COUNTIF($L$2:L23,"&lt;&gt;"&amp;"")</f>
        <v>5</v>
      </c>
      <c r="Y23" s="27">
        <f t="shared" si="1"/>
        <v>0</v>
      </c>
      <c r="Z23" s="28"/>
      <c r="AA23" s="29"/>
      <c r="AB23" s="30" t="b">
        <f>TRUE()</f>
        <v>1</v>
      </c>
      <c r="AC23" s="31">
        <f t="shared" si="2"/>
        <v>0</v>
      </c>
      <c r="AD23" s="35"/>
      <c r="AE23" s="35"/>
    </row>
    <row r="24" spans="1:31" ht="12.75" customHeight="1">
      <c r="A24" s="20">
        <f t="shared" si="0"/>
        <v>0</v>
      </c>
      <c r="B24" s="23"/>
      <c r="C24" s="23"/>
      <c r="D24" s="23"/>
      <c r="E24" s="23"/>
      <c r="F24" s="23"/>
      <c r="G24" s="23"/>
      <c r="H24" s="23"/>
      <c r="I24" s="23"/>
      <c r="J24" s="23"/>
      <c r="K24" s="23"/>
      <c r="L24" s="26"/>
      <c r="M24" s="40"/>
      <c r="N24" s="26"/>
      <c r="O24" s="26"/>
      <c r="P24" s="26"/>
      <c r="Q24" s="26"/>
      <c r="R24" s="26"/>
      <c r="S24" s="26"/>
      <c r="T24" s="26"/>
      <c r="U24" s="26"/>
      <c r="V24" s="26"/>
      <c r="W24" s="26"/>
      <c r="X24" s="26">
        <f>COUNTIF($L$2:L24,"&lt;&gt;"&amp;"")</f>
        <v>5</v>
      </c>
      <c r="Y24" s="27">
        <f t="shared" si="1"/>
        <v>0</v>
      </c>
      <c r="Z24" s="28"/>
      <c r="AA24" s="29"/>
      <c r="AB24" s="30" t="b">
        <f>TRUE()</f>
        <v>1</v>
      </c>
      <c r="AC24" s="31">
        <f t="shared" si="2"/>
        <v>0</v>
      </c>
      <c r="AD24" s="35"/>
      <c r="AE24" s="35"/>
    </row>
    <row r="25" spans="1:31" ht="15" customHeight="1">
      <c r="A25" s="20">
        <f t="shared" si="0"/>
        <v>0</v>
      </c>
      <c r="B25" s="23"/>
      <c r="C25" s="23"/>
      <c r="D25" s="23"/>
      <c r="E25" s="23"/>
      <c r="F25" s="23"/>
      <c r="G25" s="23"/>
      <c r="H25" s="23"/>
      <c r="I25" s="23"/>
      <c r="J25" s="23"/>
      <c r="K25" s="23"/>
      <c r="L25" s="33"/>
      <c r="M25" s="26"/>
      <c r="N25" s="26"/>
      <c r="O25" s="26"/>
      <c r="P25" s="26"/>
      <c r="Q25" s="26"/>
      <c r="R25" s="26"/>
      <c r="S25" s="26"/>
      <c r="T25" s="26"/>
      <c r="U25" s="26"/>
      <c r="V25" s="26"/>
      <c r="W25" s="26"/>
      <c r="X25" s="26">
        <f>COUNTIF($L$2:L25,"&lt;&gt;"&amp;"")</f>
        <v>5</v>
      </c>
      <c r="Y25" s="27">
        <f t="shared" si="1"/>
        <v>0</v>
      </c>
      <c r="Z25" s="28"/>
      <c r="AA25" s="29"/>
      <c r="AB25" s="30" t="b">
        <f>TRUE()</f>
        <v>1</v>
      </c>
      <c r="AC25" s="31">
        <f t="shared" si="2"/>
        <v>0</v>
      </c>
      <c r="AD25" s="35"/>
      <c r="AE25" s="35"/>
    </row>
    <row r="26" spans="1:31" ht="15" customHeight="1">
      <c r="A26" s="20">
        <f t="shared" si="0"/>
        <v>0</v>
      </c>
      <c r="B26" s="23"/>
      <c r="C26" s="23"/>
      <c r="D26" s="23"/>
      <c r="E26" s="23"/>
      <c r="F26" s="23"/>
      <c r="G26" s="23"/>
      <c r="H26" s="23"/>
      <c r="I26" s="23"/>
      <c r="J26" s="23"/>
      <c r="K26" s="23"/>
      <c r="L26" s="33"/>
      <c r="M26" s="26"/>
      <c r="N26" s="26"/>
      <c r="O26" s="26"/>
      <c r="P26" s="26"/>
      <c r="Q26" s="26"/>
      <c r="R26" s="26"/>
      <c r="S26" s="26"/>
      <c r="T26" s="26"/>
      <c r="U26" s="26"/>
      <c r="V26" s="26"/>
      <c r="W26" s="26"/>
      <c r="X26" s="26">
        <f>COUNTIF($L$2:L26,"&lt;&gt;"&amp;"")</f>
        <v>5</v>
      </c>
      <c r="Y26" s="27">
        <f t="shared" si="1"/>
        <v>0</v>
      </c>
      <c r="Z26" s="28"/>
      <c r="AA26" s="29"/>
      <c r="AB26" s="30" t="b">
        <f>TRUE()</f>
        <v>1</v>
      </c>
      <c r="AC26" s="31">
        <f t="shared" si="2"/>
        <v>0</v>
      </c>
      <c r="AD26" s="35"/>
      <c r="AE26" s="35"/>
    </row>
    <row r="27" spans="1:31" ht="15" customHeight="1">
      <c r="A27" s="20">
        <f t="shared" si="0"/>
        <v>0</v>
      </c>
      <c r="B27" s="23"/>
      <c r="C27" s="23"/>
      <c r="D27" s="23"/>
      <c r="E27" s="23"/>
      <c r="F27" s="23"/>
      <c r="G27" s="23"/>
      <c r="H27" s="23"/>
      <c r="I27" s="23"/>
      <c r="J27" s="23"/>
      <c r="K27" s="23"/>
      <c r="L27" s="33"/>
      <c r="M27" s="26"/>
      <c r="N27" s="26"/>
      <c r="O27" s="26"/>
      <c r="P27" s="26"/>
      <c r="Q27" s="26"/>
      <c r="R27" s="26"/>
      <c r="S27" s="26"/>
      <c r="T27" s="26"/>
      <c r="U27" s="26"/>
      <c r="V27" s="26"/>
      <c r="W27" s="26"/>
      <c r="X27" s="26">
        <f>COUNTIF($L$2:L27,"&lt;&gt;"&amp;"")</f>
        <v>5</v>
      </c>
      <c r="Y27" s="27">
        <f t="shared" si="1"/>
        <v>0</v>
      </c>
      <c r="Z27" s="28"/>
      <c r="AA27" s="29"/>
      <c r="AB27" s="30" t="b">
        <f>TRUE()</f>
        <v>1</v>
      </c>
      <c r="AC27" s="31">
        <f t="shared" si="2"/>
        <v>0</v>
      </c>
      <c r="AD27" s="35"/>
      <c r="AE27" s="35"/>
    </row>
    <row r="28" spans="1:31" ht="15" customHeight="1">
      <c r="A28" s="20">
        <f t="shared" si="0"/>
        <v>0</v>
      </c>
      <c r="B28" s="23"/>
      <c r="C28" s="23"/>
      <c r="D28" s="23"/>
      <c r="E28" s="23"/>
      <c r="F28" s="23"/>
      <c r="G28" s="23"/>
      <c r="H28" s="23"/>
      <c r="I28" s="23"/>
      <c r="J28" s="23"/>
      <c r="K28" s="23"/>
      <c r="L28" s="33"/>
      <c r="M28" s="26"/>
      <c r="N28" s="26"/>
      <c r="O28" s="26"/>
      <c r="P28" s="26"/>
      <c r="Q28" s="26"/>
      <c r="R28" s="26"/>
      <c r="S28" s="26"/>
      <c r="T28" s="26"/>
      <c r="U28" s="26"/>
      <c r="V28" s="26"/>
      <c r="W28" s="26"/>
      <c r="X28" s="26">
        <f>COUNTIF($L$2:L28,"&lt;&gt;"&amp;"")</f>
        <v>5</v>
      </c>
      <c r="Y28" s="27">
        <f t="shared" si="1"/>
        <v>0</v>
      </c>
      <c r="Z28" s="28"/>
      <c r="AA28" s="29"/>
      <c r="AB28" s="30" t="b">
        <f>TRUE()</f>
        <v>1</v>
      </c>
      <c r="AC28" s="31">
        <f t="shared" si="2"/>
        <v>0</v>
      </c>
      <c r="AD28" s="35"/>
      <c r="AE28" s="35"/>
    </row>
    <row r="29" spans="1:31" ht="15" customHeight="1">
      <c r="A29" s="20">
        <f t="shared" si="0"/>
        <v>0</v>
      </c>
      <c r="B29" s="23"/>
      <c r="C29" s="23"/>
      <c r="D29" s="23"/>
      <c r="E29" s="23"/>
      <c r="F29" s="23"/>
      <c r="G29" s="23"/>
      <c r="H29" s="23"/>
      <c r="I29" s="23"/>
      <c r="J29" s="23"/>
      <c r="K29" s="23"/>
      <c r="L29" s="33"/>
      <c r="M29" s="26"/>
      <c r="N29" s="26"/>
      <c r="O29" s="26"/>
      <c r="P29" s="26"/>
      <c r="Q29" s="26"/>
      <c r="R29" s="26"/>
      <c r="S29" s="26"/>
      <c r="T29" s="26"/>
      <c r="U29" s="26"/>
      <c r="V29" s="26"/>
      <c r="W29" s="26"/>
      <c r="X29" s="26">
        <f>COUNTIF($L$2:L29,"&lt;&gt;"&amp;"")</f>
        <v>5</v>
      </c>
      <c r="Y29" s="27">
        <f t="shared" si="1"/>
        <v>0</v>
      </c>
      <c r="Z29" s="28"/>
      <c r="AA29" s="29"/>
      <c r="AB29" s="30" t="b">
        <f>TRUE()</f>
        <v>1</v>
      </c>
      <c r="AC29" s="31">
        <f t="shared" si="2"/>
        <v>0</v>
      </c>
      <c r="AD29" s="35"/>
      <c r="AE29" s="35"/>
    </row>
    <row r="30" spans="1:31" ht="15" customHeight="1">
      <c r="A30" s="20">
        <f t="shared" si="0"/>
        <v>0</v>
      </c>
      <c r="B30" s="23"/>
      <c r="C30" s="23"/>
      <c r="D30" s="23"/>
      <c r="E30" s="23"/>
      <c r="F30" s="23"/>
      <c r="G30" s="23"/>
      <c r="H30" s="23"/>
      <c r="I30" s="23"/>
      <c r="J30" s="23"/>
      <c r="K30" s="23"/>
      <c r="L30" s="33"/>
      <c r="M30" s="26"/>
      <c r="N30" s="26"/>
      <c r="O30" s="26"/>
      <c r="P30" s="26"/>
      <c r="Q30" s="26"/>
      <c r="R30" s="26"/>
      <c r="S30" s="26"/>
      <c r="T30" s="26"/>
      <c r="U30" s="26"/>
      <c r="V30" s="26"/>
      <c r="W30" s="26"/>
      <c r="X30" s="26">
        <f>COUNTIF($L$2:L30,"&lt;&gt;"&amp;"")</f>
        <v>5</v>
      </c>
      <c r="Y30" s="27">
        <f t="shared" si="1"/>
        <v>0</v>
      </c>
      <c r="Z30" s="28"/>
      <c r="AA30" s="29"/>
      <c r="AB30" s="30" t="b">
        <f>TRUE()</f>
        <v>1</v>
      </c>
      <c r="AC30" s="31">
        <f t="shared" si="2"/>
        <v>0</v>
      </c>
      <c r="AD30" s="35"/>
      <c r="AE30" s="35"/>
    </row>
    <row r="31" spans="1:31" ht="15" customHeight="1">
      <c r="A31" s="20">
        <f t="shared" si="0"/>
        <v>0</v>
      </c>
      <c r="B31" s="23"/>
      <c r="C31" s="23"/>
      <c r="D31" s="23"/>
      <c r="E31" s="23"/>
      <c r="F31" s="23"/>
      <c r="G31" s="23"/>
      <c r="H31" s="23"/>
      <c r="I31" s="23"/>
      <c r="J31" s="23"/>
      <c r="K31" s="23"/>
      <c r="L31" s="33"/>
      <c r="M31" s="26"/>
      <c r="N31" s="26"/>
      <c r="O31" s="26"/>
      <c r="P31" s="26"/>
      <c r="Q31" s="26"/>
      <c r="R31" s="26"/>
      <c r="S31" s="26"/>
      <c r="T31" s="26"/>
      <c r="U31" s="26"/>
      <c r="V31" s="26"/>
      <c r="W31" s="26"/>
      <c r="X31" s="26">
        <f>COUNTIF($L$2:L31,"&lt;&gt;"&amp;"")</f>
        <v>5</v>
      </c>
      <c r="Y31" s="27">
        <f t="shared" si="1"/>
        <v>0</v>
      </c>
      <c r="Z31" s="28"/>
      <c r="AA31" s="29"/>
      <c r="AB31" s="30" t="b">
        <f>TRUE()</f>
        <v>1</v>
      </c>
      <c r="AC31" s="31">
        <f t="shared" si="2"/>
        <v>0</v>
      </c>
      <c r="AD31" s="35"/>
      <c r="AE31" s="35"/>
    </row>
    <row r="32" spans="1:31" ht="15" customHeight="1">
      <c r="A32" s="20">
        <f t="shared" si="0"/>
        <v>0</v>
      </c>
      <c r="B32" s="23"/>
      <c r="C32" s="23"/>
      <c r="D32" s="23"/>
      <c r="E32" s="23"/>
      <c r="F32" s="23"/>
      <c r="G32" s="23"/>
      <c r="H32" s="23"/>
      <c r="I32" s="23"/>
      <c r="J32" s="23"/>
      <c r="K32" s="23"/>
      <c r="L32" s="33"/>
      <c r="M32" s="26"/>
      <c r="N32" s="26"/>
      <c r="O32" s="26"/>
      <c r="P32" s="26"/>
      <c r="Q32" s="26"/>
      <c r="R32" s="26"/>
      <c r="S32" s="26"/>
      <c r="T32" s="26"/>
      <c r="U32" s="26"/>
      <c r="V32" s="26"/>
      <c r="W32" s="26"/>
      <c r="X32" s="26">
        <f>COUNTIF($L$2:L32,"&lt;&gt;"&amp;"")</f>
        <v>5</v>
      </c>
      <c r="Y32" s="27">
        <f t="shared" si="1"/>
        <v>0</v>
      </c>
      <c r="Z32" s="28"/>
      <c r="AA32" s="29"/>
      <c r="AB32" s="30" t="b">
        <f>TRUE()</f>
        <v>1</v>
      </c>
      <c r="AC32" s="31">
        <f t="shared" si="2"/>
        <v>0</v>
      </c>
      <c r="AD32" s="35"/>
      <c r="AE32" s="35"/>
    </row>
    <row r="33" spans="1:31" ht="15" customHeight="1">
      <c r="A33" s="20">
        <f t="shared" si="0"/>
        <v>0</v>
      </c>
      <c r="B33" s="23"/>
      <c r="C33" s="23"/>
      <c r="D33" s="23"/>
      <c r="E33" s="23"/>
      <c r="F33" s="23"/>
      <c r="G33" s="23"/>
      <c r="H33" s="23"/>
      <c r="I33" s="23"/>
      <c r="J33" s="23"/>
      <c r="K33" s="23"/>
      <c r="L33" s="33"/>
      <c r="M33" s="26"/>
      <c r="N33" s="26"/>
      <c r="O33" s="26"/>
      <c r="P33" s="26"/>
      <c r="Q33" s="26"/>
      <c r="R33" s="26"/>
      <c r="S33" s="26"/>
      <c r="T33" s="26"/>
      <c r="U33" s="26"/>
      <c r="V33" s="26"/>
      <c r="W33" s="26"/>
      <c r="X33" s="26">
        <f>COUNTIF($L$2:L33,"&lt;&gt;"&amp;"")</f>
        <v>5</v>
      </c>
      <c r="Y33" s="27">
        <f t="shared" si="1"/>
        <v>0</v>
      </c>
      <c r="Z33" s="28"/>
      <c r="AA33" s="29"/>
      <c r="AB33" s="30" t="b">
        <f>TRUE()</f>
        <v>1</v>
      </c>
      <c r="AC33" s="31">
        <f t="shared" si="2"/>
        <v>0</v>
      </c>
      <c r="AD33" s="35"/>
      <c r="AE33" s="35"/>
    </row>
    <row r="34" spans="1:31" ht="15" customHeight="1">
      <c r="A34" s="20">
        <f t="shared" ref="A34:A65" si="3">(B34*$P$125+C34*$P$126+D34*$P$127+E34*$P$128+F34*$P$129+G34*$P$130+H34*$P$131+I34*$P$132+J34*$P$133+K34*$P$134)*$T$123</f>
        <v>0</v>
      </c>
      <c r="B34" s="23"/>
      <c r="C34" s="23"/>
      <c r="D34" s="23"/>
      <c r="E34" s="23"/>
      <c r="F34" s="23"/>
      <c r="G34" s="23"/>
      <c r="H34" s="23"/>
      <c r="I34" s="23"/>
      <c r="J34" s="23"/>
      <c r="K34" s="23"/>
      <c r="L34" s="33"/>
      <c r="M34" s="33"/>
      <c r="N34" s="26"/>
      <c r="O34" s="26"/>
      <c r="P34" s="26"/>
      <c r="Q34" s="26"/>
      <c r="R34" s="26"/>
      <c r="S34" s="26"/>
      <c r="T34" s="26"/>
      <c r="U34" s="26"/>
      <c r="V34" s="26"/>
      <c r="W34" s="26"/>
      <c r="X34" s="26">
        <f>COUNTIF($L$2:L34,"&lt;&gt;"&amp;"")</f>
        <v>5</v>
      </c>
      <c r="Y34" s="27">
        <f t="shared" ref="Y34:Y65" si="4">SUMIF($X$2:$X$120,X34,$A$2:$A$120)</f>
        <v>0</v>
      </c>
      <c r="Z34" s="28"/>
      <c r="AA34" s="29"/>
      <c r="AB34" s="30" t="b">
        <f>TRUE()</f>
        <v>1</v>
      </c>
      <c r="AC34" s="31">
        <f t="shared" ref="AC34:AC65" si="5">IF(L34="",0,IF(AB34=FALSE(),0,Y34))</f>
        <v>0</v>
      </c>
      <c r="AD34" s="35"/>
      <c r="AE34" s="35"/>
    </row>
    <row r="35" spans="1:31" ht="15" customHeight="1">
      <c r="A35" s="20">
        <f t="shared" si="3"/>
        <v>0</v>
      </c>
      <c r="B35" s="23"/>
      <c r="C35" s="23"/>
      <c r="D35" s="23"/>
      <c r="E35" s="23"/>
      <c r="F35" s="23"/>
      <c r="G35" s="23"/>
      <c r="H35" s="23"/>
      <c r="I35" s="23"/>
      <c r="J35" s="23"/>
      <c r="K35" s="23"/>
      <c r="L35" s="33"/>
      <c r="M35" s="26"/>
      <c r="N35" s="41"/>
      <c r="O35" s="26"/>
      <c r="P35" s="26"/>
      <c r="Q35" s="26"/>
      <c r="R35" s="26"/>
      <c r="S35" s="26"/>
      <c r="T35" s="26"/>
      <c r="U35" s="26"/>
      <c r="V35" s="26"/>
      <c r="W35" s="26"/>
      <c r="X35" s="26">
        <f>COUNTIF($L$2:L35,"&lt;&gt;"&amp;"")</f>
        <v>5</v>
      </c>
      <c r="Y35" s="27">
        <f t="shared" si="4"/>
        <v>0</v>
      </c>
      <c r="Z35" s="28"/>
      <c r="AA35" s="29"/>
      <c r="AB35" s="30" t="b">
        <f>TRUE()</f>
        <v>1</v>
      </c>
      <c r="AC35" s="31">
        <f t="shared" si="5"/>
        <v>0</v>
      </c>
      <c r="AD35" s="35"/>
      <c r="AE35" s="35"/>
    </row>
    <row r="36" spans="1:31" ht="15" customHeight="1">
      <c r="A36" s="20">
        <f t="shared" si="3"/>
        <v>0</v>
      </c>
      <c r="B36" s="23"/>
      <c r="C36" s="23"/>
      <c r="D36" s="23"/>
      <c r="E36" s="23"/>
      <c r="F36" s="23"/>
      <c r="G36" s="23"/>
      <c r="H36" s="23"/>
      <c r="I36" s="23"/>
      <c r="J36" s="23"/>
      <c r="K36" s="23"/>
      <c r="L36" s="33"/>
      <c r="M36" s="26"/>
      <c r="N36" s="26"/>
      <c r="O36" s="26"/>
      <c r="P36" s="26"/>
      <c r="Q36" s="26"/>
      <c r="R36" s="26"/>
      <c r="S36" s="26"/>
      <c r="T36" s="26"/>
      <c r="U36" s="26"/>
      <c r="V36" s="26"/>
      <c r="W36" s="26"/>
      <c r="X36" s="26">
        <f>COUNTIF($L$2:L36,"&lt;&gt;"&amp;"")</f>
        <v>5</v>
      </c>
      <c r="Y36" s="27">
        <f t="shared" si="4"/>
        <v>0</v>
      </c>
      <c r="Z36" s="28"/>
      <c r="AA36" s="29"/>
      <c r="AB36" s="30" t="b">
        <f>TRUE()</f>
        <v>1</v>
      </c>
      <c r="AC36" s="31">
        <f t="shared" si="5"/>
        <v>0</v>
      </c>
      <c r="AD36" s="35"/>
      <c r="AE36" s="35"/>
    </row>
    <row r="37" spans="1:31" ht="15" customHeight="1">
      <c r="A37" s="20">
        <f t="shared" si="3"/>
        <v>0</v>
      </c>
      <c r="B37" s="23"/>
      <c r="C37" s="23"/>
      <c r="D37" s="23"/>
      <c r="E37" s="23"/>
      <c r="F37" s="23"/>
      <c r="G37" s="23"/>
      <c r="H37" s="23"/>
      <c r="I37" s="23"/>
      <c r="J37" s="23"/>
      <c r="K37" s="23"/>
      <c r="L37" s="33"/>
      <c r="M37" s="26"/>
      <c r="N37" s="26"/>
      <c r="O37" s="26"/>
      <c r="P37" s="26"/>
      <c r="Q37" s="26"/>
      <c r="R37" s="26"/>
      <c r="S37" s="26"/>
      <c r="T37" s="26"/>
      <c r="U37" s="26"/>
      <c r="V37" s="26"/>
      <c r="W37" s="26"/>
      <c r="X37" s="26">
        <f>COUNTIF($L$2:L37,"&lt;&gt;"&amp;"")</f>
        <v>5</v>
      </c>
      <c r="Y37" s="27">
        <f t="shared" si="4"/>
        <v>0</v>
      </c>
      <c r="Z37" s="28"/>
      <c r="AA37" s="29"/>
      <c r="AB37" s="30" t="b">
        <f>TRUE()</f>
        <v>1</v>
      </c>
      <c r="AC37" s="31">
        <f t="shared" si="5"/>
        <v>0</v>
      </c>
      <c r="AD37" s="35"/>
      <c r="AE37" s="35"/>
    </row>
    <row r="38" spans="1:31" ht="15" customHeight="1">
      <c r="A38" s="20">
        <f t="shared" si="3"/>
        <v>0</v>
      </c>
      <c r="B38" s="23"/>
      <c r="C38" s="23"/>
      <c r="D38" s="23"/>
      <c r="E38" s="23"/>
      <c r="F38" s="23"/>
      <c r="G38" s="23"/>
      <c r="H38" s="23"/>
      <c r="I38" s="23"/>
      <c r="J38" s="23"/>
      <c r="K38" s="23"/>
      <c r="L38" s="33"/>
      <c r="M38" s="26"/>
      <c r="N38" s="26"/>
      <c r="O38" s="26"/>
      <c r="P38" s="26"/>
      <c r="Q38" s="26"/>
      <c r="R38" s="26"/>
      <c r="S38" s="26"/>
      <c r="T38" s="26"/>
      <c r="U38" s="26"/>
      <c r="V38" s="26"/>
      <c r="W38" s="26"/>
      <c r="X38" s="26">
        <f>COUNTIF($L$2:L38,"&lt;&gt;"&amp;"")</f>
        <v>5</v>
      </c>
      <c r="Y38" s="27">
        <f t="shared" si="4"/>
        <v>0</v>
      </c>
      <c r="Z38" s="28"/>
      <c r="AA38" s="29"/>
      <c r="AB38" s="30" t="b">
        <f>TRUE()</f>
        <v>1</v>
      </c>
      <c r="AC38" s="31">
        <f t="shared" si="5"/>
        <v>0</v>
      </c>
      <c r="AD38" s="42"/>
      <c r="AE38" s="42"/>
    </row>
    <row r="39" spans="1:31" ht="15" customHeight="1">
      <c r="A39" s="20">
        <f t="shared" si="3"/>
        <v>0</v>
      </c>
      <c r="B39" s="23"/>
      <c r="C39" s="23"/>
      <c r="D39" s="23"/>
      <c r="E39" s="23"/>
      <c r="F39" s="23"/>
      <c r="G39" s="23"/>
      <c r="H39" s="23"/>
      <c r="I39" s="23"/>
      <c r="J39" s="23"/>
      <c r="K39" s="23"/>
      <c r="L39" s="33"/>
      <c r="M39" s="26"/>
      <c r="N39" s="26"/>
      <c r="O39" s="26"/>
      <c r="P39" s="26"/>
      <c r="Q39" s="26"/>
      <c r="R39" s="26"/>
      <c r="S39" s="26"/>
      <c r="T39" s="26"/>
      <c r="U39" s="26"/>
      <c r="V39" s="26"/>
      <c r="W39" s="26"/>
      <c r="X39" s="26">
        <f>COUNTIF($L$2:L39,"&lt;&gt;"&amp;"")</f>
        <v>5</v>
      </c>
      <c r="Y39" s="27">
        <f t="shared" si="4"/>
        <v>0</v>
      </c>
      <c r="Z39" s="28"/>
      <c r="AA39" s="29"/>
      <c r="AB39" s="30" t="b">
        <f>TRUE()</f>
        <v>1</v>
      </c>
      <c r="AC39" s="31">
        <f t="shared" si="5"/>
        <v>0</v>
      </c>
      <c r="AD39" s="35"/>
      <c r="AE39" s="35"/>
    </row>
    <row r="40" spans="1:31" ht="15" customHeight="1">
      <c r="A40" s="20">
        <f t="shared" si="3"/>
        <v>0</v>
      </c>
      <c r="B40" s="23"/>
      <c r="C40" s="23"/>
      <c r="D40" s="23"/>
      <c r="E40" s="23"/>
      <c r="F40" s="23"/>
      <c r="G40" s="23"/>
      <c r="H40" s="23"/>
      <c r="I40" s="23"/>
      <c r="J40" s="23"/>
      <c r="K40" s="23"/>
      <c r="L40" s="33"/>
      <c r="M40" s="26"/>
      <c r="N40" s="26"/>
      <c r="O40" s="26"/>
      <c r="P40" s="26"/>
      <c r="Q40" s="26"/>
      <c r="R40" s="26"/>
      <c r="S40" s="26"/>
      <c r="T40" s="26"/>
      <c r="U40" s="26"/>
      <c r="V40" s="26"/>
      <c r="W40" s="26"/>
      <c r="X40" s="26">
        <f>COUNTIF($L$2:L40,"&lt;&gt;"&amp;"")</f>
        <v>5</v>
      </c>
      <c r="Y40" s="27">
        <f t="shared" si="4"/>
        <v>0</v>
      </c>
      <c r="Z40" s="28"/>
      <c r="AA40" s="29"/>
      <c r="AB40" s="30" t="b">
        <f>TRUE()</f>
        <v>1</v>
      </c>
      <c r="AC40" s="31">
        <f t="shared" si="5"/>
        <v>0</v>
      </c>
      <c r="AD40" s="42"/>
      <c r="AE40" s="42"/>
    </row>
    <row r="41" spans="1:31" ht="15" customHeight="1">
      <c r="A41" s="20">
        <f t="shared" si="3"/>
        <v>0</v>
      </c>
      <c r="B41" s="23"/>
      <c r="C41" s="23"/>
      <c r="D41" s="23"/>
      <c r="E41" s="23"/>
      <c r="F41" s="23"/>
      <c r="G41" s="23"/>
      <c r="H41" s="23"/>
      <c r="I41" s="23"/>
      <c r="J41" s="23"/>
      <c r="K41" s="23"/>
      <c r="L41" s="33"/>
      <c r="M41" s="26"/>
      <c r="N41" s="26"/>
      <c r="O41" s="26"/>
      <c r="P41" s="26"/>
      <c r="Q41" s="26"/>
      <c r="R41" s="26"/>
      <c r="S41" s="26"/>
      <c r="T41" s="26"/>
      <c r="U41" s="26"/>
      <c r="V41" s="26"/>
      <c r="W41" s="26"/>
      <c r="X41" s="26">
        <f>COUNTIF($L$2:L41,"&lt;&gt;"&amp;"")</f>
        <v>5</v>
      </c>
      <c r="Y41" s="27">
        <f t="shared" si="4"/>
        <v>0</v>
      </c>
      <c r="Z41" s="28"/>
      <c r="AA41" s="29"/>
      <c r="AB41" s="30" t="b">
        <f>TRUE()</f>
        <v>1</v>
      </c>
      <c r="AC41" s="31">
        <f t="shared" si="5"/>
        <v>0</v>
      </c>
      <c r="AD41" s="42"/>
      <c r="AE41" s="42"/>
    </row>
    <row r="42" spans="1:31" ht="15" customHeight="1">
      <c r="A42" s="20">
        <f t="shared" si="3"/>
        <v>0</v>
      </c>
      <c r="B42" s="23"/>
      <c r="C42" s="23"/>
      <c r="D42" s="23"/>
      <c r="E42" s="23"/>
      <c r="F42" s="23"/>
      <c r="G42" s="23"/>
      <c r="H42" s="23"/>
      <c r="I42" s="23"/>
      <c r="J42" s="23"/>
      <c r="K42" s="23"/>
      <c r="L42" s="33"/>
      <c r="M42" s="26"/>
      <c r="N42" s="40"/>
      <c r="O42" s="26"/>
      <c r="P42" s="26"/>
      <c r="Q42" s="26"/>
      <c r="R42" s="26"/>
      <c r="S42" s="26"/>
      <c r="T42" s="26"/>
      <c r="U42" s="26"/>
      <c r="V42" s="26"/>
      <c r="W42" s="26"/>
      <c r="X42" s="26">
        <f>COUNTIF($L$2:L42,"&lt;&gt;"&amp;"")</f>
        <v>5</v>
      </c>
      <c r="Y42" s="27">
        <f t="shared" si="4"/>
        <v>0</v>
      </c>
      <c r="Z42" s="28"/>
      <c r="AA42" s="29"/>
      <c r="AB42" s="30" t="b">
        <f>TRUE()</f>
        <v>1</v>
      </c>
      <c r="AC42" s="31">
        <f t="shared" si="5"/>
        <v>0</v>
      </c>
      <c r="AD42" s="35"/>
      <c r="AE42" s="35"/>
    </row>
    <row r="43" spans="1:31" ht="15" customHeight="1">
      <c r="A43" s="20">
        <f t="shared" si="3"/>
        <v>0</v>
      </c>
      <c r="B43" s="23"/>
      <c r="C43" s="23"/>
      <c r="D43" s="23"/>
      <c r="E43" s="23"/>
      <c r="F43" s="23"/>
      <c r="G43" s="23"/>
      <c r="H43" s="23"/>
      <c r="I43" s="23"/>
      <c r="J43" s="23"/>
      <c r="K43" s="23"/>
      <c r="L43" s="33"/>
      <c r="M43" s="33"/>
      <c r="N43" s="26"/>
      <c r="O43" s="26"/>
      <c r="P43" s="26"/>
      <c r="Q43" s="26"/>
      <c r="R43" s="26"/>
      <c r="S43" s="26"/>
      <c r="T43" s="26"/>
      <c r="U43" s="26"/>
      <c r="V43" s="26"/>
      <c r="W43" s="26"/>
      <c r="X43" s="26">
        <f>COUNTIF($L$2:L43,"&lt;&gt;"&amp;"")</f>
        <v>5</v>
      </c>
      <c r="Y43" s="27">
        <f t="shared" si="4"/>
        <v>0</v>
      </c>
      <c r="Z43" s="28"/>
      <c r="AA43" s="29"/>
      <c r="AB43" s="30" t="b">
        <f>TRUE()</f>
        <v>1</v>
      </c>
      <c r="AC43" s="31">
        <f t="shared" si="5"/>
        <v>0</v>
      </c>
      <c r="AD43" s="35"/>
      <c r="AE43" s="35"/>
    </row>
    <row r="44" spans="1:31" ht="15" customHeight="1">
      <c r="A44" s="20">
        <f t="shared" si="3"/>
        <v>0</v>
      </c>
      <c r="B44" s="23"/>
      <c r="C44" s="23"/>
      <c r="D44" s="23"/>
      <c r="E44" s="23"/>
      <c r="F44" s="23"/>
      <c r="G44" s="23"/>
      <c r="H44" s="23"/>
      <c r="I44" s="23"/>
      <c r="J44" s="23"/>
      <c r="K44" s="23"/>
      <c r="L44" s="33"/>
      <c r="M44" s="26"/>
      <c r="N44" s="26"/>
      <c r="O44" s="26"/>
      <c r="P44" s="26"/>
      <c r="Q44" s="26"/>
      <c r="R44" s="26"/>
      <c r="S44" s="26"/>
      <c r="T44" s="26"/>
      <c r="U44" s="26"/>
      <c r="V44" s="26"/>
      <c r="W44" s="26"/>
      <c r="X44" s="26">
        <f>COUNTIF($L$2:L44,"&lt;&gt;"&amp;"")</f>
        <v>5</v>
      </c>
      <c r="Y44" s="27">
        <f t="shared" si="4"/>
        <v>0</v>
      </c>
      <c r="Z44" s="28"/>
      <c r="AA44" s="29"/>
      <c r="AB44" s="30" t="b">
        <f>TRUE()</f>
        <v>1</v>
      </c>
      <c r="AC44" s="31">
        <f t="shared" si="5"/>
        <v>0</v>
      </c>
      <c r="AD44" s="35"/>
      <c r="AE44" s="35"/>
    </row>
    <row r="45" spans="1:31" ht="15" customHeight="1">
      <c r="A45" s="20">
        <f t="shared" si="3"/>
        <v>0</v>
      </c>
      <c r="B45" s="23"/>
      <c r="C45" s="23"/>
      <c r="D45" s="23"/>
      <c r="E45" s="23"/>
      <c r="F45" s="23"/>
      <c r="G45" s="23"/>
      <c r="H45" s="23"/>
      <c r="I45" s="23"/>
      <c r="J45" s="23"/>
      <c r="K45" s="23"/>
      <c r="L45" s="33"/>
      <c r="M45" s="26"/>
      <c r="N45" s="26"/>
      <c r="O45" s="26"/>
      <c r="P45" s="26"/>
      <c r="Q45" s="26"/>
      <c r="R45" s="26"/>
      <c r="S45" s="26"/>
      <c r="T45" s="26"/>
      <c r="U45" s="26"/>
      <c r="V45" s="26"/>
      <c r="W45" s="26"/>
      <c r="X45" s="26">
        <f>COUNTIF($L$2:L45,"&lt;&gt;"&amp;"")</f>
        <v>5</v>
      </c>
      <c r="Y45" s="27">
        <f t="shared" si="4"/>
        <v>0</v>
      </c>
      <c r="Z45" s="28"/>
      <c r="AA45" s="29"/>
      <c r="AB45" s="30" t="b">
        <f>TRUE()</f>
        <v>1</v>
      </c>
      <c r="AC45" s="31">
        <f t="shared" si="5"/>
        <v>0</v>
      </c>
      <c r="AD45" s="35"/>
      <c r="AE45" s="35"/>
    </row>
    <row r="46" spans="1:31" ht="15" customHeight="1">
      <c r="A46" s="20">
        <f t="shared" si="3"/>
        <v>0</v>
      </c>
      <c r="B46" s="23"/>
      <c r="C46" s="23"/>
      <c r="D46" s="23"/>
      <c r="E46" s="23"/>
      <c r="F46" s="23"/>
      <c r="G46" s="23"/>
      <c r="H46" s="23"/>
      <c r="I46" s="23"/>
      <c r="J46" s="23"/>
      <c r="K46" s="23"/>
      <c r="L46" s="33"/>
      <c r="M46" s="26"/>
      <c r="N46" s="26"/>
      <c r="O46" s="26"/>
      <c r="P46" s="26"/>
      <c r="Q46" s="26"/>
      <c r="R46" s="26"/>
      <c r="S46" s="26"/>
      <c r="T46" s="26"/>
      <c r="U46" s="26"/>
      <c r="V46" s="26"/>
      <c r="W46" s="26"/>
      <c r="X46" s="26">
        <f>COUNTIF($L$2:L46,"&lt;&gt;"&amp;"")</f>
        <v>5</v>
      </c>
      <c r="Y46" s="27">
        <f t="shared" si="4"/>
        <v>0</v>
      </c>
      <c r="Z46" s="28"/>
      <c r="AA46" s="29"/>
      <c r="AB46" s="30" t="b">
        <f>TRUE()</f>
        <v>1</v>
      </c>
      <c r="AC46" s="31">
        <f t="shared" si="5"/>
        <v>0</v>
      </c>
      <c r="AD46" s="35"/>
      <c r="AE46" s="35"/>
    </row>
    <row r="47" spans="1:31" ht="15" customHeight="1">
      <c r="A47" s="20">
        <f t="shared" si="3"/>
        <v>0</v>
      </c>
      <c r="B47" s="23"/>
      <c r="C47" s="23"/>
      <c r="D47" s="23"/>
      <c r="E47" s="23"/>
      <c r="F47" s="23"/>
      <c r="G47" s="23"/>
      <c r="H47" s="23"/>
      <c r="I47" s="23"/>
      <c r="J47" s="23"/>
      <c r="K47" s="23"/>
      <c r="L47" s="33"/>
      <c r="M47" s="26"/>
      <c r="N47" s="26"/>
      <c r="O47" s="26"/>
      <c r="P47" s="26"/>
      <c r="Q47" s="26"/>
      <c r="R47" s="26"/>
      <c r="S47" s="26"/>
      <c r="T47" s="26"/>
      <c r="U47" s="26"/>
      <c r="V47" s="26"/>
      <c r="W47" s="26"/>
      <c r="X47" s="26">
        <f>COUNTIF($L$2:L47,"&lt;&gt;"&amp;"")</f>
        <v>5</v>
      </c>
      <c r="Y47" s="27">
        <f t="shared" si="4"/>
        <v>0</v>
      </c>
      <c r="Z47" s="28"/>
      <c r="AA47" s="29"/>
      <c r="AB47" s="30" t="b">
        <f>TRUE()</f>
        <v>1</v>
      </c>
      <c r="AC47" s="31">
        <f t="shared" si="5"/>
        <v>0</v>
      </c>
      <c r="AD47" s="35"/>
      <c r="AE47" s="35"/>
    </row>
    <row r="48" spans="1:31" ht="15" customHeight="1">
      <c r="A48" s="20">
        <f t="shared" si="3"/>
        <v>0</v>
      </c>
      <c r="B48" s="23"/>
      <c r="C48" s="23"/>
      <c r="D48" s="23"/>
      <c r="E48" s="23"/>
      <c r="F48" s="23"/>
      <c r="G48" s="23"/>
      <c r="H48" s="23"/>
      <c r="I48" s="23"/>
      <c r="J48" s="23"/>
      <c r="K48" s="23"/>
      <c r="L48" s="33"/>
      <c r="M48" s="26"/>
      <c r="N48" s="26"/>
      <c r="O48" s="26"/>
      <c r="P48" s="26"/>
      <c r="Q48" s="26"/>
      <c r="R48" s="26"/>
      <c r="S48" s="26"/>
      <c r="T48" s="26"/>
      <c r="U48" s="26"/>
      <c r="V48" s="26"/>
      <c r="W48" s="26"/>
      <c r="X48" s="26">
        <f>COUNTIF($L$2:L48,"&lt;&gt;"&amp;"")</f>
        <v>5</v>
      </c>
      <c r="Y48" s="27">
        <f t="shared" si="4"/>
        <v>0</v>
      </c>
      <c r="Z48" s="28"/>
      <c r="AA48" s="29"/>
      <c r="AB48" s="30" t="b">
        <f>TRUE()</f>
        <v>1</v>
      </c>
      <c r="AC48" s="31">
        <f t="shared" si="5"/>
        <v>0</v>
      </c>
      <c r="AD48" s="42"/>
      <c r="AE48" s="42"/>
    </row>
    <row r="49" spans="1:31" ht="15" customHeight="1">
      <c r="A49" s="20">
        <f t="shared" si="3"/>
        <v>0</v>
      </c>
      <c r="B49" s="23"/>
      <c r="C49" s="23"/>
      <c r="D49" s="23"/>
      <c r="E49" s="23"/>
      <c r="F49" s="23"/>
      <c r="G49" s="23"/>
      <c r="H49" s="23"/>
      <c r="I49" s="23"/>
      <c r="J49" s="23"/>
      <c r="K49" s="23"/>
      <c r="L49" s="33"/>
      <c r="M49" s="26"/>
      <c r="N49" s="26"/>
      <c r="O49" s="26"/>
      <c r="P49" s="26"/>
      <c r="Q49" s="26"/>
      <c r="R49" s="26"/>
      <c r="S49" s="26"/>
      <c r="T49" s="26"/>
      <c r="U49" s="26"/>
      <c r="V49" s="26"/>
      <c r="W49" s="26"/>
      <c r="X49" s="26">
        <f>COUNTIF($L$2:L49,"&lt;&gt;"&amp;"")</f>
        <v>5</v>
      </c>
      <c r="Y49" s="27">
        <f t="shared" si="4"/>
        <v>0</v>
      </c>
      <c r="Z49" s="28"/>
      <c r="AA49" s="29"/>
      <c r="AB49" s="30" t="b">
        <f>TRUE()</f>
        <v>1</v>
      </c>
      <c r="AC49" s="31">
        <f t="shared" si="5"/>
        <v>0</v>
      </c>
      <c r="AD49" s="42"/>
      <c r="AE49" s="42"/>
    </row>
    <row r="50" spans="1:31" ht="15" customHeight="1">
      <c r="A50" s="20">
        <f t="shared" si="3"/>
        <v>0</v>
      </c>
      <c r="B50" s="23"/>
      <c r="C50" s="23"/>
      <c r="D50" s="23"/>
      <c r="E50" s="23"/>
      <c r="F50" s="23"/>
      <c r="G50" s="23"/>
      <c r="H50" s="23"/>
      <c r="I50" s="23"/>
      <c r="J50" s="23"/>
      <c r="K50" s="23"/>
      <c r="L50" s="33"/>
      <c r="M50" s="33"/>
      <c r="N50" s="26"/>
      <c r="O50" s="26"/>
      <c r="P50" s="26"/>
      <c r="Q50" s="26"/>
      <c r="R50" s="26"/>
      <c r="S50" s="26"/>
      <c r="T50" s="26"/>
      <c r="U50" s="26"/>
      <c r="V50" s="26"/>
      <c r="W50" s="26"/>
      <c r="X50" s="26">
        <f>COUNTIF($L$2:L50,"&lt;&gt;"&amp;"")</f>
        <v>5</v>
      </c>
      <c r="Y50" s="27">
        <f t="shared" si="4"/>
        <v>0</v>
      </c>
      <c r="Z50" s="28"/>
      <c r="AA50" s="29"/>
      <c r="AB50" s="30" t="b">
        <f>TRUE()</f>
        <v>1</v>
      </c>
      <c r="AC50" s="31">
        <f t="shared" si="5"/>
        <v>0</v>
      </c>
      <c r="AD50" s="42"/>
      <c r="AE50" s="42"/>
    </row>
    <row r="51" spans="1:31" ht="15" customHeight="1">
      <c r="A51" s="20">
        <f t="shared" si="3"/>
        <v>0</v>
      </c>
      <c r="B51" s="23"/>
      <c r="C51" s="23"/>
      <c r="D51" s="23"/>
      <c r="E51" s="23"/>
      <c r="F51" s="23"/>
      <c r="G51" s="23"/>
      <c r="H51" s="23"/>
      <c r="I51" s="23"/>
      <c r="J51" s="23"/>
      <c r="K51" s="23"/>
      <c r="L51" s="33"/>
      <c r="M51" s="26"/>
      <c r="N51" s="26"/>
      <c r="O51" s="26"/>
      <c r="P51" s="26"/>
      <c r="Q51" s="26"/>
      <c r="R51" s="26"/>
      <c r="S51" s="26"/>
      <c r="T51" s="26"/>
      <c r="U51" s="26"/>
      <c r="V51" s="26"/>
      <c r="W51" s="26"/>
      <c r="X51" s="26">
        <f>COUNTIF($L$2:L51,"&lt;&gt;"&amp;"")</f>
        <v>5</v>
      </c>
      <c r="Y51" s="27">
        <f t="shared" si="4"/>
        <v>0</v>
      </c>
      <c r="Z51" s="28"/>
      <c r="AA51" s="29"/>
      <c r="AB51" s="30" t="b">
        <f>TRUE()</f>
        <v>1</v>
      </c>
      <c r="AC51" s="31">
        <f t="shared" si="5"/>
        <v>0</v>
      </c>
      <c r="AD51" s="42"/>
      <c r="AE51" s="42"/>
    </row>
    <row r="52" spans="1:31" ht="15" customHeight="1">
      <c r="A52" s="20">
        <f t="shared" si="3"/>
        <v>0</v>
      </c>
      <c r="B52" s="23"/>
      <c r="C52" s="23"/>
      <c r="D52" s="23"/>
      <c r="E52" s="23"/>
      <c r="F52" s="23"/>
      <c r="G52" s="23"/>
      <c r="H52" s="23"/>
      <c r="I52" s="23"/>
      <c r="J52" s="23"/>
      <c r="K52" s="23"/>
      <c r="L52" s="33"/>
      <c r="M52" s="26"/>
      <c r="N52" s="26"/>
      <c r="O52" s="26"/>
      <c r="P52" s="26"/>
      <c r="Q52" s="26"/>
      <c r="R52" s="26"/>
      <c r="S52" s="26"/>
      <c r="T52" s="26"/>
      <c r="U52" s="26"/>
      <c r="V52" s="26"/>
      <c r="W52" s="26"/>
      <c r="X52" s="26">
        <f>COUNTIF($L$2:L52,"&lt;&gt;"&amp;"")</f>
        <v>5</v>
      </c>
      <c r="Y52" s="27">
        <f t="shared" si="4"/>
        <v>0</v>
      </c>
      <c r="Z52" s="28"/>
      <c r="AA52" s="29"/>
      <c r="AB52" s="30" t="b">
        <f>TRUE()</f>
        <v>1</v>
      </c>
      <c r="AC52" s="31">
        <f t="shared" si="5"/>
        <v>0</v>
      </c>
      <c r="AD52" s="42"/>
      <c r="AE52" s="42"/>
    </row>
    <row r="53" spans="1:31" ht="15" customHeight="1">
      <c r="A53" s="20">
        <f t="shared" si="3"/>
        <v>0</v>
      </c>
      <c r="B53" s="23"/>
      <c r="C53" s="23"/>
      <c r="D53" s="23"/>
      <c r="E53" s="23"/>
      <c r="F53" s="23"/>
      <c r="G53" s="23"/>
      <c r="H53" s="23"/>
      <c r="I53" s="23"/>
      <c r="J53" s="23"/>
      <c r="K53" s="23"/>
      <c r="L53" s="33"/>
      <c r="M53" s="33"/>
      <c r="N53" s="26"/>
      <c r="O53" s="26"/>
      <c r="P53" s="26"/>
      <c r="Q53" s="26"/>
      <c r="R53" s="26"/>
      <c r="S53" s="26"/>
      <c r="T53" s="26"/>
      <c r="U53" s="26"/>
      <c r="V53" s="26"/>
      <c r="W53" s="26"/>
      <c r="X53" s="26">
        <f>COUNTIF($L$2:L53,"&lt;&gt;"&amp;"")</f>
        <v>5</v>
      </c>
      <c r="Y53" s="27">
        <f t="shared" si="4"/>
        <v>0</v>
      </c>
      <c r="Z53" s="28"/>
      <c r="AA53" s="29"/>
      <c r="AB53" s="30" t="b">
        <f>TRUE()</f>
        <v>1</v>
      </c>
      <c r="AC53" s="31">
        <f t="shared" si="5"/>
        <v>0</v>
      </c>
      <c r="AD53" s="42"/>
      <c r="AE53" s="42"/>
    </row>
    <row r="54" spans="1:31" ht="15" customHeight="1">
      <c r="A54" s="20">
        <f t="shared" si="3"/>
        <v>0</v>
      </c>
      <c r="B54" s="23"/>
      <c r="C54" s="23"/>
      <c r="D54" s="23"/>
      <c r="E54" s="23"/>
      <c r="F54" s="23"/>
      <c r="G54" s="23"/>
      <c r="H54" s="23"/>
      <c r="I54" s="23"/>
      <c r="J54" s="23"/>
      <c r="K54" s="23"/>
      <c r="L54" s="33"/>
      <c r="M54" s="26"/>
      <c r="N54" s="26"/>
      <c r="O54" s="26"/>
      <c r="P54" s="26"/>
      <c r="Q54" s="26"/>
      <c r="R54" s="26"/>
      <c r="S54" s="26"/>
      <c r="T54" s="26"/>
      <c r="U54" s="26"/>
      <c r="V54" s="26"/>
      <c r="W54" s="26"/>
      <c r="X54" s="26">
        <f>COUNTIF($L$2:L54,"&lt;&gt;"&amp;"")</f>
        <v>5</v>
      </c>
      <c r="Y54" s="27">
        <f t="shared" si="4"/>
        <v>0</v>
      </c>
      <c r="Z54" s="28"/>
      <c r="AA54" s="29"/>
      <c r="AB54" s="30" t="b">
        <f>TRUE()</f>
        <v>1</v>
      </c>
      <c r="AC54" s="31">
        <f t="shared" si="5"/>
        <v>0</v>
      </c>
      <c r="AD54" s="42"/>
      <c r="AE54" s="42"/>
    </row>
    <row r="55" spans="1:31" ht="15" customHeight="1">
      <c r="A55" s="20">
        <f t="shared" si="3"/>
        <v>0</v>
      </c>
      <c r="B55" s="23"/>
      <c r="C55" s="23"/>
      <c r="D55" s="23"/>
      <c r="E55" s="23"/>
      <c r="F55" s="23"/>
      <c r="G55" s="23"/>
      <c r="H55" s="23"/>
      <c r="I55" s="23"/>
      <c r="J55" s="23"/>
      <c r="K55" s="23"/>
      <c r="L55" s="33"/>
      <c r="M55" s="26"/>
      <c r="N55" s="26"/>
      <c r="O55" s="26"/>
      <c r="P55" s="26"/>
      <c r="Q55" s="26"/>
      <c r="R55" s="26"/>
      <c r="S55" s="26"/>
      <c r="T55" s="26"/>
      <c r="U55" s="26"/>
      <c r="V55" s="26"/>
      <c r="W55" s="26"/>
      <c r="X55" s="26">
        <f>COUNTIF($L$2:L55,"&lt;&gt;"&amp;"")</f>
        <v>5</v>
      </c>
      <c r="Y55" s="27">
        <f t="shared" si="4"/>
        <v>0</v>
      </c>
      <c r="Z55" s="28"/>
      <c r="AA55" s="29"/>
      <c r="AB55" s="30" t="b">
        <f>TRUE()</f>
        <v>1</v>
      </c>
      <c r="AC55" s="31">
        <f t="shared" si="5"/>
        <v>0</v>
      </c>
      <c r="AD55" s="42"/>
      <c r="AE55" s="42"/>
    </row>
    <row r="56" spans="1:31" ht="15" customHeight="1">
      <c r="A56" s="20">
        <f t="shared" si="3"/>
        <v>0</v>
      </c>
      <c r="B56" s="23"/>
      <c r="C56" s="23"/>
      <c r="D56" s="23"/>
      <c r="E56" s="23"/>
      <c r="F56" s="23"/>
      <c r="G56" s="23"/>
      <c r="H56" s="23"/>
      <c r="I56" s="23"/>
      <c r="J56" s="23"/>
      <c r="K56" s="23"/>
      <c r="L56" s="33"/>
      <c r="M56" s="26"/>
      <c r="N56" s="26"/>
      <c r="O56" s="26"/>
      <c r="P56" s="26"/>
      <c r="Q56" s="26"/>
      <c r="R56" s="26"/>
      <c r="S56" s="26"/>
      <c r="T56" s="26"/>
      <c r="U56" s="26"/>
      <c r="V56" s="26"/>
      <c r="W56" s="26"/>
      <c r="X56" s="26">
        <f>COUNTIF($L$2:L56,"&lt;&gt;"&amp;"")</f>
        <v>5</v>
      </c>
      <c r="Y56" s="27">
        <f t="shared" si="4"/>
        <v>0</v>
      </c>
      <c r="Z56" s="28"/>
      <c r="AA56" s="29"/>
      <c r="AB56" s="30" t="b">
        <f>TRUE()</f>
        <v>1</v>
      </c>
      <c r="AC56" s="31">
        <f t="shared" si="5"/>
        <v>0</v>
      </c>
      <c r="AD56" s="42"/>
      <c r="AE56" s="42"/>
    </row>
    <row r="57" spans="1:31" ht="15" customHeight="1">
      <c r="A57" s="20">
        <f t="shared" si="3"/>
        <v>0</v>
      </c>
      <c r="B57" s="23"/>
      <c r="C57" s="23"/>
      <c r="D57" s="23"/>
      <c r="E57" s="23"/>
      <c r="F57" s="23"/>
      <c r="G57" s="23"/>
      <c r="H57" s="23"/>
      <c r="I57" s="23"/>
      <c r="J57" s="23"/>
      <c r="K57" s="23"/>
      <c r="L57" s="33"/>
      <c r="M57" s="26"/>
      <c r="N57" s="26"/>
      <c r="O57" s="26"/>
      <c r="P57" s="26"/>
      <c r="Q57" s="26"/>
      <c r="R57" s="26"/>
      <c r="S57" s="26"/>
      <c r="T57" s="26"/>
      <c r="U57" s="26"/>
      <c r="V57" s="26"/>
      <c r="W57" s="26"/>
      <c r="X57" s="26">
        <f>COUNTIF($L$2:L57,"&lt;&gt;"&amp;"")</f>
        <v>5</v>
      </c>
      <c r="Y57" s="27">
        <f t="shared" si="4"/>
        <v>0</v>
      </c>
      <c r="Z57" s="28"/>
      <c r="AA57" s="29"/>
      <c r="AB57" s="30" t="b">
        <f>TRUE()</f>
        <v>1</v>
      </c>
      <c r="AC57" s="31">
        <f t="shared" si="5"/>
        <v>0</v>
      </c>
      <c r="AD57" s="42"/>
      <c r="AE57" s="42"/>
    </row>
    <row r="58" spans="1:31" ht="15" customHeight="1">
      <c r="A58" s="20">
        <f t="shared" si="3"/>
        <v>0</v>
      </c>
      <c r="B58" s="23"/>
      <c r="C58" s="23"/>
      <c r="D58" s="23"/>
      <c r="E58" s="23"/>
      <c r="F58" s="23"/>
      <c r="G58" s="23"/>
      <c r="H58" s="23"/>
      <c r="I58" s="23"/>
      <c r="J58" s="23"/>
      <c r="K58" s="23"/>
      <c r="L58" s="33"/>
      <c r="M58" s="26"/>
      <c r="N58" s="26"/>
      <c r="O58" s="26"/>
      <c r="P58" s="26"/>
      <c r="Q58" s="26"/>
      <c r="R58" s="26"/>
      <c r="S58" s="26"/>
      <c r="T58" s="26"/>
      <c r="U58" s="26"/>
      <c r="V58" s="26"/>
      <c r="W58" s="26"/>
      <c r="X58" s="26">
        <f>COUNTIF($L$2:L58,"&lt;&gt;"&amp;"")</f>
        <v>5</v>
      </c>
      <c r="Y58" s="27">
        <f t="shared" si="4"/>
        <v>0</v>
      </c>
      <c r="Z58" s="28"/>
      <c r="AA58" s="29"/>
      <c r="AB58" s="30" t="b">
        <f>TRUE()</f>
        <v>1</v>
      </c>
      <c r="AC58" s="31">
        <f t="shared" si="5"/>
        <v>0</v>
      </c>
      <c r="AD58" s="42"/>
      <c r="AE58" s="42"/>
    </row>
    <row r="59" spans="1:31" ht="15" customHeight="1">
      <c r="A59" s="20">
        <f t="shared" si="3"/>
        <v>0</v>
      </c>
      <c r="B59" s="23"/>
      <c r="C59" s="23"/>
      <c r="D59" s="23"/>
      <c r="E59" s="23"/>
      <c r="F59" s="23"/>
      <c r="G59" s="23"/>
      <c r="H59" s="23"/>
      <c r="I59" s="23"/>
      <c r="J59" s="23"/>
      <c r="K59" s="23"/>
      <c r="L59" s="33"/>
      <c r="M59" s="26"/>
      <c r="N59" s="26"/>
      <c r="O59" s="26"/>
      <c r="P59" s="26"/>
      <c r="Q59" s="26"/>
      <c r="R59" s="26"/>
      <c r="S59" s="26"/>
      <c r="T59" s="26"/>
      <c r="U59" s="26"/>
      <c r="V59" s="26"/>
      <c r="W59" s="26"/>
      <c r="X59" s="26">
        <f>COUNTIF($L$2:L59,"&lt;&gt;"&amp;"")</f>
        <v>5</v>
      </c>
      <c r="Y59" s="27">
        <f t="shared" si="4"/>
        <v>0</v>
      </c>
      <c r="Z59" s="28"/>
      <c r="AA59" s="29"/>
      <c r="AB59" s="30" t="b">
        <f>TRUE()</f>
        <v>1</v>
      </c>
      <c r="AC59" s="31">
        <f t="shared" si="5"/>
        <v>0</v>
      </c>
      <c r="AD59" s="42"/>
      <c r="AE59" s="42"/>
    </row>
    <row r="60" spans="1:31" ht="15" customHeight="1">
      <c r="A60" s="20">
        <f t="shared" si="3"/>
        <v>0</v>
      </c>
      <c r="B60" s="23"/>
      <c r="C60" s="23"/>
      <c r="D60" s="23"/>
      <c r="E60" s="23"/>
      <c r="F60" s="23"/>
      <c r="G60" s="23"/>
      <c r="H60" s="23"/>
      <c r="I60" s="23"/>
      <c r="J60" s="23"/>
      <c r="K60" s="23"/>
      <c r="L60" s="33"/>
      <c r="M60" s="26"/>
      <c r="N60" s="26"/>
      <c r="O60" s="26"/>
      <c r="P60" s="26"/>
      <c r="Q60" s="26"/>
      <c r="R60" s="26"/>
      <c r="S60" s="26"/>
      <c r="T60" s="26"/>
      <c r="U60" s="26"/>
      <c r="V60" s="26"/>
      <c r="W60" s="26"/>
      <c r="X60" s="26">
        <f>COUNTIF($L$2:L60,"&lt;&gt;"&amp;"")</f>
        <v>5</v>
      </c>
      <c r="Y60" s="27">
        <f t="shared" si="4"/>
        <v>0</v>
      </c>
      <c r="Z60" s="28"/>
      <c r="AA60" s="29"/>
      <c r="AB60" s="30" t="b">
        <f>TRUE()</f>
        <v>1</v>
      </c>
      <c r="AC60" s="31">
        <f t="shared" si="5"/>
        <v>0</v>
      </c>
      <c r="AD60" s="42"/>
      <c r="AE60" s="42"/>
    </row>
    <row r="61" spans="1:31" ht="15" customHeight="1">
      <c r="A61" s="20">
        <f t="shared" si="3"/>
        <v>0</v>
      </c>
      <c r="B61" s="23"/>
      <c r="C61" s="23"/>
      <c r="D61" s="23"/>
      <c r="E61" s="23"/>
      <c r="F61" s="23"/>
      <c r="G61" s="23"/>
      <c r="H61" s="23"/>
      <c r="I61" s="23"/>
      <c r="J61" s="23"/>
      <c r="K61" s="23"/>
      <c r="L61" s="33"/>
      <c r="M61" s="26"/>
      <c r="N61" s="26"/>
      <c r="O61" s="26"/>
      <c r="P61" s="26"/>
      <c r="Q61" s="26"/>
      <c r="R61" s="26"/>
      <c r="S61" s="26"/>
      <c r="T61" s="26"/>
      <c r="U61" s="26"/>
      <c r="V61" s="26"/>
      <c r="W61" s="26"/>
      <c r="X61" s="26">
        <f>COUNTIF($L$2:L61,"&lt;&gt;"&amp;"")</f>
        <v>5</v>
      </c>
      <c r="Y61" s="27">
        <f t="shared" si="4"/>
        <v>0</v>
      </c>
      <c r="Z61" s="28"/>
      <c r="AA61" s="29"/>
      <c r="AB61" s="30" t="b">
        <f>TRUE()</f>
        <v>1</v>
      </c>
      <c r="AC61" s="31">
        <f t="shared" si="5"/>
        <v>0</v>
      </c>
      <c r="AD61" s="42"/>
      <c r="AE61" s="42"/>
    </row>
    <row r="62" spans="1:31" ht="15" customHeight="1">
      <c r="A62" s="20">
        <f t="shared" si="3"/>
        <v>0</v>
      </c>
      <c r="B62" s="23"/>
      <c r="C62" s="23"/>
      <c r="D62" s="23"/>
      <c r="E62" s="23"/>
      <c r="F62" s="23"/>
      <c r="G62" s="23"/>
      <c r="H62" s="23"/>
      <c r="I62" s="23"/>
      <c r="J62" s="23"/>
      <c r="K62" s="23"/>
      <c r="L62" s="33"/>
      <c r="M62" s="26"/>
      <c r="N62" s="26"/>
      <c r="O62" s="26"/>
      <c r="P62" s="26"/>
      <c r="Q62" s="26"/>
      <c r="R62" s="26"/>
      <c r="S62" s="26"/>
      <c r="T62" s="26"/>
      <c r="U62" s="26"/>
      <c r="V62" s="26"/>
      <c r="W62" s="26"/>
      <c r="X62" s="26">
        <f>COUNTIF($L$2:L62,"&lt;&gt;"&amp;"")</f>
        <v>5</v>
      </c>
      <c r="Y62" s="27">
        <f t="shared" si="4"/>
        <v>0</v>
      </c>
      <c r="Z62" s="28"/>
      <c r="AA62" s="29"/>
      <c r="AB62" s="30" t="b">
        <f>TRUE()</f>
        <v>1</v>
      </c>
      <c r="AC62" s="31">
        <f t="shared" si="5"/>
        <v>0</v>
      </c>
      <c r="AD62" s="42"/>
      <c r="AE62" s="42"/>
    </row>
    <row r="63" spans="1:31" ht="15" customHeight="1">
      <c r="A63" s="20">
        <f t="shared" si="3"/>
        <v>0</v>
      </c>
      <c r="B63" s="23"/>
      <c r="C63" s="23"/>
      <c r="D63" s="23"/>
      <c r="E63" s="23"/>
      <c r="F63" s="23"/>
      <c r="G63" s="23"/>
      <c r="H63" s="23"/>
      <c r="I63" s="23"/>
      <c r="J63" s="23"/>
      <c r="K63" s="23"/>
      <c r="L63" s="33"/>
      <c r="M63" s="26"/>
      <c r="N63" s="26"/>
      <c r="O63" s="26"/>
      <c r="P63" s="26"/>
      <c r="Q63" s="26"/>
      <c r="R63" s="26"/>
      <c r="S63" s="26"/>
      <c r="T63" s="26"/>
      <c r="U63" s="26"/>
      <c r="V63" s="26"/>
      <c r="W63" s="26"/>
      <c r="X63" s="26">
        <f>COUNTIF($L$2:L63,"&lt;&gt;"&amp;"")</f>
        <v>5</v>
      </c>
      <c r="Y63" s="27">
        <f t="shared" si="4"/>
        <v>0</v>
      </c>
      <c r="Z63" s="28"/>
      <c r="AA63" s="29"/>
      <c r="AB63" s="30" t="b">
        <f>TRUE()</f>
        <v>1</v>
      </c>
      <c r="AC63" s="31">
        <f t="shared" si="5"/>
        <v>0</v>
      </c>
      <c r="AD63" s="42"/>
      <c r="AE63" s="42"/>
    </row>
    <row r="64" spans="1:31" ht="15" customHeight="1">
      <c r="A64" s="20">
        <f t="shared" si="3"/>
        <v>0</v>
      </c>
      <c r="B64" s="23"/>
      <c r="C64" s="23"/>
      <c r="D64" s="23"/>
      <c r="E64" s="23"/>
      <c r="F64" s="23"/>
      <c r="G64" s="23"/>
      <c r="H64" s="23"/>
      <c r="I64" s="23"/>
      <c r="J64" s="23"/>
      <c r="K64" s="23"/>
      <c r="L64" s="33"/>
      <c r="M64" s="26"/>
      <c r="N64" s="26"/>
      <c r="O64" s="26"/>
      <c r="P64" s="26"/>
      <c r="Q64" s="26"/>
      <c r="R64" s="26"/>
      <c r="S64" s="26"/>
      <c r="T64" s="26"/>
      <c r="U64" s="26"/>
      <c r="V64" s="26"/>
      <c r="W64" s="26"/>
      <c r="X64" s="26">
        <f>COUNTIF($L$2:L64,"&lt;&gt;"&amp;"")</f>
        <v>5</v>
      </c>
      <c r="Y64" s="27">
        <f t="shared" si="4"/>
        <v>0</v>
      </c>
      <c r="Z64" s="28"/>
      <c r="AA64" s="29"/>
      <c r="AB64" s="30" t="b">
        <f>TRUE()</f>
        <v>1</v>
      </c>
      <c r="AC64" s="31">
        <f t="shared" si="5"/>
        <v>0</v>
      </c>
      <c r="AD64" s="35"/>
      <c r="AE64" s="35"/>
    </row>
    <row r="65" spans="1:31" ht="15" customHeight="1">
      <c r="A65" s="20">
        <f t="shared" si="3"/>
        <v>0</v>
      </c>
      <c r="B65" s="23"/>
      <c r="C65" s="23"/>
      <c r="D65" s="23"/>
      <c r="E65" s="23"/>
      <c r="F65" s="23"/>
      <c r="G65" s="23"/>
      <c r="H65" s="23"/>
      <c r="I65" s="23"/>
      <c r="J65" s="23"/>
      <c r="K65" s="23"/>
      <c r="L65" s="33"/>
      <c r="M65" s="26"/>
      <c r="N65" s="26"/>
      <c r="O65" s="26"/>
      <c r="P65" s="26"/>
      <c r="Q65" s="26"/>
      <c r="R65" s="26"/>
      <c r="S65" s="26"/>
      <c r="T65" s="26"/>
      <c r="U65" s="26"/>
      <c r="V65" s="26"/>
      <c r="W65" s="26"/>
      <c r="X65" s="26">
        <f>COUNTIF($L$2:L65,"&lt;&gt;"&amp;"")</f>
        <v>5</v>
      </c>
      <c r="Y65" s="27">
        <f t="shared" si="4"/>
        <v>0</v>
      </c>
      <c r="Z65" s="28"/>
      <c r="AA65" s="29"/>
      <c r="AB65" s="30" t="b">
        <f>TRUE()</f>
        <v>1</v>
      </c>
      <c r="AC65" s="31">
        <f t="shared" si="5"/>
        <v>0</v>
      </c>
      <c r="AD65" s="42"/>
      <c r="AE65" s="42"/>
    </row>
    <row r="66" spans="1:31" ht="15" customHeight="1">
      <c r="A66" s="20">
        <f t="shared" ref="A66:A97" si="6">(B66*$P$125+C66*$P$126+D66*$P$127+E66*$P$128+F66*$P$129+G66*$P$130+H66*$P$131+I66*$P$132+J66*$P$133+K66*$P$134)*$T$123</f>
        <v>0</v>
      </c>
      <c r="B66" s="23"/>
      <c r="C66" s="23"/>
      <c r="D66" s="23"/>
      <c r="E66" s="23"/>
      <c r="F66" s="23"/>
      <c r="G66" s="23"/>
      <c r="H66" s="23"/>
      <c r="I66" s="23"/>
      <c r="J66" s="23"/>
      <c r="K66" s="23"/>
      <c r="L66" s="33"/>
      <c r="M66" s="33"/>
      <c r="N66" s="26"/>
      <c r="O66" s="26"/>
      <c r="P66" s="26"/>
      <c r="Q66" s="26"/>
      <c r="R66" s="26"/>
      <c r="S66" s="26"/>
      <c r="T66" s="26"/>
      <c r="U66" s="26"/>
      <c r="V66" s="26"/>
      <c r="W66" s="26"/>
      <c r="X66" s="26">
        <f>COUNTIF($L$2:L66,"&lt;&gt;"&amp;"")</f>
        <v>5</v>
      </c>
      <c r="Y66" s="27">
        <f t="shared" ref="Y66:Y97" si="7">SUMIF($X$2:$X$120,X66,$A$2:$A$120)</f>
        <v>0</v>
      </c>
      <c r="Z66" s="28"/>
      <c r="AA66" s="29"/>
      <c r="AB66" s="30" t="b">
        <f>TRUE()</f>
        <v>1</v>
      </c>
      <c r="AC66" s="31">
        <f t="shared" ref="AC66:AC97" si="8">IF(L66="",0,IF(AB66=FALSE(),0,Y66))</f>
        <v>0</v>
      </c>
      <c r="AD66" s="42"/>
      <c r="AE66" s="42"/>
    </row>
    <row r="67" spans="1:31" ht="15" customHeight="1">
      <c r="A67" s="20">
        <f t="shared" si="6"/>
        <v>0</v>
      </c>
      <c r="B67" s="23"/>
      <c r="C67" s="23"/>
      <c r="D67" s="23"/>
      <c r="E67" s="23"/>
      <c r="F67" s="23"/>
      <c r="G67" s="23"/>
      <c r="H67" s="23"/>
      <c r="I67" s="23"/>
      <c r="J67" s="23"/>
      <c r="K67" s="23"/>
      <c r="L67" s="33"/>
      <c r="M67" s="26"/>
      <c r="N67" s="33"/>
      <c r="O67" s="26"/>
      <c r="P67" s="26"/>
      <c r="Q67" s="26"/>
      <c r="R67" s="26"/>
      <c r="S67" s="26"/>
      <c r="T67" s="26"/>
      <c r="U67" s="26"/>
      <c r="V67" s="26"/>
      <c r="W67" s="26"/>
      <c r="X67" s="26">
        <f>COUNTIF($L$2:L67,"&lt;&gt;"&amp;"")</f>
        <v>5</v>
      </c>
      <c r="Y67" s="27">
        <f t="shared" si="7"/>
        <v>0</v>
      </c>
      <c r="Z67" s="28"/>
      <c r="AA67" s="29"/>
      <c r="AB67" s="30" t="b">
        <f>TRUE()</f>
        <v>1</v>
      </c>
      <c r="AC67" s="31">
        <f t="shared" si="8"/>
        <v>0</v>
      </c>
      <c r="AD67" s="42"/>
      <c r="AE67" s="42"/>
    </row>
    <row r="68" spans="1:31" ht="15" customHeight="1">
      <c r="A68" s="20">
        <f t="shared" si="6"/>
        <v>0</v>
      </c>
      <c r="B68" s="23"/>
      <c r="C68" s="23"/>
      <c r="D68" s="23"/>
      <c r="E68" s="23"/>
      <c r="F68" s="23"/>
      <c r="G68" s="23"/>
      <c r="H68" s="23"/>
      <c r="I68" s="23"/>
      <c r="J68" s="23"/>
      <c r="K68" s="23"/>
      <c r="L68" s="33"/>
      <c r="M68" s="26"/>
      <c r="N68" s="26"/>
      <c r="O68" s="26"/>
      <c r="P68" s="26"/>
      <c r="Q68" s="26"/>
      <c r="R68" s="26"/>
      <c r="S68" s="26"/>
      <c r="T68" s="26"/>
      <c r="U68" s="26"/>
      <c r="V68" s="26"/>
      <c r="W68" s="26"/>
      <c r="X68" s="26">
        <f>COUNTIF($L$2:L68,"&lt;&gt;"&amp;"")</f>
        <v>5</v>
      </c>
      <c r="Y68" s="27">
        <f t="shared" si="7"/>
        <v>0</v>
      </c>
      <c r="Z68" s="28"/>
      <c r="AA68" s="29"/>
      <c r="AB68" s="30" t="b">
        <f>TRUE()</f>
        <v>1</v>
      </c>
      <c r="AC68" s="31">
        <f t="shared" si="8"/>
        <v>0</v>
      </c>
      <c r="AD68" s="42"/>
      <c r="AE68" s="42"/>
    </row>
    <row r="69" spans="1:31" ht="15" customHeight="1">
      <c r="A69" s="20">
        <f t="shared" si="6"/>
        <v>0</v>
      </c>
      <c r="B69" s="23"/>
      <c r="C69" s="23"/>
      <c r="D69" s="23"/>
      <c r="E69" s="23"/>
      <c r="F69" s="23"/>
      <c r="G69" s="23"/>
      <c r="H69" s="23"/>
      <c r="I69" s="23"/>
      <c r="J69" s="23"/>
      <c r="K69" s="23"/>
      <c r="L69" s="33"/>
      <c r="M69" s="26"/>
      <c r="N69" s="26"/>
      <c r="O69" s="26"/>
      <c r="P69" s="26"/>
      <c r="Q69" s="26"/>
      <c r="R69" s="26"/>
      <c r="S69" s="26"/>
      <c r="T69" s="26"/>
      <c r="U69" s="26"/>
      <c r="V69" s="26"/>
      <c r="W69" s="26"/>
      <c r="X69" s="26">
        <f>COUNTIF($L$2:L69,"&lt;&gt;"&amp;"")</f>
        <v>5</v>
      </c>
      <c r="Y69" s="27">
        <f t="shared" si="7"/>
        <v>0</v>
      </c>
      <c r="Z69" s="28"/>
      <c r="AA69" s="29"/>
      <c r="AB69" s="30" t="b">
        <f>TRUE()</f>
        <v>1</v>
      </c>
      <c r="AC69" s="31">
        <f t="shared" si="8"/>
        <v>0</v>
      </c>
      <c r="AD69" s="42"/>
      <c r="AE69" s="42"/>
    </row>
    <row r="70" spans="1:31" ht="15" customHeight="1">
      <c r="A70" s="20">
        <f t="shared" si="6"/>
        <v>0</v>
      </c>
      <c r="B70" s="23"/>
      <c r="C70" s="23"/>
      <c r="D70" s="23"/>
      <c r="E70" s="23"/>
      <c r="F70" s="23"/>
      <c r="G70" s="23"/>
      <c r="H70" s="23"/>
      <c r="I70" s="23"/>
      <c r="J70" s="23"/>
      <c r="K70" s="23"/>
      <c r="L70" s="33"/>
      <c r="M70" s="26"/>
      <c r="N70" s="26"/>
      <c r="O70" s="26"/>
      <c r="P70" s="26"/>
      <c r="Q70" s="26"/>
      <c r="R70" s="26"/>
      <c r="S70" s="26"/>
      <c r="T70" s="26"/>
      <c r="U70" s="26"/>
      <c r="V70" s="26"/>
      <c r="W70" s="26"/>
      <c r="X70" s="26">
        <f>COUNTIF($L$2:L70,"&lt;&gt;"&amp;"")</f>
        <v>5</v>
      </c>
      <c r="Y70" s="27">
        <f t="shared" si="7"/>
        <v>0</v>
      </c>
      <c r="Z70" s="28"/>
      <c r="AA70" s="29"/>
      <c r="AB70" s="30" t="b">
        <f>TRUE()</f>
        <v>1</v>
      </c>
      <c r="AC70" s="31">
        <f t="shared" si="8"/>
        <v>0</v>
      </c>
      <c r="AD70" s="42"/>
      <c r="AE70" s="42"/>
    </row>
    <row r="71" spans="1:31" ht="15" customHeight="1">
      <c r="A71" s="20">
        <f t="shared" si="6"/>
        <v>0</v>
      </c>
      <c r="B71" s="23"/>
      <c r="C71" s="23"/>
      <c r="D71" s="23"/>
      <c r="E71" s="23"/>
      <c r="F71" s="23"/>
      <c r="G71" s="23"/>
      <c r="H71" s="23"/>
      <c r="I71" s="23"/>
      <c r="J71" s="23"/>
      <c r="K71" s="23"/>
      <c r="L71" s="33"/>
      <c r="M71" s="26"/>
      <c r="N71" s="26"/>
      <c r="O71" s="26"/>
      <c r="P71" s="26"/>
      <c r="Q71" s="26"/>
      <c r="R71" s="26"/>
      <c r="S71" s="26"/>
      <c r="T71" s="26"/>
      <c r="U71" s="26"/>
      <c r="V71" s="26"/>
      <c r="W71" s="26"/>
      <c r="X71" s="26">
        <f>COUNTIF($L$2:L71,"&lt;&gt;"&amp;"")</f>
        <v>5</v>
      </c>
      <c r="Y71" s="27">
        <f t="shared" si="7"/>
        <v>0</v>
      </c>
      <c r="Z71" s="28"/>
      <c r="AA71" s="29"/>
      <c r="AB71" s="30" t="b">
        <f>TRUE()</f>
        <v>1</v>
      </c>
      <c r="AC71" s="31">
        <f t="shared" si="8"/>
        <v>0</v>
      </c>
      <c r="AD71" s="42"/>
      <c r="AE71" s="42"/>
    </row>
    <row r="72" spans="1:31" ht="15" customHeight="1">
      <c r="A72" s="20">
        <f t="shared" si="6"/>
        <v>0</v>
      </c>
      <c r="B72" s="23"/>
      <c r="C72" s="23"/>
      <c r="D72" s="23"/>
      <c r="E72" s="23"/>
      <c r="F72" s="23"/>
      <c r="G72" s="23"/>
      <c r="H72" s="23"/>
      <c r="I72" s="23"/>
      <c r="J72" s="23"/>
      <c r="K72" s="23"/>
      <c r="L72" s="33"/>
      <c r="M72" s="26"/>
      <c r="N72" s="26"/>
      <c r="O72" s="26"/>
      <c r="P72" s="26"/>
      <c r="Q72" s="26"/>
      <c r="R72" s="26"/>
      <c r="S72" s="26"/>
      <c r="T72" s="26"/>
      <c r="U72" s="26"/>
      <c r="V72" s="26"/>
      <c r="W72" s="26"/>
      <c r="X72" s="26">
        <f>COUNTIF($L$2:L72,"&lt;&gt;"&amp;"")</f>
        <v>5</v>
      </c>
      <c r="Y72" s="27">
        <f t="shared" si="7"/>
        <v>0</v>
      </c>
      <c r="Z72" s="28"/>
      <c r="AA72" s="29"/>
      <c r="AB72" s="30" t="b">
        <f>TRUE()</f>
        <v>1</v>
      </c>
      <c r="AC72" s="31">
        <f t="shared" si="8"/>
        <v>0</v>
      </c>
      <c r="AD72" s="42"/>
      <c r="AE72" s="42"/>
    </row>
    <row r="73" spans="1:31" ht="15" customHeight="1">
      <c r="A73" s="20">
        <f t="shared" si="6"/>
        <v>0</v>
      </c>
      <c r="B73" s="23"/>
      <c r="C73" s="23"/>
      <c r="D73" s="23"/>
      <c r="E73" s="23"/>
      <c r="F73" s="23"/>
      <c r="G73" s="23"/>
      <c r="H73" s="23"/>
      <c r="I73" s="23"/>
      <c r="J73" s="23"/>
      <c r="K73" s="23"/>
      <c r="L73" s="33"/>
      <c r="M73" s="26"/>
      <c r="N73" s="26"/>
      <c r="O73" s="26"/>
      <c r="P73" s="26"/>
      <c r="Q73" s="26"/>
      <c r="R73" s="26"/>
      <c r="S73" s="26"/>
      <c r="T73" s="26"/>
      <c r="U73" s="26"/>
      <c r="V73" s="26"/>
      <c r="W73" s="26"/>
      <c r="X73" s="26">
        <f>COUNTIF($L$2:L73,"&lt;&gt;"&amp;"")</f>
        <v>5</v>
      </c>
      <c r="Y73" s="27">
        <f t="shared" si="7"/>
        <v>0</v>
      </c>
      <c r="Z73" s="28"/>
      <c r="AA73" s="29"/>
      <c r="AB73" s="30" t="b">
        <f>TRUE()</f>
        <v>1</v>
      </c>
      <c r="AC73" s="31">
        <f t="shared" si="8"/>
        <v>0</v>
      </c>
      <c r="AD73" s="42"/>
      <c r="AE73" s="42"/>
    </row>
    <row r="74" spans="1:31" ht="15" customHeight="1">
      <c r="A74" s="20">
        <f t="shared" si="6"/>
        <v>0</v>
      </c>
      <c r="B74" s="23"/>
      <c r="C74" s="23"/>
      <c r="D74" s="23"/>
      <c r="E74" s="23"/>
      <c r="F74" s="23"/>
      <c r="G74" s="23"/>
      <c r="H74" s="23"/>
      <c r="I74" s="23"/>
      <c r="J74" s="23"/>
      <c r="K74" s="23"/>
      <c r="L74" s="33"/>
      <c r="M74" s="33"/>
      <c r="N74" s="26"/>
      <c r="O74" s="26"/>
      <c r="P74" s="26"/>
      <c r="Q74" s="26"/>
      <c r="R74" s="26"/>
      <c r="S74" s="26"/>
      <c r="T74" s="26"/>
      <c r="U74" s="26"/>
      <c r="V74" s="26"/>
      <c r="W74" s="26"/>
      <c r="X74" s="26">
        <f>COUNTIF($L$2:L74,"&lt;&gt;"&amp;"")</f>
        <v>5</v>
      </c>
      <c r="Y74" s="27">
        <f t="shared" si="7"/>
        <v>0</v>
      </c>
      <c r="Z74" s="28"/>
      <c r="AA74" s="29"/>
      <c r="AB74" s="30" t="b">
        <f>TRUE()</f>
        <v>1</v>
      </c>
      <c r="AC74" s="31">
        <f t="shared" si="8"/>
        <v>0</v>
      </c>
      <c r="AD74" s="42"/>
      <c r="AE74" s="42"/>
    </row>
    <row r="75" spans="1:31" ht="15" customHeight="1">
      <c r="A75" s="20">
        <f t="shared" si="6"/>
        <v>0</v>
      </c>
      <c r="B75" s="23"/>
      <c r="C75" s="23"/>
      <c r="D75" s="23"/>
      <c r="E75" s="23"/>
      <c r="F75" s="23"/>
      <c r="G75" s="23"/>
      <c r="H75" s="23"/>
      <c r="I75" s="23"/>
      <c r="J75" s="23"/>
      <c r="K75" s="23"/>
      <c r="L75" s="33"/>
      <c r="M75" s="26"/>
      <c r="N75" s="26"/>
      <c r="O75" s="26"/>
      <c r="P75" s="26"/>
      <c r="Q75" s="26"/>
      <c r="R75" s="26"/>
      <c r="S75" s="26"/>
      <c r="T75" s="26"/>
      <c r="U75" s="26"/>
      <c r="V75" s="26"/>
      <c r="W75" s="26"/>
      <c r="X75" s="26">
        <f>COUNTIF($L$2:L75,"&lt;&gt;"&amp;"")</f>
        <v>5</v>
      </c>
      <c r="Y75" s="27">
        <f t="shared" si="7"/>
        <v>0</v>
      </c>
      <c r="Z75" s="28"/>
      <c r="AA75" s="29"/>
      <c r="AB75" s="30" t="b">
        <f>TRUE()</f>
        <v>1</v>
      </c>
      <c r="AC75" s="31">
        <f t="shared" si="8"/>
        <v>0</v>
      </c>
      <c r="AD75" s="35"/>
      <c r="AE75" s="35"/>
    </row>
    <row r="76" spans="1:31" ht="15" customHeight="1">
      <c r="A76" s="20">
        <f t="shared" si="6"/>
        <v>0</v>
      </c>
      <c r="B76" s="23"/>
      <c r="C76" s="23"/>
      <c r="D76" s="23"/>
      <c r="E76" s="23"/>
      <c r="F76" s="23"/>
      <c r="G76" s="23"/>
      <c r="H76" s="23"/>
      <c r="I76" s="23"/>
      <c r="J76" s="23"/>
      <c r="K76" s="23"/>
      <c r="L76" s="33"/>
      <c r="M76" s="26"/>
      <c r="N76" s="26"/>
      <c r="O76" s="26"/>
      <c r="P76" s="26"/>
      <c r="Q76" s="26"/>
      <c r="R76" s="26"/>
      <c r="S76" s="26"/>
      <c r="T76" s="26"/>
      <c r="U76" s="26"/>
      <c r="V76" s="26"/>
      <c r="W76" s="26"/>
      <c r="X76" s="26">
        <f>COUNTIF($L$2:L76,"&lt;&gt;"&amp;"")</f>
        <v>5</v>
      </c>
      <c r="Y76" s="27">
        <f t="shared" si="7"/>
        <v>0</v>
      </c>
      <c r="Z76" s="28"/>
      <c r="AA76" s="29"/>
      <c r="AB76" s="30" t="b">
        <f>TRUE()</f>
        <v>1</v>
      </c>
      <c r="AC76" s="31">
        <f t="shared" si="8"/>
        <v>0</v>
      </c>
      <c r="AD76" s="35"/>
      <c r="AE76" s="35"/>
    </row>
    <row r="77" spans="1:31" ht="15" customHeight="1">
      <c r="A77" s="20">
        <f t="shared" si="6"/>
        <v>0</v>
      </c>
      <c r="B77" s="23"/>
      <c r="C77" s="23"/>
      <c r="D77" s="23"/>
      <c r="E77" s="23"/>
      <c r="F77" s="23"/>
      <c r="G77" s="23"/>
      <c r="H77" s="23"/>
      <c r="I77" s="23"/>
      <c r="J77" s="23"/>
      <c r="K77" s="23"/>
      <c r="L77" s="33"/>
      <c r="M77" s="26"/>
      <c r="N77" s="26"/>
      <c r="O77" s="26"/>
      <c r="P77" s="26"/>
      <c r="Q77" s="26"/>
      <c r="R77" s="26"/>
      <c r="S77" s="26"/>
      <c r="T77" s="26"/>
      <c r="U77" s="26"/>
      <c r="V77" s="26"/>
      <c r="W77" s="26"/>
      <c r="X77" s="26">
        <f>COUNTIF($L$2:L77,"&lt;&gt;"&amp;"")</f>
        <v>5</v>
      </c>
      <c r="Y77" s="27">
        <f t="shared" si="7"/>
        <v>0</v>
      </c>
      <c r="Z77" s="28"/>
      <c r="AA77" s="29"/>
      <c r="AB77" s="30" t="b">
        <f>TRUE()</f>
        <v>1</v>
      </c>
      <c r="AC77" s="31">
        <f t="shared" si="8"/>
        <v>0</v>
      </c>
      <c r="AD77" s="35"/>
      <c r="AE77" s="35"/>
    </row>
    <row r="78" spans="1:31" ht="15" customHeight="1">
      <c r="A78" s="20">
        <f t="shared" si="6"/>
        <v>0</v>
      </c>
      <c r="B78" s="23"/>
      <c r="C78" s="23"/>
      <c r="D78" s="23"/>
      <c r="E78" s="23"/>
      <c r="F78" s="23"/>
      <c r="G78" s="23"/>
      <c r="H78" s="23"/>
      <c r="I78" s="23"/>
      <c r="J78" s="23"/>
      <c r="K78" s="23"/>
      <c r="L78" s="33"/>
      <c r="M78" s="26"/>
      <c r="N78" s="26"/>
      <c r="O78" s="26"/>
      <c r="P78" s="26"/>
      <c r="Q78" s="26"/>
      <c r="R78" s="26"/>
      <c r="S78" s="26"/>
      <c r="T78" s="26"/>
      <c r="U78" s="26"/>
      <c r="V78" s="26"/>
      <c r="W78" s="26"/>
      <c r="X78" s="26">
        <f>COUNTIF($L$2:L78,"&lt;&gt;"&amp;"")</f>
        <v>5</v>
      </c>
      <c r="Y78" s="27">
        <f t="shared" si="7"/>
        <v>0</v>
      </c>
      <c r="Z78" s="28"/>
      <c r="AA78" s="29"/>
      <c r="AB78" s="30" t="b">
        <f>TRUE()</f>
        <v>1</v>
      </c>
      <c r="AC78" s="31">
        <f t="shared" si="8"/>
        <v>0</v>
      </c>
      <c r="AD78" s="35"/>
      <c r="AE78" s="35"/>
    </row>
    <row r="79" spans="1:31" ht="15" customHeight="1">
      <c r="A79" s="20">
        <f t="shared" si="6"/>
        <v>0</v>
      </c>
      <c r="B79" s="23"/>
      <c r="C79" s="23"/>
      <c r="D79" s="23"/>
      <c r="E79" s="23"/>
      <c r="F79" s="23"/>
      <c r="G79" s="23"/>
      <c r="H79" s="23"/>
      <c r="I79" s="23"/>
      <c r="J79" s="23"/>
      <c r="K79" s="23"/>
      <c r="L79" s="33"/>
      <c r="M79" s="26"/>
      <c r="N79" s="26"/>
      <c r="O79" s="26"/>
      <c r="P79" s="26"/>
      <c r="Q79" s="26"/>
      <c r="R79" s="26"/>
      <c r="S79" s="26"/>
      <c r="T79" s="26"/>
      <c r="U79" s="26"/>
      <c r="V79" s="26"/>
      <c r="W79" s="26"/>
      <c r="X79" s="26">
        <f>COUNTIF($L$2:L79,"&lt;&gt;"&amp;"")</f>
        <v>5</v>
      </c>
      <c r="Y79" s="27">
        <f t="shared" si="7"/>
        <v>0</v>
      </c>
      <c r="Z79" s="28"/>
      <c r="AA79" s="29"/>
      <c r="AB79" s="30" t="b">
        <f>TRUE()</f>
        <v>1</v>
      </c>
      <c r="AC79" s="31">
        <f t="shared" si="8"/>
        <v>0</v>
      </c>
      <c r="AD79" s="35"/>
      <c r="AE79" s="35"/>
    </row>
    <row r="80" spans="1:31" ht="15" customHeight="1">
      <c r="A80" s="20">
        <f t="shared" si="6"/>
        <v>0</v>
      </c>
      <c r="B80" s="23"/>
      <c r="C80" s="23"/>
      <c r="D80" s="23"/>
      <c r="E80" s="23"/>
      <c r="F80" s="23"/>
      <c r="G80" s="23"/>
      <c r="H80" s="23"/>
      <c r="I80" s="23"/>
      <c r="J80" s="23"/>
      <c r="K80" s="23"/>
      <c r="L80" s="33"/>
      <c r="M80" s="26"/>
      <c r="N80" s="26"/>
      <c r="O80" s="26"/>
      <c r="P80" s="26"/>
      <c r="Q80" s="26"/>
      <c r="R80" s="26"/>
      <c r="S80" s="26"/>
      <c r="T80" s="26"/>
      <c r="U80" s="26"/>
      <c r="V80" s="26"/>
      <c r="W80" s="26"/>
      <c r="X80" s="26">
        <f>COUNTIF($L$2:L80,"&lt;&gt;"&amp;"")</f>
        <v>5</v>
      </c>
      <c r="Y80" s="27">
        <f t="shared" si="7"/>
        <v>0</v>
      </c>
      <c r="Z80" s="28"/>
      <c r="AA80" s="29"/>
      <c r="AB80" s="30" t="b">
        <f>TRUE()</f>
        <v>1</v>
      </c>
      <c r="AC80" s="31">
        <f t="shared" si="8"/>
        <v>0</v>
      </c>
      <c r="AD80" s="23"/>
      <c r="AE80" s="23"/>
    </row>
    <row r="81" spans="1:31" ht="15" customHeight="1">
      <c r="A81" s="20">
        <f t="shared" si="6"/>
        <v>0</v>
      </c>
      <c r="B81" s="23"/>
      <c r="C81" s="23"/>
      <c r="D81" s="23"/>
      <c r="E81" s="23"/>
      <c r="F81" s="23"/>
      <c r="G81" s="23"/>
      <c r="H81" s="23"/>
      <c r="I81" s="23"/>
      <c r="J81" s="23"/>
      <c r="K81" s="23"/>
      <c r="L81" s="33"/>
      <c r="M81" s="26"/>
      <c r="N81" s="26"/>
      <c r="O81" s="26"/>
      <c r="P81" s="26"/>
      <c r="Q81" s="26"/>
      <c r="R81" s="26"/>
      <c r="S81" s="26"/>
      <c r="T81" s="26"/>
      <c r="U81" s="26"/>
      <c r="V81" s="26"/>
      <c r="W81" s="26"/>
      <c r="X81" s="26">
        <f>COUNTIF($L$2:L81,"&lt;&gt;"&amp;"")</f>
        <v>5</v>
      </c>
      <c r="Y81" s="27">
        <f t="shared" si="7"/>
        <v>0</v>
      </c>
      <c r="Z81" s="28"/>
      <c r="AA81" s="29"/>
      <c r="AB81" s="30" t="b">
        <f>TRUE()</f>
        <v>1</v>
      </c>
      <c r="AC81" s="31">
        <f t="shared" si="8"/>
        <v>0</v>
      </c>
      <c r="AD81" s="23"/>
      <c r="AE81" s="23"/>
    </row>
    <row r="82" spans="1:31" ht="15" customHeight="1">
      <c r="A82" s="20">
        <f t="shared" si="6"/>
        <v>0</v>
      </c>
      <c r="B82" s="23"/>
      <c r="C82" s="23"/>
      <c r="D82" s="23"/>
      <c r="E82" s="23"/>
      <c r="F82" s="23"/>
      <c r="G82" s="23"/>
      <c r="H82" s="23"/>
      <c r="I82" s="23"/>
      <c r="J82" s="23"/>
      <c r="K82" s="23"/>
      <c r="L82" s="33"/>
      <c r="M82" s="26"/>
      <c r="N82" s="26"/>
      <c r="O82" s="26"/>
      <c r="P82" s="26"/>
      <c r="Q82" s="26"/>
      <c r="R82" s="26"/>
      <c r="S82" s="26"/>
      <c r="T82" s="26"/>
      <c r="U82" s="26"/>
      <c r="V82" s="26"/>
      <c r="W82" s="26"/>
      <c r="X82" s="26">
        <f>COUNTIF($L$2:L82,"&lt;&gt;"&amp;"")</f>
        <v>5</v>
      </c>
      <c r="Y82" s="27">
        <f t="shared" si="7"/>
        <v>0</v>
      </c>
      <c r="Z82" s="28"/>
      <c r="AA82" s="29"/>
      <c r="AB82" s="30" t="b">
        <f>TRUE()</f>
        <v>1</v>
      </c>
      <c r="AC82" s="31">
        <f t="shared" si="8"/>
        <v>0</v>
      </c>
      <c r="AD82" s="23"/>
      <c r="AE82" s="23"/>
    </row>
    <row r="83" spans="1:31" ht="15" customHeight="1">
      <c r="A83" s="20">
        <f t="shared" si="6"/>
        <v>0</v>
      </c>
      <c r="B83" s="23"/>
      <c r="C83" s="23"/>
      <c r="D83" s="23"/>
      <c r="E83" s="23"/>
      <c r="F83" s="23"/>
      <c r="G83" s="23"/>
      <c r="H83" s="23"/>
      <c r="I83" s="23"/>
      <c r="J83" s="23"/>
      <c r="K83" s="23"/>
      <c r="L83" s="33"/>
      <c r="M83" s="26"/>
      <c r="N83" s="26"/>
      <c r="O83" s="26"/>
      <c r="P83" s="26"/>
      <c r="Q83" s="26"/>
      <c r="R83" s="26"/>
      <c r="S83" s="26"/>
      <c r="T83" s="26"/>
      <c r="U83" s="26"/>
      <c r="V83" s="26"/>
      <c r="W83" s="26"/>
      <c r="X83" s="26">
        <f>COUNTIF($L$2:L83,"&lt;&gt;"&amp;"")</f>
        <v>5</v>
      </c>
      <c r="Y83" s="27">
        <f t="shared" si="7"/>
        <v>0</v>
      </c>
      <c r="Z83" s="28"/>
      <c r="AA83" s="29"/>
      <c r="AB83" s="30" t="b">
        <f>TRUE()</f>
        <v>1</v>
      </c>
      <c r="AC83" s="31">
        <f t="shared" si="8"/>
        <v>0</v>
      </c>
      <c r="AD83" s="23"/>
      <c r="AE83" s="23"/>
    </row>
    <row r="84" spans="1:31" ht="15" customHeight="1">
      <c r="A84" s="20">
        <f t="shared" si="6"/>
        <v>0</v>
      </c>
      <c r="B84" s="23"/>
      <c r="C84" s="23"/>
      <c r="D84" s="23"/>
      <c r="E84" s="23"/>
      <c r="F84" s="23"/>
      <c r="G84" s="23"/>
      <c r="H84" s="23"/>
      <c r="I84" s="23"/>
      <c r="J84" s="23"/>
      <c r="K84" s="23"/>
      <c r="L84" s="33"/>
      <c r="M84" s="26"/>
      <c r="N84" s="26"/>
      <c r="O84" s="26"/>
      <c r="P84" s="26"/>
      <c r="Q84" s="26"/>
      <c r="R84" s="26"/>
      <c r="S84" s="26"/>
      <c r="T84" s="26"/>
      <c r="U84" s="26"/>
      <c r="V84" s="26"/>
      <c r="W84" s="26"/>
      <c r="X84" s="26">
        <f>COUNTIF($L$2:L84,"&lt;&gt;"&amp;"")</f>
        <v>5</v>
      </c>
      <c r="Y84" s="27">
        <f t="shared" si="7"/>
        <v>0</v>
      </c>
      <c r="Z84" s="28"/>
      <c r="AA84" s="29"/>
      <c r="AB84" s="30" t="b">
        <f>TRUE()</f>
        <v>1</v>
      </c>
      <c r="AC84" s="31">
        <f t="shared" si="8"/>
        <v>0</v>
      </c>
      <c r="AD84" s="23"/>
      <c r="AE84" s="23"/>
    </row>
    <row r="85" spans="1:31" ht="15" customHeight="1">
      <c r="A85" s="20">
        <f t="shared" si="6"/>
        <v>0</v>
      </c>
      <c r="B85" s="23"/>
      <c r="C85" s="23"/>
      <c r="D85" s="23"/>
      <c r="E85" s="23"/>
      <c r="F85" s="23"/>
      <c r="G85" s="23"/>
      <c r="H85" s="23"/>
      <c r="I85" s="23"/>
      <c r="J85" s="23"/>
      <c r="K85" s="23"/>
      <c r="L85" s="33"/>
      <c r="M85" s="26"/>
      <c r="N85" s="26"/>
      <c r="O85" s="26"/>
      <c r="P85" s="26"/>
      <c r="Q85" s="26"/>
      <c r="R85" s="26"/>
      <c r="S85" s="26"/>
      <c r="T85" s="26"/>
      <c r="U85" s="26"/>
      <c r="V85" s="26"/>
      <c r="W85" s="26"/>
      <c r="X85" s="26">
        <f>COUNTIF($L$2:L85,"&lt;&gt;"&amp;"")</f>
        <v>5</v>
      </c>
      <c r="Y85" s="27">
        <f t="shared" si="7"/>
        <v>0</v>
      </c>
      <c r="Z85" s="28"/>
      <c r="AA85" s="29"/>
      <c r="AB85" s="30" t="b">
        <f>TRUE()</f>
        <v>1</v>
      </c>
      <c r="AC85" s="31">
        <f t="shared" si="8"/>
        <v>0</v>
      </c>
      <c r="AD85" s="42"/>
      <c r="AE85" s="42"/>
    </row>
    <row r="86" spans="1:31" ht="15" customHeight="1">
      <c r="A86" s="20">
        <f t="shared" si="6"/>
        <v>0</v>
      </c>
      <c r="B86" s="23"/>
      <c r="C86" s="23"/>
      <c r="D86" s="23"/>
      <c r="E86" s="23"/>
      <c r="F86" s="23"/>
      <c r="G86" s="23"/>
      <c r="H86" s="23"/>
      <c r="I86" s="23"/>
      <c r="J86" s="23"/>
      <c r="K86" s="23"/>
      <c r="L86" s="33"/>
      <c r="M86" s="26"/>
      <c r="N86" s="26"/>
      <c r="O86" s="26"/>
      <c r="P86" s="26"/>
      <c r="Q86" s="26"/>
      <c r="R86" s="26"/>
      <c r="S86" s="26"/>
      <c r="T86" s="26"/>
      <c r="U86" s="26"/>
      <c r="V86" s="26"/>
      <c r="W86" s="26"/>
      <c r="X86" s="26">
        <f>COUNTIF($L$2:L86,"&lt;&gt;"&amp;"")</f>
        <v>5</v>
      </c>
      <c r="Y86" s="27">
        <f t="shared" si="7"/>
        <v>0</v>
      </c>
      <c r="Z86" s="28"/>
      <c r="AA86" s="29"/>
      <c r="AB86" s="30" t="b">
        <f>TRUE()</f>
        <v>1</v>
      </c>
      <c r="AC86" s="31">
        <f t="shared" si="8"/>
        <v>0</v>
      </c>
      <c r="AD86" s="42"/>
      <c r="AE86" s="42"/>
    </row>
    <row r="87" spans="1:31" ht="15" customHeight="1">
      <c r="A87" s="20">
        <f t="shared" si="6"/>
        <v>0</v>
      </c>
      <c r="B87" s="23"/>
      <c r="C87" s="23"/>
      <c r="D87" s="23"/>
      <c r="E87" s="23"/>
      <c r="F87" s="23"/>
      <c r="G87" s="23"/>
      <c r="H87" s="23"/>
      <c r="I87" s="23"/>
      <c r="J87" s="23"/>
      <c r="K87" s="23"/>
      <c r="L87" s="33"/>
      <c r="M87" s="26"/>
      <c r="N87" s="26"/>
      <c r="O87" s="26"/>
      <c r="P87" s="26"/>
      <c r="Q87" s="26"/>
      <c r="R87" s="26"/>
      <c r="S87" s="26"/>
      <c r="T87" s="26"/>
      <c r="U87" s="26"/>
      <c r="V87" s="26"/>
      <c r="W87" s="26"/>
      <c r="X87" s="26">
        <f>COUNTIF($L$2:L87,"&lt;&gt;"&amp;"")</f>
        <v>5</v>
      </c>
      <c r="Y87" s="27">
        <f t="shared" si="7"/>
        <v>0</v>
      </c>
      <c r="Z87" s="28"/>
      <c r="AA87" s="29"/>
      <c r="AB87" s="30" t="b">
        <f>TRUE()</f>
        <v>1</v>
      </c>
      <c r="AC87" s="31">
        <f t="shared" si="8"/>
        <v>0</v>
      </c>
      <c r="AD87" s="42"/>
      <c r="AE87" s="42"/>
    </row>
    <row r="88" spans="1:31" ht="15" customHeight="1">
      <c r="A88" s="20">
        <f t="shared" si="6"/>
        <v>0</v>
      </c>
      <c r="B88" s="23"/>
      <c r="C88" s="23"/>
      <c r="D88" s="23"/>
      <c r="E88" s="23"/>
      <c r="F88" s="23"/>
      <c r="G88" s="23"/>
      <c r="H88" s="23"/>
      <c r="I88" s="23"/>
      <c r="J88" s="23"/>
      <c r="K88" s="23"/>
      <c r="L88" s="33"/>
      <c r="M88" s="26"/>
      <c r="N88" s="26"/>
      <c r="O88" s="26"/>
      <c r="P88" s="26"/>
      <c r="Q88" s="26"/>
      <c r="R88" s="26"/>
      <c r="S88" s="26"/>
      <c r="T88" s="26"/>
      <c r="U88" s="26"/>
      <c r="V88" s="26"/>
      <c r="W88" s="26"/>
      <c r="X88" s="26">
        <f>COUNTIF($L$2:L88,"&lt;&gt;"&amp;"")</f>
        <v>5</v>
      </c>
      <c r="Y88" s="27">
        <f t="shared" si="7"/>
        <v>0</v>
      </c>
      <c r="Z88" s="28"/>
      <c r="AA88" s="29"/>
      <c r="AB88" s="30" t="b">
        <f>TRUE()</f>
        <v>1</v>
      </c>
      <c r="AC88" s="31">
        <f t="shared" si="8"/>
        <v>0</v>
      </c>
      <c r="AD88" s="42"/>
      <c r="AE88" s="42"/>
    </row>
    <row r="89" spans="1:31" ht="15" customHeight="1">
      <c r="A89" s="20">
        <f t="shared" si="6"/>
        <v>0</v>
      </c>
      <c r="B89" s="23"/>
      <c r="C89" s="23"/>
      <c r="D89" s="23"/>
      <c r="E89" s="23"/>
      <c r="F89" s="23"/>
      <c r="G89" s="23"/>
      <c r="H89" s="23"/>
      <c r="I89" s="23"/>
      <c r="J89" s="23"/>
      <c r="K89" s="23"/>
      <c r="L89" s="33"/>
      <c r="M89" s="26"/>
      <c r="N89" s="26"/>
      <c r="O89" s="26"/>
      <c r="P89" s="26"/>
      <c r="Q89" s="26"/>
      <c r="R89" s="26"/>
      <c r="S89" s="26"/>
      <c r="T89" s="26"/>
      <c r="U89" s="26"/>
      <c r="V89" s="26"/>
      <c r="W89" s="26"/>
      <c r="X89" s="26">
        <f>COUNTIF($L$2:L89,"&lt;&gt;"&amp;"")</f>
        <v>5</v>
      </c>
      <c r="Y89" s="27">
        <f t="shared" si="7"/>
        <v>0</v>
      </c>
      <c r="Z89" s="28"/>
      <c r="AA89" s="29"/>
      <c r="AB89" s="30" t="b">
        <f>TRUE()</f>
        <v>1</v>
      </c>
      <c r="AC89" s="31">
        <f t="shared" si="8"/>
        <v>0</v>
      </c>
      <c r="AD89" s="42"/>
      <c r="AE89" s="42"/>
    </row>
    <row r="90" spans="1:31" ht="15" customHeight="1">
      <c r="A90" s="20">
        <f t="shared" si="6"/>
        <v>0</v>
      </c>
      <c r="B90" s="23"/>
      <c r="C90" s="23"/>
      <c r="D90" s="23"/>
      <c r="E90" s="23"/>
      <c r="F90" s="23"/>
      <c r="G90" s="23"/>
      <c r="H90" s="23"/>
      <c r="I90" s="23"/>
      <c r="J90" s="23"/>
      <c r="K90" s="23"/>
      <c r="L90" s="33"/>
      <c r="M90" s="26"/>
      <c r="N90" s="26"/>
      <c r="O90" s="26"/>
      <c r="P90" s="26"/>
      <c r="Q90" s="26"/>
      <c r="R90" s="26"/>
      <c r="S90" s="26"/>
      <c r="T90" s="26"/>
      <c r="U90" s="26"/>
      <c r="V90" s="26"/>
      <c r="W90" s="26"/>
      <c r="X90" s="26">
        <f>COUNTIF($L$2:L90,"&lt;&gt;"&amp;"")</f>
        <v>5</v>
      </c>
      <c r="Y90" s="27">
        <f t="shared" si="7"/>
        <v>0</v>
      </c>
      <c r="Z90" s="28"/>
      <c r="AA90" s="29"/>
      <c r="AB90" s="30" t="b">
        <f>TRUE()</f>
        <v>1</v>
      </c>
      <c r="AC90" s="31">
        <f t="shared" si="8"/>
        <v>0</v>
      </c>
      <c r="AD90" s="42"/>
      <c r="AE90" s="42"/>
    </row>
    <row r="91" spans="1:31" ht="15" customHeight="1">
      <c r="A91" s="20">
        <f t="shared" si="6"/>
        <v>0</v>
      </c>
      <c r="B91" s="23"/>
      <c r="C91" s="23"/>
      <c r="D91" s="23"/>
      <c r="E91" s="23"/>
      <c r="F91" s="23"/>
      <c r="G91" s="23"/>
      <c r="H91" s="23"/>
      <c r="I91" s="23"/>
      <c r="J91" s="23"/>
      <c r="K91" s="23"/>
      <c r="L91" s="33"/>
      <c r="M91" s="26"/>
      <c r="N91" s="26"/>
      <c r="O91" s="26"/>
      <c r="P91" s="26"/>
      <c r="Q91" s="26"/>
      <c r="R91" s="26"/>
      <c r="S91" s="26"/>
      <c r="T91" s="26"/>
      <c r="U91" s="26"/>
      <c r="V91" s="26"/>
      <c r="W91" s="26"/>
      <c r="X91" s="26">
        <f>COUNTIF($L$2:L91,"&lt;&gt;"&amp;"")</f>
        <v>5</v>
      </c>
      <c r="Y91" s="27">
        <f t="shared" si="7"/>
        <v>0</v>
      </c>
      <c r="Z91" s="28"/>
      <c r="AA91" s="29"/>
      <c r="AB91" s="30" t="b">
        <f>TRUE()</f>
        <v>1</v>
      </c>
      <c r="AC91" s="31">
        <f t="shared" si="8"/>
        <v>0</v>
      </c>
      <c r="AD91" s="42"/>
      <c r="AE91" s="42"/>
    </row>
    <row r="92" spans="1:31" ht="15" customHeight="1">
      <c r="A92" s="20">
        <f t="shared" si="6"/>
        <v>0</v>
      </c>
      <c r="B92" s="23"/>
      <c r="C92" s="23"/>
      <c r="D92" s="23"/>
      <c r="E92" s="23"/>
      <c r="F92" s="23"/>
      <c r="G92" s="23"/>
      <c r="H92" s="23"/>
      <c r="I92" s="23"/>
      <c r="J92" s="23"/>
      <c r="K92" s="23"/>
      <c r="L92" s="33"/>
      <c r="M92" s="26"/>
      <c r="N92" s="26"/>
      <c r="O92" s="26"/>
      <c r="P92" s="26"/>
      <c r="Q92" s="26"/>
      <c r="R92" s="26"/>
      <c r="S92" s="26"/>
      <c r="T92" s="26"/>
      <c r="U92" s="26"/>
      <c r="V92" s="26"/>
      <c r="W92" s="26"/>
      <c r="X92" s="26">
        <f>COUNTIF($L$2:L92,"&lt;&gt;"&amp;"")</f>
        <v>5</v>
      </c>
      <c r="Y92" s="27">
        <f t="shared" si="7"/>
        <v>0</v>
      </c>
      <c r="Z92" s="28"/>
      <c r="AA92" s="29"/>
      <c r="AB92" s="30" t="b">
        <f>TRUE()</f>
        <v>1</v>
      </c>
      <c r="AC92" s="31">
        <f t="shared" si="8"/>
        <v>0</v>
      </c>
      <c r="AD92" s="42"/>
      <c r="AE92" s="42"/>
    </row>
    <row r="93" spans="1:31" ht="15" customHeight="1">
      <c r="A93" s="20">
        <f t="shared" si="6"/>
        <v>0</v>
      </c>
      <c r="B93" s="23"/>
      <c r="C93" s="23"/>
      <c r="D93" s="23"/>
      <c r="E93" s="23"/>
      <c r="F93" s="23"/>
      <c r="G93" s="23"/>
      <c r="H93" s="23"/>
      <c r="I93" s="23"/>
      <c r="J93" s="23"/>
      <c r="K93" s="23"/>
      <c r="L93" s="33"/>
      <c r="M93" s="26"/>
      <c r="N93" s="26"/>
      <c r="O93" s="26"/>
      <c r="P93" s="26"/>
      <c r="Q93" s="26"/>
      <c r="R93" s="26"/>
      <c r="S93" s="26"/>
      <c r="T93" s="26"/>
      <c r="U93" s="26"/>
      <c r="V93" s="26"/>
      <c r="W93" s="26"/>
      <c r="X93" s="26">
        <f>COUNTIF($L$2:L95,"&lt;&gt;"&amp;"")</f>
        <v>5</v>
      </c>
      <c r="Y93" s="27">
        <f t="shared" si="7"/>
        <v>0</v>
      </c>
      <c r="Z93" s="28"/>
      <c r="AA93" s="29"/>
      <c r="AB93" s="30" t="b">
        <f>TRUE()</f>
        <v>1</v>
      </c>
      <c r="AC93" s="31">
        <f t="shared" si="8"/>
        <v>0</v>
      </c>
      <c r="AD93" s="42"/>
      <c r="AE93" s="42"/>
    </row>
    <row r="94" spans="1:31" ht="15" customHeight="1">
      <c r="A94" s="20">
        <f t="shared" si="6"/>
        <v>0</v>
      </c>
      <c r="B94" s="23"/>
      <c r="C94" s="23"/>
      <c r="D94" s="23"/>
      <c r="E94" s="23"/>
      <c r="F94" s="23"/>
      <c r="G94" s="23"/>
      <c r="H94" s="23"/>
      <c r="I94" s="23"/>
      <c r="J94" s="23"/>
      <c r="K94" s="23"/>
      <c r="L94" s="33"/>
      <c r="M94" s="26"/>
      <c r="N94" s="26"/>
      <c r="O94" s="26"/>
      <c r="P94" s="26"/>
      <c r="Q94" s="26"/>
      <c r="R94" s="26"/>
      <c r="S94" s="26"/>
      <c r="T94" s="26"/>
      <c r="U94" s="26"/>
      <c r="V94" s="26"/>
      <c r="W94" s="26"/>
      <c r="X94" s="26">
        <f>COUNTIF($L$2:L94,"&lt;&gt;"&amp;"")</f>
        <v>5</v>
      </c>
      <c r="Y94" s="27">
        <f t="shared" si="7"/>
        <v>0</v>
      </c>
      <c r="Z94" s="28"/>
      <c r="AA94" s="29"/>
      <c r="AB94" s="30" t="b">
        <f>TRUE()</f>
        <v>1</v>
      </c>
      <c r="AC94" s="31">
        <f t="shared" si="8"/>
        <v>0</v>
      </c>
      <c r="AD94" s="42"/>
      <c r="AE94" s="42"/>
    </row>
    <row r="95" spans="1:31" ht="15" customHeight="1">
      <c r="A95" s="20">
        <f t="shared" si="6"/>
        <v>0</v>
      </c>
      <c r="B95" s="23"/>
      <c r="C95" s="23"/>
      <c r="D95" s="23"/>
      <c r="E95" s="23"/>
      <c r="F95" s="23"/>
      <c r="G95" s="23"/>
      <c r="H95" s="23"/>
      <c r="I95" s="23"/>
      <c r="J95" s="23"/>
      <c r="K95" s="23"/>
      <c r="L95" s="33"/>
      <c r="M95" s="26"/>
      <c r="N95" s="26"/>
      <c r="O95" s="26"/>
      <c r="P95" s="26"/>
      <c r="Q95" s="26"/>
      <c r="R95" s="26"/>
      <c r="S95" s="26"/>
      <c r="T95" s="26"/>
      <c r="U95" s="26"/>
      <c r="V95" s="26"/>
      <c r="W95" s="26"/>
      <c r="X95" s="26">
        <f>COUNTIF($L$2:L95,"&lt;&gt;"&amp;"")</f>
        <v>5</v>
      </c>
      <c r="Y95" s="27">
        <f t="shared" si="7"/>
        <v>0</v>
      </c>
      <c r="Z95" s="28"/>
      <c r="AA95" s="29"/>
      <c r="AB95" s="30" t="b">
        <f>TRUE()</f>
        <v>1</v>
      </c>
      <c r="AC95" s="31">
        <f t="shared" si="8"/>
        <v>0</v>
      </c>
      <c r="AD95" s="42"/>
      <c r="AE95" s="42"/>
    </row>
    <row r="96" spans="1:31" ht="15" customHeight="1">
      <c r="A96" s="20">
        <f t="shared" si="6"/>
        <v>0</v>
      </c>
      <c r="B96" s="23"/>
      <c r="C96" s="23"/>
      <c r="D96" s="23"/>
      <c r="E96" s="23"/>
      <c r="F96" s="23"/>
      <c r="G96" s="23"/>
      <c r="H96" s="23"/>
      <c r="I96" s="23"/>
      <c r="J96" s="23"/>
      <c r="K96" s="23"/>
      <c r="L96" s="33"/>
      <c r="M96" s="26"/>
      <c r="N96" s="26"/>
      <c r="O96" s="26"/>
      <c r="P96" s="26"/>
      <c r="Q96" s="26"/>
      <c r="R96" s="26"/>
      <c r="S96" s="26"/>
      <c r="T96" s="26"/>
      <c r="U96" s="26"/>
      <c r="V96" s="26"/>
      <c r="W96" s="26"/>
      <c r="X96" s="26">
        <f>COUNTIF($L$2:L96,"&lt;&gt;"&amp;"")</f>
        <v>5</v>
      </c>
      <c r="Y96" s="27">
        <f t="shared" si="7"/>
        <v>0</v>
      </c>
      <c r="Z96" s="28"/>
      <c r="AA96" s="29"/>
      <c r="AB96" s="30" t="b">
        <f>TRUE()</f>
        <v>1</v>
      </c>
      <c r="AC96" s="31">
        <f t="shared" si="8"/>
        <v>0</v>
      </c>
      <c r="AD96" s="42"/>
      <c r="AE96" s="42"/>
    </row>
    <row r="97" spans="1:31" ht="15" customHeight="1">
      <c r="A97" s="20">
        <f t="shared" si="6"/>
        <v>0</v>
      </c>
      <c r="B97" s="23"/>
      <c r="C97" s="23"/>
      <c r="D97" s="23"/>
      <c r="E97" s="23"/>
      <c r="F97" s="23"/>
      <c r="G97" s="23"/>
      <c r="H97" s="23"/>
      <c r="I97" s="23"/>
      <c r="J97" s="23"/>
      <c r="K97" s="23"/>
      <c r="L97" s="33"/>
      <c r="M97" s="26"/>
      <c r="N97" s="26"/>
      <c r="O97" s="26"/>
      <c r="P97" s="26"/>
      <c r="Q97" s="26"/>
      <c r="R97" s="26"/>
      <c r="S97" s="26"/>
      <c r="T97" s="26"/>
      <c r="U97" s="26"/>
      <c r="V97" s="26"/>
      <c r="W97" s="26"/>
      <c r="X97" s="26">
        <f>COUNTIF($L$2:L97,"&lt;&gt;"&amp;"")</f>
        <v>5</v>
      </c>
      <c r="Y97" s="27">
        <f t="shared" si="7"/>
        <v>0</v>
      </c>
      <c r="Z97" s="28"/>
      <c r="AA97" s="29"/>
      <c r="AB97" s="30" t="b">
        <f>TRUE()</f>
        <v>1</v>
      </c>
      <c r="AC97" s="31">
        <f t="shared" si="8"/>
        <v>0</v>
      </c>
      <c r="AD97" s="42"/>
      <c r="AE97" s="42"/>
    </row>
    <row r="98" spans="1:31" ht="15" customHeight="1">
      <c r="A98" s="20">
        <f t="shared" ref="A98:A129" si="9">(B98*$P$125+C98*$P$126+D98*$P$127+E98*$P$128+F98*$P$129+G98*$P$130+H98*$P$131+I98*$P$132+J98*$P$133+K98*$P$134)*$T$123</f>
        <v>0</v>
      </c>
      <c r="B98" s="23"/>
      <c r="C98" s="23"/>
      <c r="D98" s="23"/>
      <c r="E98" s="23"/>
      <c r="F98" s="23"/>
      <c r="G98" s="23"/>
      <c r="H98" s="23"/>
      <c r="I98" s="23"/>
      <c r="J98" s="23"/>
      <c r="K98" s="23"/>
      <c r="L98" s="33"/>
      <c r="M98" s="26"/>
      <c r="N98" s="26"/>
      <c r="O98" s="26"/>
      <c r="P98" s="26"/>
      <c r="Q98" s="26"/>
      <c r="R98" s="26"/>
      <c r="S98" s="26"/>
      <c r="T98" s="26"/>
      <c r="U98" s="26"/>
      <c r="V98" s="26"/>
      <c r="W98" s="26"/>
      <c r="X98" s="26">
        <f>COUNTIF($L$2:L98,"&lt;&gt;"&amp;"")</f>
        <v>5</v>
      </c>
      <c r="Y98" s="27">
        <f t="shared" ref="Y98:Y129" si="10">SUMIF($X$2:$X$120,X98,$A$2:$A$120)</f>
        <v>0</v>
      </c>
      <c r="Z98" s="28"/>
      <c r="AA98" s="29"/>
      <c r="AB98" s="30" t="b">
        <f>TRUE()</f>
        <v>1</v>
      </c>
      <c r="AC98" s="31">
        <f t="shared" ref="AC98:AC129" si="11">IF(L98="",0,IF(AB98=FALSE(),0,Y98))</f>
        <v>0</v>
      </c>
      <c r="AD98" s="42"/>
      <c r="AE98" s="42"/>
    </row>
    <row r="99" spans="1:31" ht="15" customHeight="1">
      <c r="A99" s="20">
        <f t="shared" si="9"/>
        <v>0</v>
      </c>
      <c r="B99" s="23"/>
      <c r="C99" s="23"/>
      <c r="D99" s="23"/>
      <c r="E99" s="23"/>
      <c r="F99" s="23"/>
      <c r="G99" s="23"/>
      <c r="H99" s="23"/>
      <c r="I99" s="23"/>
      <c r="J99" s="23"/>
      <c r="K99" s="23"/>
      <c r="L99" s="33"/>
      <c r="M99" s="26"/>
      <c r="N99" s="26"/>
      <c r="O99" s="26"/>
      <c r="P99" s="26"/>
      <c r="Q99" s="26"/>
      <c r="R99" s="26"/>
      <c r="S99" s="26"/>
      <c r="T99" s="26"/>
      <c r="U99" s="26"/>
      <c r="V99" s="26"/>
      <c r="W99" s="26"/>
      <c r="X99" s="26">
        <f>COUNTIF($L$2:L99,"&lt;&gt;"&amp;"")</f>
        <v>5</v>
      </c>
      <c r="Y99" s="27">
        <f t="shared" si="10"/>
        <v>0</v>
      </c>
      <c r="Z99" s="28"/>
      <c r="AA99" s="29"/>
      <c r="AB99" s="30" t="b">
        <f>TRUE()</f>
        <v>1</v>
      </c>
      <c r="AC99" s="31">
        <f t="shared" si="11"/>
        <v>0</v>
      </c>
      <c r="AD99" s="42"/>
      <c r="AE99" s="42"/>
    </row>
    <row r="100" spans="1:31" ht="15" customHeight="1">
      <c r="A100" s="20">
        <f t="shared" si="9"/>
        <v>0</v>
      </c>
      <c r="B100" s="23"/>
      <c r="C100" s="23"/>
      <c r="D100" s="23"/>
      <c r="E100" s="23"/>
      <c r="F100" s="23"/>
      <c r="G100" s="23"/>
      <c r="H100" s="23"/>
      <c r="I100" s="23"/>
      <c r="J100" s="23"/>
      <c r="K100" s="23"/>
      <c r="L100" s="33"/>
      <c r="M100" s="26"/>
      <c r="N100" s="26"/>
      <c r="O100" s="26"/>
      <c r="P100" s="26"/>
      <c r="Q100" s="26"/>
      <c r="R100" s="26"/>
      <c r="S100" s="26"/>
      <c r="T100" s="26"/>
      <c r="U100" s="26"/>
      <c r="V100" s="26"/>
      <c r="W100" s="26"/>
      <c r="X100" s="26">
        <f>COUNTIF($L$2:L100,"&lt;&gt;"&amp;"")</f>
        <v>5</v>
      </c>
      <c r="Y100" s="27">
        <f t="shared" si="10"/>
        <v>0</v>
      </c>
      <c r="Z100" s="28"/>
      <c r="AA100" s="29"/>
      <c r="AB100" s="30" t="b">
        <f>TRUE()</f>
        <v>1</v>
      </c>
      <c r="AC100" s="31">
        <f t="shared" si="11"/>
        <v>0</v>
      </c>
      <c r="AD100" s="42"/>
      <c r="AE100" s="42"/>
    </row>
    <row r="101" spans="1:31" ht="15" customHeight="1">
      <c r="A101" s="20">
        <f t="shared" si="9"/>
        <v>0</v>
      </c>
      <c r="B101" s="23"/>
      <c r="C101" s="23"/>
      <c r="D101" s="23"/>
      <c r="E101" s="23"/>
      <c r="F101" s="23"/>
      <c r="G101" s="23"/>
      <c r="H101" s="23"/>
      <c r="I101" s="23"/>
      <c r="J101" s="23"/>
      <c r="K101" s="23"/>
      <c r="L101" s="33"/>
      <c r="M101" s="26"/>
      <c r="N101" s="26"/>
      <c r="O101" s="26"/>
      <c r="P101" s="26"/>
      <c r="Q101" s="26"/>
      <c r="R101" s="26"/>
      <c r="S101" s="26"/>
      <c r="T101" s="26"/>
      <c r="U101" s="26"/>
      <c r="V101" s="26"/>
      <c r="W101" s="26"/>
      <c r="X101" s="26">
        <f>COUNTIF($L$2:L101,"&lt;&gt;"&amp;"")</f>
        <v>5</v>
      </c>
      <c r="Y101" s="27">
        <f t="shared" si="10"/>
        <v>0</v>
      </c>
      <c r="Z101" s="28"/>
      <c r="AA101" s="29"/>
      <c r="AB101" s="30" t="b">
        <f>TRUE()</f>
        <v>1</v>
      </c>
      <c r="AC101" s="31">
        <f t="shared" si="11"/>
        <v>0</v>
      </c>
      <c r="AD101" s="23"/>
      <c r="AE101" s="23"/>
    </row>
    <row r="102" spans="1:31" ht="15" customHeight="1">
      <c r="A102" s="20">
        <f t="shared" si="9"/>
        <v>0</v>
      </c>
      <c r="B102" s="23"/>
      <c r="C102" s="23"/>
      <c r="D102" s="23"/>
      <c r="E102" s="23"/>
      <c r="F102" s="23"/>
      <c r="G102" s="23"/>
      <c r="H102" s="23"/>
      <c r="I102" s="23"/>
      <c r="J102" s="23"/>
      <c r="K102" s="23"/>
      <c r="L102" s="33"/>
      <c r="M102" s="26"/>
      <c r="N102" s="26"/>
      <c r="O102" s="26"/>
      <c r="P102" s="26"/>
      <c r="Q102" s="26"/>
      <c r="R102" s="26"/>
      <c r="S102" s="26"/>
      <c r="T102" s="26"/>
      <c r="U102" s="26"/>
      <c r="V102" s="26"/>
      <c r="W102" s="26"/>
      <c r="X102" s="26">
        <f>COUNTIF($L$2:L106,"&lt;&gt;"&amp;"")</f>
        <v>5</v>
      </c>
      <c r="Y102" s="27">
        <f t="shared" si="10"/>
        <v>0</v>
      </c>
      <c r="Z102" s="28"/>
      <c r="AA102" s="29"/>
      <c r="AB102" s="30" t="b">
        <f>TRUE()</f>
        <v>1</v>
      </c>
      <c r="AC102" s="31">
        <f t="shared" si="11"/>
        <v>0</v>
      </c>
      <c r="AD102" s="23"/>
      <c r="AE102" s="23"/>
    </row>
    <row r="103" spans="1:31" ht="15" customHeight="1">
      <c r="A103" s="20">
        <f t="shared" si="9"/>
        <v>0</v>
      </c>
      <c r="B103" s="23"/>
      <c r="C103" s="23"/>
      <c r="D103" s="23"/>
      <c r="E103" s="23"/>
      <c r="F103" s="23"/>
      <c r="G103" s="23"/>
      <c r="H103" s="23"/>
      <c r="I103" s="23"/>
      <c r="J103" s="23"/>
      <c r="K103" s="23"/>
      <c r="L103" s="33"/>
      <c r="M103" s="26"/>
      <c r="N103" s="26"/>
      <c r="O103" s="26"/>
      <c r="P103" s="26"/>
      <c r="Q103" s="26"/>
      <c r="R103" s="26"/>
      <c r="S103" s="26"/>
      <c r="T103" s="26"/>
      <c r="U103" s="26"/>
      <c r="V103" s="26"/>
      <c r="W103" s="26"/>
      <c r="X103" s="26">
        <f>COUNTIF($L$2:L103,"&lt;&gt;"&amp;"")</f>
        <v>5</v>
      </c>
      <c r="Y103" s="27">
        <f t="shared" si="10"/>
        <v>0</v>
      </c>
      <c r="Z103" s="28"/>
      <c r="AA103" s="29"/>
      <c r="AB103" s="30" t="b">
        <f>TRUE()</f>
        <v>1</v>
      </c>
      <c r="AC103" s="31">
        <f t="shared" si="11"/>
        <v>0</v>
      </c>
      <c r="AD103" s="42"/>
      <c r="AE103" s="42"/>
    </row>
    <row r="104" spans="1:31" ht="15" customHeight="1">
      <c r="A104" s="20">
        <f t="shared" si="9"/>
        <v>0</v>
      </c>
      <c r="B104" s="23"/>
      <c r="C104" s="23"/>
      <c r="D104" s="23"/>
      <c r="E104" s="23"/>
      <c r="F104" s="23"/>
      <c r="G104" s="23"/>
      <c r="H104" s="23"/>
      <c r="I104" s="23"/>
      <c r="J104" s="23"/>
      <c r="K104" s="23"/>
      <c r="L104" s="33"/>
      <c r="M104" s="26"/>
      <c r="N104" s="26"/>
      <c r="O104" s="26"/>
      <c r="P104" s="26"/>
      <c r="Q104" s="26"/>
      <c r="R104" s="26"/>
      <c r="S104" s="26"/>
      <c r="T104" s="26"/>
      <c r="U104" s="26"/>
      <c r="V104" s="26"/>
      <c r="W104" s="26"/>
      <c r="X104" s="26">
        <f>COUNTIF($L$2:L104,"&lt;&gt;"&amp;"")</f>
        <v>5</v>
      </c>
      <c r="Y104" s="27">
        <f t="shared" si="10"/>
        <v>0</v>
      </c>
      <c r="Z104" s="28"/>
      <c r="AA104" s="29"/>
      <c r="AB104" s="30" t="b">
        <f>TRUE()</f>
        <v>1</v>
      </c>
      <c r="AC104" s="31">
        <f t="shared" si="11"/>
        <v>0</v>
      </c>
      <c r="AD104" s="42"/>
      <c r="AE104" s="42"/>
    </row>
    <row r="105" spans="1:31" ht="15" customHeight="1">
      <c r="A105" s="20">
        <f t="shared" si="9"/>
        <v>0</v>
      </c>
      <c r="B105" s="23"/>
      <c r="C105" s="23"/>
      <c r="D105" s="23"/>
      <c r="E105" s="23"/>
      <c r="F105" s="23"/>
      <c r="G105" s="23"/>
      <c r="H105" s="23"/>
      <c r="I105" s="23"/>
      <c r="J105" s="23"/>
      <c r="K105" s="23"/>
      <c r="L105" s="33"/>
      <c r="M105" s="26"/>
      <c r="N105" s="26"/>
      <c r="O105" s="26"/>
      <c r="P105" s="26"/>
      <c r="Q105" s="26"/>
      <c r="R105" s="26"/>
      <c r="S105" s="26"/>
      <c r="T105" s="26"/>
      <c r="U105" s="26"/>
      <c r="V105" s="26"/>
      <c r="W105" s="26"/>
      <c r="X105" s="26">
        <f>COUNTIF($L$2:L105,"&lt;&gt;"&amp;"")</f>
        <v>5</v>
      </c>
      <c r="Y105" s="27">
        <f t="shared" si="10"/>
        <v>0</v>
      </c>
      <c r="Z105" s="28"/>
      <c r="AA105" s="29"/>
      <c r="AB105" s="30" t="b">
        <f>TRUE()</f>
        <v>1</v>
      </c>
      <c r="AC105" s="31">
        <f t="shared" si="11"/>
        <v>0</v>
      </c>
      <c r="AD105" s="42"/>
      <c r="AE105" s="42"/>
    </row>
    <row r="106" spans="1:31" ht="15" customHeight="1">
      <c r="A106" s="20">
        <f t="shared" si="9"/>
        <v>0</v>
      </c>
      <c r="B106" s="23"/>
      <c r="C106" s="23"/>
      <c r="D106" s="23"/>
      <c r="E106" s="23"/>
      <c r="F106" s="23"/>
      <c r="G106" s="23"/>
      <c r="H106" s="23"/>
      <c r="I106" s="23"/>
      <c r="J106" s="23"/>
      <c r="K106" s="23"/>
      <c r="L106" s="33"/>
      <c r="M106" s="26"/>
      <c r="N106" s="26"/>
      <c r="O106" s="26"/>
      <c r="P106" s="26"/>
      <c r="Q106" s="26"/>
      <c r="R106" s="26"/>
      <c r="S106" s="26"/>
      <c r="T106" s="26"/>
      <c r="U106" s="26"/>
      <c r="V106" s="26"/>
      <c r="W106" s="26"/>
      <c r="X106" s="26">
        <f>COUNTIF($L$2:L106,"&lt;&gt;"&amp;"")</f>
        <v>5</v>
      </c>
      <c r="Y106" s="27">
        <f t="shared" si="10"/>
        <v>0</v>
      </c>
      <c r="Z106" s="28"/>
      <c r="AA106" s="29"/>
      <c r="AB106" s="30" t="b">
        <f>TRUE()</f>
        <v>1</v>
      </c>
      <c r="AC106" s="31">
        <f t="shared" si="11"/>
        <v>0</v>
      </c>
      <c r="AD106" s="42"/>
      <c r="AE106" s="42"/>
    </row>
    <row r="107" spans="1:31" ht="15" customHeight="1">
      <c r="A107" s="20">
        <f t="shared" si="9"/>
        <v>0</v>
      </c>
      <c r="B107" s="23"/>
      <c r="C107" s="23"/>
      <c r="D107" s="23"/>
      <c r="E107" s="23"/>
      <c r="F107" s="23"/>
      <c r="G107" s="23"/>
      <c r="H107" s="23"/>
      <c r="I107" s="23"/>
      <c r="J107" s="23"/>
      <c r="K107" s="23"/>
      <c r="L107" s="33"/>
      <c r="M107" s="26"/>
      <c r="N107" s="26"/>
      <c r="O107" s="26"/>
      <c r="P107" s="26"/>
      <c r="Q107" s="26"/>
      <c r="R107" s="26"/>
      <c r="S107" s="26"/>
      <c r="T107" s="26"/>
      <c r="U107" s="26"/>
      <c r="V107" s="26"/>
      <c r="W107" s="26"/>
      <c r="X107" s="26">
        <f>COUNTIF($L$2:L107,"&lt;&gt;"&amp;"")</f>
        <v>5</v>
      </c>
      <c r="Y107" s="27">
        <f t="shared" si="10"/>
        <v>0</v>
      </c>
      <c r="Z107" s="28"/>
      <c r="AA107" s="29"/>
      <c r="AB107" s="30" t="b">
        <f>TRUE()</f>
        <v>1</v>
      </c>
      <c r="AC107" s="31">
        <f t="shared" si="11"/>
        <v>0</v>
      </c>
      <c r="AD107" s="23"/>
      <c r="AE107" s="23"/>
    </row>
    <row r="108" spans="1:31" ht="15" customHeight="1">
      <c r="A108" s="20">
        <f t="shared" si="9"/>
        <v>0</v>
      </c>
      <c r="B108" s="23"/>
      <c r="C108" s="23"/>
      <c r="D108" s="23"/>
      <c r="E108" s="23"/>
      <c r="F108" s="23"/>
      <c r="G108" s="23"/>
      <c r="H108" s="23"/>
      <c r="I108" s="23"/>
      <c r="J108" s="23"/>
      <c r="K108" s="23"/>
      <c r="L108" s="33"/>
      <c r="M108" s="26"/>
      <c r="N108" s="26"/>
      <c r="O108" s="26"/>
      <c r="P108" s="26"/>
      <c r="Q108" s="26"/>
      <c r="R108" s="26"/>
      <c r="S108" s="26"/>
      <c r="T108" s="26"/>
      <c r="U108" s="26"/>
      <c r="V108" s="26"/>
      <c r="W108" s="26"/>
      <c r="X108" s="26">
        <f>COUNTIF($L$2:L108,"&lt;&gt;"&amp;"")</f>
        <v>5</v>
      </c>
      <c r="Y108" s="27">
        <f t="shared" si="10"/>
        <v>0</v>
      </c>
      <c r="Z108" s="28"/>
      <c r="AA108" s="29"/>
      <c r="AB108" s="30" t="b">
        <f>TRUE()</f>
        <v>1</v>
      </c>
      <c r="AC108" s="31">
        <f t="shared" si="11"/>
        <v>0</v>
      </c>
      <c r="AD108" s="23"/>
      <c r="AE108" s="23"/>
    </row>
    <row r="109" spans="1:31" ht="15" customHeight="1">
      <c r="A109" s="20">
        <f t="shared" si="9"/>
        <v>0</v>
      </c>
      <c r="B109" s="23"/>
      <c r="C109" s="23"/>
      <c r="D109" s="23"/>
      <c r="E109" s="23"/>
      <c r="F109" s="23"/>
      <c r="G109" s="23"/>
      <c r="H109" s="23"/>
      <c r="I109" s="23"/>
      <c r="J109" s="23"/>
      <c r="K109" s="23"/>
      <c r="L109" s="33"/>
      <c r="M109" s="26"/>
      <c r="N109" s="26"/>
      <c r="O109" s="26"/>
      <c r="P109" s="26"/>
      <c r="Q109" s="26"/>
      <c r="R109" s="26"/>
      <c r="S109" s="26"/>
      <c r="T109" s="26"/>
      <c r="U109" s="26"/>
      <c r="V109" s="26"/>
      <c r="W109" s="26"/>
      <c r="X109" s="26">
        <f>COUNTIF($L$2:L109,"&lt;&gt;"&amp;"")</f>
        <v>5</v>
      </c>
      <c r="Y109" s="27">
        <f t="shared" si="10"/>
        <v>0</v>
      </c>
      <c r="Z109" s="28"/>
      <c r="AA109" s="29"/>
      <c r="AB109" s="30" t="b">
        <f>TRUE()</f>
        <v>1</v>
      </c>
      <c r="AC109" s="31">
        <f t="shared" si="11"/>
        <v>0</v>
      </c>
      <c r="AD109" s="23"/>
      <c r="AE109" s="23"/>
    </row>
    <row r="110" spans="1:31" ht="15" customHeight="1">
      <c r="A110" s="20">
        <f t="shared" si="9"/>
        <v>0</v>
      </c>
      <c r="B110" s="23"/>
      <c r="C110" s="23"/>
      <c r="D110" s="23"/>
      <c r="E110" s="23"/>
      <c r="F110" s="23"/>
      <c r="G110" s="23"/>
      <c r="H110" s="23"/>
      <c r="I110" s="23"/>
      <c r="J110" s="23"/>
      <c r="K110" s="23"/>
      <c r="L110" s="33"/>
      <c r="M110" s="26"/>
      <c r="N110" s="26"/>
      <c r="O110" s="26"/>
      <c r="P110" s="26"/>
      <c r="Q110" s="26"/>
      <c r="R110" s="26"/>
      <c r="S110" s="26"/>
      <c r="T110" s="26"/>
      <c r="U110" s="26"/>
      <c r="V110" s="26"/>
      <c r="W110" s="26"/>
      <c r="X110" s="26">
        <f>COUNTIF($L$2:L110,"&lt;&gt;"&amp;"")</f>
        <v>5</v>
      </c>
      <c r="Y110" s="27">
        <f t="shared" si="10"/>
        <v>0</v>
      </c>
      <c r="Z110" s="28"/>
      <c r="AA110" s="29"/>
      <c r="AB110" s="30" t="b">
        <f>TRUE()</f>
        <v>1</v>
      </c>
      <c r="AC110" s="31">
        <f t="shared" si="11"/>
        <v>0</v>
      </c>
      <c r="AD110" s="23"/>
      <c r="AE110" s="23"/>
    </row>
    <row r="111" spans="1:31" ht="15" customHeight="1">
      <c r="A111" s="20">
        <f t="shared" si="9"/>
        <v>0</v>
      </c>
      <c r="B111" s="23"/>
      <c r="C111" s="23"/>
      <c r="D111" s="23"/>
      <c r="E111" s="23"/>
      <c r="F111" s="23"/>
      <c r="G111" s="23"/>
      <c r="H111" s="23"/>
      <c r="I111" s="23"/>
      <c r="J111" s="23"/>
      <c r="K111" s="23"/>
      <c r="L111" s="33"/>
      <c r="M111" s="26"/>
      <c r="N111" s="26"/>
      <c r="O111" s="26"/>
      <c r="P111" s="26"/>
      <c r="Q111" s="26"/>
      <c r="R111" s="26"/>
      <c r="S111" s="26"/>
      <c r="T111" s="26"/>
      <c r="U111" s="26"/>
      <c r="V111" s="26"/>
      <c r="W111" s="26"/>
      <c r="X111" s="26">
        <f>COUNTIF($L$2:L111,"&lt;&gt;"&amp;"")</f>
        <v>5</v>
      </c>
      <c r="Y111" s="27">
        <f t="shared" si="10"/>
        <v>0</v>
      </c>
      <c r="Z111" s="28"/>
      <c r="AA111" s="29"/>
      <c r="AB111" s="30" t="b">
        <f>TRUE()</f>
        <v>1</v>
      </c>
      <c r="AC111" s="31">
        <f t="shared" si="11"/>
        <v>0</v>
      </c>
      <c r="AD111" s="23"/>
      <c r="AE111" s="23"/>
    </row>
    <row r="112" spans="1:31" ht="15" customHeight="1">
      <c r="A112" s="20">
        <f t="shared" si="9"/>
        <v>0</v>
      </c>
      <c r="B112" s="23"/>
      <c r="C112" s="23"/>
      <c r="D112" s="23"/>
      <c r="E112" s="23"/>
      <c r="F112" s="23"/>
      <c r="G112" s="23"/>
      <c r="H112" s="23"/>
      <c r="I112" s="23"/>
      <c r="J112" s="23"/>
      <c r="K112" s="23"/>
      <c r="L112" s="33"/>
      <c r="M112" s="26"/>
      <c r="N112" s="26"/>
      <c r="O112" s="26"/>
      <c r="P112" s="26"/>
      <c r="Q112" s="26"/>
      <c r="R112" s="26"/>
      <c r="S112" s="26"/>
      <c r="T112" s="26"/>
      <c r="U112" s="26"/>
      <c r="V112" s="26"/>
      <c r="W112" s="26"/>
      <c r="X112" s="26">
        <f>COUNTIF($L$2:L112,"&lt;&gt;"&amp;"")</f>
        <v>5</v>
      </c>
      <c r="Y112" s="27">
        <f t="shared" si="10"/>
        <v>0</v>
      </c>
      <c r="Z112" s="28"/>
      <c r="AA112" s="29"/>
      <c r="AB112" s="30" t="b">
        <f>TRUE()</f>
        <v>1</v>
      </c>
      <c r="AC112" s="31">
        <f t="shared" si="11"/>
        <v>0</v>
      </c>
      <c r="AD112" s="23"/>
      <c r="AE112" s="23"/>
    </row>
    <row r="113" spans="1:31" ht="15" customHeight="1">
      <c r="A113" s="20">
        <f t="shared" si="9"/>
        <v>0</v>
      </c>
      <c r="B113" s="23"/>
      <c r="C113" s="23"/>
      <c r="D113" s="23"/>
      <c r="E113" s="23"/>
      <c r="F113" s="23"/>
      <c r="G113" s="23"/>
      <c r="H113" s="23"/>
      <c r="I113" s="23"/>
      <c r="J113" s="23"/>
      <c r="K113" s="23"/>
      <c r="L113" s="33"/>
      <c r="M113" s="26"/>
      <c r="N113" s="26"/>
      <c r="O113" s="26"/>
      <c r="P113" s="26"/>
      <c r="Q113" s="26"/>
      <c r="R113" s="26"/>
      <c r="S113" s="26"/>
      <c r="T113" s="26"/>
      <c r="U113" s="26"/>
      <c r="V113" s="26"/>
      <c r="W113" s="26"/>
      <c r="X113" s="26">
        <f>COUNTIF($L$2:L113,"&lt;&gt;"&amp;"")</f>
        <v>5</v>
      </c>
      <c r="Y113" s="27">
        <f t="shared" si="10"/>
        <v>0</v>
      </c>
      <c r="Z113" s="28"/>
      <c r="AA113" s="29"/>
      <c r="AB113" s="30" t="b">
        <f>TRUE()</f>
        <v>1</v>
      </c>
      <c r="AC113" s="31">
        <f t="shared" si="11"/>
        <v>0</v>
      </c>
      <c r="AD113" s="23"/>
      <c r="AE113" s="23"/>
    </row>
    <row r="114" spans="1:31" ht="15" customHeight="1">
      <c r="A114" s="20">
        <f t="shared" si="9"/>
        <v>0</v>
      </c>
      <c r="B114" s="23"/>
      <c r="C114" s="23"/>
      <c r="D114" s="23"/>
      <c r="E114" s="23"/>
      <c r="F114" s="23"/>
      <c r="G114" s="23"/>
      <c r="H114" s="23"/>
      <c r="I114" s="23"/>
      <c r="J114" s="23"/>
      <c r="K114" s="23"/>
      <c r="L114" s="33"/>
      <c r="M114" s="26"/>
      <c r="N114" s="26"/>
      <c r="O114" s="26"/>
      <c r="P114" s="26"/>
      <c r="Q114" s="26"/>
      <c r="R114" s="26"/>
      <c r="S114" s="26"/>
      <c r="T114" s="26"/>
      <c r="U114" s="26"/>
      <c r="V114" s="26"/>
      <c r="W114" s="26"/>
      <c r="X114" s="26">
        <f>COUNTIF($L$2:L114,"&lt;&gt;"&amp;"")</f>
        <v>5</v>
      </c>
      <c r="Y114" s="27">
        <f t="shared" si="10"/>
        <v>0</v>
      </c>
      <c r="Z114" s="28"/>
      <c r="AA114" s="29"/>
      <c r="AB114" s="30" t="b">
        <f>TRUE()</f>
        <v>1</v>
      </c>
      <c r="AC114" s="31">
        <f t="shared" si="11"/>
        <v>0</v>
      </c>
      <c r="AD114" s="23"/>
      <c r="AE114" s="23"/>
    </row>
    <row r="115" spans="1:31" ht="15" customHeight="1">
      <c r="A115" s="20">
        <f t="shared" si="9"/>
        <v>0</v>
      </c>
      <c r="B115" s="23"/>
      <c r="C115" s="23"/>
      <c r="D115" s="23"/>
      <c r="E115" s="23"/>
      <c r="F115" s="23"/>
      <c r="G115" s="23"/>
      <c r="H115" s="23"/>
      <c r="I115" s="23"/>
      <c r="J115" s="23"/>
      <c r="K115" s="23"/>
      <c r="L115" s="33"/>
      <c r="M115" s="26"/>
      <c r="N115" s="26"/>
      <c r="O115" s="26"/>
      <c r="P115" s="26"/>
      <c r="Q115" s="26"/>
      <c r="R115" s="26"/>
      <c r="S115" s="26"/>
      <c r="T115" s="26"/>
      <c r="U115" s="26"/>
      <c r="V115" s="26"/>
      <c r="W115" s="26"/>
      <c r="X115" s="26">
        <f>COUNTIF($L$2:L115,"&lt;&gt;"&amp;"")</f>
        <v>5</v>
      </c>
      <c r="Y115" s="27">
        <f t="shared" si="10"/>
        <v>0</v>
      </c>
      <c r="Z115" s="28"/>
      <c r="AA115" s="29"/>
      <c r="AB115" s="30" t="b">
        <f>TRUE()</f>
        <v>1</v>
      </c>
      <c r="AC115" s="31">
        <f t="shared" si="11"/>
        <v>0</v>
      </c>
      <c r="AD115" s="23"/>
      <c r="AE115" s="23"/>
    </row>
    <row r="116" spans="1:31" ht="15" customHeight="1">
      <c r="A116" s="20">
        <f t="shared" si="9"/>
        <v>0</v>
      </c>
      <c r="B116" s="23"/>
      <c r="C116" s="23"/>
      <c r="D116" s="23"/>
      <c r="E116" s="23"/>
      <c r="F116" s="23"/>
      <c r="G116" s="23"/>
      <c r="H116" s="23"/>
      <c r="I116" s="23"/>
      <c r="J116" s="23"/>
      <c r="K116" s="23"/>
      <c r="L116" s="33"/>
      <c r="M116" s="26"/>
      <c r="N116" s="26"/>
      <c r="O116" s="26"/>
      <c r="P116" s="26"/>
      <c r="Q116" s="26"/>
      <c r="R116" s="26"/>
      <c r="S116" s="26"/>
      <c r="T116" s="26"/>
      <c r="U116" s="26"/>
      <c r="V116" s="26"/>
      <c r="W116" s="26"/>
      <c r="X116" s="26">
        <f>COUNTIF($L$2:L116,"&lt;&gt;"&amp;"")</f>
        <v>5</v>
      </c>
      <c r="Y116" s="27">
        <f t="shared" si="10"/>
        <v>0</v>
      </c>
      <c r="Z116" s="28"/>
      <c r="AA116" s="29"/>
      <c r="AB116" s="30" t="b">
        <f>TRUE()</f>
        <v>1</v>
      </c>
      <c r="AC116" s="31">
        <f t="shared" si="11"/>
        <v>0</v>
      </c>
      <c r="AD116" s="23"/>
      <c r="AE116" s="23"/>
    </row>
    <row r="117" spans="1:31" ht="15" customHeight="1">
      <c r="A117" s="20">
        <f t="shared" si="9"/>
        <v>0</v>
      </c>
      <c r="B117" s="23"/>
      <c r="C117" s="23"/>
      <c r="D117" s="23"/>
      <c r="E117" s="23"/>
      <c r="F117" s="23"/>
      <c r="G117" s="23"/>
      <c r="H117" s="23"/>
      <c r="I117" s="23"/>
      <c r="J117" s="23"/>
      <c r="K117" s="23"/>
      <c r="L117" s="33"/>
      <c r="M117" s="26"/>
      <c r="N117" s="26"/>
      <c r="O117" s="26"/>
      <c r="P117" s="26"/>
      <c r="Q117" s="26"/>
      <c r="R117" s="26"/>
      <c r="S117" s="26"/>
      <c r="T117" s="26"/>
      <c r="U117" s="26"/>
      <c r="V117" s="26"/>
      <c r="W117" s="26"/>
      <c r="X117" s="26">
        <f>COUNTIF($L$2:L117,"&lt;&gt;"&amp;"")</f>
        <v>5</v>
      </c>
      <c r="Y117" s="27">
        <f t="shared" si="10"/>
        <v>0</v>
      </c>
      <c r="Z117" s="28"/>
      <c r="AA117" s="29"/>
      <c r="AB117" s="30" t="b">
        <f>TRUE()</f>
        <v>1</v>
      </c>
      <c r="AC117" s="31">
        <f t="shared" si="11"/>
        <v>0</v>
      </c>
      <c r="AD117" s="23"/>
      <c r="AE117" s="23"/>
    </row>
    <row r="118" spans="1:31" ht="15" customHeight="1">
      <c r="A118" s="20">
        <f t="shared" si="9"/>
        <v>0</v>
      </c>
      <c r="B118" s="23"/>
      <c r="C118" s="23"/>
      <c r="D118" s="23"/>
      <c r="E118" s="23"/>
      <c r="F118" s="23"/>
      <c r="G118" s="23"/>
      <c r="H118" s="23"/>
      <c r="I118" s="23"/>
      <c r="J118" s="23"/>
      <c r="K118" s="23"/>
      <c r="L118" s="33"/>
      <c r="M118" s="26"/>
      <c r="N118" s="26"/>
      <c r="O118" s="26"/>
      <c r="P118" s="26"/>
      <c r="Q118" s="26"/>
      <c r="R118" s="26"/>
      <c r="S118" s="26"/>
      <c r="T118" s="26"/>
      <c r="U118" s="26"/>
      <c r="V118" s="26"/>
      <c r="W118" s="26"/>
      <c r="X118" s="26">
        <f>COUNTIF($L$2:L118,"&lt;&gt;"&amp;"")</f>
        <v>5</v>
      </c>
      <c r="Y118" s="27">
        <f t="shared" si="10"/>
        <v>0</v>
      </c>
      <c r="Z118" s="28"/>
      <c r="AA118" s="29"/>
      <c r="AB118" s="30" t="b">
        <f>TRUE()</f>
        <v>1</v>
      </c>
      <c r="AC118" s="31">
        <f t="shared" si="11"/>
        <v>0</v>
      </c>
      <c r="AD118" s="23"/>
      <c r="AE118" s="23"/>
    </row>
    <row r="119" spans="1:31" ht="15" customHeight="1">
      <c r="A119" s="20">
        <f t="shared" si="9"/>
        <v>0</v>
      </c>
      <c r="B119" s="23"/>
      <c r="C119" s="23"/>
      <c r="D119" s="23"/>
      <c r="E119" s="23"/>
      <c r="F119" s="23"/>
      <c r="G119" s="23"/>
      <c r="H119" s="23"/>
      <c r="I119" s="23"/>
      <c r="J119" s="23"/>
      <c r="K119" s="23"/>
      <c r="L119" s="33"/>
      <c r="M119" s="26"/>
      <c r="N119" s="26"/>
      <c r="O119" s="26"/>
      <c r="P119" s="26"/>
      <c r="Q119" s="26"/>
      <c r="R119" s="26"/>
      <c r="S119" s="26"/>
      <c r="T119" s="26"/>
      <c r="U119" s="26"/>
      <c r="V119" s="26"/>
      <c r="W119" s="26"/>
      <c r="X119" s="26">
        <f>COUNTIF($L$2:L119,"&lt;&gt;"&amp;"")</f>
        <v>5</v>
      </c>
      <c r="Y119" s="27">
        <f t="shared" si="10"/>
        <v>0</v>
      </c>
      <c r="Z119" s="28"/>
      <c r="AA119" s="29"/>
      <c r="AB119" s="30" t="b">
        <f>TRUE()</f>
        <v>1</v>
      </c>
      <c r="AC119" s="31">
        <f t="shared" si="11"/>
        <v>0</v>
      </c>
      <c r="AD119" s="23"/>
      <c r="AE119" s="23"/>
    </row>
    <row r="120" spans="1:31" ht="12.75" customHeight="1">
      <c r="A120" s="43"/>
      <c r="B120" s="43"/>
      <c r="C120" s="43"/>
      <c r="D120" s="43"/>
      <c r="E120" s="43"/>
      <c r="F120" s="43"/>
      <c r="G120" s="43"/>
      <c r="H120" s="43"/>
      <c r="I120" s="43"/>
      <c r="J120" s="43"/>
      <c r="K120" s="43"/>
      <c r="L120" s="44"/>
      <c r="M120" s="44"/>
      <c r="N120" s="45"/>
      <c r="O120" s="45" t="s">
        <v>43</v>
      </c>
      <c r="P120" s="44"/>
      <c r="Q120" s="44"/>
      <c r="R120" s="44"/>
      <c r="S120" s="44"/>
      <c r="T120" s="44"/>
      <c r="U120" s="44"/>
      <c r="V120" s="44"/>
      <c r="W120" s="44"/>
      <c r="X120" s="44"/>
      <c r="Y120" s="44"/>
      <c r="Z120" s="44"/>
      <c r="AA120" s="44"/>
      <c r="AB120" s="44"/>
      <c r="AC120" s="44"/>
      <c r="AD120" s="23"/>
      <c r="AE120" s="23"/>
    </row>
    <row r="121" spans="1:31" ht="15" customHeight="1">
      <c r="A121" s="46">
        <f>ROW()</f>
        <v>121</v>
      </c>
      <c r="B121" s="23">
        <f t="shared" ref="B121:K121" si="12">SUM(B2:B120)</f>
        <v>0</v>
      </c>
      <c r="C121" s="23">
        <f t="shared" si="12"/>
        <v>0</v>
      </c>
      <c r="D121" s="23">
        <f t="shared" si="12"/>
        <v>0</v>
      </c>
      <c r="E121" s="23">
        <f t="shared" si="12"/>
        <v>0</v>
      </c>
      <c r="F121" s="23">
        <f t="shared" si="12"/>
        <v>0</v>
      </c>
      <c r="G121" s="23">
        <f t="shared" si="12"/>
        <v>0</v>
      </c>
      <c r="H121" s="23">
        <f t="shared" si="12"/>
        <v>0</v>
      </c>
      <c r="I121" s="23">
        <f t="shared" si="12"/>
        <v>0</v>
      </c>
      <c r="J121" s="23">
        <f t="shared" si="12"/>
        <v>0</v>
      </c>
      <c r="K121" s="23">
        <f t="shared" si="12"/>
        <v>0</v>
      </c>
      <c r="L121" s="33"/>
      <c r="M121" s="26"/>
      <c r="N121" s="26"/>
      <c r="O121" s="26"/>
      <c r="P121" s="23"/>
      <c r="Q121" s="23"/>
      <c r="R121" s="23"/>
      <c r="S121" s="23"/>
      <c r="T121" s="23"/>
      <c r="U121" s="23"/>
      <c r="V121" s="23"/>
      <c r="W121" s="23"/>
      <c r="X121" s="23"/>
      <c r="Y121" s="23"/>
      <c r="Z121" s="23"/>
      <c r="AA121" s="23"/>
      <c r="AB121" s="23"/>
      <c r="AC121" s="47"/>
      <c r="AD121" s="23"/>
      <c r="AE121" s="23"/>
    </row>
    <row r="122" spans="1:31" ht="12.75" customHeight="1">
      <c r="A122" s="23"/>
      <c r="B122" s="23"/>
      <c r="C122" s="48"/>
      <c r="D122" s="48"/>
      <c r="E122" s="48"/>
      <c r="F122" s="48"/>
      <c r="G122" s="48"/>
      <c r="H122" s="48"/>
      <c r="I122" s="9" t="s">
        <v>44</v>
      </c>
      <c r="J122" s="9"/>
      <c r="K122" s="9"/>
      <c r="L122" s="9"/>
      <c r="M122" s="8">
        <f>400000+120000</f>
        <v>520000</v>
      </c>
      <c r="N122" s="8"/>
      <c r="O122" s="8"/>
      <c r="P122" s="23"/>
      <c r="Q122" s="23"/>
      <c r="R122" s="23"/>
      <c r="S122" s="48"/>
      <c r="T122" s="48"/>
      <c r="U122" s="48"/>
      <c r="V122" s="23"/>
      <c r="W122" s="23"/>
      <c r="X122" s="23"/>
      <c r="Y122" s="23"/>
      <c r="Z122" s="23"/>
      <c r="AA122" s="23"/>
      <c r="AB122" s="23"/>
      <c r="AC122" s="47"/>
      <c r="AD122" s="23"/>
      <c r="AE122" s="23"/>
    </row>
    <row r="123" spans="1:31" ht="15" customHeight="1">
      <c r="A123" s="23"/>
      <c r="B123" s="23"/>
      <c r="C123" s="48"/>
      <c r="D123" s="49" t="s">
        <v>45</v>
      </c>
      <c r="E123" s="50">
        <v>1750905</v>
      </c>
      <c r="F123" s="51" t="s">
        <v>46</v>
      </c>
      <c r="G123" s="52">
        <v>249095</v>
      </c>
      <c r="H123" s="48"/>
      <c r="I123" s="53" t="s">
        <v>47</v>
      </c>
      <c r="J123" s="54">
        <v>0.18</v>
      </c>
      <c r="K123" s="54"/>
      <c r="L123" s="55" t="s">
        <v>48</v>
      </c>
      <c r="M123" s="56">
        <f>2.7/12</f>
        <v>0.22500000000000001</v>
      </c>
      <c r="N123" s="57" t="s">
        <v>49</v>
      </c>
      <c r="O123" s="58">
        <f>40*4.2*((244-2)/260)</f>
        <v>156.36923076923077</v>
      </c>
      <c r="P123" s="48"/>
      <c r="Q123" s="53" t="s">
        <v>50</v>
      </c>
      <c r="R123" s="59">
        <v>0.4</v>
      </c>
      <c r="S123" s="48"/>
      <c r="T123" s="60">
        <v>8</v>
      </c>
      <c r="U123" s="61" t="s">
        <v>51</v>
      </c>
      <c r="V123" s="62"/>
      <c r="W123" s="23"/>
      <c r="X123" s="23"/>
      <c r="Y123" s="23"/>
      <c r="Z123" s="23"/>
      <c r="AA123" s="23"/>
      <c r="AB123" s="23"/>
      <c r="AC123" s="47"/>
      <c r="AD123" s="23"/>
      <c r="AE123" s="23"/>
    </row>
    <row r="124" spans="1:31" ht="12.75" customHeight="1">
      <c r="A124" s="23"/>
      <c r="B124" s="23"/>
      <c r="C124" s="7" t="s">
        <v>52</v>
      </c>
      <c r="D124" s="7"/>
      <c r="E124" s="7"/>
      <c r="F124" s="7" t="s">
        <v>53</v>
      </c>
      <c r="G124" s="7"/>
      <c r="H124" s="7"/>
      <c r="I124" s="7" t="s">
        <v>54</v>
      </c>
      <c r="J124" s="7"/>
      <c r="K124" s="7"/>
      <c r="L124" s="7"/>
      <c r="M124" s="7" t="s">
        <v>55</v>
      </c>
      <c r="N124" s="7"/>
      <c r="O124" s="7"/>
      <c r="P124" s="7" t="s">
        <v>56</v>
      </c>
      <c r="Q124" s="7"/>
      <c r="R124" s="7"/>
      <c r="S124" s="48"/>
      <c r="T124" s="48"/>
      <c r="U124" s="63" t="s">
        <v>49</v>
      </c>
      <c r="V124" s="7" t="s">
        <v>57</v>
      </c>
      <c r="W124" s="7"/>
      <c r="X124" s="7"/>
      <c r="Y124" s="23"/>
      <c r="Z124" s="23"/>
      <c r="AA124" s="23"/>
      <c r="AB124" s="23"/>
      <c r="AC124" s="47"/>
      <c r="AD124" s="23"/>
      <c r="AE124" s="23"/>
    </row>
    <row r="125" spans="1:31" ht="12.75" customHeight="1">
      <c r="A125" s="35" t="s">
        <v>58</v>
      </c>
      <c r="B125" s="63" t="str">
        <f>B1</f>
        <v>DB</v>
      </c>
      <c r="C125" s="6">
        <v>6480000</v>
      </c>
      <c r="D125" s="6"/>
      <c r="E125" s="6"/>
      <c r="F125" s="6">
        <v>1080000</v>
      </c>
      <c r="G125" s="6"/>
      <c r="H125" s="6"/>
      <c r="I125" s="6">
        <v>0</v>
      </c>
      <c r="J125" s="6"/>
      <c r="K125" s="6"/>
      <c r="L125" s="6"/>
      <c r="M125" s="6">
        <f t="shared" ref="M125:M134" si="13">C125*(1+$J$123+$M$123)+F125+I125+$M$122+IF(($E$123*2)&gt;=C125,$G$123,0)</f>
        <v>10704400</v>
      </c>
      <c r="N125" s="6"/>
      <c r="O125" s="6"/>
      <c r="P125" s="5">
        <f t="shared" ref="P125:P134" si="14">M125/$O$123*(1+$R$123)</f>
        <v>95838.292011019294</v>
      </c>
      <c r="Q125" s="5"/>
      <c r="R125" s="5"/>
      <c r="S125" s="48"/>
      <c r="T125" s="48"/>
      <c r="U125" s="23">
        <f t="shared" ref="U125:U134" si="15">HLOOKUP(B125,$B$1:$K$121,$A$121,0)*$T$123</f>
        <v>0</v>
      </c>
      <c r="W125" s="64">
        <f t="shared" ref="W125:W134" si="16">P125*U125</f>
        <v>0</v>
      </c>
      <c r="Y125" s="23"/>
      <c r="Z125" s="23"/>
      <c r="AA125" s="23"/>
      <c r="AB125" s="23"/>
      <c r="AC125" s="47"/>
      <c r="AD125" s="23"/>
      <c r="AE125" s="23"/>
    </row>
    <row r="126" spans="1:31" ht="12.75" customHeight="1">
      <c r="A126" s="35" t="s">
        <v>59</v>
      </c>
      <c r="B126" s="63" t="str">
        <f>C1</f>
        <v>UX</v>
      </c>
      <c r="C126" s="6">
        <v>3240000</v>
      </c>
      <c r="D126" s="6"/>
      <c r="E126" s="6"/>
      <c r="F126" s="6">
        <v>540000</v>
      </c>
      <c r="G126" s="6"/>
      <c r="H126" s="6"/>
      <c r="I126" s="6">
        <v>0</v>
      </c>
      <c r="J126" s="6"/>
      <c r="K126" s="6"/>
      <c r="L126" s="6"/>
      <c r="M126" s="6">
        <f t="shared" si="13"/>
        <v>5861295</v>
      </c>
      <c r="N126" s="6"/>
      <c r="O126" s="6"/>
      <c r="P126" s="5">
        <f t="shared" si="14"/>
        <v>52477.159090909088</v>
      </c>
      <c r="Q126" s="5"/>
      <c r="R126" s="5"/>
      <c r="S126" s="48"/>
      <c r="T126" s="48"/>
      <c r="U126" s="23">
        <f t="shared" si="15"/>
        <v>0</v>
      </c>
      <c r="W126" s="64">
        <f t="shared" si="16"/>
        <v>0</v>
      </c>
      <c r="Y126" s="23"/>
      <c r="Z126" s="23"/>
      <c r="AA126" s="23"/>
      <c r="AB126" s="23"/>
      <c r="AC126" s="47"/>
      <c r="AD126" s="23"/>
      <c r="AE126" s="23"/>
    </row>
    <row r="127" spans="1:31" ht="12.75" customHeight="1">
      <c r="A127" s="35" t="s">
        <v>60</v>
      </c>
      <c r="B127" s="63" t="str">
        <f>D1</f>
        <v>FM</v>
      </c>
      <c r="C127" s="6">
        <v>3240000</v>
      </c>
      <c r="D127" s="6"/>
      <c r="E127" s="6"/>
      <c r="F127" s="6">
        <v>540000</v>
      </c>
      <c r="G127" s="6"/>
      <c r="H127" s="6"/>
      <c r="I127" s="6">
        <v>0</v>
      </c>
      <c r="J127" s="6"/>
      <c r="K127" s="6"/>
      <c r="L127" s="6"/>
      <c r="M127" s="6">
        <f t="shared" si="13"/>
        <v>5861295</v>
      </c>
      <c r="N127" s="6"/>
      <c r="O127" s="6"/>
      <c r="P127" s="5">
        <f t="shared" si="14"/>
        <v>52477.159090909088</v>
      </c>
      <c r="Q127" s="5"/>
      <c r="R127" s="5"/>
      <c r="S127" s="48"/>
      <c r="T127" s="48"/>
      <c r="U127" s="23">
        <f t="shared" si="15"/>
        <v>0</v>
      </c>
      <c r="W127" s="64">
        <f t="shared" si="16"/>
        <v>0</v>
      </c>
      <c r="Y127" s="23"/>
      <c r="Z127" s="23"/>
      <c r="AA127" s="23"/>
      <c r="AB127" s="23"/>
      <c r="AC127" s="47"/>
      <c r="AD127" s="23"/>
      <c r="AE127" s="23"/>
    </row>
    <row r="128" spans="1:31" ht="12.75" customHeight="1">
      <c r="A128" s="35" t="s">
        <v>61</v>
      </c>
      <c r="B128" s="63" t="str">
        <f>E1</f>
        <v>BS</v>
      </c>
      <c r="C128" s="6">
        <v>4320000</v>
      </c>
      <c r="D128" s="6"/>
      <c r="E128" s="6"/>
      <c r="F128" s="6">
        <v>1620000</v>
      </c>
      <c r="G128" s="6"/>
      <c r="H128" s="6"/>
      <c r="I128" s="6">
        <v>0</v>
      </c>
      <c r="J128" s="6"/>
      <c r="K128" s="6"/>
      <c r="L128" s="6"/>
      <c r="M128" s="6">
        <f t="shared" si="13"/>
        <v>8209600</v>
      </c>
      <c r="N128" s="6"/>
      <c r="O128" s="6"/>
      <c r="P128" s="5">
        <f t="shared" si="14"/>
        <v>73501.928374655647</v>
      </c>
      <c r="Q128" s="5"/>
      <c r="R128" s="5"/>
      <c r="S128" s="48"/>
      <c r="T128" s="48"/>
      <c r="U128" s="23">
        <f t="shared" si="15"/>
        <v>0</v>
      </c>
      <c r="W128" s="64">
        <f t="shared" si="16"/>
        <v>0</v>
      </c>
      <c r="Y128" s="23"/>
      <c r="Z128" s="23"/>
      <c r="AA128" s="23"/>
      <c r="AB128" s="23"/>
      <c r="AC128" s="47"/>
      <c r="AD128" s="23"/>
      <c r="AE128" s="23"/>
    </row>
    <row r="129" spans="1:31" ht="12.75" customHeight="1">
      <c r="A129" s="35" t="s">
        <v>62</v>
      </c>
      <c r="B129" s="63" t="str">
        <f>F1</f>
        <v>BM</v>
      </c>
      <c r="C129" s="6">
        <v>3780000</v>
      </c>
      <c r="D129" s="6"/>
      <c r="E129" s="6"/>
      <c r="F129" s="6">
        <v>1080000</v>
      </c>
      <c r="G129" s="6"/>
      <c r="H129" s="6"/>
      <c r="I129" s="6">
        <v>0</v>
      </c>
      <c r="J129" s="6"/>
      <c r="K129" s="6"/>
      <c r="L129" s="6"/>
      <c r="M129" s="6">
        <f t="shared" si="13"/>
        <v>6910900</v>
      </c>
      <c r="N129" s="6"/>
      <c r="O129" s="6"/>
      <c r="P129" s="5">
        <f t="shared" si="14"/>
        <v>61874.449035812671</v>
      </c>
      <c r="Q129" s="5"/>
      <c r="R129" s="5"/>
      <c r="S129" s="48"/>
      <c r="T129" s="48"/>
      <c r="U129" s="23">
        <f t="shared" si="15"/>
        <v>0</v>
      </c>
      <c r="W129" s="64">
        <f t="shared" si="16"/>
        <v>0</v>
      </c>
      <c r="Y129" s="23"/>
      <c r="Z129" s="23"/>
      <c r="AA129" s="23"/>
      <c r="AB129" s="23"/>
      <c r="AC129" s="47"/>
      <c r="AD129" s="23"/>
      <c r="AE129" s="23"/>
    </row>
    <row r="130" spans="1:31" ht="12.75" customHeight="1">
      <c r="A130" s="35" t="s">
        <v>63</v>
      </c>
      <c r="B130" s="63" t="str">
        <f>G1</f>
        <v>QA</v>
      </c>
      <c r="C130" s="6">
        <v>2700000</v>
      </c>
      <c r="D130" s="6"/>
      <c r="E130" s="6"/>
      <c r="F130" s="6">
        <v>1080000</v>
      </c>
      <c r="G130" s="6"/>
      <c r="H130" s="6"/>
      <c r="I130" s="6">
        <v>54000</v>
      </c>
      <c r="J130" s="6"/>
      <c r="K130" s="6"/>
      <c r="L130" s="6"/>
      <c r="M130" s="6">
        <f t="shared" si="13"/>
        <v>5696595</v>
      </c>
      <c r="N130" s="6"/>
      <c r="O130" s="6"/>
      <c r="P130" s="5">
        <f t="shared" si="14"/>
        <v>51002.572314049583</v>
      </c>
      <c r="Q130" s="5"/>
      <c r="R130" s="5"/>
      <c r="S130" s="48"/>
      <c r="T130" s="48"/>
      <c r="U130" s="23">
        <f t="shared" si="15"/>
        <v>0</v>
      </c>
      <c r="W130" s="64">
        <f t="shared" si="16"/>
        <v>0</v>
      </c>
      <c r="Y130" s="23"/>
      <c r="Z130" s="23"/>
      <c r="AA130" s="23"/>
      <c r="AB130" s="23"/>
      <c r="AC130" s="47"/>
      <c r="AD130" s="23"/>
      <c r="AE130" s="23"/>
    </row>
    <row r="131" spans="1:31" ht="12.75" customHeight="1">
      <c r="A131" s="35" t="s">
        <v>64</v>
      </c>
      <c r="B131" s="63" t="str">
        <f>H1</f>
        <v>IM</v>
      </c>
      <c r="C131" s="6">
        <v>2700000</v>
      </c>
      <c r="D131" s="6"/>
      <c r="E131" s="6"/>
      <c r="F131" s="6">
        <v>1080000</v>
      </c>
      <c r="G131" s="6"/>
      <c r="H131" s="6"/>
      <c r="I131" s="6">
        <v>0</v>
      </c>
      <c r="J131" s="6"/>
      <c r="K131" s="6"/>
      <c r="L131" s="6"/>
      <c r="M131" s="6">
        <f t="shared" si="13"/>
        <v>5642595</v>
      </c>
      <c r="N131" s="6"/>
      <c r="O131" s="6"/>
      <c r="P131" s="5">
        <f t="shared" si="14"/>
        <v>50519.10123966942</v>
      </c>
      <c r="Q131" s="5"/>
      <c r="R131" s="5"/>
      <c r="S131" s="48"/>
      <c r="T131" s="48"/>
      <c r="U131" s="23">
        <f t="shared" si="15"/>
        <v>0</v>
      </c>
      <c r="W131" s="64">
        <f t="shared" si="16"/>
        <v>0</v>
      </c>
      <c r="Y131" s="23"/>
      <c r="Z131" s="23"/>
      <c r="AA131" s="23"/>
      <c r="AB131" s="23"/>
      <c r="AC131" s="47"/>
      <c r="AD131" s="23"/>
      <c r="AE131" s="23"/>
    </row>
    <row r="132" spans="1:31" ht="12.75" customHeight="1">
      <c r="A132" s="35" t="s">
        <v>65</v>
      </c>
      <c r="B132" s="63" t="str">
        <f>I1</f>
        <v>MS</v>
      </c>
      <c r="C132" s="6">
        <v>8100000</v>
      </c>
      <c r="D132" s="6"/>
      <c r="E132" s="6"/>
      <c r="F132" s="6">
        <v>2160000</v>
      </c>
      <c r="G132" s="6"/>
      <c r="H132" s="6"/>
      <c r="I132" s="6">
        <v>132000</v>
      </c>
      <c r="J132" s="6"/>
      <c r="K132" s="6"/>
      <c r="L132" s="6"/>
      <c r="M132" s="6">
        <f t="shared" si="13"/>
        <v>14192500</v>
      </c>
      <c r="N132" s="6"/>
      <c r="O132" s="6"/>
      <c r="P132" s="5">
        <f t="shared" si="14"/>
        <v>127067.83746556473</v>
      </c>
      <c r="Q132" s="5"/>
      <c r="R132" s="5"/>
      <c r="S132" s="48"/>
      <c r="T132" s="48"/>
      <c r="U132" s="23">
        <f t="shared" si="15"/>
        <v>0</v>
      </c>
      <c r="W132" s="64">
        <f t="shared" si="16"/>
        <v>0</v>
      </c>
      <c r="Y132" s="23"/>
      <c r="Z132" s="23"/>
      <c r="AA132" s="23"/>
      <c r="AB132" s="23"/>
      <c r="AC132" s="47"/>
      <c r="AD132" s="23"/>
      <c r="AE132" s="23"/>
    </row>
    <row r="133" spans="1:31" ht="12.75" customHeight="1">
      <c r="A133" s="35" t="s">
        <v>66</v>
      </c>
      <c r="B133" s="63" t="str">
        <f>J1</f>
        <v>MM</v>
      </c>
      <c r="C133" s="6">
        <v>3240000</v>
      </c>
      <c r="D133" s="6"/>
      <c r="E133" s="6"/>
      <c r="F133" s="6">
        <v>1080000</v>
      </c>
      <c r="G133" s="6"/>
      <c r="H133" s="6"/>
      <c r="I133" s="6">
        <v>132000</v>
      </c>
      <c r="J133" s="6"/>
      <c r="K133" s="6"/>
      <c r="L133" s="6"/>
      <c r="M133" s="6">
        <f t="shared" si="13"/>
        <v>6533295</v>
      </c>
      <c r="N133" s="6"/>
      <c r="O133" s="6"/>
      <c r="P133" s="5">
        <f t="shared" si="14"/>
        <v>58493.688016528926</v>
      </c>
      <c r="Q133" s="5"/>
      <c r="R133" s="5"/>
      <c r="S133" s="48"/>
      <c r="T133" s="48"/>
      <c r="U133" s="23">
        <f t="shared" si="15"/>
        <v>0</v>
      </c>
      <c r="W133" s="64">
        <f t="shared" si="16"/>
        <v>0</v>
      </c>
      <c r="Y133" s="23"/>
      <c r="Z133" s="23"/>
      <c r="AA133" s="23"/>
      <c r="AB133" s="23"/>
      <c r="AC133" s="47"/>
      <c r="AD133" s="23"/>
      <c r="AE133" s="23"/>
    </row>
    <row r="134" spans="1:31" ht="12.75" customHeight="1">
      <c r="A134" s="35" t="s">
        <v>67</v>
      </c>
      <c r="B134" s="63" t="s">
        <v>10</v>
      </c>
      <c r="C134" s="6">
        <v>3240000</v>
      </c>
      <c r="D134" s="6"/>
      <c r="E134" s="6"/>
      <c r="F134" s="6">
        <v>1080000</v>
      </c>
      <c r="G134" s="6"/>
      <c r="H134" s="6"/>
      <c r="I134" s="6"/>
      <c r="J134" s="6"/>
      <c r="K134" s="6"/>
      <c r="L134" s="6"/>
      <c r="M134" s="6">
        <f t="shared" si="13"/>
        <v>6401295</v>
      </c>
      <c r="N134" s="6"/>
      <c r="O134" s="6"/>
      <c r="P134" s="5">
        <f t="shared" si="14"/>
        <v>57311.869834710742</v>
      </c>
      <c r="Q134" s="5"/>
      <c r="R134" s="5"/>
      <c r="S134" s="48"/>
      <c r="T134" s="48"/>
      <c r="U134" s="23">
        <f t="shared" si="15"/>
        <v>0</v>
      </c>
      <c r="W134" s="64">
        <f t="shared" si="16"/>
        <v>0</v>
      </c>
      <c r="Y134" s="23"/>
      <c r="Z134" s="23"/>
      <c r="AA134" s="23"/>
      <c r="AB134" s="23"/>
      <c r="AC134" s="47"/>
      <c r="AD134" s="23"/>
      <c r="AE134" s="23"/>
    </row>
    <row r="135" spans="1:31" ht="12.75" customHeight="1">
      <c r="A135" s="35"/>
      <c r="B135" s="63"/>
      <c r="C135" s="48"/>
      <c r="D135" s="48"/>
      <c r="E135" s="48"/>
      <c r="F135" s="48"/>
      <c r="G135" s="48"/>
      <c r="H135" s="48"/>
      <c r="I135" s="23"/>
      <c r="J135" s="23"/>
      <c r="K135" s="23"/>
      <c r="L135" s="23"/>
      <c r="M135" s="23"/>
      <c r="N135" s="23"/>
      <c r="O135" s="23"/>
      <c r="P135" s="4">
        <f>SUM(P125:P134)</f>
        <v>680564.0564738292</v>
      </c>
      <c r="Q135" s="4"/>
      <c r="R135" s="4"/>
      <c r="S135" s="48"/>
      <c r="T135" s="48"/>
      <c r="U135" s="48"/>
      <c r="W135" s="65">
        <f>SUM(W125:W134)</f>
        <v>0</v>
      </c>
      <c r="Y135" s="23"/>
      <c r="Z135" s="23"/>
      <c r="AA135" s="23"/>
      <c r="AB135" s="23"/>
      <c r="AC135" s="47"/>
      <c r="AD135" s="23"/>
      <c r="AE135" s="23"/>
    </row>
    <row r="136" spans="1:31" ht="12.75" customHeight="1">
      <c r="A136" s="23"/>
      <c r="B136" s="23"/>
      <c r="C136" s="66"/>
      <c r="D136" s="66"/>
      <c r="E136" s="23"/>
      <c r="F136" s="23"/>
      <c r="G136" s="23"/>
      <c r="H136" s="48"/>
      <c r="I136" s="23"/>
      <c r="J136" s="23"/>
      <c r="K136" s="23"/>
      <c r="L136" s="48"/>
      <c r="M136" s="23"/>
      <c r="N136" s="23"/>
      <c r="O136" s="23"/>
      <c r="P136" s="23"/>
      <c r="Q136" s="23"/>
      <c r="R136" s="23"/>
      <c r="S136" s="23"/>
      <c r="T136" s="23"/>
      <c r="U136" s="23"/>
      <c r="V136" s="23"/>
      <c r="W136" s="23"/>
      <c r="X136" s="23"/>
      <c r="Y136" s="23"/>
      <c r="Z136" s="23"/>
      <c r="AA136" s="23"/>
      <c r="AB136" s="23"/>
      <c r="AC136" s="47"/>
      <c r="AD136" s="23"/>
      <c r="AE136" s="23"/>
    </row>
    <row r="137" spans="1:31" ht="12.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47"/>
      <c r="AD137" s="23"/>
      <c r="AE137" s="23"/>
    </row>
    <row r="138" spans="1:31" ht="12.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8"/>
      <c r="AD138" s="67"/>
      <c r="AE138" s="67"/>
    </row>
    <row r="139" spans="1:31" ht="15" customHeight="1">
      <c r="A139" s="67"/>
      <c r="B139" s="67"/>
      <c r="C139" s="3"/>
      <c r="D139" s="3"/>
      <c r="E139" s="3"/>
      <c r="F139" s="3"/>
      <c r="G139" s="2"/>
      <c r="H139" s="2"/>
      <c r="I139" s="2"/>
      <c r="J139" s="2"/>
      <c r="K139" s="69"/>
      <c r="L139" s="1"/>
      <c r="M139" s="1"/>
      <c r="N139" s="1"/>
      <c r="O139" s="1"/>
      <c r="P139" s="2"/>
      <c r="Q139" s="2"/>
      <c r="R139" s="2"/>
      <c r="S139" s="2"/>
      <c r="T139" s="1"/>
      <c r="U139" s="1"/>
      <c r="V139" s="1"/>
      <c r="W139" s="1"/>
      <c r="X139" s="2"/>
      <c r="Y139" s="2"/>
      <c r="Z139" s="2"/>
      <c r="AA139" s="1"/>
      <c r="AB139" s="1"/>
      <c r="AC139" s="1"/>
      <c r="AD139" s="70"/>
      <c r="AE139" s="67"/>
    </row>
    <row r="140" spans="1:31" ht="12.75" customHeight="1">
      <c r="A140" s="71" t="e">
        <f t="array" aca="1" ref="A140:A144" ca="1">unique(L1:L120)</f>
        <v>#NAME?</v>
      </c>
      <c r="B140" s="72"/>
      <c r="C140" s="73"/>
      <c r="D140" s="73"/>
      <c r="E140" s="73"/>
      <c r="F140" s="74"/>
      <c r="G140" s="75" t="s">
        <v>68</v>
      </c>
      <c r="H140" s="75" t="s">
        <v>69</v>
      </c>
      <c r="I140" s="75" t="s">
        <v>70</v>
      </c>
      <c r="J140" s="75" t="s">
        <v>71</v>
      </c>
      <c r="K140" s="75" t="s">
        <v>72</v>
      </c>
      <c r="L140" s="76" t="s">
        <v>73</v>
      </c>
      <c r="M140" s="76" t="s">
        <v>74</v>
      </c>
      <c r="N140" s="76" t="s">
        <v>75</v>
      </c>
      <c r="O140" s="76" t="s">
        <v>76</v>
      </c>
      <c r="P140" s="75" t="s">
        <v>77</v>
      </c>
      <c r="Q140" s="75"/>
      <c r="R140" s="75"/>
      <c r="S140" s="75"/>
      <c r="T140" s="76"/>
      <c r="U140" s="76"/>
      <c r="V140" s="76"/>
      <c r="W140" s="76"/>
      <c r="X140" s="75"/>
      <c r="Y140" s="75"/>
      <c r="Z140" s="75"/>
      <c r="AA140" s="76"/>
      <c r="AB140" s="76"/>
      <c r="AC140" s="77"/>
      <c r="AD140" s="76"/>
      <c r="AE140" s="67"/>
    </row>
    <row r="141" spans="1:31" ht="12.75" customHeight="1">
      <c r="A141" s="78" t="e">
        <f ca="1"/>
        <v>#NAME?</v>
      </c>
      <c r="B141" s="79"/>
      <c r="C141" s="79"/>
      <c r="D141" s="79" t="s">
        <v>78</v>
      </c>
      <c r="E141" s="79"/>
      <c r="F141" s="80"/>
      <c r="G141" s="81"/>
      <c r="H141" s="81"/>
      <c r="I141" s="81"/>
      <c r="J141" s="81"/>
      <c r="K141" s="81"/>
      <c r="L141" s="82"/>
      <c r="M141" s="82"/>
      <c r="N141" s="82"/>
      <c r="O141" s="82"/>
      <c r="P141" s="81"/>
      <c r="Q141" s="81"/>
      <c r="R141" s="81"/>
      <c r="S141" s="81"/>
      <c r="T141" s="82"/>
      <c r="U141" s="82"/>
      <c r="V141" s="82"/>
      <c r="W141" s="82"/>
      <c r="X141" s="81"/>
      <c r="Y141" s="81"/>
      <c r="Z141" s="81"/>
      <c r="AA141" s="82"/>
      <c r="AB141" s="82"/>
      <c r="AC141" s="83"/>
      <c r="AD141" s="82"/>
      <c r="AE141" s="67"/>
    </row>
    <row r="142" spans="1:31" ht="12.75" customHeight="1">
      <c r="A142" s="78" t="e">
        <f ca="1"/>
        <v>#NAME?</v>
      </c>
      <c r="B142" s="79"/>
      <c r="C142" s="79"/>
      <c r="D142" s="79"/>
      <c r="E142" s="79"/>
      <c r="F142" s="80"/>
      <c r="G142" s="81"/>
      <c r="H142" s="81"/>
      <c r="I142" s="81"/>
      <c r="J142" s="81"/>
      <c r="K142" s="81"/>
      <c r="L142" s="82"/>
      <c r="M142" s="82"/>
      <c r="N142" s="82"/>
      <c r="O142" s="82"/>
      <c r="P142" s="81"/>
      <c r="Q142" s="81"/>
      <c r="R142" s="81"/>
      <c r="S142" s="81"/>
      <c r="T142" s="82"/>
      <c r="U142" s="82"/>
      <c r="V142" s="82"/>
      <c r="W142" s="82"/>
      <c r="X142" s="81"/>
      <c r="Y142" s="81"/>
      <c r="Z142" s="81"/>
      <c r="AA142" s="82"/>
      <c r="AB142" s="82"/>
      <c r="AC142" s="83"/>
      <c r="AD142" s="82"/>
      <c r="AE142" s="67"/>
    </row>
    <row r="143" spans="1:31" ht="12.75" customHeight="1">
      <c r="A143" s="78" t="e">
        <f ca="1"/>
        <v>#NAME?</v>
      </c>
      <c r="B143" s="79"/>
      <c r="C143" s="79"/>
      <c r="D143" s="79"/>
      <c r="E143" s="79"/>
      <c r="F143" s="80"/>
      <c r="G143" s="81"/>
      <c r="H143" s="81"/>
      <c r="I143" s="81"/>
      <c r="J143" s="81"/>
      <c r="K143" s="81"/>
      <c r="L143" s="82"/>
      <c r="M143" s="82"/>
      <c r="N143" s="82"/>
      <c r="O143" s="82"/>
      <c r="P143" s="81"/>
      <c r="Q143" s="81"/>
      <c r="R143" s="81"/>
      <c r="S143" s="81"/>
      <c r="T143" s="82"/>
      <c r="U143" s="82"/>
      <c r="V143" s="82"/>
      <c r="W143" s="82"/>
      <c r="X143" s="81"/>
      <c r="Y143" s="81"/>
      <c r="Z143" s="81"/>
      <c r="AA143" s="82"/>
      <c r="AB143" s="82"/>
      <c r="AC143" s="83"/>
      <c r="AD143" s="82"/>
      <c r="AE143" s="67"/>
    </row>
    <row r="144" spans="1:31" ht="12.75" customHeight="1">
      <c r="A144" s="78" t="e">
        <f ca="1"/>
        <v>#NAME?</v>
      </c>
      <c r="B144" s="79"/>
      <c r="C144" s="79"/>
      <c r="D144" s="79"/>
      <c r="E144" s="79"/>
      <c r="F144" s="80"/>
      <c r="G144" s="81"/>
      <c r="H144" s="81"/>
      <c r="I144" s="81"/>
      <c r="J144" s="81"/>
      <c r="K144" s="81"/>
      <c r="L144" s="82"/>
      <c r="M144" s="82"/>
      <c r="N144" s="82"/>
      <c r="O144" s="82"/>
      <c r="P144" s="81"/>
      <c r="Q144" s="81"/>
      <c r="R144" s="81"/>
      <c r="S144" s="81"/>
      <c r="T144" s="82"/>
      <c r="U144" s="82"/>
      <c r="V144" s="82"/>
      <c r="W144" s="82"/>
      <c r="X144" s="81"/>
      <c r="Y144" s="81"/>
      <c r="Z144" s="81"/>
      <c r="AA144" s="82"/>
      <c r="AB144" s="82"/>
      <c r="AC144" s="83"/>
      <c r="AD144" s="82"/>
      <c r="AE144" s="67"/>
    </row>
    <row r="145" spans="1:31" ht="12.75" customHeight="1">
      <c r="A145" s="78"/>
      <c r="B145" s="79"/>
      <c r="C145" s="79"/>
      <c r="D145" s="79"/>
      <c r="E145" s="79"/>
      <c r="F145" s="80"/>
      <c r="G145" s="81"/>
      <c r="H145" s="81"/>
      <c r="I145" s="81"/>
      <c r="J145" s="81"/>
      <c r="K145" s="81"/>
      <c r="L145" s="82"/>
      <c r="M145" s="82"/>
      <c r="N145" s="82"/>
      <c r="O145" s="82"/>
      <c r="P145" s="81"/>
      <c r="Q145" s="81"/>
      <c r="R145" s="81"/>
      <c r="S145" s="81"/>
      <c r="T145" s="82"/>
      <c r="U145" s="82"/>
      <c r="V145" s="82"/>
      <c r="W145" s="82"/>
      <c r="X145" s="81"/>
      <c r="Y145" s="81"/>
      <c r="Z145" s="81"/>
      <c r="AA145" s="82"/>
      <c r="AB145" s="82"/>
      <c r="AC145" s="83"/>
      <c r="AD145" s="82"/>
      <c r="AE145" s="67"/>
    </row>
    <row r="146" spans="1:31" ht="12.75" customHeight="1">
      <c r="A146" s="78"/>
      <c r="B146" s="79"/>
      <c r="C146" s="79"/>
      <c r="D146" s="79"/>
      <c r="E146" s="79"/>
      <c r="F146" s="80"/>
      <c r="G146" s="81"/>
      <c r="H146" s="81"/>
      <c r="I146" s="81"/>
      <c r="J146" s="81"/>
      <c r="K146" s="81"/>
      <c r="L146" s="82"/>
      <c r="M146" s="82"/>
      <c r="N146" s="82"/>
      <c r="O146" s="82"/>
      <c r="P146" s="81"/>
      <c r="Q146" s="81"/>
      <c r="R146" s="81"/>
      <c r="S146" s="81"/>
      <c r="T146" s="82"/>
      <c r="U146" s="82"/>
      <c r="V146" s="82"/>
      <c r="W146" s="82"/>
      <c r="X146" s="81"/>
      <c r="Y146" s="81"/>
      <c r="Z146" s="81"/>
      <c r="AA146" s="82"/>
      <c r="AB146" s="82"/>
      <c r="AC146" s="83"/>
      <c r="AD146" s="82"/>
      <c r="AE146" s="67"/>
    </row>
    <row r="147" spans="1:31" ht="12.75" customHeight="1">
      <c r="A147" s="78"/>
      <c r="B147" s="79"/>
      <c r="C147" s="79"/>
      <c r="D147" s="79"/>
      <c r="E147" s="79"/>
      <c r="F147" s="80"/>
      <c r="G147" s="81"/>
      <c r="H147" s="81"/>
      <c r="I147" s="81"/>
      <c r="J147" s="81"/>
      <c r="K147" s="81"/>
      <c r="L147" s="82"/>
      <c r="M147" s="82"/>
      <c r="N147" s="82"/>
      <c r="O147" s="82"/>
      <c r="P147" s="81"/>
      <c r="Q147" s="81"/>
      <c r="R147" s="81"/>
      <c r="S147" s="81"/>
      <c r="T147" s="82"/>
      <c r="U147" s="82"/>
      <c r="V147" s="82"/>
      <c r="W147" s="82"/>
      <c r="X147" s="81"/>
      <c r="Y147" s="81"/>
      <c r="Z147" s="81"/>
      <c r="AA147" s="82"/>
      <c r="AB147" s="82"/>
      <c r="AC147" s="83"/>
      <c r="AD147" s="82"/>
      <c r="AE147" s="67"/>
    </row>
    <row r="148" spans="1:31" ht="12.75" customHeight="1">
      <c r="A148" s="78"/>
      <c r="B148" s="79"/>
      <c r="C148" s="79"/>
      <c r="D148" s="79"/>
      <c r="E148" s="79"/>
      <c r="F148" s="80"/>
      <c r="G148" s="81"/>
      <c r="H148" s="81"/>
      <c r="I148" s="81"/>
      <c r="J148" s="81"/>
      <c r="K148" s="81"/>
      <c r="L148" s="82"/>
      <c r="M148" s="82"/>
      <c r="N148" s="82"/>
      <c r="O148" s="82"/>
      <c r="P148" s="81"/>
      <c r="Q148" s="81"/>
      <c r="R148" s="81"/>
      <c r="S148" s="81"/>
      <c r="T148" s="82"/>
      <c r="U148" s="82"/>
      <c r="V148" s="82"/>
      <c r="W148" s="82"/>
      <c r="X148" s="81"/>
      <c r="Y148" s="81"/>
      <c r="Z148" s="81"/>
      <c r="AA148" s="82"/>
      <c r="AB148" s="82"/>
      <c r="AC148" s="83"/>
      <c r="AD148" s="82"/>
      <c r="AE148" s="67"/>
    </row>
    <row r="149" spans="1:31" ht="12.75" customHeight="1">
      <c r="A149" s="78"/>
      <c r="B149" s="79"/>
      <c r="C149" s="79"/>
      <c r="D149" s="79"/>
      <c r="E149" s="79"/>
      <c r="F149" s="80"/>
      <c r="G149" s="81"/>
      <c r="H149" s="81"/>
      <c r="I149" s="81"/>
      <c r="J149" s="81"/>
      <c r="K149" s="81"/>
      <c r="L149" s="82"/>
      <c r="M149" s="82"/>
      <c r="N149" s="82"/>
      <c r="O149" s="82"/>
      <c r="P149" s="81"/>
      <c r="Q149" s="81"/>
      <c r="R149" s="81"/>
      <c r="S149" s="81"/>
      <c r="T149" s="82"/>
      <c r="U149" s="82"/>
      <c r="V149" s="82"/>
      <c r="W149" s="82"/>
      <c r="X149" s="81"/>
      <c r="Y149" s="81"/>
      <c r="Z149" s="81"/>
      <c r="AA149" s="82"/>
      <c r="AB149" s="82"/>
      <c r="AC149" s="83"/>
      <c r="AD149" s="82"/>
      <c r="AE149" s="67"/>
    </row>
    <row r="150" spans="1:31" ht="12.75" customHeight="1">
      <c r="A150" s="78"/>
      <c r="B150" s="79"/>
      <c r="C150" s="79"/>
      <c r="D150" s="79"/>
      <c r="E150" s="79"/>
      <c r="F150" s="80"/>
      <c r="G150" s="81"/>
      <c r="H150" s="81"/>
      <c r="I150" s="81"/>
      <c r="J150" s="81"/>
      <c r="K150" s="81"/>
      <c r="L150" s="82"/>
      <c r="M150" s="82"/>
      <c r="N150" s="82"/>
      <c r="O150" s="82"/>
      <c r="P150" s="81"/>
      <c r="Q150" s="81"/>
      <c r="R150" s="81"/>
      <c r="S150" s="81"/>
      <c r="T150" s="82"/>
      <c r="U150" s="82"/>
      <c r="V150" s="82"/>
      <c r="W150" s="82"/>
      <c r="X150" s="81"/>
      <c r="Y150" s="81"/>
      <c r="Z150" s="81"/>
      <c r="AA150" s="82"/>
      <c r="AB150" s="82"/>
      <c r="AC150" s="83"/>
      <c r="AD150" s="82"/>
      <c r="AE150" s="67"/>
    </row>
    <row r="151" spans="1:31" ht="12.75" customHeight="1">
      <c r="A151" s="78"/>
      <c r="B151" s="79"/>
      <c r="C151" s="79"/>
      <c r="D151" s="79"/>
      <c r="E151" s="79"/>
      <c r="F151" s="80"/>
      <c r="G151" s="81"/>
      <c r="H151" s="81"/>
      <c r="I151" s="81"/>
      <c r="J151" s="81"/>
      <c r="K151" s="81"/>
      <c r="L151" s="82"/>
      <c r="M151" s="82"/>
      <c r="N151" s="82"/>
      <c r="O151" s="82"/>
      <c r="P151" s="81"/>
      <c r="Q151" s="81"/>
      <c r="R151" s="81"/>
      <c r="S151" s="81"/>
      <c r="T151" s="82"/>
      <c r="U151" s="82"/>
      <c r="V151" s="82"/>
      <c r="W151" s="82"/>
      <c r="X151" s="81"/>
      <c r="Y151" s="81"/>
      <c r="Z151" s="81"/>
      <c r="AA151" s="82"/>
      <c r="AB151" s="82"/>
      <c r="AC151" s="83"/>
      <c r="AD151" s="82"/>
      <c r="AE151" s="67"/>
    </row>
    <row r="152" spans="1:31" ht="12.75" customHeight="1">
      <c r="A152" s="78"/>
      <c r="B152" s="79"/>
      <c r="C152" s="79"/>
      <c r="D152" s="79"/>
      <c r="E152" s="79"/>
      <c r="F152" s="80"/>
      <c r="G152" s="81"/>
      <c r="H152" s="81"/>
      <c r="I152" s="81"/>
      <c r="J152" s="81"/>
      <c r="K152" s="81"/>
      <c r="L152" s="82"/>
      <c r="M152" s="82"/>
      <c r="N152" s="82"/>
      <c r="O152" s="82"/>
      <c r="P152" s="81"/>
      <c r="Q152" s="81"/>
      <c r="R152" s="81"/>
      <c r="S152" s="81"/>
      <c r="T152" s="82"/>
      <c r="U152" s="82"/>
      <c r="V152" s="82"/>
      <c r="W152" s="82"/>
      <c r="X152" s="81"/>
      <c r="Y152" s="81"/>
      <c r="Z152" s="81"/>
      <c r="AA152" s="82"/>
      <c r="AB152" s="82"/>
      <c r="AC152" s="83"/>
      <c r="AD152" s="82"/>
      <c r="AE152" s="67"/>
    </row>
    <row r="153" spans="1:31" ht="12.75" customHeight="1">
      <c r="A153" s="78"/>
      <c r="B153" s="79"/>
      <c r="C153" s="79"/>
      <c r="D153" s="79"/>
      <c r="E153" s="79"/>
      <c r="F153" s="80"/>
      <c r="G153" s="81"/>
      <c r="H153" s="81"/>
      <c r="I153" s="81"/>
      <c r="J153" s="81"/>
      <c r="K153" s="81"/>
      <c r="L153" s="82"/>
      <c r="M153" s="82"/>
      <c r="N153" s="82"/>
      <c r="O153" s="82"/>
      <c r="P153" s="81"/>
      <c r="Q153" s="81"/>
      <c r="R153" s="81"/>
      <c r="S153" s="81"/>
      <c r="T153" s="82"/>
      <c r="U153" s="82"/>
      <c r="V153" s="82"/>
      <c r="W153" s="82"/>
      <c r="X153" s="81"/>
      <c r="Y153" s="81"/>
      <c r="Z153" s="81"/>
      <c r="AA153" s="82"/>
      <c r="AB153" s="82"/>
      <c r="AC153" s="83"/>
      <c r="AD153" s="82"/>
      <c r="AE153" s="67"/>
    </row>
    <row r="154" spans="1:31" ht="12.75" customHeight="1">
      <c r="A154" s="78"/>
      <c r="B154" s="79"/>
      <c r="C154" s="79"/>
      <c r="D154" s="79"/>
      <c r="E154" s="79"/>
      <c r="F154" s="80"/>
      <c r="G154" s="81"/>
      <c r="H154" s="81"/>
      <c r="I154" s="81"/>
      <c r="J154" s="81"/>
      <c r="K154" s="81"/>
      <c r="L154" s="82"/>
      <c r="M154" s="82"/>
      <c r="N154" s="82"/>
      <c r="O154" s="82"/>
      <c r="P154" s="81"/>
      <c r="Q154" s="81"/>
      <c r="R154" s="81"/>
      <c r="S154" s="81"/>
      <c r="T154" s="82"/>
      <c r="U154" s="82"/>
      <c r="V154" s="82"/>
      <c r="W154" s="82"/>
      <c r="X154" s="81"/>
      <c r="Y154" s="81"/>
      <c r="Z154" s="81"/>
      <c r="AA154" s="82"/>
      <c r="AB154" s="82"/>
      <c r="AC154" s="83"/>
      <c r="AD154" s="82"/>
      <c r="AE154" s="67"/>
    </row>
    <row r="155" spans="1:31" ht="12.75" customHeight="1">
      <c r="A155" s="78"/>
      <c r="B155" s="79"/>
      <c r="C155" s="79"/>
      <c r="D155" s="79"/>
      <c r="E155" s="79"/>
      <c r="F155" s="80"/>
      <c r="G155" s="81"/>
      <c r="H155" s="81"/>
      <c r="I155" s="81"/>
      <c r="J155" s="81"/>
      <c r="K155" s="81"/>
      <c r="L155" s="82"/>
      <c r="M155" s="82"/>
      <c r="N155" s="82"/>
      <c r="O155" s="82"/>
      <c r="P155" s="81"/>
      <c r="Q155" s="81"/>
      <c r="R155" s="81"/>
      <c r="S155" s="81"/>
      <c r="T155" s="82"/>
      <c r="U155" s="82"/>
      <c r="V155" s="82"/>
      <c r="W155" s="82"/>
      <c r="X155" s="81"/>
      <c r="Y155" s="81"/>
      <c r="Z155" s="81"/>
      <c r="AA155" s="82"/>
      <c r="AB155" s="82"/>
      <c r="AC155" s="83"/>
      <c r="AD155" s="82"/>
      <c r="AE155" s="67"/>
    </row>
    <row r="156" spans="1:31" ht="12.75" customHeight="1">
      <c r="A156" s="78"/>
      <c r="B156" s="79"/>
      <c r="C156" s="79"/>
      <c r="D156" s="79"/>
      <c r="E156" s="79"/>
      <c r="F156" s="80"/>
      <c r="G156" s="81"/>
      <c r="H156" s="81"/>
      <c r="I156" s="81"/>
      <c r="J156" s="81"/>
      <c r="K156" s="81"/>
      <c r="L156" s="82"/>
      <c r="M156" s="82"/>
      <c r="N156" s="82"/>
      <c r="O156" s="82"/>
      <c r="P156" s="81"/>
      <c r="Q156" s="81"/>
      <c r="R156" s="81"/>
      <c r="S156" s="81"/>
      <c r="T156" s="82"/>
      <c r="U156" s="82"/>
      <c r="V156" s="82"/>
      <c r="W156" s="82"/>
      <c r="X156" s="81"/>
      <c r="Y156" s="81"/>
      <c r="Z156" s="81"/>
      <c r="AA156" s="82"/>
      <c r="AB156" s="82"/>
      <c r="AC156" s="83"/>
      <c r="AD156" s="82"/>
      <c r="AE156" s="67"/>
    </row>
    <row r="157" spans="1:31" ht="12.75" customHeight="1">
      <c r="A157" s="78"/>
      <c r="B157" s="79"/>
      <c r="C157" s="79"/>
      <c r="D157" s="79"/>
      <c r="E157" s="79"/>
      <c r="F157" s="80"/>
      <c r="G157" s="81"/>
      <c r="H157" s="81"/>
      <c r="I157" s="81"/>
      <c r="J157" s="81"/>
      <c r="K157" s="81"/>
      <c r="L157" s="82"/>
      <c r="M157" s="82"/>
      <c r="N157" s="82"/>
      <c r="O157" s="82"/>
      <c r="P157" s="81"/>
      <c r="Q157" s="81"/>
      <c r="R157" s="81"/>
      <c r="S157" s="81"/>
      <c r="T157" s="82"/>
      <c r="U157" s="82"/>
      <c r="V157" s="82"/>
      <c r="W157" s="82"/>
      <c r="X157" s="81"/>
      <c r="Y157" s="81"/>
      <c r="Z157" s="81"/>
      <c r="AA157" s="82"/>
      <c r="AB157" s="82"/>
      <c r="AC157" s="83"/>
      <c r="AD157" s="82"/>
      <c r="AE157" s="67"/>
    </row>
    <row r="158" spans="1:31" ht="12.75" customHeight="1">
      <c r="A158" s="78"/>
      <c r="B158" s="79"/>
      <c r="C158" s="79"/>
      <c r="D158" s="79"/>
      <c r="E158" s="79"/>
      <c r="F158" s="80"/>
      <c r="G158" s="81"/>
      <c r="H158" s="81"/>
      <c r="I158" s="81"/>
      <c r="J158" s="81"/>
      <c r="K158" s="81"/>
      <c r="L158" s="82"/>
      <c r="M158" s="82"/>
      <c r="N158" s="82"/>
      <c r="O158" s="82"/>
      <c r="P158" s="81"/>
      <c r="Q158" s="81"/>
      <c r="R158" s="81"/>
      <c r="S158" s="81"/>
      <c r="T158" s="82"/>
      <c r="U158" s="82"/>
      <c r="V158" s="82"/>
      <c r="W158" s="82"/>
      <c r="X158" s="81"/>
      <c r="Y158" s="81"/>
      <c r="Z158" s="81"/>
      <c r="AA158" s="82"/>
      <c r="AB158" s="82"/>
      <c r="AC158" s="83"/>
      <c r="AD158" s="82"/>
      <c r="AE158" s="67"/>
    </row>
    <row r="159" spans="1:31" ht="12.75" customHeight="1">
      <c r="A159" s="78"/>
      <c r="B159" s="79"/>
      <c r="C159" s="79"/>
      <c r="D159" s="79"/>
      <c r="E159" s="79"/>
      <c r="F159" s="80"/>
      <c r="G159" s="81"/>
      <c r="H159" s="81"/>
      <c r="I159" s="81"/>
      <c r="J159" s="81"/>
      <c r="K159" s="81"/>
      <c r="L159" s="82"/>
      <c r="M159" s="82"/>
      <c r="N159" s="82"/>
      <c r="O159" s="82"/>
      <c r="P159" s="81"/>
      <c r="Q159" s="81"/>
      <c r="R159" s="81"/>
      <c r="S159" s="81"/>
      <c r="T159" s="82"/>
      <c r="U159" s="82"/>
      <c r="V159" s="82"/>
      <c r="W159" s="82"/>
      <c r="X159" s="81"/>
      <c r="Y159" s="81"/>
      <c r="Z159" s="81"/>
      <c r="AA159" s="82"/>
      <c r="AB159" s="82"/>
      <c r="AC159" s="83"/>
      <c r="AD159" s="82"/>
      <c r="AE159" s="67"/>
    </row>
    <row r="160" spans="1:31" ht="12.75" customHeight="1">
      <c r="A160" s="78"/>
      <c r="B160" s="79"/>
      <c r="C160" s="79"/>
      <c r="D160" s="79"/>
      <c r="E160" s="79"/>
      <c r="F160" s="80"/>
      <c r="G160" s="81"/>
      <c r="H160" s="81"/>
      <c r="I160" s="81"/>
      <c r="J160" s="81"/>
      <c r="K160" s="81"/>
      <c r="L160" s="82"/>
      <c r="M160" s="82"/>
      <c r="N160" s="82"/>
      <c r="O160" s="82"/>
      <c r="P160" s="81"/>
      <c r="Q160" s="81"/>
      <c r="R160" s="81"/>
      <c r="S160" s="81"/>
      <c r="T160" s="82"/>
      <c r="U160" s="82"/>
      <c r="V160" s="82"/>
      <c r="W160" s="82"/>
      <c r="X160" s="81"/>
      <c r="Y160" s="81"/>
      <c r="Z160" s="81"/>
      <c r="AA160" s="82"/>
      <c r="AB160" s="82"/>
      <c r="AC160" s="83"/>
      <c r="AD160" s="82"/>
      <c r="AE160" s="67"/>
    </row>
    <row r="161" spans="1:31" ht="12.75" customHeight="1">
      <c r="A161" s="78"/>
      <c r="B161" s="79"/>
      <c r="C161" s="79"/>
      <c r="D161" s="79"/>
      <c r="E161" s="79"/>
      <c r="F161" s="80"/>
      <c r="G161" s="81"/>
      <c r="H161" s="81"/>
      <c r="I161" s="81"/>
      <c r="J161" s="81"/>
      <c r="K161" s="81"/>
      <c r="L161" s="82"/>
      <c r="M161" s="82"/>
      <c r="N161" s="82"/>
      <c r="O161" s="82"/>
      <c r="P161" s="81"/>
      <c r="Q161" s="81"/>
      <c r="R161" s="81"/>
      <c r="S161" s="81"/>
      <c r="T161" s="82"/>
      <c r="U161" s="82"/>
      <c r="V161" s="82"/>
      <c r="W161" s="82"/>
      <c r="X161" s="81"/>
      <c r="Y161" s="81"/>
      <c r="Z161" s="81"/>
      <c r="AA161" s="82"/>
      <c r="AB161" s="82"/>
      <c r="AC161" s="83"/>
      <c r="AD161" s="82"/>
      <c r="AE161" s="67"/>
    </row>
    <row r="162" spans="1:31" ht="12.75" customHeight="1">
      <c r="A162" s="78"/>
      <c r="B162" s="79"/>
      <c r="C162" s="79"/>
      <c r="D162" s="79"/>
      <c r="E162" s="79"/>
      <c r="F162" s="80"/>
      <c r="G162" s="81"/>
      <c r="H162" s="81"/>
      <c r="I162" s="81"/>
      <c r="J162" s="81"/>
      <c r="K162" s="81"/>
      <c r="L162" s="82"/>
      <c r="M162" s="82"/>
      <c r="N162" s="82"/>
      <c r="O162" s="82"/>
      <c r="P162" s="81"/>
      <c r="Q162" s="81"/>
      <c r="R162" s="81"/>
      <c r="S162" s="81"/>
      <c r="T162" s="82"/>
      <c r="U162" s="82"/>
      <c r="V162" s="82"/>
      <c r="W162" s="82"/>
      <c r="X162" s="81"/>
      <c r="Y162" s="81"/>
      <c r="Z162" s="81"/>
      <c r="AA162" s="82"/>
      <c r="AB162" s="82"/>
      <c r="AC162" s="83"/>
      <c r="AD162" s="82"/>
      <c r="AE162" s="67"/>
    </row>
    <row r="163" spans="1:31" ht="12.75" customHeight="1">
      <c r="A163" s="78"/>
      <c r="B163" s="79"/>
      <c r="C163" s="79"/>
      <c r="D163" s="79"/>
      <c r="E163" s="79"/>
      <c r="F163" s="80"/>
      <c r="G163" s="81"/>
      <c r="H163" s="81"/>
      <c r="I163" s="81"/>
      <c r="J163" s="81"/>
      <c r="K163" s="81"/>
      <c r="L163" s="82"/>
      <c r="M163" s="82"/>
      <c r="N163" s="82"/>
      <c r="O163" s="82"/>
      <c r="P163" s="81"/>
      <c r="Q163" s="81"/>
      <c r="R163" s="81"/>
      <c r="S163" s="81"/>
      <c r="T163" s="82"/>
      <c r="U163" s="82"/>
      <c r="V163" s="82"/>
      <c r="W163" s="82"/>
      <c r="X163" s="81"/>
      <c r="Y163" s="81"/>
      <c r="Z163" s="81"/>
      <c r="AA163" s="82"/>
      <c r="AB163" s="82"/>
      <c r="AC163" s="83"/>
      <c r="AD163" s="82"/>
      <c r="AE163" s="67"/>
    </row>
    <row r="164" spans="1:31" ht="12.75" customHeight="1">
      <c r="A164" s="78"/>
      <c r="B164" s="79"/>
      <c r="C164" s="79"/>
      <c r="D164" s="79"/>
      <c r="E164" s="79"/>
      <c r="F164" s="80"/>
      <c r="G164" s="81"/>
      <c r="H164" s="81"/>
      <c r="I164" s="81"/>
      <c r="J164" s="81"/>
      <c r="K164" s="81"/>
      <c r="L164" s="82"/>
      <c r="M164" s="82"/>
      <c r="N164" s="82"/>
      <c r="O164" s="82"/>
      <c r="P164" s="81"/>
      <c r="Q164" s="81"/>
      <c r="R164" s="81"/>
      <c r="S164" s="81"/>
      <c r="T164" s="82"/>
      <c r="U164" s="82"/>
      <c r="V164" s="82"/>
      <c r="W164" s="82"/>
      <c r="X164" s="81"/>
      <c r="Y164" s="81"/>
      <c r="Z164" s="81"/>
      <c r="AA164" s="82"/>
      <c r="AB164" s="82"/>
      <c r="AC164" s="83"/>
      <c r="AD164" s="82"/>
      <c r="AE164" s="67"/>
    </row>
    <row r="165" spans="1:31" ht="12.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47"/>
      <c r="AD165" s="23"/>
      <c r="AE165" s="67"/>
    </row>
    <row r="166" spans="1:31" ht="12.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47"/>
      <c r="AD166" s="23"/>
      <c r="AE166" s="23"/>
    </row>
    <row r="167" spans="1:31" ht="12.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47"/>
      <c r="AD167" s="23"/>
      <c r="AE167" s="23"/>
    </row>
  </sheetData>
  <mergeCells count="68">
    <mergeCell ref="T139:W139"/>
    <mergeCell ref="X139:Z139"/>
    <mergeCell ref="AA139:AC139"/>
    <mergeCell ref="P135:R135"/>
    <mergeCell ref="C139:F139"/>
    <mergeCell ref="G139:J139"/>
    <mergeCell ref="L139:O139"/>
    <mergeCell ref="P139:S139"/>
    <mergeCell ref="C134:E134"/>
    <mergeCell ref="F134:H134"/>
    <mergeCell ref="I134:L134"/>
    <mergeCell ref="M134:O134"/>
    <mergeCell ref="P134:R134"/>
    <mergeCell ref="C133:E133"/>
    <mergeCell ref="F133:H133"/>
    <mergeCell ref="I133:L133"/>
    <mergeCell ref="M133:O133"/>
    <mergeCell ref="P133:R133"/>
    <mergeCell ref="C132:E132"/>
    <mergeCell ref="F132:H132"/>
    <mergeCell ref="I132:L132"/>
    <mergeCell ref="M132:O132"/>
    <mergeCell ref="P132:R132"/>
    <mergeCell ref="C131:E131"/>
    <mergeCell ref="F131:H131"/>
    <mergeCell ref="I131:L131"/>
    <mergeCell ref="M131:O131"/>
    <mergeCell ref="P131:R131"/>
    <mergeCell ref="C130:E130"/>
    <mergeCell ref="F130:H130"/>
    <mergeCell ref="I130:L130"/>
    <mergeCell ref="M130:O130"/>
    <mergeCell ref="P130:R130"/>
    <mergeCell ref="C129:E129"/>
    <mergeCell ref="F129:H129"/>
    <mergeCell ref="I129:L129"/>
    <mergeCell ref="M129:O129"/>
    <mergeCell ref="P129:R129"/>
    <mergeCell ref="C128:E128"/>
    <mergeCell ref="F128:H128"/>
    <mergeCell ref="I128:L128"/>
    <mergeCell ref="M128:O128"/>
    <mergeCell ref="P128:R128"/>
    <mergeCell ref="C127:E127"/>
    <mergeCell ref="F127:H127"/>
    <mergeCell ref="I127:L127"/>
    <mergeCell ref="M127:O127"/>
    <mergeCell ref="P127:R127"/>
    <mergeCell ref="C126:E126"/>
    <mergeCell ref="F126:H126"/>
    <mergeCell ref="I126:L126"/>
    <mergeCell ref="M126:O126"/>
    <mergeCell ref="P126:R126"/>
    <mergeCell ref="V124:X124"/>
    <mergeCell ref="C125:E125"/>
    <mergeCell ref="F125:H125"/>
    <mergeCell ref="I125:L125"/>
    <mergeCell ref="M125:O125"/>
    <mergeCell ref="P125:R125"/>
    <mergeCell ref="M1:N1"/>
    <mergeCell ref="O1:U1"/>
    <mergeCell ref="I122:L122"/>
    <mergeCell ref="M122:O122"/>
    <mergeCell ref="C124:E124"/>
    <mergeCell ref="F124:H124"/>
    <mergeCell ref="I124:L124"/>
    <mergeCell ref="M124:O124"/>
    <mergeCell ref="P124:R124"/>
  </mergeCells>
  <pageMargins left="0.7" right="0.7" top="0.75" bottom="0.75"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heetPr>
  <dimension ref="A1:AE167"/>
  <sheetViews>
    <sheetView zoomScaleNormal="100" workbookViewId="0"/>
  </sheetViews>
  <sheetFormatPr baseColWidth="10" defaultColWidth="12.5703125" defaultRowHeight="15.75" customHeight="1"/>
  <cols>
    <col min="1" max="1" width="23.85546875" customWidth="1"/>
    <col min="2" max="4" width="5" customWidth="1"/>
    <col min="5" max="5" width="6.7109375" customWidth="1"/>
    <col min="6" max="8" width="5" customWidth="1"/>
    <col min="9" max="22" width="4.5703125" customWidth="1"/>
    <col min="23" max="23" width="19.140625" customWidth="1"/>
    <col min="24" max="24" width="4.5703125" customWidth="1"/>
    <col min="25" max="25" width="13.28515625" customWidth="1"/>
    <col min="26" max="27" width="6" customWidth="1"/>
    <col min="28" max="28" width="5" customWidth="1"/>
    <col min="29" max="29" width="15" customWidth="1"/>
    <col min="30" max="31" width="4.5703125" customWidth="1"/>
  </cols>
  <sheetData>
    <row r="1" spans="1:31" ht="25.5" customHeight="1">
      <c r="A1" s="12" t="s">
        <v>0</v>
      </c>
      <c r="B1" s="13" t="s">
        <v>1</v>
      </c>
      <c r="C1" s="13" t="s">
        <v>2</v>
      </c>
      <c r="D1" s="13" t="s">
        <v>3</v>
      </c>
      <c r="E1" s="13" t="s">
        <v>4</v>
      </c>
      <c r="F1" s="13" t="s">
        <v>5</v>
      </c>
      <c r="G1" s="13" t="s">
        <v>6</v>
      </c>
      <c r="H1" s="13" t="s">
        <v>7</v>
      </c>
      <c r="I1" s="13" t="s">
        <v>8</v>
      </c>
      <c r="J1" s="13" t="s">
        <v>9</v>
      </c>
      <c r="K1" s="13" t="s">
        <v>10</v>
      </c>
      <c r="L1" s="14"/>
      <c r="M1" s="11" t="s">
        <v>11</v>
      </c>
      <c r="N1" s="11"/>
      <c r="O1" s="10" t="s">
        <v>12</v>
      </c>
      <c r="P1" s="10"/>
      <c r="Q1" s="10"/>
      <c r="R1" s="10"/>
      <c r="S1" s="10"/>
      <c r="T1" s="10"/>
      <c r="U1" s="10"/>
      <c r="V1" s="14"/>
      <c r="W1" s="15">
        <v>46049</v>
      </c>
      <c r="X1" s="14"/>
      <c r="Y1" s="16">
        <f>SUMIFS(Y2:Y120,L2:L120,"&lt;&gt;"&amp;"")</f>
        <v>0</v>
      </c>
      <c r="Z1" s="14" t="s">
        <v>13</v>
      </c>
      <c r="AA1" s="17" t="s">
        <v>14</v>
      </c>
      <c r="AB1" s="18" t="s">
        <v>15</v>
      </c>
      <c r="AC1" s="19">
        <f>SUM(AC2:AC120)</f>
        <v>0</v>
      </c>
      <c r="AD1" s="14"/>
      <c r="AE1" s="14"/>
    </row>
    <row r="2" spans="1:31" ht="15.75" customHeight="1">
      <c r="A2" s="20">
        <f t="shared" ref="A2:A33" si="0">(B2*$P$125+C2*$P$126+D2*$P$127+E2*$P$128+F2*$P$129+G2*$P$130+H2*$P$131+I2*$P$132+J2*$P$133+K2*$P$134)*$T$123</f>
        <v>0</v>
      </c>
      <c r="B2" s="21"/>
      <c r="C2" s="22"/>
      <c r="D2" s="22"/>
      <c r="E2" s="22"/>
      <c r="F2" s="22"/>
      <c r="G2" s="22"/>
      <c r="H2" s="22"/>
      <c r="I2" s="22"/>
      <c r="J2" s="23"/>
      <c r="K2" s="23"/>
      <c r="L2" s="24" t="s">
        <v>16</v>
      </c>
      <c r="M2" s="25"/>
      <c r="N2" s="26"/>
      <c r="O2" s="26"/>
      <c r="P2" s="26"/>
      <c r="Q2" s="26"/>
      <c r="R2" s="26"/>
      <c r="S2" s="26"/>
      <c r="T2" s="26"/>
      <c r="U2" s="26"/>
      <c r="V2" s="26"/>
      <c r="W2" s="26"/>
      <c r="X2" s="26">
        <f>COUNTIF($L$2:L2,"&lt;&gt;"&amp;"")</f>
        <v>1</v>
      </c>
      <c r="Y2" s="27">
        <f t="shared" ref="Y2:Y33" si="1">SUMIF($X$2:$X$120,X2,$A$2:$A$120)</f>
        <v>0</v>
      </c>
      <c r="Z2" s="28"/>
      <c r="AA2" s="29"/>
      <c r="AB2" s="30" t="b">
        <f>TRUE()</f>
        <v>1</v>
      </c>
      <c r="AC2" s="31">
        <f t="shared" ref="AC2:AC33" si="2">IF(L2="",0,IF(AB2=FALSE(),0,Y2))</f>
        <v>0</v>
      </c>
      <c r="AD2" s="23"/>
      <c r="AE2" s="23"/>
    </row>
    <row r="3" spans="1:31" ht="15.75" customHeight="1">
      <c r="A3" s="20">
        <f t="shared" si="0"/>
        <v>0</v>
      </c>
      <c r="B3" s="22"/>
      <c r="C3" s="21"/>
      <c r="D3" s="21"/>
      <c r="E3" s="22"/>
      <c r="F3" s="22"/>
      <c r="G3" s="22"/>
      <c r="H3" s="22"/>
      <c r="I3" s="22"/>
      <c r="J3" s="23"/>
      <c r="K3" s="23"/>
      <c r="L3" s="24" t="s">
        <v>17</v>
      </c>
      <c r="M3" s="26"/>
      <c r="N3" s="26"/>
      <c r="O3" s="26"/>
      <c r="P3" s="26"/>
      <c r="Q3" s="26"/>
      <c r="R3" s="26"/>
      <c r="S3" s="26"/>
      <c r="T3" s="26"/>
      <c r="U3" s="26"/>
      <c r="V3" s="26"/>
      <c r="W3" s="26"/>
      <c r="X3" s="26">
        <f>COUNTIF($L$2:L3,"&lt;&gt;"&amp;"")</f>
        <v>2</v>
      </c>
      <c r="Y3" s="27">
        <f t="shared" si="1"/>
        <v>0</v>
      </c>
      <c r="Z3" s="28"/>
      <c r="AA3" s="29"/>
      <c r="AB3" s="30" t="b">
        <f>TRUE()</f>
        <v>1</v>
      </c>
      <c r="AC3" s="31">
        <f t="shared" si="2"/>
        <v>0</v>
      </c>
      <c r="AD3" s="23"/>
      <c r="AE3" s="23"/>
    </row>
    <row r="4" spans="1:31" ht="15.75" customHeight="1">
      <c r="A4" s="20">
        <f t="shared" si="0"/>
        <v>0</v>
      </c>
      <c r="B4" s="22"/>
      <c r="C4" s="22"/>
      <c r="D4" s="22"/>
      <c r="E4" s="22"/>
      <c r="F4" s="22"/>
      <c r="G4" s="22"/>
      <c r="H4" s="21"/>
      <c r="I4" s="22"/>
      <c r="J4" s="23"/>
      <c r="K4" s="23"/>
      <c r="L4" s="24" t="s">
        <v>18</v>
      </c>
      <c r="M4" s="26"/>
      <c r="N4" s="26"/>
      <c r="O4" s="26"/>
      <c r="P4" s="26"/>
      <c r="Q4" s="26"/>
      <c r="R4" s="26"/>
      <c r="S4" s="26"/>
      <c r="T4" s="26"/>
      <c r="U4" s="26"/>
      <c r="V4" s="26"/>
      <c r="W4" s="26"/>
      <c r="X4" s="26">
        <f>COUNTIF($L$2:L4,"&lt;&gt;"&amp;"")</f>
        <v>3</v>
      </c>
      <c r="Y4" s="27">
        <f t="shared" si="1"/>
        <v>0</v>
      </c>
      <c r="Z4" s="28"/>
      <c r="AA4" s="32"/>
      <c r="AB4" s="30" t="b">
        <f>TRUE()</f>
        <v>1</v>
      </c>
      <c r="AC4" s="31">
        <f t="shared" si="2"/>
        <v>0</v>
      </c>
      <c r="AD4" s="23"/>
      <c r="AE4" s="23"/>
    </row>
    <row r="5" spans="1:31" ht="15.75" customHeight="1">
      <c r="A5" s="20">
        <f t="shared" si="0"/>
        <v>0</v>
      </c>
      <c r="B5" s="23"/>
      <c r="C5" s="23"/>
      <c r="D5" s="23"/>
      <c r="E5" s="23"/>
      <c r="F5" s="23"/>
      <c r="G5" s="23"/>
      <c r="H5" s="23"/>
      <c r="I5" s="23"/>
      <c r="J5" s="23"/>
      <c r="K5" s="23"/>
      <c r="L5" s="24" t="s">
        <v>19</v>
      </c>
      <c r="M5" s="26"/>
      <c r="N5" s="26"/>
      <c r="O5" s="26"/>
      <c r="P5" s="26"/>
      <c r="Q5" s="26"/>
      <c r="R5" s="26"/>
      <c r="S5" s="26"/>
      <c r="T5" s="26"/>
      <c r="U5" s="26"/>
      <c r="V5" s="26"/>
      <c r="W5" s="26"/>
      <c r="X5" s="26">
        <f>COUNTIF($L$2:L5,"&lt;&gt;"&amp;"")</f>
        <v>4</v>
      </c>
      <c r="Y5" s="27">
        <f t="shared" si="1"/>
        <v>0</v>
      </c>
      <c r="Z5" s="28"/>
      <c r="AA5" s="32"/>
      <c r="AB5" s="30" t="b">
        <f>TRUE()</f>
        <v>1</v>
      </c>
      <c r="AC5" s="31">
        <f t="shared" si="2"/>
        <v>0</v>
      </c>
      <c r="AD5" s="23"/>
      <c r="AE5" s="23"/>
    </row>
    <row r="6" spans="1:31" ht="15" customHeight="1">
      <c r="A6" s="20">
        <f t="shared" si="0"/>
        <v>0</v>
      </c>
      <c r="B6" s="23"/>
      <c r="C6" s="23"/>
      <c r="D6" s="23"/>
      <c r="E6" s="23"/>
      <c r="F6" s="23"/>
      <c r="G6" s="23"/>
      <c r="H6" s="23"/>
      <c r="I6" s="23"/>
      <c r="J6" s="23"/>
      <c r="K6" s="23"/>
      <c r="L6" s="33"/>
      <c r="M6" s="26"/>
      <c r="N6" s="26"/>
      <c r="O6" s="26"/>
      <c r="P6" s="26"/>
      <c r="Q6" s="26"/>
      <c r="R6" s="26"/>
      <c r="S6" s="26"/>
      <c r="T6" s="26"/>
      <c r="U6" s="26"/>
      <c r="V6" s="26"/>
      <c r="W6" s="26"/>
      <c r="X6" s="26">
        <f>COUNTIF($L$2:L6,"&lt;&gt;"&amp;"")</f>
        <v>4</v>
      </c>
      <c r="Y6" s="27">
        <f t="shared" si="1"/>
        <v>0</v>
      </c>
      <c r="Z6" s="28"/>
      <c r="AA6" s="29"/>
      <c r="AB6" s="30" t="b">
        <f>TRUE()</f>
        <v>1</v>
      </c>
      <c r="AC6" s="31">
        <f t="shared" si="2"/>
        <v>0</v>
      </c>
      <c r="AD6" s="23"/>
      <c r="AE6" s="23"/>
    </row>
    <row r="7" spans="1:31" ht="15" customHeight="1">
      <c r="A7" s="20">
        <f t="shared" si="0"/>
        <v>0</v>
      </c>
      <c r="B7" s="23"/>
      <c r="C7" s="23"/>
      <c r="D7" s="23"/>
      <c r="E7" s="23"/>
      <c r="F7" s="23"/>
      <c r="G7" s="23"/>
      <c r="H7" s="23"/>
      <c r="I7" s="23"/>
      <c r="J7" s="23"/>
      <c r="K7" s="23"/>
      <c r="L7" s="33"/>
      <c r="M7" s="26"/>
      <c r="N7" s="26"/>
      <c r="O7" s="26"/>
      <c r="P7" s="26"/>
      <c r="Q7" s="26"/>
      <c r="R7" s="26"/>
      <c r="S7" s="26"/>
      <c r="T7" s="26"/>
      <c r="U7" s="26"/>
      <c r="V7" s="26"/>
      <c r="W7" s="26"/>
      <c r="X7" s="26">
        <f>COUNTIF($L$2:L7,"&lt;&gt;"&amp;"")</f>
        <v>4</v>
      </c>
      <c r="Y7" s="27">
        <f t="shared" si="1"/>
        <v>0</v>
      </c>
      <c r="Z7" s="28"/>
      <c r="AA7" s="32"/>
      <c r="AB7" s="30" t="b">
        <f>TRUE()</f>
        <v>1</v>
      </c>
      <c r="AC7" s="31">
        <f t="shared" si="2"/>
        <v>0</v>
      </c>
      <c r="AD7" s="23"/>
      <c r="AE7" s="23"/>
    </row>
    <row r="8" spans="1:31" ht="15.75" customHeight="1">
      <c r="A8" s="20">
        <f t="shared" si="0"/>
        <v>0</v>
      </c>
      <c r="B8" s="23"/>
      <c r="C8" s="23"/>
      <c r="D8" s="23"/>
      <c r="E8" s="23"/>
      <c r="F8" s="23"/>
      <c r="G8" s="23"/>
      <c r="H8" s="23"/>
      <c r="I8" s="23"/>
      <c r="J8" s="23"/>
      <c r="K8" s="23"/>
      <c r="L8" s="34" t="s">
        <v>142</v>
      </c>
      <c r="M8" s="26"/>
      <c r="N8" s="26"/>
      <c r="O8" s="26"/>
      <c r="P8" s="26"/>
      <c r="Q8" s="26"/>
      <c r="R8" s="26"/>
      <c r="S8" s="26"/>
      <c r="T8" s="26"/>
      <c r="U8" s="26"/>
      <c r="V8" s="26"/>
      <c r="W8" s="26"/>
      <c r="X8" s="26">
        <f>COUNTIF($L$2:L8,"&lt;&gt;"&amp;"")</f>
        <v>5</v>
      </c>
      <c r="Y8" s="27">
        <f t="shared" si="1"/>
        <v>0</v>
      </c>
      <c r="Z8" s="28"/>
      <c r="AA8" s="29"/>
      <c r="AB8" s="30" t="b">
        <f>TRUE()</f>
        <v>1</v>
      </c>
      <c r="AC8" s="31">
        <f t="shared" si="2"/>
        <v>0</v>
      </c>
      <c r="AD8" s="35"/>
      <c r="AE8" s="35"/>
    </row>
    <row r="9" spans="1:31" ht="12.75" customHeight="1">
      <c r="A9" s="20">
        <f t="shared" si="0"/>
        <v>0</v>
      </c>
      <c r="B9" s="23"/>
      <c r="C9" s="23"/>
      <c r="D9" s="23"/>
      <c r="E9" s="23"/>
      <c r="F9" s="23"/>
      <c r="G9" s="23"/>
      <c r="H9" s="23"/>
      <c r="I9" s="23"/>
      <c r="J9" s="23"/>
      <c r="K9" s="23"/>
      <c r="L9" s="26"/>
      <c r="M9" s="36" t="s">
        <v>143</v>
      </c>
      <c r="N9" s="26"/>
      <c r="O9" s="26"/>
      <c r="P9" s="26"/>
      <c r="Q9" s="26"/>
      <c r="R9" s="26"/>
      <c r="S9" s="26"/>
      <c r="T9" s="26"/>
      <c r="U9" s="26"/>
      <c r="V9" s="26"/>
      <c r="W9" s="26"/>
      <c r="X9" s="26">
        <f>COUNTIF($L$2:L9,"&lt;&gt;"&amp;"")</f>
        <v>5</v>
      </c>
      <c r="Y9" s="27">
        <f t="shared" si="1"/>
        <v>0</v>
      </c>
      <c r="Z9" s="28"/>
      <c r="AA9" s="29"/>
      <c r="AB9" s="30" t="b">
        <f>TRUE()</f>
        <v>1</v>
      </c>
      <c r="AC9" s="31">
        <f t="shared" si="2"/>
        <v>0</v>
      </c>
      <c r="AD9" s="35"/>
      <c r="AE9" s="35"/>
    </row>
    <row r="10" spans="1:31" ht="12.75" customHeight="1">
      <c r="A10" s="20">
        <f t="shared" si="0"/>
        <v>0</v>
      </c>
      <c r="B10" s="23"/>
      <c r="C10" s="23"/>
      <c r="D10" s="23"/>
      <c r="E10" s="23"/>
      <c r="F10" s="23"/>
      <c r="G10" s="23"/>
      <c r="H10" s="23"/>
      <c r="I10" s="23"/>
      <c r="J10" s="23"/>
      <c r="K10" s="23"/>
      <c r="L10" s="26"/>
      <c r="M10" s="26"/>
      <c r="N10" s="37" t="s">
        <v>144</v>
      </c>
      <c r="O10" s="26"/>
      <c r="P10" s="26"/>
      <c r="Q10" s="26"/>
      <c r="R10" s="26"/>
      <c r="S10" s="26"/>
      <c r="T10" s="26"/>
      <c r="U10" s="26"/>
      <c r="V10" s="26"/>
      <c r="W10" s="26"/>
      <c r="X10" s="26">
        <f>COUNTIF($L$2:L10,"&lt;&gt;"&amp;"")</f>
        <v>5</v>
      </c>
      <c r="Y10" s="27">
        <f t="shared" si="1"/>
        <v>0</v>
      </c>
      <c r="Z10" s="28"/>
      <c r="AA10" s="29"/>
      <c r="AB10" s="30" t="b">
        <f>TRUE()</f>
        <v>1</v>
      </c>
      <c r="AC10" s="31">
        <f t="shared" si="2"/>
        <v>0</v>
      </c>
      <c r="AD10" s="35"/>
      <c r="AE10" s="35"/>
    </row>
    <row r="11" spans="1:31" ht="12.75" customHeight="1">
      <c r="A11" s="20">
        <f t="shared" si="0"/>
        <v>0</v>
      </c>
      <c r="B11" s="23"/>
      <c r="C11" s="23"/>
      <c r="D11" s="23"/>
      <c r="E11" s="23"/>
      <c r="F11" s="23"/>
      <c r="G11" s="23"/>
      <c r="H11" s="23"/>
      <c r="I11" s="23"/>
      <c r="J11" s="23"/>
      <c r="K11" s="23"/>
      <c r="L11" s="26"/>
      <c r="M11" s="26"/>
      <c r="N11" s="38"/>
      <c r="O11" s="26"/>
      <c r="P11" s="26"/>
      <c r="Q11" s="26"/>
      <c r="R11" s="26"/>
      <c r="S11" s="26"/>
      <c r="T11" s="26"/>
      <c r="U11" s="26"/>
      <c r="V11" s="26"/>
      <c r="W11" s="26"/>
      <c r="X11" s="26">
        <f>COUNTIF($L$2:L11,"&lt;&gt;"&amp;"")</f>
        <v>5</v>
      </c>
      <c r="Y11" s="27">
        <f t="shared" si="1"/>
        <v>0</v>
      </c>
      <c r="Z11" s="28"/>
      <c r="AA11" s="29"/>
      <c r="AB11" s="30" t="b">
        <f>TRUE()</f>
        <v>1</v>
      </c>
      <c r="AC11" s="31">
        <f t="shared" si="2"/>
        <v>0</v>
      </c>
      <c r="AD11" s="35"/>
      <c r="AE11" s="35"/>
    </row>
    <row r="12" spans="1:31" ht="12.75" customHeight="1">
      <c r="A12" s="20">
        <f t="shared" si="0"/>
        <v>0</v>
      </c>
      <c r="B12" s="23"/>
      <c r="C12" s="23"/>
      <c r="D12" s="23"/>
      <c r="E12" s="23"/>
      <c r="F12" s="23"/>
      <c r="G12" s="23"/>
      <c r="H12" s="23"/>
      <c r="I12" s="23"/>
      <c r="J12" s="23"/>
      <c r="K12" s="23"/>
      <c r="L12" s="26"/>
      <c r="M12" s="39"/>
      <c r="N12" s="26"/>
      <c r="O12" s="26"/>
      <c r="P12" s="26"/>
      <c r="Q12" s="26"/>
      <c r="R12" s="26"/>
      <c r="S12" s="26"/>
      <c r="T12" s="26"/>
      <c r="U12" s="26"/>
      <c r="V12" s="26"/>
      <c r="W12" s="26"/>
      <c r="X12" s="26">
        <f>COUNTIF($L$2:L12,"&lt;&gt;"&amp;"")</f>
        <v>5</v>
      </c>
      <c r="Y12" s="27">
        <f t="shared" si="1"/>
        <v>0</v>
      </c>
      <c r="Z12" s="28"/>
      <c r="AA12" s="29"/>
      <c r="AB12" s="30" t="b">
        <f>TRUE()</f>
        <v>1</v>
      </c>
      <c r="AC12" s="31">
        <f t="shared" si="2"/>
        <v>0</v>
      </c>
      <c r="AD12" s="35"/>
      <c r="AE12" s="35"/>
    </row>
    <row r="13" spans="1:31" ht="12.75" customHeight="1">
      <c r="A13" s="20">
        <f t="shared" si="0"/>
        <v>0</v>
      </c>
      <c r="B13" s="23"/>
      <c r="C13" s="23"/>
      <c r="D13" s="23"/>
      <c r="E13" s="23"/>
      <c r="F13" s="23"/>
      <c r="G13" s="23"/>
      <c r="H13" s="23"/>
      <c r="I13" s="23"/>
      <c r="J13" s="23"/>
      <c r="K13" s="23"/>
      <c r="L13" s="26"/>
      <c r="M13" s="26"/>
      <c r="N13" s="38"/>
      <c r="O13" s="26"/>
      <c r="P13" s="26"/>
      <c r="Q13" s="26"/>
      <c r="R13" s="26"/>
      <c r="S13" s="26"/>
      <c r="T13" s="26"/>
      <c r="U13" s="26"/>
      <c r="V13" s="26"/>
      <c r="W13" s="26"/>
      <c r="X13" s="26">
        <f>COUNTIF($L$2:L13,"&lt;&gt;"&amp;"")</f>
        <v>5</v>
      </c>
      <c r="Y13" s="27">
        <f t="shared" si="1"/>
        <v>0</v>
      </c>
      <c r="Z13" s="28"/>
      <c r="AA13" s="29"/>
      <c r="AB13" s="30" t="b">
        <f>TRUE()</f>
        <v>1</v>
      </c>
      <c r="AC13" s="31">
        <f t="shared" si="2"/>
        <v>0</v>
      </c>
      <c r="AD13" s="35"/>
      <c r="AE13" s="35"/>
    </row>
    <row r="14" spans="1:31" ht="15" customHeight="1">
      <c r="A14" s="20">
        <f t="shared" si="0"/>
        <v>0</v>
      </c>
      <c r="B14" s="23"/>
      <c r="C14" s="23"/>
      <c r="D14" s="23"/>
      <c r="E14" s="23"/>
      <c r="F14" s="23"/>
      <c r="G14" s="23"/>
      <c r="H14" s="23"/>
      <c r="I14" s="23"/>
      <c r="J14" s="23"/>
      <c r="K14" s="23"/>
      <c r="L14" s="33"/>
      <c r="M14" s="26"/>
      <c r="N14" s="38"/>
      <c r="O14" s="26"/>
      <c r="P14" s="26"/>
      <c r="Q14" s="26"/>
      <c r="R14" s="26"/>
      <c r="S14" s="26"/>
      <c r="T14" s="26"/>
      <c r="U14" s="26"/>
      <c r="V14" s="26"/>
      <c r="W14" s="26"/>
      <c r="X14" s="26">
        <f>COUNTIF($L$2:L14,"&lt;&gt;"&amp;"")</f>
        <v>5</v>
      </c>
      <c r="Y14" s="27">
        <f t="shared" si="1"/>
        <v>0</v>
      </c>
      <c r="Z14" s="28"/>
      <c r="AA14" s="29"/>
      <c r="AB14" s="30" t="b">
        <f>TRUE()</f>
        <v>1</v>
      </c>
      <c r="AC14" s="31">
        <f t="shared" si="2"/>
        <v>0</v>
      </c>
      <c r="AD14" s="35"/>
      <c r="AE14" s="35"/>
    </row>
    <row r="15" spans="1:31" ht="12.75" customHeight="1">
      <c r="A15" s="20">
        <f t="shared" si="0"/>
        <v>0</v>
      </c>
      <c r="B15" s="23"/>
      <c r="C15" s="23"/>
      <c r="D15" s="23"/>
      <c r="E15" s="23"/>
      <c r="F15" s="23"/>
      <c r="G15" s="23"/>
      <c r="H15" s="23"/>
      <c r="I15" s="23"/>
      <c r="J15" s="23"/>
      <c r="K15" s="23"/>
      <c r="L15" s="26"/>
      <c r="M15" s="26"/>
      <c r="N15" s="26"/>
      <c r="O15" s="26"/>
      <c r="P15" s="26"/>
      <c r="Q15" s="26"/>
      <c r="R15" s="26"/>
      <c r="S15" s="26"/>
      <c r="T15" s="26"/>
      <c r="U15" s="26"/>
      <c r="V15" s="26"/>
      <c r="W15" s="26"/>
      <c r="X15" s="26">
        <f>COUNTIF($L$2:L15,"&lt;&gt;"&amp;"")</f>
        <v>5</v>
      </c>
      <c r="Y15" s="27">
        <f t="shared" si="1"/>
        <v>0</v>
      </c>
      <c r="Z15" s="28"/>
      <c r="AA15" s="29"/>
      <c r="AB15" s="30" t="b">
        <f>TRUE()</f>
        <v>1</v>
      </c>
      <c r="AC15" s="31">
        <f t="shared" si="2"/>
        <v>0</v>
      </c>
      <c r="AD15" s="35"/>
      <c r="AE15" s="35"/>
    </row>
    <row r="16" spans="1:31" ht="12.75" customHeight="1">
      <c r="A16" s="20">
        <f t="shared" si="0"/>
        <v>0</v>
      </c>
      <c r="B16" s="23"/>
      <c r="C16" s="23"/>
      <c r="D16" s="23"/>
      <c r="E16" s="23"/>
      <c r="F16" s="23"/>
      <c r="G16" s="23"/>
      <c r="H16" s="23"/>
      <c r="I16" s="23"/>
      <c r="J16" s="23"/>
      <c r="K16" s="23"/>
      <c r="L16" s="26"/>
      <c r="M16" s="26"/>
      <c r="N16" s="26"/>
      <c r="O16" s="26"/>
      <c r="P16" s="26"/>
      <c r="Q16" s="26"/>
      <c r="R16" s="26"/>
      <c r="S16" s="26"/>
      <c r="T16" s="26"/>
      <c r="U16" s="26"/>
      <c r="V16" s="26"/>
      <c r="W16" s="26"/>
      <c r="X16" s="26">
        <f>COUNTIF($L$2:L16,"&lt;&gt;"&amp;"")</f>
        <v>5</v>
      </c>
      <c r="Y16" s="27">
        <f t="shared" si="1"/>
        <v>0</v>
      </c>
      <c r="Z16" s="28"/>
      <c r="AA16" s="29"/>
      <c r="AB16" s="30" t="b">
        <f>TRUE()</f>
        <v>1</v>
      </c>
      <c r="AC16" s="31">
        <f t="shared" si="2"/>
        <v>0</v>
      </c>
      <c r="AD16" s="35"/>
      <c r="AE16" s="35"/>
    </row>
    <row r="17" spans="1:31" ht="12.75" customHeight="1">
      <c r="A17" s="20">
        <f t="shared" si="0"/>
        <v>0</v>
      </c>
      <c r="B17" s="23"/>
      <c r="C17" s="23"/>
      <c r="D17" s="23"/>
      <c r="E17" s="23"/>
      <c r="F17" s="23"/>
      <c r="G17" s="23"/>
      <c r="H17" s="23"/>
      <c r="I17" s="23"/>
      <c r="J17" s="23"/>
      <c r="K17" s="23"/>
      <c r="L17" s="26"/>
      <c r="M17" s="26"/>
      <c r="N17" s="26"/>
      <c r="O17" s="26"/>
      <c r="P17" s="26"/>
      <c r="Q17" s="26"/>
      <c r="R17" s="26"/>
      <c r="S17" s="26"/>
      <c r="T17" s="26"/>
      <c r="U17" s="26"/>
      <c r="V17" s="26"/>
      <c r="W17" s="26"/>
      <c r="X17" s="26">
        <f>COUNTIF($L$2:L17,"&lt;&gt;"&amp;"")</f>
        <v>5</v>
      </c>
      <c r="Y17" s="27">
        <f t="shared" si="1"/>
        <v>0</v>
      </c>
      <c r="Z17" s="28"/>
      <c r="AA17" s="29"/>
      <c r="AB17" s="30" t="b">
        <f>TRUE()</f>
        <v>1</v>
      </c>
      <c r="AC17" s="31">
        <f t="shared" si="2"/>
        <v>0</v>
      </c>
      <c r="AD17" s="35"/>
      <c r="AE17" s="35"/>
    </row>
    <row r="18" spans="1:31" ht="12.75" customHeight="1">
      <c r="A18" s="20">
        <f t="shared" si="0"/>
        <v>0</v>
      </c>
      <c r="B18" s="23"/>
      <c r="C18" s="23"/>
      <c r="D18" s="23"/>
      <c r="E18" s="23"/>
      <c r="F18" s="23"/>
      <c r="G18" s="23"/>
      <c r="H18" s="23"/>
      <c r="I18" s="23"/>
      <c r="J18" s="23"/>
      <c r="K18" s="23"/>
      <c r="L18" s="26"/>
      <c r="M18" s="26"/>
      <c r="N18" s="26"/>
      <c r="O18" s="26"/>
      <c r="P18" s="26"/>
      <c r="Q18" s="26"/>
      <c r="R18" s="26"/>
      <c r="S18" s="26"/>
      <c r="T18" s="26"/>
      <c r="U18" s="26"/>
      <c r="V18" s="26"/>
      <c r="W18" s="26"/>
      <c r="X18" s="26">
        <f>COUNTIF($L$2:L18,"&lt;&gt;"&amp;"")</f>
        <v>5</v>
      </c>
      <c r="Y18" s="27">
        <f t="shared" si="1"/>
        <v>0</v>
      </c>
      <c r="Z18" s="28"/>
      <c r="AA18" s="29"/>
      <c r="AB18" s="30" t="b">
        <f>TRUE()</f>
        <v>1</v>
      </c>
      <c r="AC18" s="31">
        <f t="shared" si="2"/>
        <v>0</v>
      </c>
      <c r="AD18" s="35"/>
      <c r="AE18" s="35"/>
    </row>
    <row r="19" spans="1:31" ht="15" customHeight="1">
      <c r="A19" s="20">
        <f t="shared" si="0"/>
        <v>0</v>
      </c>
      <c r="B19" s="23"/>
      <c r="C19" s="23"/>
      <c r="D19" s="23"/>
      <c r="E19" s="23"/>
      <c r="F19" s="23"/>
      <c r="G19" s="23"/>
      <c r="H19" s="23"/>
      <c r="I19" s="23"/>
      <c r="J19" s="23"/>
      <c r="K19" s="23"/>
      <c r="L19" s="33"/>
      <c r="M19" s="26"/>
      <c r="N19" s="26"/>
      <c r="O19" s="26"/>
      <c r="P19" s="26"/>
      <c r="Q19" s="26"/>
      <c r="R19" s="26"/>
      <c r="S19" s="26"/>
      <c r="T19" s="26"/>
      <c r="U19" s="26"/>
      <c r="V19" s="26"/>
      <c r="W19" s="26"/>
      <c r="X19" s="26">
        <f>COUNTIF($L$2:L19,"&lt;&gt;"&amp;"")</f>
        <v>5</v>
      </c>
      <c r="Y19" s="27">
        <f t="shared" si="1"/>
        <v>0</v>
      </c>
      <c r="Z19" s="28"/>
      <c r="AA19" s="29"/>
      <c r="AB19" s="30" t="b">
        <f>TRUE()</f>
        <v>1</v>
      </c>
      <c r="AC19" s="31">
        <f t="shared" si="2"/>
        <v>0</v>
      </c>
      <c r="AD19" s="35"/>
      <c r="AE19" s="35"/>
    </row>
    <row r="20" spans="1:31" ht="12.75" customHeight="1">
      <c r="A20" s="20">
        <f t="shared" si="0"/>
        <v>0</v>
      </c>
      <c r="B20" s="23"/>
      <c r="C20" s="23"/>
      <c r="D20" s="23"/>
      <c r="E20" s="23"/>
      <c r="F20" s="23"/>
      <c r="G20" s="23"/>
      <c r="H20" s="23"/>
      <c r="I20" s="23"/>
      <c r="J20" s="23"/>
      <c r="K20" s="23"/>
      <c r="L20" s="26"/>
      <c r="M20" s="26"/>
      <c r="N20" s="26"/>
      <c r="O20" s="26"/>
      <c r="P20" s="26"/>
      <c r="Q20" s="26"/>
      <c r="R20" s="26"/>
      <c r="S20" s="26"/>
      <c r="T20" s="26"/>
      <c r="U20" s="26"/>
      <c r="V20" s="26"/>
      <c r="W20" s="26"/>
      <c r="X20" s="26">
        <f>COUNTIF($L$2:L20,"&lt;&gt;"&amp;"")</f>
        <v>5</v>
      </c>
      <c r="Y20" s="27">
        <f t="shared" si="1"/>
        <v>0</v>
      </c>
      <c r="Z20" s="28"/>
      <c r="AA20" s="29"/>
      <c r="AB20" s="30" t="b">
        <f>TRUE()</f>
        <v>1</v>
      </c>
      <c r="AC20" s="31">
        <f t="shared" si="2"/>
        <v>0</v>
      </c>
      <c r="AD20" s="35"/>
      <c r="AE20" s="35"/>
    </row>
    <row r="21" spans="1:31" ht="12.75" customHeight="1">
      <c r="A21" s="20">
        <f t="shared" si="0"/>
        <v>0</v>
      </c>
      <c r="B21" s="23"/>
      <c r="C21" s="23"/>
      <c r="D21" s="23"/>
      <c r="E21" s="23"/>
      <c r="F21" s="23"/>
      <c r="G21" s="23"/>
      <c r="H21" s="23"/>
      <c r="I21" s="23"/>
      <c r="J21" s="23"/>
      <c r="K21" s="23"/>
      <c r="L21" s="26"/>
      <c r="M21" s="26"/>
      <c r="N21" s="26"/>
      <c r="O21" s="26"/>
      <c r="P21" s="26"/>
      <c r="Q21" s="26"/>
      <c r="R21" s="26"/>
      <c r="S21" s="26"/>
      <c r="T21" s="26"/>
      <c r="U21" s="26"/>
      <c r="V21" s="26"/>
      <c r="W21" s="26"/>
      <c r="X21" s="26">
        <f>COUNTIF($L$2:L21,"&lt;&gt;"&amp;"")</f>
        <v>5</v>
      </c>
      <c r="Y21" s="27">
        <f t="shared" si="1"/>
        <v>0</v>
      </c>
      <c r="Z21" s="28"/>
      <c r="AA21" s="29"/>
      <c r="AB21" s="30" t="b">
        <f>TRUE()</f>
        <v>1</v>
      </c>
      <c r="AC21" s="31">
        <f t="shared" si="2"/>
        <v>0</v>
      </c>
      <c r="AD21" s="35"/>
      <c r="AE21" s="35"/>
    </row>
    <row r="22" spans="1:31" ht="12.75" customHeight="1">
      <c r="A22" s="20">
        <f t="shared" si="0"/>
        <v>0</v>
      </c>
      <c r="B22" s="23"/>
      <c r="C22" s="23"/>
      <c r="D22" s="23"/>
      <c r="E22" s="23"/>
      <c r="F22" s="23"/>
      <c r="G22" s="23"/>
      <c r="H22" s="23"/>
      <c r="I22" s="23"/>
      <c r="J22" s="23"/>
      <c r="K22" s="23"/>
      <c r="L22" s="26"/>
      <c r="M22" s="26"/>
      <c r="N22" s="26"/>
      <c r="O22" s="26"/>
      <c r="P22" s="26"/>
      <c r="Q22" s="26"/>
      <c r="R22" s="26"/>
      <c r="S22" s="26"/>
      <c r="T22" s="26"/>
      <c r="U22" s="26"/>
      <c r="V22" s="26"/>
      <c r="W22" s="26"/>
      <c r="X22" s="26">
        <f>COUNTIF($L$2:L22,"&lt;&gt;"&amp;"")</f>
        <v>5</v>
      </c>
      <c r="Y22" s="27">
        <f t="shared" si="1"/>
        <v>0</v>
      </c>
      <c r="Z22" s="28"/>
      <c r="AA22" s="29"/>
      <c r="AB22" s="30" t="b">
        <f>TRUE()</f>
        <v>1</v>
      </c>
      <c r="AC22" s="31">
        <f t="shared" si="2"/>
        <v>0</v>
      </c>
      <c r="AD22" s="35"/>
      <c r="AE22" s="35"/>
    </row>
    <row r="23" spans="1:31" ht="12.75" customHeight="1">
      <c r="A23" s="20">
        <f t="shared" si="0"/>
        <v>0</v>
      </c>
      <c r="B23" s="23"/>
      <c r="C23" s="23"/>
      <c r="D23" s="23"/>
      <c r="E23" s="23"/>
      <c r="F23" s="23"/>
      <c r="G23" s="23"/>
      <c r="H23" s="23"/>
      <c r="I23" s="23"/>
      <c r="J23" s="23"/>
      <c r="K23" s="23"/>
      <c r="L23" s="26"/>
      <c r="M23" s="26"/>
      <c r="N23" s="26"/>
      <c r="O23" s="26"/>
      <c r="P23" s="26"/>
      <c r="Q23" s="26"/>
      <c r="R23" s="26"/>
      <c r="S23" s="26"/>
      <c r="T23" s="26"/>
      <c r="U23" s="26"/>
      <c r="V23" s="26"/>
      <c r="W23" s="26"/>
      <c r="X23" s="26">
        <f>COUNTIF($L$2:L23,"&lt;&gt;"&amp;"")</f>
        <v>5</v>
      </c>
      <c r="Y23" s="27">
        <f t="shared" si="1"/>
        <v>0</v>
      </c>
      <c r="Z23" s="28"/>
      <c r="AA23" s="29"/>
      <c r="AB23" s="30" t="b">
        <f>TRUE()</f>
        <v>1</v>
      </c>
      <c r="AC23" s="31">
        <f t="shared" si="2"/>
        <v>0</v>
      </c>
      <c r="AD23" s="35"/>
      <c r="AE23" s="35"/>
    </row>
    <row r="24" spans="1:31" ht="12.75" customHeight="1">
      <c r="A24" s="20">
        <f t="shared" si="0"/>
        <v>0</v>
      </c>
      <c r="B24" s="23"/>
      <c r="C24" s="23"/>
      <c r="D24" s="23"/>
      <c r="E24" s="23"/>
      <c r="F24" s="23"/>
      <c r="G24" s="23"/>
      <c r="H24" s="23"/>
      <c r="I24" s="23"/>
      <c r="J24" s="23"/>
      <c r="K24" s="23"/>
      <c r="L24" s="26"/>
      <c r="M24" s="40"/>
      <c r="N24" s="26"/>
      <c r="O24" s="26"/>
      <c r="P24" s="26"/>
      <c r="Q24" s="26"/>
      <c r="R24" s="26"/>
      <c r="S24" s="26"/>
      <c r="T24" s="26"/>
      <c r="U24" s="26"/>
      <c r="V24" s="26"/>
      <c r="W24" s="26"/>
      <c r="X24" s="26">
        <f>COUNTIF($L$2:L24,"&lt;&gt;"&amp;"")</f>
        <v>5</v>
      </c>
      <c r="Y24" s="27">
        <f t="shared" si="1"/>
        <v>0</v>
      </c>
      <c r="Z24" s="28"/>
      <c r="AA24" s="29"/>
      <c r="AB24" s="30" t="b">
        <f>TRUE()</f>
        <v>1</v>
      </c>
      <c r="AC24" s="31">
        <f t="shared" si="2"/>
        <v>0</v>
      </c>
      <c r="AD24" s="35"/>
      <c r="AE24" s="35"/>
    </row>
    <row r="25" spans="1:31" ht="15" customHeight="1">
      <c r="A25" s="20">
        <f t="shared" si="0"/>
        <v>0</v>
      </c>
      <c r="B25" s="23"/>
      <c r="C25" s="23"/>
      <c r="D25" s="23"/>
      <c r="E25" s="23"/>
      <c r="F25" s="23"/>
      <c r="G25" s="23"/>
      <c r="H25" s="23"/>
      <c r="I25" s="23"/>
      <c r="J25" s="23"/>
      <c r="K25" s="23"/>
      <c r="L25" s="33"/>
      <c r="M25" s="26"/>
      <c r="N25" s="26"/>
      <c r="O25" s="26"/>
      <c r="P25" s="26"/>
      <c r="Q25" s="26"/>
      <c r="R25" s="26"/>
      <c r="S25" s="26"/>
      <c r="T25" s="26"/>
      <c r="U25" s="26"/>
      <c r="V25" s="26"/>
      <c r="W25" s="26"/>
      <c r="X25" s="26">
        <f>COUNTIF($L$2:L25,"&lt;&gt;"&amp;"")</f>
        <v>5</v>
      </c>
      <c r="Y25" s="27">
        <f t="shared" si="1"/>
        <v>0</v>
      </c>
      <c r="Z25" s="28"/>
      <c r="AA25" s="29"/>
      <c r="AB25" s="30" t="b">
        <f>TRUE()</f>
        <v>1</v>
      </c>
      <c r="AC25" s="31">
        <f t="shared" si="2"/>
        <v>0</v>
      </c>
      <c r="AD25" s="35"/>
      <c r="AE25" s="35"/>
    </row>
    <row r="26" spans="1:31" ht="15" customHeight="1">
      <c r="A26" s="20">
        <f t="shared" si="0"/>
        <v>0</v>
      </c>
      <c r="B26" s="23"/>
      <c r="C26" s="23"/>
      <c r="D26" s="23"/>
      <c r="E26" s="23"/>
      <c r="F26" s="23"/>
      <c r="G26" s="23"/>
      <c r="H26" s="23"/>
      <c r="I26" s="23"/>
      <c r="J26" s="23"/>
      <c r="K26" s="23"/>
      <c r="L26" s="33"/>
      <c r="M26" s="26"/>
      <c r="N26" s="26"/>
      <c r="O26" s="26"/>
      <c r="P26" s="26"/>
      <c r="Q26" s="26"/>
      <c r="R26" s="26"/>
      <c r="S26" s="26"/>
      <c r="T26" s="26"/>
      <c r="U26" s="26"/>
      <c r="V26" s="26"/>
      <c r="W26" s="26"/>
      <c r="X26" s="26">
        <f>COUNTIF($L$2:L26,"&lt;&gt;"&amp;"")</f>
        <v>5</v>
      </c>
      <c r="Y26" s="27">
        <f t="shared" si="1"/>
        <v>0</v>
      </c>
      <c r="Z26" s="28"/>
      <c r="AA26" s="29"/>
      <c r="AB26" s="30" t="b">
        <f>TRUE()</f>
        <v>1</v>
      </c>
      <c r="AC26" s="31">
        <f t="shared" si="2"/>
        <v>0</v>
      </c>
      <c r="AD26" s="35"/>
      <c r="AE26" s="35"/>
    </row>
    <row r="27" spans="1:31" ht="15" customHeight="1">
      <c r="A27" s="20">
        <f t="shared" si="0"/>
        <v>0</v>
      </c>
      <c r="B27" s="23"/>
      <c r="C27" s="23"/>
      <c r="D27" s="23"/>
      <c r="E27" s="23"/>
      <c r="F27" s="23"/>
      <c r="G27" s="23"/>
      <c r="H27" s="23"/>
      <c r="I27" s="23"/>
      <c r="J27" s="23"/>
      <c r="K27" s="23"/>
      <c r="L27" s="33"/>
      <c r="M27" s="26"/>
      <c r="N27" s="26"/>
      <c r="O27" s="26"/>
      <c r="P27" s="26"/>
      <c r="Q27" s="26"/>
      <c r="R27" s="26"/>
      <c r="S27" s="26"/>
      <c r="T27" s="26"/>
      <c r="U27" s="26"/>
      <c r="V27" s="26"/>
      <c r="W27" s="26"/>
      <c r="X27" s="26">
        <f>COUNTIF($L$2:L27,"&lt;&gt;"&amp;"")</f>
        <v>5</v>
      </c>
      <c r="Y27" s="27">
        <f t="shared" si="1"/>
        <v>0</v>
      </c>
      <c r="Z27" s="28"/>
      <c r="AA27" s="29"/>
      <c r="AB27" s="30" t="b">
        <f>TRUE()</f>
        <v>1</v>
      </c>
      <c r="AC27" s="31">
        <f t="shared" si="2"/>
        <v>0</v>
      </c>
      <c r="AD27" s="35"/>
      <c r="AE27" s="35"/>
    </row>
    <row r="28" spans="1:31" ht="15" customHeight="1">
      <c r="A28" s="20">
        <f t="shared" si="0"/>
        <v>0</v>
      </c>
      <c r="B28" s="23"/>
      <c r="C28" s="23"/>
      <c r="D28" s="23"/>
      <c r="E28" s="23"/>
      <c r="F28" s="23"/>
      <c r="G28" s="23"/>
      <c r="H28" s="23"/>
      <c r="I28" s="23"/>
      <c r="J28" s="23"/>
      <c r="K28" s="23"/>
      <c r="L28" s="33"/>
      <c r="M28" s="26"/>
      <c r="N28" s="26"/>
      <c r="O28" s="26"/>
      <c r="P28" s="26"/>
      <c r="Q28" s="26"/>
      <c r="R28" s="26"/>
      <c r="S28" s="26"/>
      <c r="T28" s="26"/>
      <c r="U28" s="26"/>
      <c r="V28" s="26"/>
      <c r="W28" s="26"/>
      <c r="X28" s="26">
        <f>COUNTIF($L$2:L28,"&lt;&gt;"&amp;"")</f>
        <v>5</v>
      </c>
      <c r="Y28" s="27">
        <f t="shared" si="1"/>
        <v>0</v>
      </c>
      <c r="Z28" s="28"/>
      <c r="AA28" s="29"/>
      <c r="AB28" s="30" t="b">
        <f>TRUE()</f>
        <v>1</v>
      </c>
      <c r="AC28" s="31">
        <f t="shared" si="2"/>
        <v>0</v>
      </c>
      <c r="AD28" s="35"/>
      <c r="AE28" s="35"/>
    </row>
    <row r="29" spans="1:31" ht="15" customHeight="1">
      <c r="A29" s="20">
        <f t="shared" si="0"/>
        <v>0</v>
      </c>
      <c r="B29" s="23"/>
      <c r="C29" s="23"/>
      <c r="D29" s="23"/>
      <c r="E29" s="23"/>
      <c r="F29" s="23"/>
      <c r="G29" s="23"/>
      <c r="H29" s="23"/>
      <c r="I29" s="23"/>
      <c r="J29" s="23"/>
      <c r="K29" s="23"/>
      <c r="L29" s="33"/>
      <c r="M29" s="26"/>
      <c r="N29" s="26"/>
      <c r="O29" s="26"/>
      <c r="P29" s="26"/>
      <c r="Q29" s="26"/>
      <c r="R29" s="26"/>
      <c r="S29" s="26"/>
      <c r="T29" s="26"/>
      <c r="U29" s="26"/>
      <c r="V29" s="26"/>
      <c r="W29" s="26"/>
      <c r="X29" s="26">
        <f>COUNTIF($L$2:L29,"&lt;&gt;"&amp;"")</f>
        <v>5</v>
      </c>
      <c r="Y29" s="27">
        <f t="shared" si="1"/>
        <v>0</v>
      </c>
      <c r="Z29" s="28"/>
      <c r="AA29" s="29"/>
      <c r="AB29" s="30" t="b">
        <f>TRUE()</f>
        <v>1</v>
      </c>
      <c r="AC29" s="31">
        <f t="shared" si="2"/>
        <v>0</v>
      </c>
      <c r="AD29" s="35"/>
      <c r="AE29" s="35"/>
    </row>
    <row r="30" spans="1:31" ht="15" customHeight="1">
      <c r="A30" s="20">
        <f t="shared" si="0"/>
        <v>0</v>
      </c>
      <c r="B30" s="23"/>
      <c r="C30" s="23"/>
      <c r="D30" s="23"/>
      <c r="E30" s="23"/>
      <c r="F30" s="23"/>
      <c r="G30" s="23"/>
      <c r="H30" s="23"/>
      <c r="I30" s="23"/>
      <c r="J30" s="23"/>
      <c r="K30" s="23"/>
      <c r="L30" s="33"/>
      <c r="M30" s="26"/>
      <c r="N30" s="26"/>
      <c r="O30" s="26"/>
      <c r="P30" s="26"/>
      <c r="Q30" s="26"/>
      <c r="R30" s="26"/>
      <c r="S30" s="26"/>
      <c r="T30" s="26"/>
      <c r="U30" s="26"/>
      <c r="V30" s="26"/>
      <c r="W30" s="26"/>
      <c r="X30" s="26">
        <f>COUNTIF($L$2:L30,"&lt;&gt;"&amp;"")</f>
        <v>5</v>
      </c>
      <c r="Y30" s="27">
        <f t="shared" si="1"/>
        <v>0</v>
      </c>
      <c r="Z30" s="28"/>
      <c r="AA30" s="29"/>
      <c r="AB30" s="30" t="b">
        <f>TRUE()</f>
        <v>1</v>
      </c>
      <c r="AC30" s="31">
        <f t="shared" si="2"/>
        <v>0</v>
      </c>
      <c r="AD30" s="35"/>
      <c r="AE30" s="35"/>
    </row>
    <row r="31" spans="1:31" ht="15" customHeight="1">
      <c r="A31" s="20">
        <f t="shared" si="0"/>
        <v>0</v>
      </c>
      <c r="B31" s="23"/>
      <c r="C31" s="23"/>
      <c r="D31" s="23"/>
      <c r="E31" s="23"/>
      <c r="F31" s="23"/>
      <c r="G31" s="23"/>
      <c r="H31" s="23"/>
      <c r="I31" s="23"/>
      <c r="J31" s="23"/>
      <c r="K31" s="23"/>
      <c r="L31" s="33"/>
      <c r="M31" s="26"/>
      <c r="N31" s="26"/>
      <c r="O31" s="26"/>
      <c r="P31" s="26"/>
      <c r="Q31" s="26"/>
      <c r="R31" s="26"/>
      <c r="S31" s="26"/>
      <c r="T31" s="26"/>
      <c r="U31" s="26"/>
      <c r="V31" s="26"/>
      <c r="W31" s="26"/>
      <c r="X31" s="26">
        <f>COUNTIF($L$2:L31,"&lt;&gt;"&amp;"")</f>
        <v>5</v>
      </c>
      <c r="Y31" s="27">
        <f t="shared" si="1"/>
        <v>0</v>
      </c>
      <c r="Z31" s="28"/>
      <c r="AA31" s="29"/>
      <c r="AB31" s="30" t="b">
        <f>TRUE()</f>
        <v>1</v>
      </c>
      <c r="AC31" s="31">
        <f t="shared" si="2"/>
        <v>0</v>
      </c>
      <c r="AD31" s="35"/>
      <c r="AE31" s="35"/>
    </row>
    <row r="32" spans="1:31" ht="15" customHeight="1">
      <c r="A32" s="20">
        <f t="shared" si="0"/>
        <v>0</v>
      </c>
      <c r="B32" s="23"/>
      <c r="C32" s="23"/>
      <c r="D32" s="23"/>
      <c r="E32" s="23"/>
      <c r="F32" s="23"/>
      <c r="G32" s="23"/>
      <c r="H32" s="23"/>
      <c r="I32" s="23"/>
      <c r="J32" s="23"/>
      <c r="K32" s="23"/>
      <c r="L32" s="33"/>
      <c r="M32" s="26"/>
      <c r="N32" s="26"/>
      <c r="O32" s="26"/>
      <c r="P32" s="26"/>
      <c r="Q32" s="26"/>
      <c r="R32" s="26"/>
      <c r="S32" s="26"/>
      <c r="T32" s="26"/>
      <c r="U32" s="26"/>
      <c r="V32" s="26"/>
      <c r="W32" s="26"/>
      <c r="X32" s="26">
        <f>COUNTIF($L$2:L32,"&lt;&gt;"&amp;"")</f>
        <v>5</v>
      </c>
      <c r="Y32" s="27">
        <f t="shared" si="1"/>
        <v>0</v>
      </c>
      <c r="Z32" s="28"/>
      <c r="AA32" s="29"/>
      <c r="AB32" s="30" t="b">
        <f>TRUE()</f>
        <v>1</v>
      </c>
      <c r="AC32" s="31">
        <f t="shared" si="2"/>
        <v>0</v>
      </c>
      <c r="AD32" s="35"/>
      <c r="AE32" s="35"/>
    </row>
    <row r="33" spans="1:31" ht="15" customHeight="1">
      <c r="A33" s="20">
        <f t="shared" si="0"/>
        <v>0</v>
      </c>
      <c r="B33" s="23"/>
      <c r="C33" s="23"/>
      <c r="D33" s="23"/>
      <c r="E33" s="23"/>
      <c r="F33" s="23"/>
      <c r="G33" s="23"/>
      <c r="H33" s="23"/>
      <c r="I33" s="23"/>
      <c r="J33" s="23"/>
      <c r="K33" s="23"/>
      <c r="L33" s="33"/>
      <c r="M33" s="26"/>
      <c r="N33" s="26"/>
      <c r="O33" s="26"/>
      <c r="P33" s="26"/>
      <c r="Q33" s="26"/>
      <c r="R33" s="26"/>
      <c r="S33" s="26"/>
      <c r="T33" s="26"/>
      <c r="U33" s="26"/>
      <c r="V33" s="26"/>
      <c r="W33" s="26"/>
      <c r="X33" s="26">
        <f>COUNTIF($L$2:L33,"&lt;&gt;"&amp;"")</f>
        <v>5</v>
      </c>
      <c r="Y33" s="27">
        <f t="shared" si="1"/>
        <v>0</v>
      </c>
      <c r="Z33" s="28"/>
      <c r="AA33" s="29"/>
      <c r="AB33" s="30" t="b">
        <f>TRUE()</f>
        <v>1</v>
      </c>
      <c r="AC33" s="31">
        <f t="shared" si="2"/>
        <v>0</v>
      </c>
      <c r="AD33" s="35"/>
      <c r="AE33" s="35"/>
    </row>
    <row r="34" spans="1:31" ht="15" customHeight="1">
      <c r="A34" s="20">
        <f t="shared" ref="A34:A65" si="3">(B34*$P$125+C34*$P$126+D34*$P$127+E34*$P$128+F34*$P$129+G34*$P$130+H34*$P$131+I34*$P$132+J34*$P$133+K34*$P$134)*$T$123</f>
        <v>0</v>
      </c>
      <c r="B34" s="23"/>
      <c r="C34" s="23"/>
      <c r="D34" s="23"/>
      <c r="E34" s="23"/>
      <c r="F34" s="23"/>
      <c r="G34" s="23"/>
      <c r="H34" s="23"/>
      <c r="I34" s="23"/>
      <c r="J34" s="23"/>
      <c r="K34" s="23"/>
      <c r="L34" s="33"/>
      <c r="M34" s="33"/>
      <c r="N34" s="26"/>
      <c r="O34" s="26"/>
      <c r="P34" s="26"/>
      <c r="Q34" s="26"/>
      <c r="R34" s="26"/>
      <c r="S34" s="26"/>
      <c r="T34" s="26"/>
      <c r="U34" s="26"/>
      <c r="V34" s="26"/>
      <c r="W34" s="26"/>
      <c r="X34" s="26">
        <f>COUNTIF($L$2:L34,"&lt;&gt;"&amp;"")</f>
        <v>5</v>
      </c>
      <c r="Y34" s="27">
        <f t="shared" ref="Y34:Y65" si="4">SUMIF($X$2:$X$120,X34,$A$2:$A$120)</f>
        <v>0</v>
      </c>
      <c r="Z34" s="28"/>
      <c r="AA34" s="29"/>
      <c r="AB34" s="30" t="b">
        <f>TRUE()</f>
        <v>1</v>
      </c>
      <c r="AC34" s="31">
        <f t="shared" ref="AC34:AC65" si="5">IF(L34="",0,IF(AB34=FALSE(),0,Y34))</f>
        <v>0</v>
      </c>
      <c r="AD34" s="35"/>
      <c r="AE34" s="35"/>
    </row>
    <row r="35" spans="1:31" ht="15" customHeight="1">
      <c r="A35" s="20">
        <f t="shared" si="3"/>
        <v>0</v>
      </c>
      <c r="B35" s="23"/>
      <c r="C35" s="23"/>
      <c r="D35" s="23"/>
      <c r="E35" s="23"/>
      <c r="F35" s="23"/>
      <c r="G35" s="23"/>
      <c r="H35" s="23"/>
      <c r="I35" s="23"/>
      <c r="J35" s="23"/>
      <c r="K35" s="23"/>
      <c r="L35" s="33"/>
      <c r="M35" s="26"/>
      <c r="N35" s="41"/>
      <c r="O35" s="26"/>
      <c r="P35" s="26"/>
      <c r="Q35" s="26"/>
      <c r="R35" s="26"/>
      <c r="S35" s="26"/>
      <c r="T35" s="26"/>
      <c r="U35" s="26"/>
      <c r="V35" s="26"/>
      <c r="W35" s="26"/>
      <c r="X35" s="26">
        <f>COUNTIF($L$2:L35,"&lt;&gt;"&amp;"")</f>
        <v>5</v>
      </c>
      <c r="Y35" s="27">
        <f t="shared" si="4"/>
        <v>0</v>
      </c>
      <c r="Z35" s="28"/>
      <c r="AA35" s="29"/>
      <c r="AB35" s="30" t="b">
        <f>TRUE()</f>
        <v>1</v>
      </c>
      <c r="AC35" s="31">
        <f t="shared" si="5"/>
        <v>0</v>
      </c>
      <c r="AD35" s="35"/>
      <c r="AE35" s="35"/>
    </row>
    <row r="36" spans="1:31" ht="15" customHeight="1">
      <c r="A36" s="20">
        <f t="shared" si="3"/>
        <v>0</v>
      </c>
      <c r="B36" s="23"/>
      <c r="C36" s="23"/>
      <c r="D36" s="23"/>
      <c r="E36" s="23"/>
      <c r="F36" s="23"/>
      <c r="G36" s="23"/>
      <c r="H36" s="23"/>
      <c r="I36" s="23"/>
      <c r="J36" s="23"/>
      <c r="K36" s="23"/>
      <c r="L36" s="33"/>
      <c r="M36" s="26"/>
      <c r="N36" s="26"/>
      <c r="O36" s="26"/>
      <c r="P36" s="26"/>
      <c r="Q36" s="26"/>
      <c r="R36" s="26"/>
      <c r="S36" s="26"/>
      <c r="T36" s="26"/>
      <c r="U36" s="26"/>
      <c r="V36" s="26"/>
      <c r="W36" s="26"/>
      <c r="X36" s="26">
        <f>COUNTIF($L$2:L36,"&lt;&gt;"&amp;"")</f>
        <v>5</v>
      </c>
      <c r="Y36" s="27">
        <f t="shared" si="4"/>
        <v>0</v>
      </c>
      <c r="Z36" s="28"/>
      <c r="AA36" s="29"/>
      <c r="AB36" s="30" t="b">
        <f>TRUE()</f>
        <v>1</v>
      </c>
      <c r="AC36" s="31">
        <f t="shared" si="5"/>
        <v>0</v>
      </c>
      <c r="AD36" s="35"/>
      <c r="AE36" s="35"/>
    </row>
    <row r="37" spans="1:31" ht="15" customHeight="1">
      <c r="A37" s="20">
        <f t="shared" si="3"/>
        <v>0</v>
      </c>
      <c r="B37" s="23"/>
      <c r="C37" s="23"/>
      <c r="D37" s="23"/>
      <c r="E37" s="23"/>
      <c r="F37" s="23"/>
      <c r="G37" s="23"/>
      <c r="H37" s="23"/>
      <c r="I37" s="23"/>
      <c r="J37" s="23"/>
      <c r="K37" s="23"/>
      <c r="L37" s="33"/>
      <c r="M37" s="26"/>
      <c r="N37" s="26"/>
      <c r="O37" s="26"/>
      <c r="P37" s="26"/>
      <c r="Q37" s="26"/>
      <c r="R37" s="26"/>
      <c r="S37" s="26"/>
      <c r="T37" s="26"/>
      <c r="U37" s="26"/>
      <c r="V37" s="26"/>
      <c r="W37" s="26"/>
      <c r="X37" s="26">
        <f>COUNTIF($L$2:L37,"&lt;&gt;"&amp;"")</f>
        <v>5</v>
      </c>
      <c r="Y37" s="27">
        <f t="shared" si="4"/>
        <v>0</v>
      </c>
      <c r="Z37" s="28"/>
      <c r="AA37" s="29"/>
      <c r="AB37" s="30" t="b">
        <f>TRUE()</f>
        <v>1</v>
      </c>
      <c r="AC37" s="31">
        <f t="shared" si="5"/>
        <v>0</v>
      </c>
      <c r="AD37" s="35"/>
      <c r="AE37" s="35"/>
    </row>
    <row r="38" spans="1:31" ht="15" customHeight="1">
      <c r="A38" s="20">
        <f t="shared" si="3"/>
        <v>0</v>
      </c>
      <c r="B38" s="23"/>
      <c r="C38" s="23"/>
      <c r="D38" s="23"/>
      <c r="E38" s="23"/>
      <c r="F38" s="23"/>
      <c r="G38" s="23"/>
      <c r="H38" s="23"/>
      <c r="I38" s="23"/>
      <c r="J38" s="23"/>
      <c r="K38" s="23"/>
      <c r="L38" s="33"/>
      <c r="M38" s="26"/>
      <c r="N38" s="26"/>
      <c r="O38" s="26"/>
      <c r="P38" s="26"/>
      <c r="Q38" s="26"/>
      <c r="R38" s="26"/>
      <c r="S38" s="26"/>
      <c r="T38" s="26"/>
      <c r="U38" s="26"/>
      <c r="V38" s="26"/>
      <c r="W38" s="26"/>
      <c r="X38" s="26">
        <f>COUNTIF($L$2:L38,"&lt;&gt;"&amp;"")</f>
        <v>5</v>
      </c>
      <c r="Y38" s="27">
        <f t="shared" si="4"/>
        <v>0</v>
      </c>
      <c r="Z38" s="28"/>
      <c r="AA38" s="29"/>
      <c r="AB38" s="30" t="b">
        <f>TRUE()</f>
        <v>1</v>
      </c>
      <c r="AC38" s="31">
        <f t="shared" si="5"/>
        <v>0</v>
      </c>
      <c r="AD38" s="42"/>
      <c r="AE38" s="42"/>
    </row>
    <row r="39" spans="1:31" ht="15" customHeight="1">
      <c r="A39" s="20">
        <f t="shared" si="3"/>
        <v>0</v>
      </c>
      <c r="B39" s="23"/>
      <c r="C39" s="23"/>
      <c r="D39" s="23"/>
      <c r="E39" s="23"/>
      <c r="F39" s="23"/>
      <c r="G39" s="23"/>
      <c r="H39" s="23"/>
      <c r="I39" s="23"/>
      <c r="J39" s="23"/>
      <c r="K39" s="23"/>
      <c r="L39" s="33"/>
      <c r="M39" s="26"/>
      <c r="N39" s="26"/>
      <c r="O39" s="26"/>
      <c r="P39" s="26"/>
      <c r="Q39" s="26"/>
      <c r="R39" s="26"/>
      <c r="S39" s="26"/>
      <c r="T39" s="26"/>
      <c r="U39" s="26"/>
      <c r="V39" s="26"/>
      <c r="W39" s="26"/>
      <c r="X39" s="26">
        <f>COUNTIF($L$2:L39,"&lt;&gt;"&amp;"")</f>
        <v>5</v>
      </c>
      <c r="Y39" s="27">
        <f t="shared" si="4"/>
        <v>0</v>
      </c>
      <c r="Z39" s="28"/>
      <c r="AA39" s="29"/>
      <c r="AB39" s="30" t="b">
        <f>TRUE()</f>
        <v>1</v>
      </c>
      <c r="AC39" s="31">
        <f t="shared" si="5"/>
        <v>0</v>
      </c>
      <c r="AD39" s="35"/>
      <c r="AE39" s="35"/>
    </row>
    <row r="40" spans="1:31" ht="15" customHeight="1">
      <c r="A40" s="20">
        <f t="shared" si="3"/>
        <v>0</v>
      </c>
      <c r="B40" s="23"/>
      <c r="C40" s="23"/>
      <c r="D40" s="23"/>
      <c r="E40" s="23"/>
      <c r="F40" s="23"/>
      <c r="G40" s="23"/>
      <c r="H40" s="23"/>
      <c r="I40" s="23"/>
      <c r="J40" s="23"/>
      <c r="K40" s="23"/>
      <c r="L40" s="33"/>
      <c r="M40" s="26"/>
      <c r="N40" s="26"/>
      <c r="O40" s="26"/>
      <c r="P40" s="26"/>
      <c r="Q40" s="26"/>
      <c r="R40" s="26"/>
      <c r="S40" s="26"/>
      <c r="T40" s="26"/>
      <c r="U40" s="26"/>
      <c r="V40" s="26"/>
      <c r="W40" s="26"/>
      <c r="X40" s="26">
        <f>COUNTIF($L$2:L40,"&lt;&gt;"&amp;"")</f>
        <v>5</v>
      </c>
      <c r="Y40" s="27">
        <f t="shared" si="4"/>
        <v>0</v>
      </c>
      <c r="Z40" s="28"/>
      <c r="AA40" s="29"/>
      <c r="AB40" s="30" t="b">
        <f>TRUE()</f>
        <v>1</v>
      </c>
      <c r="AC40" s="31">
        <f t="shared" si="5"/>
        <v>0</v>
      </c>
      <c r="AD40" s="42"/>
      <c r="AE40" s="42"/>
    </row>
    <row r="41" spans="1:31" ht="15" customHeight="1">
      <c r="A41" s="20">
        <f t="shared" si="3"/>
        <v>0</v>
      </c>
      <c r="B41" s="23"/>
      <c r="C41" s="23"/>
      <c r="D41" s="23"/>
      <c r="E41" s="23"/>
      <c r="F41" s="23"/>
      <c r="G41" s="23"/>
      <c r="H41" s="23"/>
      <c r="I41" s="23"/>
      <c r="J41" s="23"/>
      <c r="K41" s="23"/>
      <c r="L41" s="33"/>
      <c r="M41" s="26"/>
      <c r="N41" s="26"/>
      <c r="O41" s="26"/>
      <c r="P41" s="26"/>
      <c r="Q41" s="26"/>
      <c r="R41" s="26"/>
      <c r="S41" s="26"/>
      <c r="T41" s="26"/>
      <c r="U41" s="26"/>
      <c r="V41" s="26"/>
      <c r="W41" s="26"/>
      <c r="X41" s="26">
        <f>COUNTIF($L$2:L41,"&lt;&gt;"&amp;"")</f>
        <v>5</v>
      </c>
      <c r="Y41" s="27">
        <f t="shared" si="4"/>
        <v>0</v>
      </c>
      <c r="Z41" s="28"/>
      <c r="AA41" s="29"/>
      <c r="AB41" s="30" t="b">
        <f>TRUE()</f>
        <v>1</v>
      </c>
      <c r="AC41" s="31">
        <f t="shared" si="5"/>
        <v>0</v>
      </c>
      <c r="AD41" s="42"/>
      <c r="AE41" s="42"/>
    </row>
    <row r="42" spans="1:31" ht="15" customHeight="1">
      <c r="A42" s="20">
        <f t="shared" si="3"/>
        <v>0</v>
      </c>
      <c r="B42" s="23"/>
      <c r="C42" s="23"/>
      <c r="D42" s="23"/>
      <c r="E42" s="23"/>
      <c r="F42" s="23"/>
      <c r="G42" s="23"/>
      <c r="H42" s="23"/>
      <c r="I42" s="23"/>
      <c r="J42" s="23"/>
      <c r="K42" s="23"/>
      <c r="L42" s="33"/>
      <c r="M42" s="26"/>
      <c r="N42" s="40"/>
      <c r="O42" s="26"/>
      <c r="P42" s="26"/>
      <c r="Q42" s="26"/>
      <c r="R42" s="26"/>
      <c r="S42" s="26"/>
      <c r="T42" s="26"/>
      <c r="U42" s="26"/>
      <c r="V42" s="26"/>
      <c r="W42" s="26"/>
      <c r="X42" s="26">
        <f>COUNTIF($L$2:L42,"&lt;&gt;"&amp;"")</f>
        <v>5</v>
      </c>
      <c r="Y42" s="27">
        <f t="shared" si="4"/>
        <v>0</v>
      </c>
      <c r="Z42" s="28"/>
      <c r="AA42" s="29"/>
      <c r="AB42" s="30" t="b">
        <f>TRUE()</f>
        <v>1</v>
      </c>
      <c r="AC42" s="31">
        <f t="shared" si="5"/>
        <v>0</v>
      </c>
      <c r="AD42" s="35"/>
      <c r="AE42" s="35"/>
    </row>
    <row r="43" spans="1:31" ht="15" customHeight="1">
      <c r="A43" s="20">
        <f t="shared" si="3"/>
        <v>0</v>
      </c>
      <c r="B43" s="23"/>
      <c r="C43" s="23"/>
      <c r="D43" s="23"/>
      <c r="E43" s="23"/>
      <c r="F43" s="23"/>
      <c r="G43" s="23"/>
      <c r="H43" s="23"/>
      <c r="I43" s="23"/>
      <c r="J43" s="23"/>
      <c r="K43" s="23"/>
      <c r="L43" s="33"/>
      <c r="M43" s="33"/>
      <c r="N43" s="26"/>
      <c r="O43" s="26"/>
      <c r="P43" s="26"/>
      <c r="Q43" s="26"/>
      <c r="R43" s="26"/>
      <c r="S43" s="26"/>
      <c r="T43" s="26"/>
      <c r="U43" s="26"/>
      <c r="V43" s="26"/>
      <c r="W43" s="26"/>
      <c r="X43" s="26">
        <f>COUNTIF($L$2:L43,"&lt;&gt;"&amp;"")</f>
        <v>5</v>
      </c>
      <c r="Y43" s="27">
        <f t="shared" si="4"/>
        <v>0</v>
      </c>
      <c r="Z43" s="28"/>
      <c r="AA43" s="29"/>
      <c r="AB43" s="30" t="b">
        <f>TRUE()</f>
        <v>1</v>
      </c>
      <c r="AC43" s="31">
        <f t="shared" si="5"/>
        <v>0</v>
      </c>
      <c r="AD43" s="35"/>
      <c r="AE43" s="35"/>
    </row>
    <row r="44" spans="1:31" ht="15" customHeight="1">
      <c r="A44" s="20">
        <f t="shared" si="3"/>
        <v>0</v>
      </c>
      <c r="B44" s="23"/>
      <c r="C44" s="23"/>
      <c r="D44" s="23"/>
      <c r="E44" s="23"/>
      <c r="F44" s="23"/>
      <c r="G44" s="23"/>
      <c r="H44" s="23"/>
      <c r="I44" s="23"/>
      <c r="J44" s="23"/>
      <c r="K44" s="23"/>
      <c r="L44" s="33"/>
      <c r="M44" s="26"/>
      <c r="N44" s="26"/>
      <c r="O44" s="26"/>
      <c r="P44" s="26"/>
      <c r="Q44" s="26"/>
      <c r="R44" s="26"/>
      <c r="S44" s="26"/>
      <c r="T44" s="26"/>
      <c r="U44" s="26"/>
      <c r="V44" s="26"/>
      <c r="W44" s="26"/>
      <c r="X44" s="26">
        <f>COUNTIF($L$2:L44,"&lt;&gt;"&amp;"")</f>
        <v>5</v>
      </c>
      <c r="Y44" s="27">
        <f t="shared" si="4"/>
        <v>0</v>
      </c>
      <c r="Z44" s="28"/>
      <c r="AA44" s="29"/>
      <c r="AB44" s="30" t="b">
        <f>TRUE()</f>
        <v>1</v>
      </c>
      <c r="AC44" s="31">
        <f t="shared" si="5"/>
        <v>0</v>
      </c>
      <c r="AD44" s="35"/>
      <c r="AE44" s="35"/>
    </row>
    <row r="45" spans="1:31" ht="15" customHeight="1">
      <c r="A45" s="20">
        <f t="shared" si="3"/>
        <v>0</v>
      </c>
      <c r="B45" s="23"/>
      <c r="C45" s="23"/>
      <c r="D45" s="23"/>
      <c r="E45" s="23"/>
      <c r="F45" s="23"/>
      <c r="G45" s="23"/>
      <c r="H45" s="23"/>
      <c r="I45" s="23"/>
      <c r="J45" s="23"/>
      <c r="K45" s="23"/>
      <c r="L45" s="33"/>
      <c r="M45" s="26"/>
      <c r="N45" s="26"/>
      <c r="O45" s="26"/>
      <c r="P45" s="26"/>
      <c r="Q45" s="26"/>
      <c r="R45" s="26"/>
      <c r="S45" s="26"/>
      <c r="T45" s="26"/>
      <c r="U45" s="26"/>
      <c r="V45" s="26"/>
      <c r="W45" s="26"/>
      <c r="X45" s="26">
        <f>COUNTIF($L$2:L45,"&lt;&gt;"&amp;"")</f>
        <v>5</v>
      </c>
      <c r="Y45" s="27">
        <f t="shared" si="4"/>
        <v>0</v>
      </c>
      <c r="Z45" s="28"/>
      <c r="AA45" s="29"/>
      <c r="AB45" s="30" t="b">
        <f>TRUE()</f>
        <v>1</v>
      </c>
      <c r="AC45" s="31">
        <f t="shared" si="5"/>
        <v>0</v>
      </c>
      <c r="AD45" s="35"/>
      <c r="AE45" s="35"/>
    </row>
    <row r="46" spans="1:31" ht="15" customHeight="1">
      <c r="A46" s="20">
        <f t="shared" si="3"/>
        <v>0</v>
      </c>
      <c r="B46" s="23"/>
      <c r="C46" s="23"/>
      <c r="D46" s="23"/>
      <c r="E46" s="23"/>
      <c r="F46" s="23"/>
      <c r="G46" s="23"/>
      <c r="H46" s="23"/>
      <c r="I46" s="23"/>
      <c r="J46" s="23"/>
      <c r="K46" s="23"/>
      <c r="L46" s="33"/>
      <c r="M46" s="26"/>
      <c r="N46" s="26"/>
      <c r="O46" s="26"/>
      <c r="P46" s="26"/>
      <c r="Q46" s="26"/>
      <c r="R46" s="26"/>
      <c r="S46" s="26"/>
      <c r="T46" s="26"/>
      <c r="U46" s="26"/>
      <c r="V46" s="26"/>
      <c r="W46" s="26"/>
      <c r="X46" s="26">
        <f>COUNTIF($L$2:L46,"&lt;&gt;"&amp;"")</f>
        <v>5</v>
      </c>
      <c r="Y46" s="27">
        <f t="shared" si="4"/>
        <v>0</v>
      </c>
      <c r="Z46" s="28"/>
      <c r="AA46" s="29"/>
      <c r="AB46" s="30" t="b">
        <f>TRUE()</f>
        <v>1</v>
      </c>
      <c r="AC46" s="31">
        <f t="shared" si="5"/>
        <v>0</v>
      </c>
      <c r="AD46" s="35"/>
      <c r="AE46" s="35"/>
    </row>
    <row r="47" spans="1:31" ht="15" customHeight="1">
      <c r="A47" s="20">
        <f t="shared" si="3"/>
        <v>0</v>
      </c>
      <c r="B47" s="23"/>
      <c r="C47" s="23"/>
      <c r="D47" s="23"/>
      <c r="E47" s="23"/>
      <c r="F47" s="23"/>
      <c r="G47" s="23"/>
      <c r="H47" s="23"/>
      <c r="I47" s="23"/>
      <c r="J47" s="23"/>
      <c r="K47" s="23"/>
      <c r="L47" s="33"/>
      <c r="M47" s="26"/>
      <c r="N47" s="26"/>
      <c r="O47" s="26"/>
      <c r="P47" s="26"/>
      <c r="Q47" s="26"/>
      <c r="R47" s="26"/>
      <c r="S47" s="26"/>
      <c r="T47" s="26"/>
      <c r="U47" s="26"/>
      <c r="V47" s="26"/>
      <c r="W47" s="26"/>
      <c r="X47" s="26">
        <f>COUNTIF($L$2:L47,"&lt;&gt;"&amp;"")</f>
        <v>5</v>
      </c>
      <c r="Y47" s="27">
        <f t="shared" si="4"/>
        <v>0</v>
      </c>
      <c r="Z47" s="28"/>
      <c r="AA47" s="29"/>
      <c r="AB47" s="30" t="b">
        <f>TRUE()</f>
        <v>1</v>
      </c>
      <c r="AC47" s="31">
        <f t="shared" si="5"/>
        <v>0</v>
      </c>
      <c r="AD47" s="35"/>
      <c r="AE47" s="35"/>
    </row>
    <row r="48" spans="1:31" ht="15" customHeight="1">
      <c r="A48" s="20">
        <f t="shared" si="3"/>
        <v>0</v>
      </c>
      <c r="B48" s="23"/>
      <c r="C48" s="23"/>
      <c r="D48" s="23"/>
      <c r="E48" s="23"/>
      <c r="F48" s="23"/>
      <c r="G48" s="23"/>
      <c r="H48" s="23"/>
      <c r="I48" s="23"/>
      <c r="J48" s="23"/>
      <c r="K48" s="23"/>
      <c r="L48" s="33"/>
      <c r="M48" s="26"/>
      <c r="N48" s="26"/>
      <c r="O48" s="26"/>
      <c r="P48" s="26"/>
      <c r="Q48" s="26"/>
      <c r="R48" s="26"/>
      <c r="S48" s="26"/>
      <c r="T48" s="26"/>
      <c r="U48" s="26"/>
      <c r="V48" s="26"/>
      <c r="W48" s="26"/>
      <c r="X48" s="26">
        <f>COUNTIF($L$2:L48,"&lt;&gt;"&amp;"")</f>
        <v>5</v>
      </c>
      <c r="Y48" s="27">
        <f t="shared" si="4"/>
        <v>0</v>
      </c>
      <c r="Z48" s="28"/>
      <c r="AA48" s="29"/>
      <c r="AB48" s="30" t="b">
        <f>TRUE()</f>
        <v>1</v>
      </c>
      <c r="AC48" s="31">
        <f t="shared" si="5"/>
        <v>0</v>
      </c>
      <c r="AD48" s="42"/>
      <c r="AE48" s="42"/>
    </row>
    <row r="49" spans="1:31" ht="15" customHeight="1">
      <c r="A49" s="20">
        <f t="shared" si="3"/>
        <v>0</v>
      </c>
      <c r="B49" s="23"/>
      <c r="C49" s="23"/>
      <c r="D49" s="23"/>
      <c r="E49" s="23"/>
      <c r="F49" s="23"/>
      <c r="G49" s="23"/>
      <c r="H49" s="23"/>
      <c r="I49" s="23"/>
      <c r="J49" s="23"/>
      <c r="K49" s="23"/>
      <c r="L49" s="33"/>
      <c r="M49" s="26"/>
      <c r="N49" s="26"/>
      <c r="O49" s="26"/>
      <c r="P49" s="26"/>
      <c r="Q49" s="26"/>
      <c r="R49" s="26"/>
      <c r="S49" s="26"/>
      <c r="T49" s="26"/>
      <c r="U49" s="26"/>
      <c r="V49" s="26"/>
      <c r="W49" s="26"/>
      <c r="X49" s="26">
        <f>COUNTIF($L$2:L49,"&lt;&gt;"&amp;"")</f>
        <v>5</v>
      </c>
      <c r="Y49" s="27">
        <f t="shared" si="4"/>
        <v>0</v>
      </c>
      <c r="Z49" s="28"/>
      <c r="AA49" s="29"/>
      <c r="AB49" s="30" t="b">
        <f>TRUE()</f>
        <v>1</v>
      </c>
      <c r="AC49" s="31">
        <f t="shared" si="5"/>
        <v>0</v>
      </c>
      <c r="AD49" s="42"/>
      <c r="AE49" s="42"/>
    </row>
    <row r="50" spans="1:31" ht="15" customHeight="1">
      <c r="A50" s="20">
        <f t="shared" si="3"/>
        <v>0</v>
      </c>
      <c r="B50" s="23"/>
      <c r="C50" s="23"/>
      <c r="D50" s="23"/>
      <c r="E50" s="23"/>
      <c r="F50" s="23"/>
      <c r="G50" s="23"/>
      <c r="H50" s="23"/>
      <c r="I50" s="23"/>
      <c r="J50" s="23"/>
      <c r="K50" s="23"/>
      <c r="L50" s="33"/>
      <c r="M50" s="33"/>
      <c r="N50" s="26"/>
      <c r="O50" s="26"/>
      <c r="P50" s="26"/>
      <c r="Q50" s="26"/>
      <c r="R50" s="26"/>
      <c r="S50" s="26"/>
      <c r="T50" s="26"/>
      <c r="U50" s="26"/>
      <c r="V50" s="26"/>
      <c r="W50" s="26"/>
      <c r="X50" s="26">
        <f>COUNTIF($L$2:L50,"&lt;&gt;"&amp;"")</f>
        <v>5</v>
      </c>
      <c r="Y50" s="27">
        <f t="shared" si="4"/>
        <v>0</v>
      </c>
      <c r="Z50" s="28"/>
      <c r="AA50" s="29"/>
      <c r="AB50" s="30" t="b">
        <f>TRUE()</f>
        <v>1</v>
      </c>
      <c r="AC50" s="31">
        <f t="shared" si="5"/>
        <v>0</v>
      </c>
      <c r="AD50" s="42"/>
      <c r="AE50" s="42"/>
    </row>
    <row r="51" spans="1:31" ht="15" customHeight="1">
      <c r="A51" s="20">
        <f t="shared" si="3"/>
        <v>0</v>
      </c>
      <c r="B51" s="23"/>
      <c r="C51" s="23"/>
      <c r="D51" s="23"/>
      <c r="E51" s="23"/>
      <c r="F51" s="23"/>
      <c r="G51" s="23"/>
      <c r="H51" s="23"/>
      <c r="I51" s="23"/>
      <c r="J51" s="23"/>
      <c r="K51" s="23"/>
      <c r="L51" s="33"/>
      <c r="M51" s="26"/>
      <c r="N51" s="26"/>
      <c r="O51" s="26"/>
      <c r="P51" s="26"/>
      <c r="Q51" s="26"/>
      <c r="R51" s="26"/>
      <c r="S51" s="26"/>
      <c r="T51" s="26"/>
      <c r="U51" s="26"/>
      <c r="V51" s="26"/>
      <c r="W51" s="26"/>
      <c r="X51" s="26">
        <f>COUNTIF($L$2:L51,"&lt;&gt;"&amp;"")</f>
        <v>5</v>
      </c>
      <c r="Y51" s="27">
        <f t="shared" si="4"/>
        <v>0</v>
      </c>
      <c r="Z51" s="28"/>
      <c r="AA51" s="29"/>
      <c r="AB51" s="30" t="b">
        <f>TRUE()</f>
        <v>1</v>
      </c>
      <c r="AC51" s="31">
        <f t="shared" si="5"/>
        <v>0</v>
      </c>
      <c r="AD51" s="42"/>
      <c r="AE51" s="42"/>
    </row>
    <row r="52" spans="1:31" ht="15" customHeight="1">
      <c r="A52" s="20">
        <f t="shared" si="3"/>
        <v>0</v>
      </c>
      <c r="B52" s="23"/>
      <c r="C52" s="23"/>
      <c r="D52" s="23"/>
      <c r="E52" s="23"/>
      <c r="F52" s="23"/>
      <c r="G52" s="23"/>
      <c r="H52" s="23"/>
      <c r="I52" s="23"/>
      <c r="J52" s="23"/>
      <c r="K52" s="23"/>
      <c r="L52" s="33"/>
      <c r="M52" s="26"/>
      <c r="N52" s="26"/>
      <c r="O52" s="26"/>
      <c r="P52" s="26"/>
      <c r="Q52" s="26"/>
      <c r="R52" s="26"/>
      <c r="S52" s="26"/>
      <c r="T52" s="26"/>
      <c r="U52" s="26"/>
      <c r="V52" s="26"/>
      <c r="W52" s="26"/>
      <c r="X52" s="26">
        <f>COUNTIF($L$2:L52,"&lt;&gt;"&amp;"")</f>
        <v>5</v>
      </c>
      <c r="Y52" s="27">
        <f t="shared" si="4"/>
        <v>0</v>
      </c>
      <c r="Z52" s="28"/>
      <c r="AA52" s="29"/>
      <c r="AB52" s="30" t="b">
        <f>TRUE()</f>
        <v>1</v>
      </c>
      <c r="AC52" s="31">
        <f t="shared" si="5"/>
        <v>0</v>
      </c>
      <c r="AD52" s="42"/>
      <c r="AE52" s="42"/>
    </row>
    <row r="53" spans="1:31" ht="15" customHeight="1">
      <c r="A53" s="20">
        <f t="shared" si="3"/>
        <v>0</v>
      </c>
      <c r="B53" s="23"/>
      <c r="C53" s="23"/>
      <c r="D53" s="23"/>
      <c r="E53" s="23"/>
      <c r="F53" s="23"/>
      <c r="G53" s="23"/>
      <c r="H53" s="23"/>
      <c r="I53" s="23"/>
      <c r="J53" s="23"/>
      <c r="K53" s="23"/>
      <c r="L53" s="33"/>
      <c r="M53" s="33"/>
      <c r="N53" s="26"/>
      <c r="O53" s="26"/>
      <c r="P53" s="26"/>
      <c r="Q53" s="26"/>
      <c r="R53" s="26"/>
      <c r="S53" s="26"/>
      <c r="T53" s="26"/>
      <c r="U53" s="26"/>
      <c r="V53" s="26"/>
      <c r="W53" s="26"/>
      <c r="X53" s="26">
        <f>COUNTIF($L$2:L53,"&lt;&gt;"&amp;"")</f>
        <v>5</v>
      </c>
      <c r="Y53" s="27">
        <f t="shared" si="4"/>
        <v>0</v>
      </c>
      <c r="Z53" s="28"/>
      <c r="AA53" s="29"/>
      <c r="AB53" s="30" t="b">
        <f>TRUE()</f>
        <v>1</v>
      </c>
      <c r="AC53" s="31">
        <f t="shared" si="5"/>
        <v>0</v>
      </c>
      <c r="AD53" s="42"/>
      <c r="AE53" s="42"/>
    </row>
    <row r="54" spans="1:31" ht="15" customHeight="1">
      <c r="A54" s="20">
        <f t="shared" si="3"/>
        <v>0</v>
      </c>
      <c r="B54" s="23"/>
      <c r="C54" s="23"/>
      <c r="D54" s="23"/>
      <c r="E54" s="23"/>
      <c r="F54" s="23"/>
      <c r="G54" s="23"/>
      <c r="H54" s="23"/>
      <c r="I54" s="23"/>
      <c r="J54" s="23"/>
      <c r="K54" s="23"/>
      <c r="L54" s="33"/>
      <c r="M54" s="26"/>
      <c r="N54" s="26"/>
      <c r="O54" s="26"/>
      <c r="P54" s="26"/>
      <c r="Q54" s="26"/>
      <c r="R54" s="26"/>
      <c r="S54" s="26"/>
      <c r="T54" s="26"/>
      <c r="U54" s="26"/>
      <c r="V54" s="26"/>
      <c r="W54" s="26"/>
      <c r="X54" s="26">
        <f>COUNTIF($L$2:L54,"&lt;&gt;"&amp;"")</f>
        <v>5</v>
      </c>
      <c r="Y54" s="27">
        <f t="shared" si="4"/>
        <v>0</v>
      </c>
      <c r="Z54" s="28"/>
      <c r="AA54" s="29"/>
      <c r="AB54" s="30" t="b">
        <f>TRUE()</f>
        <v>1</v>
      </c>
      <c r="AC54" s="31">
        <f t="shared" si="5"/>
        <v>0</v>
      </c>
      <c r="AD54" s="42"/>
      <c r="AE54" s="42"/>
    </row>
    <row r="55" spans="1:31" ht="15" customHeight="1">
      <c r="A55" s="20">
        <f t="shared" si="3"/>
        <v>0</v>
      </c>
      <c r="B55" s="23"/>
      <c r="C55" s="23"/>
      <c r="D55" s="23"/>
      <c r="E55" s="23"/>
      <c r="F55" s="23"/>
      <c r="G55" s="23"/>
      <c r="H55" s="23"/>
      <c r="I55" s="23"/>
      <c r="J55" s="23"/>
      <c r="K55" s="23"/>
      <c r="L55" s="33"/>
      <c r="M55" s="26"/>
      <c r="N55" s="26"/>
      <c r="O55" s="26"/>
      <c r="P55" s="26"/>
      <c r="Q55" s="26"/>
      <c r="R55" s="26"/>
      <c r="S55" s="26"/>
      <c r="T55" s="26"/>
      <c r="U55" s="26"/>
      <c r="V55" s="26"/>
      <c r="W55" s="26"/>
      <c r="X55" s="26">
        <f>COUNTIF($L$2:L55,"&lt;&gt;"&amp;"")</f>
        <v>5</v>
      </c>
      <c r="Y55" s="27">
        <f t="shared" si="4"/>
        <v>0</v>
      </c>
      <c r="Z55" s="28"/>
      <c r="AA55" s="29"/>
      <c r="AB55" s="30" t="b">
        <f>TRUE()</f>
        <v>1</v>
      </c>
      <c r="AC55" s="31">
        <f t="shared" si="5"/>
        <v>0</v>
      </c>
      <c r="AD55" s="42"/>
      <c r="AE55" s="42"/>
    </row>
    <row r="56" spans="1:31" ht="15" customHeight="1">
      <c r="A56" s="20">
        <f t="shared" si="3"/>
        <v>0</v>
      </c>
      <c r="B56" s="23"/>
      <c r="C56" s="23"/>
      <c r="D56" s="23"/>
      <c r="E56" s="23"/>
      <c r="F56" s="23"/>
      <c r="G56" s="23"/>
      <c r="H56" s="23"/>
      <c r="I56" s="23"/>
      <c r="J56" s="23"/>
      <c r="K56" s="23"/>
      <c r="L56" s="33"/>
      <c r="M56" s="26"/>
      <c r="N56" s="26"/>
      <c r="O56" s="26"/>
      <c r="P56" s="26"/>
      <c r="Q56" s="26"/>
      <c r="R56" s="26"/>
      <c r="S56" s="26"/>
      <c r="T56" s="26"/>
      <c r="U56" s="26"/>
      <c r="V56" s="26"/>
      <c r="W56" s="26"/>
      <c r="X56" s="26">
        <f>COUNTIF($L$2:L56,"&lt;&gt;"&amp;"")</f>
        <v>5</v>
      </c>
      <c r="Y56" s="27">
        <f t="shared" si="4"/>
        <v>0</v>
      </c>
      <c r="Z56" s="28"/>
      <c r="AA56" s="29"/>
      <c r="AB56" s="30" t="b">
        <f>TRUE()</f>
        <v>1</v>
      </c>
      <c r="AC56" s="31">
        <f t="shared" si="5"/>
        <v>0</v>
      </c>
      <c r="AD56" s="42"/>
      <c r="AE56" s="42"/>
    </row>
    <row r="57" spans="1:31" ht="15" customHeight="1">
      <c r="A57" s="20">
        <f t="shared" si="3"/>
        <v>0</v>
      </c>
      <c r="B57" s="23"/>
      <c r="C57" s="23"/>
      <c r="D57" s="23"/>
      <c r="E57" s="23"/>
      <c r="F57" s="23"/>
      <c r="G57" s="23"/>
      <c r="H57" s="23"/>
      <c r="I57" s="23"/>
      <c r="J57" s="23"/>
      <c r="K57" s="23"/>
      <c r="L57" s="33"/>
      <c r="M57" s="26"/>
      <c r="N57" s="26"/>
      <c r="O57" s="26"/>
      <c r="P57" s="26"/>
      <c r="Q57" s="26"/>
      <c r="R57" s="26"/>
      <c r="S57" s="26"/>
      <c r="T57" s="26"/>
      <c r="U57" s="26"/>
      <c r="V57" s="26"/>
      <c r="W57" s="26"/>
      <c r="X57" s="26">
        <f>COUNTIF($L$2:L57,"&lt;&gt;"&amp;"")</f>
        <v>5</v>
      </c>
      <c r="Y57" s="27">
        <f t="shared" si="4"/>
        <v>0</v>
      </c>
      <c r="Z57" s="28"/>
      <c r="AA57" s="29"/>
      <c r="AB57" s="30" t="b">
        <f>TRUE()</f>
        <v>1</v>
      </c>
      <c r="AC57" s="31">
        <f t="shared" si="5"/>
        <v>0</v>
      </c>
      <c r="AD57" s="42"/>
      <c r="AE57" s="42"/>
    </row>
    <row r="58" spans="1:31" ht="15" customHeight="1">
      <c r="A58" s="20">
        <f t="shared" si="3"/>
        <v>0</v>
      </c>
      <c r="B58" s="23"/>
      <c r="C58" s="23"/>
      <c r="D58" s="23"/>
      <c r="E58" s="23"/>
      <c r="F58" s="23"/>
      <c r="G58" s="23"/>
      <c r="H58" s="23"/>
      <c r="I58" s="23"/>
      <c r="J58" s="23"/>
      <c r="K58" s="23"/>
      <c r="L58" s="33"/>
      <c r="M58" s="26"/>
      <c r="N58" s="26"/>
      <c r="O58" s="26"/>
      <c r="P58" s="26"/>
      <c r="Q58" s="26"/>
      <c r="R58" s="26"/>
      <c r="S58" s="26"/>
      <c r="T58" s="26"/>
      <c r="U58" s="26"/>
      <c r="V58" s="26"/>
      <c r="W58" s="26"/>
      <c r="X58" s="26">
        <f>COUNTIF($L$2:L58,"&lt;&gt;"&amp;"")</f>
        <v>5</v>
      </c>
      <c r="Y58" s="27">
        <f t="shared" si="4"/>
        <v>0</v>
      </c>
      <c r="Z58" s="28"/>
      <c r="AA58" s="29"/>
      <c r="AB58" s="30" t="b">
        <f>TRUE()</f>
        <v>1</v>
      </c>
      <c r="AC58" s="31">
        <f t="shared" si="5"/>
        <v>0</v>
      </c>
      <c r="AD58" s="42"/>
      <c r="AE58" s="42"/>
    </row>
    <row r="59" spans="1:31" ht="15" customHeight="1">
      <c r="A59" s="20">
        <f t="shared" si="3"/>
        <v>0</v>
      </c>
      <c r="B59" s="23"/>
      <c r="C59" s="23"/>
      <c r="D59" s="23"/>
      <c r="E59" s="23"/>
      <c r="F59" s="23"/>
      <c r="G59" s="23"/>
      <c r="H59" s="23"/>
      <c r="I59" s="23"/>
      <c r="J59" s="23"/>
      <c r="K59" s="23"/>
      <c r="L59" s="33"/>
      <c r="M59" s="26"/>
      <c r="N59" s="26"/>
      <c r="O59" s="26"/>
      <c r="P59" s="26"/>
      <c r="Q59" s="26"/>
      <c r="R59" s="26"/>
      <c r="S59" s="26"/>
      <c r="T59" s="26"/>
      <c r="U59" s="26"/>
      <c r="V59" s="26"/>
      <c r="W59" s="26"/>
      <c r="X59" s="26">
        <f>COUNTIF($L$2:L59,"&lt;&gt;"&amp;"")</f>
        <v>5</v>
      </c>
      <c r="Y59" s="27">
        <f t="shared" si="4"/>
        <v>0</v>
      </c>
      <c r="Z59" s="28"/>
      <c r="AA59" s="29"/>
      <c r="AB59" s="30" t="b">
        <f>TRUE()</f>
        <v>1</v>
      </c>
      <c r="AC59" s="31">
        <f t="shared" si="5"/>
        <v>0</v>
      </c>
      <c r="AD59" s="42"/>
      <c r="AE59" s="42"/>
    </row>
    <row r="60" spans="1:31" ht="15" customHeight="1">
      <c r="A60" s="20">
        <f t="shared" si="3"/>
        <v>0</v>
      </c>
      <c r="B60" s="23"/>
      <c r="C60" s="23"/>
      <c r="D60" s="23"/>
      <c r="E60" s="23"/>
      <c r="F60" s="23"/>
      <c r="G60" s="23"/>
      <c r="H60" s="23"/>
      <c r="I60" s="23"/>
      <c r="J60" s="23"/>
      <c r="K60" s="23"/>
      <c r="L60" s="33"/>
      <c r="M60" s="26"/>
      <c r="N60" s="26"/>
      <c r="O60" s="26"/>
      <c r="P60" s="26"/>
      <c r="Q60" s="26"/>
      <c r="R60" s="26"/>
      <c r="S60" s="26"/>
      <c r="T60" s="26"/>
      <c r="U60" s="26"/>
      <c r="V60" s="26"/>
      <c r="W60" s="26"/>
      <c r="X60" s="26">
        <f>COUNTIF($L$2:L60,"&lt;&gt;"&amp;"")</f>
        <v>5</v>
      </c>
      <c r="Y60" s="27">
        <f t="shared" si="4"/>
        <v>0</v>
      </c>
      <c r="Z60" s="28"/>
      <c r="AA60" s="29"/>
      <c r="AB60" s="30" t="b">
        <f>TRUE()</f>
        <v>1</v>
      </c>
      <c r="AC60" s="31">
        <f t="shared" si="5"/>
        <v>0</v>
      </c>
      <c r="AD60" s="42"/>
      <c r="AE60" s="42"/>
    </row>
    <row r="61" spans="1:31" ht="15" customHeight="1">
      <c r="A61" s="20">
        <f t="shared" si="3"/>
        <v>0</v>
      </c>
      <c r="B61" s="23"/>
      <c r="C61" s="23"/>
      <c r="D61" s="23"/>
      <c r="E61" s="23"/>
      <c r="F61" s="23"/>
      <c r="G61" s="23"/>
      <c r="H61" s="23"/>
      <c r="I61" s="23"/>
      <c r="J61" s="23"/>
      <c r="K61" s="23"/>
      <c r="L61" s="33"/>
      <c r="M61" s="26"/>
      <c r="N61" s="26"/>
      <c r="O61" s="26"/>
      <c r="P61" s="26"/>
      <c r="Q61" s="26"/>
      <c r="R61" s="26"/>
      <c r="S61" s="26"/>
      <c r="T61" s="26"/>
      <c r="U61" s="26"/>
      <c r="V61" s="26"/>
      <c r="W61" s="26"/>
      <c r="X61" s="26">
        <f>COUNTIF($L$2:L61,"&lt;&gt;"&amp;"")</f>
        <v>5</v>
      </c>
      <c r="Y61" s="27">
        <f t="shared" si="4"/>
        <v>0</v>
      </c>
      <c r="Z61" s="28"/>
      <c r="AA61" s="29"/>
      <c r="AB61" s="30" t="b">
        <f>TRUE()</f>
        <v>1</v>
      </c>
      <c r="AC61" s="31">
        <f t="shared" si="5"/>
        <v>0</v>
      </c>
      <c r="AD61" s="42"/>
      <c r="AE61" s="42"/>
    </row>
    <row r="62" spans="1:31" ht="15" customHeight="1">
      <c r="A62" s="20">
        <f t="shared" si="3"/>
        <v>0</v>
      </c>
      <c r="B62" s="23"/>
      <c r="C62" s="23"/>
      <c r="D62" s="23"/>
      <c r="E62" s="23"/>
      <c r="F62" s="23"/>
      <c r="G62" s="23"/>
      <c r="H62" s="23"/>
      <c r="I62" s="23"/>
      <c r="J62" s="23"/>
      <c r="K62" s="23"/>
      <c r="L62" s="33"/>
      <c r="M62" s="26"/>
      <c r="N62" s="26"/>
      <c r="O62" s="26"/>
      <c r="P62" s="26"/>
      <c r="Q62" s="26"/>
      <c r="R62" s="26"/>
      <c r="S62" s="26"/>
      <c r="T62" s="26"/>
      <c r="U62" s="26"/>
      <c r="V62" s="26"/>
      <c r="W62" s="26"/>
      <c r="X62" s="26">
        <f>COUNTIF($L$2:L62,"&lt;&gt;"&amp;"")</f>
        <v>5</v>
      </c>
      <c r="Y62" s="27">
        <f t="shared" si="4"/>
        <v>0</v>
      </c>
      <c r="Z62" s="28"/>
      <c r="AA62" s="29"/>
      <c r="AB62" s="30" t="b">
        <f>TRUE()</f>
        <v>1</v>
      </c>
      <c r="AC62" s="31">
        <f t="shared" si="5"/>
        <v>0</v>
      </c>
      <c r="AD62" s="42"/>
      <c r="AE62" s="42"/>
    </row>
    <row r="63" spans="1:31" ht="15" customHeight="1">
      <c r="A63" s="20">
        <f t="shared" si="3"/>
        <v>0</v>
      </c>
      <c r="B63" s="23"/>
      <c r="C63" s="23"/>
      <c r="D63" s="23"/>
      <c r="E63" s="23"/>
      <c r="F63" s="23"/>
      <c r="G63" s="23"/>
      <c r="H63" s="23"/>
      <c r="I63" s="23"/>
      <c r="J63" s="23"/>
      <c r="K63" s="23"/>
      <c r="L63" s="33"/>
      <c r="M63" s="26"/>
      <c r="N63" s="26"/>
      <c r="O63" s="26"/>
      <c r="P63" s="26"/>
      <c r="Q63" s="26"/>
      <c r="R63" s="26"/>
      <c r="S63" s="26"/>
      <c r="T63" s="26"/>
      <c r="U63" s="26"/>
      <c r="V63" s="26"/>
      <c r="W63" s="26"/>
      <c r="X63" s="26">
        <f>COUNTIF($L$2:L63,"&lt;&gt;"&amp;"")</f>
        <v>5</v>
      </c>
      <c r="Y63" s="27">
        <f t="shared" si="4"/>
        <v>0</v>
      </c>
      <c r="Z63" s="28"/>
      <c r="AA63" s="29"/>
      <c r="AB63" s="30" t="b">
        <f>TRUE()</f>
        <v>1</v>
      </c>
      <c r="AC63" s="31">
        <f t="shared" si="5"/>
        <v>0</v>
      </c>
      <c r="AD63" s="42"/>
      <c r="AE63" s="42"/>
    </row>
    <row r="64" spans="1:31" ht="15" customHeight="1">
      <c r="A64" s="20">
        <f t="shared" si="3"/>
        <v>0</v>
      </c>
      <c r="B64" s="23"/>
      <c r="C64" s="23"/>
      <c r="D64" s="23"/>
      <c r="E64" s="23"/>
      <c r="F64" s="23"/>
      <c r="G64" s="23"/>
      <c r="H64" s="23"/>
      <c r="I64" s="23"/>
      <c r="J64" s="23"/>
      <c r="K64" s="23"/>
      <c r="L64" s="33"/>
      <c r="M64" s="26"/>
      <c r="N64" s="26"/>
      <c r="O64" s="26"/>
      <c r="P64" s="26"/>
      <c r="Q64" s="26"/>
      <c r="R64" s="26"/>
      <c r="S64" s="26"/>
      <c r="T64" s="26"/>
      <c r="U64" s="26"/>
      <c r="V64" s="26"/>
      <c r="W64" s="26"/>
      <c r="X64" s="26">
        <f>COUNTIF($L$2:L64,"&lt;&gt;"&amp;"")</f>
        <v>5</v>
      </c>
      <c r="Y64" s="27">
        <f t="shared" si="4"/>
        <v>0</v>
      </c>
      <c r="Z64" s="28"/>
      <c r="AA64" s="29"/>
      <c r="AB64" s="30" t="b">
        <f>TRUE()</f>
        <v>1</v>
      </c>
      <c r="AC64" s="31">
        <f t="shared" si="5"/>
        <v>0</v>
      </c>
      <c r="AD64" s="35"/>
      <c r="AE64" s="35"/>
    </row>
    <row r="65" spans="1:31" ht="15" customHeight="1">
      <c r="A65" s="20">
        <f t="shared" si="3"/>
        <v>0</v>
      </c>
      <c r="B65" s="23"/>
      <c r="C65" s="23"/>
      <c r="D65" s="23"/>
      <c r="E65" s="23"/>
      <c r="F65" s="23"/>
      <c r="G65" s="23"/>
      <c r="H65" s="23"/>
      <c r="I65" s="23"/>
      <c r="J65" s="23"/>
      <c r="K65" s="23"/>
      <c r="L65" s="33"/>
      <c r="M65" s="26"/>
      <c r="N65" s="26"/>
      <c r="O65" s="26"/>
      <c r="P65" s="26"/>
      <c r="Q65" s="26"/>
      <c r="R65" s="26"/>
      <c r="S65" s="26"/>
      <c r="T65" s="26"/>
      <c r="U65" s="26"/>
      <c r="V65" s="26"/>
      <c r="W65" s="26"/>
      <c r="X65" s="26">
        <f>COUNTIF($L$2:L65,"&lt;&gt;"&amp;"")</f>
        <v>5</v>
      </c>
      <c r="Y65" s="27">
        <f t="shared" si="4"/>
        <v>0</v>
      </c>
      <c r="Z65" s="28"/>
      <c r="AA65" s="29"/>
      <c r="AB65" s="30" t="b">
        <f>TRUE()</f>
        <v>1</v>
      </c>
      <c r="AC65" s="31">
        <f t="shared" si="5"/>
        <v>0</v>
      </c>
      <c r="AD65" s="42"/>
      <c r="AE65" s="42"/>
    </row>
    <row r="66" spans="1:31" ht="15" customHeight="1">
      <c r="A66" s="20">
        <f t="shared" ref="A66:A97" si="6">(B66*$P$125+C66*$P$126+D66*$P$127+E66*$P$128+F66*$P$129+G66*$P$130+H66*$P$131+I66*$P$132+J66*$P$133+K66*$P$134)*$T$123</f>
        <v>0</v>
      </c>
      <c r="B66" s="23"/>
      <c r="C66" s="23"/>
      <c r="D66" s="23"/>
      <c r="E66" s="23"/>
      <c r="F66" s="23"/>
      <c r="G66" s="23"/>
      <c r="H66" s="23"/>
      <c r="I66" s="23"/>
      <c r="J66" s="23"/>
      <c r="K66" s="23"/>
      <c r="L66" s="33"/>
      <c r="M66" s="33"/>
      <c r="N66" s="26"/>
      <c r="O66" s="26"/>
      <c r="P66" s="26"/>
      <c r="Q66" s="26"/>
      <c r="R66" s="26"/>
      <c r="S66" s="26"/>
      <c r="T66" s="26"/>
      <c r="U66" s="26"/>
      <c r="V66" s="26"/>
      <c r="W66" s="26"/>
      <c r="X66" s="26">
        <f>COUNTIF($L$2:L66,"&lt;&gt;"&amp;"")</f>
        <v>5</v>
      </c>
      <c r="Y66" s="27">
        <f t="shared" ref="Y66:Y97" si="7">SUMIF($X$2:$X$120,X66,$A$2:$A$120)</f>
        <v>0</v>
      </c>
      <c r="Z66" s="28"/>
      <c r="AA66" s="29"/>
      <c r="AB66" s="30" t="b">
        <f>TRUE()</f>
        <v>1</v>
      </c>
      <c r="AC66" s="31">
        <f t="shared" ref="AC66:AC97" si="8">IF(L66="",0,IF(AB66=FALSE(),0,Y66))</f>
        <v>0</v>
      </c>
      <c r="AD66" s="42"/>
      <c r="AE66" s="42"/>
    </row>
    <row r="67" spans="1:31" ht="15" customHeight="1">
      <c r="A67" s="20">
        <f t="shared" si="6"/>
        <v>0</v>
      </c>
      <c r="B67" s="23"/>
      <c r="C67" s="23"/>
      <c r="D67" s="23"/>
      <c r="E67" s="23"/>
      <c r="F67" s="23"/>
      <c r="G67" s="23"/>
      <c r="H67" s="23"/>
      <c r="I67" s="23"/>
      <c r="J67" s="23"/>
      <c r="K67" s="23"/>
      <c r="L67" s="33"/>
      <c r="M67" s="26"/>
      <c r="N67" s="33"/>
      <c r="O67" s="26"/>
      <c r="P67" s="26"/>
      <c r="Q67" s="26"/>
      <c r="R67" s="26"/>
      <c r="S67" s="26"/>
      <c r="T67" s="26"/>
      <c r="U67" s="26"/>
      <c r="V67" s="26"/>
      <c r="W67" s="26"/>
      <c r="X67" s="26">
        <f>COUNTIF($L$2:L67,"&lt;&gt;"&amp;"")</f>
        <v>5</v>
      </c>
      <c r="Y67" s="27">
        <f t="shared" si="7"/>
        <v>0</v>
      </c>
      <c r="Z67" s="28"/>
      <c r="AA67" s="29"/>
      <c r="AB67" s="30" t="b">
        <f>TRUE()</f>
        <v>1</v>
      </c>
      <c r="AC67" s="31">
        <f t="shared" si="8"/>
        <v>0</v>
      </c>
      <c r="AD67" s="42"/>
      <c r="AE67" s="42"/>
    </row>
    <row r="68" spans="1:31" ht="15" customHeight="1">
      <c r="A68" s="20">
        <f t="shared" si="6"/>
        <v>0</v>
      </c>
      <c r="B68" s="23"/>
      <c r="C68" s="23"/>
      <c r="D68" s="23"/>
      <c r="E68" s="23"/>
      <c r="F68" s="23"/>
      <c r="G68" s="23"/>
      <c r="H68" s="23"/>
      <c r="I68" s="23"/>
      <c r="J68" s="23"/>
      <c r="K68" s="23"/>
      <c r="L68" s="33"/>
      <c r="M68" s="26"/>
      <c r="N68" s="26"/>
      <c r="O68" s="26"/>
      <c r="P68" s="26"/>
      <c r="Q68" s="26"/>
      <c r="R68" s="26"/>
      <c r="S68" s="26"/>
      <c r="T68" s="26"/>
      <c r="U68" s="26"/>
      <c r="V68" s="26"/>
      <c r="W68" s="26"/>
      <c r="X68" s="26">
        <f>COUNTIF($L$2:L68,"&lt;&gt;"&amp;"")</f>
        <v>5</v>
      </c>
      <c r="Y68" s="27">
        <f t="shared" si="7"/>
        <v>0</v>
      </c>
      <c r="Z68" s="28"/>
      <c r="AA68" s="29"/>
      <c r="AB68" s="30" t="b">
        <f>TRUE()</f>
        <v>1</v>
      </c>
      <c r="AC68" s="31">
        <f t="shared" si="8"/>
        <v>0</v>
      </c>
      <c r="AD68" s="42"/>
      <c r="AE68" s="42"/>
    </row>
    <row r="69" spans="1:31" ht="15" customHeight="1">
      <c r="A69" s="20">
        <f t="shared" si="6"/>
        <v>0</v>
      </c>
      <c r="B69" s="23"/>
      <c r="C69" s="23"/>
      <c r="D69" s="23"/>
      <c r="E69" s="23"/>
      <c r="F69" s="23"/>
      <c r="G69" s="23"/>
      <c r="H69" s="23"/>
      <c r="I69" s="23"/>
      <c r="J69" s="23"/>
      <c r="K69" s="23"/>
      <c r="L69" s="33"/>
      <c r="M69" s="26"/>
      <c r="N69" s="26"/>
      <c r="O69" s="26"/>
      <c r="P69" s="26"/>
      <c r="Q69" s="26"/>
      <c r="R69" s="26"/>
      <c r="S69" s="26"/>
      <c r="T69" s="26"/>
      <c r="U69" s="26"/>
      <c r="V69" s="26"/>
      <c r="W69" s="26"/>
      <c r="X69" s="26">
        <f>COUNTIF($L$2:L69,"&lt;&gt;"&amp;"")</f>
        <v>5</v>
      </c>
      <c r="Y69" s="27">
        <f t="shared" si="7"/>
        <v>0</v>
      </c>
      <c r="Z69" s="28"/>
      <c r="AA69" s="29"/>
      <c r="AB69" s="30" t="b">
        <f>TRUE()</f>
        <v>1</v>
      </c>
      <c r="AC69" s="31">
        <f t="shared" si="8"/>
        <v>0</v>
      </c>
      <c r="AD69" s="42"/>
      <c r="AE69" s="42"/>
    </row>
    <row r="70" spans="1:31" ht="15" customHeight="1">
      <c r="A70" s="20">
        <f t="shared" si="6"/>
        <v>0</v>
      </c>
      <c r="B70" s="23"/>
      <c r="C70" s="23"/>
      <c r="D70" s="23"/>
      <c r="E70" s="23"/>
      <c r="F70" s="23"/>
      <c r="G70" s="23"/>
      <c r="H70" s="23"/>
      <c r="I70" s="23"/>
      <c r="J70" s="23"/>
      <c r="K70" s="23"/>
      <c r="L70" s="33"/>
      <c r="M70" s="26"/>
      <c r="N70" s="26"/>
      <c r="O70" s="26"/>
      <c r="P70" s="26"/>
      <c r="Q70" s="26"/>
      <c r="R70" s="26"/>
      <c r="S70" s="26"/>
      <c r="T70" s="26"/>
      <c r="U70" s="26"/>
      <c r="V70" s="26"/>
      <c r="W70" s="26"/>
      <c r="X70" s="26">
        <f>COUNTIF($L$2:L70,"&lt;&gt;"&amp;"")</f>
        <v>5</v>
      </c>
      <c r="Y70" s="27">
        <f t="shared" si="7"/>
        <v>0</v>
      </c>
      <c r="Z70" s="28"/>
      <c r="AA70" s="29"/>
      <c r="AB70" s="30" t="b">
        <f>TRUE()</f>
        <v>1</v>
      </c>
      <c r="AC70" s="31">
        <f t="shared" si="8"/>
        <v>0</v>
      </c>
      <c r="AD70" s="42"/>
      <c r="AE70" s="42"/>
    </row>
    <row r="71" spans="1:31" ht="15" customHeight="1">
      <c r="A71" s="20">
        <f t="shared" si="6"/>
        <v>0</v>
      </c>
      <c r="B71" s="23"/>
      <c r="C71" s="23"/>
      <c r="D71" s="23"/>
      <c r="E71" s="23"/>
      <c r="F71" s="23"/>
      <c r="G71" s="23"/>
      <c r="H71" s="23"/>
      <c r="I71" s="23"/>
      <c r="J71" s="23"/>
      <c r="K71" s="23"/>
      <c r="L71" s="33"/>
      <c r="M71" s="26"/>
      <c r="N71" s="26"/>
      <c r="O71" s="26"/>
      <c r="P71" s="26"/>
      <c r="Q71" s="26"/>
      <c r="R71" s="26"/>
      <c r="S71" s="26"/>
      <c r="T71" s="26"/>
      <c r="U71" s="26"/>
      <c r="V71" s="26"/>
      <c r="W71" s="26"/>
      <c r="X71" s="26">
        <f>COUNTIF($L$2:L71,"&lt;&gt;"&amp;"")</f>
        <v>5</v>
      </c>
      <c r="Y71" s="27">
        <f t="shared" si="7"/>
        <v>0</v>
      </c>
      <c r="Z71" s="28"/>
      <c r="AA71" s="29"/>
      <c r="AB71" s="30" t="b">
        <f>TRUE()</f>
        <v>1</v>
      </c>
      <c r="AC71" s="31">
        <f t="shared" si="8"/>
        <v>0</v>
      </c>
      <c r="AD71" s="42"/>
      <c r="AE71" s="42"/>
    </row>
    <row r="72" spans="1:31" ht="15" customHeight="1">
      <c r="A72" s="20">
        <f t="shared" si="6"/>
        <v>0</v>
      </c>
      <c r="B72" s="23"/>
      <c r="C72" s="23"/>
      <c r="D72" s="23"/>
      <c r="E72" s="23"/>
      <c r="F72" s="23"/>
      <c r="G72" s="23"/>
      <c r="H72" s="23"/>
      <c r="I72" s="23"/>
      <c r="J72" s="23"/>
      <c r="K72" s="23"/>
      <c r="L72" s="33"/>
      <c r="M72" s="26"/>
      <c r="N72" s="26"/>
      <c r="O72" s="26"/>
      <c r="P72" s="26"/>
      <c r="Q72" s="26"/>
      <c r="R72" s="26"/>
      <c r="S72" s="26"/>
      <c r="T72" s="26"/>
      <c r="U72" s="26"/>
      <c r="V72" s="26"/>
      <c r="W72" s="26"/>
      <c r="X72" s="26">
        <f>COUNTIF($L$2:L72,"&lt;&gt;"&amp;"")</f>
        <v>5</v>
      </c>
      <c r="Y72" s="27">
        <f t="shared" si="7"/>
        <v>0</v>
      </c>
      <c r="Z72" s="28"/>
      <c r="AA72" s="29"/>
      <c r="AB72" s="30" t="b">
        <f>TRUE()</f>
        <v>1</v>
      </c>
      <c r="AC72" s="31">
        <f t="shared" si="8"/>
        <v>0</v>
      </c>
      <c r="AD72" s="42"/>
      <c r="AE72" s="42"/>
    </row>
    <row r="73" spans="1:31" ht="15" customHeight="1">
      <c r="A73" s="20">
        <f t="shared" si="6"/>
        <v>0</v>
      </c>
      <c r="B73" s="23"/>
      <c r="C73" s="23"/>
      <c r="D73" s="23"/>
      <c r="E73" s="23"/>
      <c r="F73" s="23"/>
      <c r="G73" s="23"/>
      <c r="H73" s="23"/>
      <c r="I73" s="23"/>
      <c r="J73" s="23"/>
      <c r="K73" s="23"/>
      <c r="L73" s="33"/>
      <c r="M73" s="26"/>
      <c r="N73" s="26"/>
      <c r="O73" s="26"/>
      <c r="P73" s="26"/>
      <c r="Q73" s="26"/>
      <c r="R73" s="26"/>
      <c r="S73" s="26"/>
      <c r="T73" s="26"/>
      <c r="U73" s="26"/>
      <c r="V73" s="26"/>
      <c r="W73" s="26"/>
      <c r="X73" s="26">
        <f>COUNTIF($L$2:L73,"&lt;&gt;"&amp;"")</f>
        <v>5</v>
      </c>
      <c r="Y73" s="27">
        <f t="shared" si="7"/>
        <v>0</v>
      </c>
      <c r="Z73" s="28"/>
      <c r="AA73" s="29"/>
      <c r="AB73" s="30" t="b">
        <f>TRUE()</f>
        <v>1</v>
      </c>
      <c r="AC73" s="31">
        <f t="shared" si="8"/>
        <v>0</v>
      </c>
      <c r="AD73" s="42"/>
      <c r="AE73" s="42"/>
    </row>
    <row r="74" spans="1:31" ht="15" customHeight="1">
      <c r="A74" s="20">
        <f t="shared" si="6"/>
        <v>0</v>
      </c>
      <c r="B74" s="23"/>
      <c r="C74" s="23"/>
      <c r="D74" s="23"/>
      <c r="E74" s="23"/>
      <c r="F74" s="23"/>
      <c r="G74" s="23"/>
      <c r="H74" s="23"/>
      <c r="I74" s="23"/>
      <c r="J74" s="23"/>
      <c r="K74" s="23"/>
      <c r="L74" s="33"/>
      <c r="M74" s="33"/>
      <c r="N74" s="26"/>
      <c r="O74" s="26"/>
      <c r="P74" s="26"/>
      <c r="Q74" s="26"/>
      <c r="R74" s="26"/>
      <c r="S74" s="26"/>
      <c r="T74" s="26"/>
      <c r="U74" s="26"/>
      <c r="V74" s="26"/>
      <c r="W74" s="26"/>
      <c r="X74" s="26">
        <f>COUNTIF($L$2:L74,"&lt;&gt;"&amp;"")</f>
        <v>5</v>
      </c>
      <c r="Y74" s="27">
        <f t="shared" si="7"/>
        <v>0</v>
      </c>
      <c r="Z74" s="28"/>
      <c r="AA74" s="29"/>
      <c r="AB74" s="30" t="b">
        <f>TRUE()</f>
        <v>1</v>
      </c>
      <c r="AC74" s="31">
        <f t="shared" si="8"/>
        <v>0</v>
      </c>
      <c r="AD74" s="42"/>
      <c r="AE74" s="42"/>
    </row>
    <row r="75" spans="1:31" ht="15" customHeight="1">
      <c r="A75" s="20">
        <f t="shared" si="6"/>
        <v>0</v>
      </c>
      <c r="B75" s="23"/>
      <c r="C75" s="23"/>
      <c r="D75" s="23"/>
      <c r="E75" s="23"/>
      <c r="F75" s="23"/>
      <c r="G75" s="23"/>
      <c r="H75" s="23"/>
      <c r="I75" s="23"/>
      <c r="J75" s="23"/>
      <c r="K75" s="23"/>
      <c r="L75" s="33"/>
      <c r="M75" s="26"/>
      <c r="N75" s="26"/>
      <c r="O75" s="26"/>
      <c r="P75" s="26"/>
      <c r="Q75" s="26"/>
      <c r="R75" s="26"/>
      <c r="S75" s="26"/>
      <c r="T75" s="26"/>
      <c r="U75" s="26"/>
      <c r="V75" s="26"/>
      <c r="W75" s="26"/>
      <c r="X75" s="26">
        <f>COUNTIF($L$2:L75,"&lt;&gt;"&amp;"")</f>
        <v>5</v>
      </c>
      <c r="Y75" s="27">
        <f t="shared" si="7"/>
        <v>0</v>
      </c>
      <c r="Z75" s="28"/>
      <c r="AA75" s="29"/>
      <c r="AB75" s="30" t="b">
        <f>TRUE()</f>
        <v>1</v>
      </c>
      <c r="AC75" s="31">
        <f t="shared" si="8"/>
        <v>0</v>
      </c>
      <c r="AD75" s="35"/>
      <c r="AE75" s="35"/>
    </row>
    <row r="76" spans="1:31" ht="15" customHeight="1">
      <c r="A76" s="20">
        <f t="shared" si="6"/>
        <v>0</v>
      </c>
      <c r="B76" s="23"/>
      <c r="C76" s="23"/>
      <c r="D76" s="23"/>
      <c r="E76" s="23"/>
      <c r="F76" s="23"/>
      <c r="G76" s="23"/>
      <c r="H76" s="23"/>
      <c r="I76" s="23"/>
      <c r="J76" s="23"/>
      <c r="K76" s="23"/>
      <c r="L76" s="33"/>
      <c r="M76" s="26"/>
      <c r="N76" s="26"/>
      <c r="O76" s="26"/>
      <c r="P76" s="26"/>
      <c r="Q76" s="26"/>
      <c r="R76" s="26"/>
      <c r="S76" s="26"/>
      <c r="T76" s="26"/>
      <c r="U76" s="26"/>
      <c r="V76" s="26"/>
      <c r="W76" s="26"/>
      <c r="X76" s="26">
        <f>COUNTIF($L$2:L76,"&lt;&gt;"&amp;"")</f>
        <v>5</v>
      </c>
      <c r="Y76" s="27">
        <f t="shared" si="7"/>
        <v>0</v>
      </c>
      <c r="Z76" s="28"/>
      <c r="AA76" s="29"/>
      <c r="AB76" s="30" t="b">
        <f>TRUE()</f>
        <v>1</v>
      </c>
      <c r="AC76" s="31">
        <f t="shared" si="8"/>
        <v>0</v>
      </c>
      <c r="AD76" s="35"/>
      <c r="AE76" s="35"/>
    </row>
    <row r="77" spans="1:31" ht="15" customHeight="1">
      <c r="A77" s="20">
        <f t="shared" si="6"/>
        <v>0</v>
      </c>
      <c r="B77" s="23"/>
      <c r="C77" s="23"/>
      <c r="D77" s="23"/>
      <c r="E77" s="23"/>
      <c r="F77" s="23"/>
      <c r="G77" s="23"/>
      <c r="H77" s="23"/>
      <c r="I77" s="23"/>
      <c r="J77" s="23"/>
      <c r="K77" s="23"/>
      <c r="L77" s="33"/>
      <c r="M77" s="26"/>
      <c r="N77" s="26"/>
      <c r="O77" s="26"/>
      <c r="P77" s="26"/>
      <c r="Q77" s="26"/>
      <c r="R77" s="26"/>
      <c r="S77" s="26"/>
      <c r="T77" s="26"/>
      <c r="U77" s="26"/>
      <c r="V77" s="26"/>
      <c r="W77" s="26"/>
      <c r="X77" s="26">
        <f>COUNTIF($L$2:L77,"&lt;&gt;"&amp;"")</f>
        <v>5</v>
      </c>
      <c r="Y77" s="27">
        <f t="shared" si="7"/>
        <v>0</v>
      </c>
      <c r="Z77" s="28"/>
      <c r="AA77" s="29"/>
      <c r="AB77" s="30" t="b">
        <f>TRUE()</f>
        <v>1</v>
      </c>
      <c r="AC77" s="31">
        <f t="shared" si="8"/>
        <v>0</v>
      </c>
      <c r="AD77" s="35"/>
      <c r="AE77" s="35"/>
    </row>
    <row r="78" spans="1:31" ht="15" customHeight="1">
      <c r="A78" s="20">
        <f t="shared" si="6"/>
        <v>0</v>
      </c>
      <c r="B78" s="23"/>
      <c r="C78" s="23"/>
      <c r="D78" s="23"/>
      <c r="E78" s="23"/>
      <c r="F78" s="23"/>
      <c r="G78" s="23"/>
      <c r="H78" s="23"/>
      <c r="I78" s="23"/>
      <c r="J78" s="23"/>
      <c r="K78" s="23"/>
      <c r="L78" s="33"/>
      <c r="M78" s="26"/>
      <c r="N78" s="26"/>
      <c r="O78" s="26"/>
      <c r="P78" s="26"/>
      <c r="Q78" s="26"/>
      <c r="R78" s="26"/>
      <c r="S78" s="26"/>
      <c r="T78" s="26"/>
      <c r="U78" s="26"/>
      <c r="V78" s="26"/>
      <c r="W78" s="26"/>
      <c r="X78" s="26">
        <f>COUNTIF($L$2:L78,"&lt;&gt;"&amp;"")</f>
        <v>5</v>
      </c>
      <c r="Y78" s="27">
        <f t="shared" si="7"/>
        <v>0</v>
      </c>
      <c r="Z78" s="28"/>
      <c r="AA78" s="29"/>
      <c r="AB78" s="30" t="b">
        <f>TRUE()</f>
        <v>1</v>
      </c>
      <c r="AC78" s="31">
        <f t="shared" si="8"/>
        <v>0</v>
      </c>
      <c r="AD78" s="35"/>
      <c r="AE78" s="35"/>
    </row>
    <row r="79" spans="1:31" ht="15" customHeight="1">
      <c r="A79" s="20">
        <f t="shared" si="6"/>
        <v>0</v>
      </c>
      <c r="B79" s="23"/>
      <c r="C79" s="23"/>
      <c r="D79" s="23"/>
      <c r="E79" s="23"/>
      <c r="F79" s="23"/>
      <c r="G79" s="23"/>
      <c r="H79" s="23"/>
      <c r="I79" s="23"/>
      <c r="J79" s="23"/>
      <c r="K79" s="23"/>
      <c r="L79" s="33"/>
      <c r="M79" s="26"/>
      <c r="N79" s="26"/>
      <c r="O79" s="26"/>
      <c r="P79" s="26"/>
      <c r="Q79" s="26"/>
      <c r="R79" s="26"/>
      <c r="S79" s="26"/>
      <c r="T79" s="26"/>
      <c r="U79" s="26"/>
      <c r="V79" s="26"/>
      <c r="W79" s="26"/>
      <c r="X79" s="26">
        <f>COUNTIF($L$2:L79,"&lt;&gt;"&amp;"")</f>
        <v>5</v>
      </c>
      <c r="Y79" s="27">
        <f t="shared" si="7"/>
        <v>0</v>
      </c>
      <c r="Z79" s="28"/>
      <c r="AA79" s="29"/>
      <c r="AB79" s="30" t="b">
        <f>TRUE()</f>
        <v>1</v>
      </c>
      <c r="AC79" s="31">
        <f t="shared" si="8"/>
        <v>0</v>
      </c>
      <c r="AD79" s="35"/>
      <c r="AE79" s="35"/>
    </row>
    <row r="80" spans="1:31" ht="15" customHeight="1">
      <c r="A80" s="20">
        <f t="shared" si="6"/>
        <v>0</v>
      </c>
      <c r="B80" s="23"/>
      <c r="C80" s="23"/>
      <c r="D80" s="23"/>
      <c r="E80" s="23"/>
      <c r="F80" s="23"/>
      <c r="G80" s="23"/>
      <c r="H80" s="23"/>
      <c r="I80" s="23"/>
      <c r="J80" s="23"/>
      <c r="K80" s="23"/>
      <c r="L80" s="33"/>
      <c r="M80" s="26"/>
      <c r="N80" s="26"/>
      <c r="O80" s="26"/>
      <c r="P80" s="26"/>
      <c r="Q80" s="26"/>
      <c r="R80" s="26"/>
      <c r="S80" s="26"/>
      <c r="T80" s="26"/>
      <c r="U80" s="26"/>
      <c r="V80" s="26"/>
      <c r="W80" s="26"/>
      <c r="X80" s="26">
        <f>COUNTIF($L$2:L80,"&lt;&gt;"&amp;"")</f>
        <v>5</v>
      </c>
      <c r="Y80" s="27">
        <f t="shared" si="7"/>
        <v>0</v>
      </c>
      <c r="Z80" s="28"/>
      <c r="AA80" s="29"/>
      <c r="AB80" s="30" t="b">
        <f>TRUE()</f>
        <v>1</v>
      </c>
      <c r="AC80" s="31">
        <f t="shared" si="8"/>
        <v>0</v>
      </c>
      <c r="AD80" s="23"/>
      <c r="AE80" s="23"/>
    </row>
    <row r="81" spans="1:31" ht="15" customHeight="1">
      <c r="A81" s="20">
        <f t="shared" si="6"/>
        <v>0</v>
      </c>
      <c r="B81" s="23"/>
      <c r="C81" s="23"/>
      <c r="D81" s="23"/>
      <c r="E81" s="23"/>
      <c r="F81" s="23"/>
      <c r="G81" s="23"/>
      <c r="H81" s="23"/>
      <c r="I81" s="23"/>
      <c r="J81" s="23"/>
      <c r="K81" s="23"/>
      <c r="L81" s="33"/>
      <c r="M81" s="26"/>
      <c r="N81" s="26"/>
      <c r="O81" s="26"/>
      <c r="P81" s="26"/>
      <c r="Q81" s="26"/>
      <c r="R81" s="26"/>
      <c r="S81" s="26"/>
      <c r="T81" s="26"/>
      <c r="U81" s="26"/>
      <c r="V81" s="26"/>
      <c r="W81" s="26"/>
      <c r="X81" s="26">
        <f>COUNTIF($L$2:L81,"&lt;&gt;"&amp;"")</f>
        <v>5</v>
      </c>
      <c r="Y81" s="27">
        <f t="shared" si="7"/>
        <v>0</v>
      </c>
      <c r="Z81" s="28"/>
      <c r="AA81" s="29"/>
      <c r="AB81" s="30" t="b">
        <f>TRUE()</f>
        <v>1</v>
      </c>
      <c r="AC81" s="31">
        <f t="shared" si="8"/>
        <v>0</v>
      </c>
      <c r="AD81" s="23"/>
      <c r="AE81" s="23"/>
    </row>
    <row r="82" spans="1:31" ht="15" customHeight="1">
      <c r="A82" s="20">
        <f t="shared" si="6"/>
        <v>0</v>
      </c>
      <c r="B82" s="23"/>
      <c r="C82" s="23"/>
      <c r="D82" s="23"/>
      <c r="E82" s="23"/>
      <c r="F82" s="23"/>
      <c r="G82" s="23"/>
      <c r="H82" s="23"/>
      <c r="I82" s="23"/>
      <c r="J82" s="23"/>
      <c r="K82" s="23"/>
      <c r="L82" s="33"/>
      <c r="M82" s="26"/>
      <c r="N82" s="26"/>
      <c r="O82" s="26"/>
      <c r="P82" s="26"/>
      <c r="Q82" s="26"/>
      <c r="R82" s="26"/>
      <c r="S82" s="26"/>
      <c r="T82" s="26"/>
      <c r="U82" s="26"/>
      <c r="V82" s="26"/>
      <c r="W82" s="26"/>
      <c r="X82" s="26">
        <f>COUNTIF($L$2:L82,"&lt;&gt;"&amp;"")</f>
        <v>5</v>
      </c>
      <c r="Y82" s="27">
        <f t="shared" si="7"/>
        <v>0</v>
      </c>
      <c r="Z82" s="28"/>
      <c r="AA82" s="29"/>
      <c r="AB82" s="30" t="b">
        <f>TRUE()</f>
        <v>1</v>
      </c>
      <c r="AC82" s="31">
        <f t="shared" si="8"/>
        <v>0</v>
      </c>
      <c r="AD82" s="23"/>
      <c r="AE82" s="23"/>
    </row>
    <row r="83" spans="1:31" ht="15" customHeight="1">
      <c r="A83" s="20">
        <f t="shared" si="6"/>
        <v>0</v>
      </c>
      <c r="B83" s="23"/>
      <c r="C83" s="23"/>
      <c r="D83" s="23"/>
      <c r="E83" s="23"/>
      <c r="F83" s="23"/>
      <c r="G83" s="23"/>
      <c r="H83" s="23"/>
      <c r="I83" s="23"/>
      <c r="J83" s="23"/>
      <c r="K83" s="23"/>
      <c r="L83" s="33"/>
      <c r="M83" s="26"/>
      <c r="N83" s="26"/>
      <c r="O83" s="26"/>
      <c r="P83" s="26"/>
      <c r="Q83" s="26"/>
      <c r="R83" s="26"/>
      <c r="S83" s="26"/>
      <c r="T83" s="26"/>
      <c r="U83" s="26"/>
      <c r="V83" s="26"/>
      <c r="W83" s="26"/>
      <c r="X83" s="26">
        <f>COUNTIF($L$2:L83,"&lt;&gt;"&amp;"")</f>
        <v>5</v>
      </c>
      <c r="Y83" s="27">
        <f t="shared" si="7"/>
        <v>0</v>
      </c>
      <c r="Z83" s="28"/>
      <c r="AA83" s="29"/>
      <c r="AB83" s="30" t="b">
        <f>TRUE()</f>
        <v>1</v>
      </c>
      <c r="AC83" s="31">
        <f t="shared" si="8"/>
        <v>0</v>
      </c>
      <c r="AD83" s="23"/>
      <c r="AE83" s="23"/>
    </row>
    <row r="84" spans="1:31" ht="15" customHeight="1">
      <c r="A84" s="20">
        <f t="shared" si="6"/>
        <v>0</v>
      </c>
      <c r="B84" s="23"/>
      <c r="C84" s="23"/>
      <c r="D84" s="23"/>
      <c r="E84" s="23"/>
      <c r="F84" s="23"/>
      <c r="G84" s="23"/>
      <c r="H84" s="23"/>
      <c r="I84" s="23"/>
      <c r="J84" s="23"/>
      <c r="K84" s="23"/>
      <c r="L84" s="33"/>
      <c r="M84" s="26"/>
      <c r="N84" s="26"/>
      <c r="O84" s="26"/>
      <c r="P84" s="26"/>
      <c r="Q84" s="26"/>
      <c r="R84" s="26"/>
      <c r="S84" s="26"/>
      <c r="T84" s="26"/>
      <c r="U84" s="26"/>
      <c r="V84" s="26"/>
      <c r="W84" s="26"/>
      <c r="X84" s="26">
        <f>COUNTIF($L$2:L84,"&lt;&gt;"&amp;"")</f>
        <v>5</v>
      </c>
      <c r="Y84" s="27">
        <f t="shared" si="7"/>
        <v>0</v>
      </c>
      <c r="Z84" s="28"/>
      <c r="AA84" s="29"/>
      <c r="AB84" s="30" t="b">
        <f>TRUE()</f>
        <v>1</v>
      </c>
      <c r="AC84" s="31">
        <f t="shared" si="8"/>
        <v>0</v>
      </c>
      <c r="AD84" s="23"/>
      <c r="AE84" s="23"/>
    </row>
    <row r="85" spans="1:31" ht="15" customHeight="1">
      <c r="A85" s="20">
        <f t="shared" si="6"/>
        <v>0</v>
      </c>
      <c r="B85" s="23"/>
      <c r="C85" s="23"/>
      <c r="D85" s="23"/>
      <c r="E85" s="23"/>
      <c r="F85" s="23"/>
      <c r="G85" s="23"/>
      <c r="H85" s="23"/>
      <c r="I85" s="23"/>
      <c r="J85" s="23"/>
      <c r="K85" s="23"/>
      <c r="L85" s="33"/>
      <c r="M85" s="26"/>
      <c r="N85" s="26"/>
      <c r="O85" s="26"/>
      <c r="P85" s="26"/>
      <c r="Q85" s="26"/>
      <c r="R85" s="26"/>
      <c r="S85" s="26"/>
      <c r="T85" s="26"/>
      <c r="U85" s="26"/>
      <c r="V85" s="26"/>
      <c r="W85" s="26"/>
      <c r="X85" s="26">
        <f>COUNTIF($L$2:L85,"&lt;&gt;"&amp;"")</f>
        <v>5</v>
      </c>
      <c r="Y85" s="27">
        <f t="shared" si="7"/>
        <v>0</v>
      </c>
      <c r="Z85" s="28"/>
      <c r="AA85" s="29"/>
      <c r="AB85" s="30" t="b">
        <f>TRUE()</f>
        <v>1</v>
      </c>
      <c r="AC85" s="31">
        <f t="shared" si="8"/>
        <v>0</v>
      </c>
      <c r="AD85" s="42"/>
      <c r="AE85" s="42"/>
    </row>
    <row r="86" spans="1:31" ht="15" customHeight="1">
      <c r="A86" s="20">
        <f t="shared" si="6"/>
        <v>0</v>
      </c>
      <c r="B86" s="23"/>
      <c r="C86" s="23"/>
      <c r="D86" s="23"/>
      <c r="E86" s="23"/>
      <c r="F86" s="23"/>
      <c r="G86" s="23"/>
      <c r="H86" s="23"/>
      <c r="I86" s="23"/>
      <c r="J86" s="23"/>
      <c r="K86" s="23"/>
      <c r="L86" s="33"/>
      <c r="M86" s="26"/>
      <c r="N86" s="26"/>
      <c r="O86" s="26"/>
      <c r="P86" s="26"/>
      <c r="Q86" s="26"/>
      <c r="R86" s="26"/>
      <c r="S86" s="26"/>
      <c r="T86" s="26"/>
      <c r="U86" s="26"/>
      <c r="V86" s="26"/>
      <c r="W86" s="26"/>
      <c r="X86" s="26">
        <f>COUNTIF($L$2:L86,"&lt;&gt;"&amp;"")</f>
        <v>5</v>
      </c>
      <c r="Y86" s="27">
        <f t="shared" si="7"/>
        <v>0</v>
      </c>
      <c r="Z86" s="28"/>
      <c r="AA86" s="29"/>
      <c r="AB86" s="30" t="b">
        <f>TRUE()</f>
        <v>1</v>
      </c>
      <c r="AC86" s="31">
        <f t="shared" si="8"/>
        <v>0</v>
      </c>
      <c r="AD86" s="42"/>
      <c r="AE86" s="42"/>
    </row>
    <row r="87" spans="1:31" ht="15" customHeight="1">
      <c r="A87" s="20">
        <f t="shared" si="6"/>
        <v>0</v>
      </c>
      <c r="B87" s="23"/>
      <c r="C87" s="23"/>
      <c r="D87" s="23"/>
      <c r="E87" s="23"/>
      <c r="F87" s="23"/>
      <c r="G87" s="23"/>
      <c r="H87" s="23"/>
      <c r="I87" s="23"/>
      <c r="J87" s="23"/>
      <c r="K87" s="23"/>
      <c r="L87" s="33"/>
      <c r="M87" s="26"/>
      <c r="N87" s="26"/>
      <c r="O87" s="26"/>
      <c r="P87" s="26"/>
      <c r="Q87" s="26"/>
      <c r="R87" s="26"/>
      <c r="S87" s="26"/>
      <c r="T87" s="26"/>
      <c r="U87" s="26"/>
      <c r="V87" s="26"/>
      <c r="W87" s="26"/>
      <c r="X87" s="26">
        <f>COUNTIF($L$2:L87,"&lt;&gt;"&amp;"")</f>
        <v>5</v>
      </c>
      <c r="Y87" s="27">
        <f t="shared" si="7"/>
        <v>0</v>
      </c>
      <c r="Z87" s="28"/>
      <c r="AA87" s="29"/>
      <c r="AB87" s="30" t="b">
        <f>TRUE()</f>
        <v>1</v>
      </c>
      <c r="AC87" s="31">
        <f t="shared" si="8"/>
        <v>0</v>
      </c>
      <c r="AD87" s="42"/>
      <c r="AE87" s="42"/>
    </row>
    <row r="88" spans="1:31" ht="15" customHeight="1">
      <c r="A88" s="20">
        <f t="shared" si="6"/>
        <v>0</v>
      </c>
      <c r="B88" s="23"/>
      <c r="C88" s="23"/>
      <c r="D88" s="23"/>
      <c r="E88" s="23"/>
      <c r="F88" s="23"/>
      <c r="G88" s="23"/>
      <c r="H88" s="23"/>
      <c r="I88" s="23"/>
      <c r="J88" s="23"/>
      <c r="K88" s="23"/>
      <c r="L88" s="33"/>
      <c r="M88" s="26"/>
      <c r="N88" s="26"/>
      <c r="O88" s="26"/>
      <c r="P88" s="26"/>
      <c r="Q88" s="26"/>
      <c r="R88" s="26"/>
      <c r="S88" s="26"/>
      <c r="T88" s="26"/>
      <c r="U88" s="26"/>
      <c r="V88" s="26"/>
      <c r="W88" s="26"/>
      <c r="X88" s="26">
        <f>COUNTIF($L$2:L88,"&lt;&gt;"&amp;"")</f>
        <v>5</v>
      </c>
      <c r="Y88" s="27">
        <f t="shared" si="7"/>
        <v>0</v>
      </c>
      <c r="Z88" s="28"/>
      <c r="AA88" s="29"/>
      <c r="AB88" s="30" t="b">
        <f>TRUE()</f>
        <v>1</v>
      </c>
      <c r="AC88" s="31">
        <f t="shared" si="8"/>
        <v>0</v>
      </c>
      <c r="AD88" s="42"/>
      <c r="AE88" s="42"/>
    </row>
    <row r="89" spans="1:31" ht="15" customHeight="1">
      <c r="A89" s="20">
        <f t="shared" si="6"/>
        <v>0</v>
      </c>
      <c r="B89" s="23"/>
      <c r="C89" s="23"/>
      <c r="D89" s="23"/>
      <c r="E89" s="23"/>
      <c r="F89" s="23"/>
      <c r="G89" s="23"/>
      <c r="H89" s="23"/>
      <c r="I89" s="23"/>
      <c r="J89" s="23"/>
      <c r="K89" s="23"/>
      <c r="L89" s="33"/>
      <c r="M89" s="26"/>
      <c r="N89" s="26"/>
      <c r="O89" s="26"/>
      <c r="P89" s="26"/>
      <c r="Q89" s="26"/>
      <c r="R89" s="26"/>
      <c r="S89" s="26"/>
      <c r="T89" s="26"/>
      <c r="U89" s="26"/>
      <c r="V89" s="26"/>
      <c r="W89" s="26"/>
      <c r="X89" s="26">
        <f>COUNTIF($L$2:L89,"&lt;&gt;"&amp;"")</f>
        <v>5</v>
      </c>
      <c r="Y89" s="27">
        <f t="shared" si="7"/>
        <v>0</v>
      </c>
      <c r="Z89" s="28"/>
      <c r="AA89" s="29"/>
      <c r="AB89" s="30" t="b">
        <f>TRUE()</f>
        <v>1</v>
      </c>
      <c r="AC89" s="31">
        <f t="shared" si="8"/>
        <v>0</v>
      </c>
      <c r="AD89" s="42"/>
      <c r="AE89" s="42"/>
    </row>
    <row r="90" spans="1:31" ht="15" customHeight="1">
      <c r="A90" s="20">
        <f t="shared" si="6"/>
        <v>0</v>
      </c>
      <c r="B90" s="23"/>
      <c r="C90" s="23"/>
      <c r="D90" s="23"/>
      <c r="E90" s="23"/>
      <c r="F90" s="23"/>
      <c r="G90" s="23"/>
      <c r="H90" s="23"/>
      <c r="I90" s="23"/>
      <c r="J90" s="23"/>
      <c r="K90" s="23"/>
      <c r="L90" s="33"/>
      <c r="M90" s="26"/>
      <c r="N90" s="26"/>
      <c r="O90" s="26"/>
      <c r="P90" s="26"/>
      <c r="Q90" s="26"/>
      <c r="R90" s="26"/>
      <c r="S90" s="26"/>
      <c r="T90" s="26"/>
      <c r="U90" s="26"/>
      <c r="V90" s="26"/>
      <c r="W90" s="26"/>
      <c r="X90" s="26">
        <f>COUNTIF($L$2:L90,"&lt;&gt;"&amp;"")</f>
        <v>5</v>
      </c>
      <c r="Y90" s="27">
        <f t="shared" si="7"/>
        <v>0</v>
      </c>
      <c r="Z90" s="28"/>
      <c r="AA90" s="29"/>
      <c r="AB90" s="30" t="b">
        <f>TRUE()</f>
        <v>1</v>
      </c>
      <c r="AC90" s="31">
        <f t="shared" si="8"/>
        <v>0</v>
      </c>
      <c r="AD90" s="42"/>
      <c r="AE90" s="42"/>
    </row>
    <row r="91" spans="1:31" ht="15" customHeight="1">
      <c r="A91" s="20">
        <f t="shared" si="6"/>
        <v>0</v>
      </c>
      <c r="B91" s="23"/>
      <c r="C91" s="23"/>
      <c r="D91" s="23"/>
      <c r="E91" s="23"/>
      <c r="F91" s="23"/>
      <c r="G91" s="23"/>
      <c r="H91" s="23"/>
      <c r="I91" s="23"/>
      <c r="J91" s="23"/>
      <c r="K91" s="23"/>
      <c r="L91" s="33"/>
      <c r="M91" s="26"/>
      <c r="N91" s="26"/>
      <c r="O91" s="26"/>
      <c r="P91" s="26"/>
      <c r="Q91" s="26"/>
      <c r="R91" s="26"/>
      <c r="S91" s="26"/>
      <c r="T91" s="26"/>
      <c r="U91" s="26"/>
      <c r="V91" s="26"/>
      <c r="W91" s="26"/>
      <c r="X91" s="26">
        <f>COUNTIF($L$2:L91,"&lt;&gt;"&amp;"")</f>
        <v>5</v>
      </c>
      <c r="Y91" s="27">
        <f t="shared" si="7"/>
        <v>0</v>
      </c>
      <c r="Z91" s="28"/>
      <c r="AA91" s="29"/>
      <c r="AB91" s="30" t="b">
        <f>TRUE()</f>
        <v>1</v>
      </c>
      <c r="AC91" s="31">
        <f t="shared" si="8"/>
        <v>0</v>
      </c>
      <c r="AD91" s="42"/>
      <c r="AE91" s="42"/>
    </row>
    <row r="92" spans="1:31" ht="15" customHeight="1">
      <c r="A92" s="20">
        <f t="shared" si="6"/>
        <v>0</v>
      </c>
      <c r="B92" s="23"/>
      <c r="C92" s="23"/>
      <c r="D92" s="23"/>
      <c r="E92" s="23"/>
      <c r="F92" s="23"/>
      <c r="G92" s="23"/>
      <c r="H92" s="23"/>
      <c r="I92" s="23"/>
      <c r="J92" s="23"/>
      <c r="K92" s="23"/>
      <c r="L92" s="33"/>
      <c r="M92" s="26"/>
      <c r="N92" s="26"/>
      <c r="O92" s="26"/>
      <c r="P92" s="26"/>
      <c r="Q92" s="26"/>
      <c r="R92" s="26"/>
      <c r="S92" s="26"/>
      <c r="T92" s="26"/>
      <c r="U92" s="26"/>
      <c r="V92" s="26"/>
      <c r="W92" s="26"/>
      <c r="X92" s="26">
        <f>COUNTIF($L$2:L92,"&lt;&gt;"&amp;"")</f>
        <v>5</v>
      </c>
      <c r="Y92" s="27">
        <f t="shared" si="7"/>
        <v>0</v>
      </c>
      <c r="Z92" s="28"/>
      <c r="AA92" s="29"/>
      <c r="AB92" s="30" t="b">
        <f>TRUE()</f>
        <v>1</v>
      </c>
      <c r="AC92" s="31">
        <f t="shared" si="8"/>
        <v>0</v>
      </c>
      <c r="AD92" s="42"/>
      <c r="AE92" s="42"/>
    </row>
    <row r="93" spans="1:31" ht="15" customHeight="1">
      <c r="A93" s="20">
        <f t="shared" si="6"/>
        <v>0</v>
      </c>
      <c r="B93" s="23"/>
      <c r="C93" s="23"/>
      <c r="D93" s="23"/>
      <c r="E93" s="23"/>
      <c r="F93" s="23"/>
      <c r="G93" s="23"/>
      <c r="H93" s="23"/>
      <c r="I93" s="23"/>
      <c r="J93" s="23"/>
      <c r="K93" s="23"/>
      <c r="L93" s="33"/>
      <c r="M93" s="26"/>
      <c r="N93" s="26"/>
      <c r="O93" s="26"/>
      <c r="P93" s="26"/>
      <c r="Q93" s="26"/>
      <c r="R93" s="26"/>
      <c r="S93" s="26"/>
      <c r="T93" s="26"/>
      <c r="U93" s="26"/>
      <c r="V93" s="26"/>
      <c r="W93" s="26"/>
      <c r="X93" s="26">
        <f>COUNTIF($L$2:L95,"&lt;&gt;"&amp;"")</f>
        <v>5</v>
      </c>
      <c r="Y93" s="27">
        <f t="shared" si="7"/>
        <v>0</v>
      </c>
      <c r="Z93" s="28"/>
      <c r="AA93" s="29"/>
      <c r="AB93" s="30" t="b">
        <f>TRUE()</f>
        <v>1</v>
      </c>
      <c r="AC93" s="31">
        <f t="shared" si="8"/>
        <v>0</v>
      </c>
      <c r="AD93" s="42"/>
      <c r="AE93" s="42"/>
    </row>
    <row r="94" spans="1:31" ht="15" customHeight="1">
      <c r="A94" s="20">
        <f t="shared" si="6"/>
        <v>0</v>
      </c>
      <c r="B94" s="23"/>
      <c r="C94" s="23"/>
      <c r="D94" s="23"/>
      <c r="E94" s="23"/>
      <c r="F94" s="23"/>
      <c r="G94" s="23"/>
      <c r="H94" s="23"/>
      <c r="I94" s="23"/>
      <c r="J94" s="23"/>
      <c r="K94" s="23"/>
      <c r="L94" s="33"/>
      <c r="M94" s="26"/>
      <c r="N94" s="26"/>
      <c r="O94" s="26"/>
      <c r="P94" s="26"/>
      <c r="Q94" s="26"/>
      <c r="R94" s="26"/>
      <c r="S94" s="26"/>
      <c r="T94" s="26"/>
      <c r="U94" s="26"/>
      <c r="V94" s="26"/>
      <c r="W94" s="26"/>
      <c r="X94" s="26">
        <f>COUNTIF($L$2:L94,"&lt;&gt;"&amp;"")</f>
        <v>5</v>
      </c>
      <c r="Y94" s="27">
        <f t="shared" si="7"/>
        <v>0</v>
      </c>
      <c r="Z94" s="28"/>
      <c r="AA94" s="29"/>
      <c r="AB94" s="30" t="b">
        <f>TRUE()</f>
        <v>1</v>
      </c>
      <c r="AC94" s="31">
        <f t="shared" si="8"/>
        <v>0</v>
      </c>
      <c r="AD94" s="42"/>
      <c r="AE94" s="42"/>
    </row>
    <row r="95" spans="1:31" ht="15" customHeight="1">
      <c r="A95" s="20">
        <f t="shared" si="6"/>
        <v>0</v>
      </c>
      <c r="B95" s="23"/>
      <c r="C95" s="23"/>
      <c r="D95" s="23"/>
      <c r="E95" s="23"/>
      <c r="F95" s="23"/>
      <c r="G95" s="23"/>
      <c r="H95" s="23"/>
      <c r="I95" s="23"/>
      <c r="J95" s="23"/>
      <c r="K95" s="23"/>
      <c r="L95" s="33"/>
      <c r="M95" s="26"/>
      <c r="N95" s="26"/>
      <c r="O95" s="26"/>
      <c r="P95" s="26"/>
      <c r="Q95" s="26"/>
      <c r="R95" s="26"/>
      <c r="S95" s="26"/>
      <c r="T95" s="26"/>
      <c r="U95" s="26"/>
      <c r="V95" s="26"/>
      <c r="W95" s="26"/>
      <c r="X95" s="26">
        <f>COUNTIF($L$2:L95,"&lt;&gt;"&amp;"")</f>
        <v>5</v>
      </c>
      <c r="Y95" s="27">
        <f t="shared" si="7"/>
        <v>0</v>
      </c>
      <c r="Z95" s="28"/>
      <c r="AA95" s="29"/>
      <c r="AB95" s="30" t="b">
        <f>TRUE()</f>
        <v>1</v>
      </c>
      <c r="AC95" s="31">
        <f t="shared" si="8"/>
        <v>0</v>
      </c>
      <c r="AD95" s="42"/>
      <c r="AE95" s="42"/>
    </row>
    <row r="96" spans="1:31" ht="15" customHeight="1">
      <c r="A96" s="20">
        <f t="shared" si="6"/>
        <v>0</v>
      </c>
      <c r="B96" s="23"/>
      <c r="C96" s="23"/>
      <c r="D96" s="23"/>
      <c r="E96" s="23"/>
      <c r="F96" s="23"/>
      <c r="G96" s="23"/>
      <c r="H96" s="23"/>
      <c r="I96" s="23"/>
      <c r="J96" s="23"/>
      <c r="K96" s="23"/>
      <c r="L96" s="33"/>
      <c r="M96" s="26"/>
      <c r="N96" s="26"/>
      <c r="O96" s="26"/>
      <c r="P96" s="26"/>
      <c r="Q96" s="26"/>
      <c r="R96" s="26"/>
      <c r="S96" s="26"/>
      <c r="T96" s="26"/>
      <c r="U96" s="26"/>
      <c r="V96" s="26"/>
      <c r="W96" s="26"/>
      <c r="X96" s="26">
        <f>COUNTIF($L$2:L96,"&lt;&gt;"&amp;"")</f>
        <v>5</v>
      </c>
      <c r="Y96" s="27">
        <f t="shared" si="7"/>
        <v>0</v>
      </c>
      <c r="Z96" s="28"/>
      <c r="AA96" s="29"/>
      <c r="AB96" s="30" t="b">
        <f>TRUE()</f>
        <v>1</v>
      </c>
      <c r="AC96" s="31">
        <f t="shared" si="8"/>
        <v>0</v>
      </c>
      <c r="AD96" s="42"/>
      <c r="AE96" s="42"/>
    </row>
    <row r="97" spans="1:31" ht="15" customHeight="1">
      <c r="A97" s="20">
        <f t="shared" si="6"/>
        <v>0</v>
      </c>
      <c r="B97" s="23"/>
      <c r="C97" s="23"/>
      <c r="D97" s="23"/>
      <c r="E97" s="23"/>
      <c r="F97" s="23"/>
      <c r="G97" s="23"/>
      <c r="H97" s="23"/>
      <c r="I97" s="23"/>
      <c r="J97" s="23"/>
      <c r="K97" s="23"/>
      <c r="L97" s="33"/>
      <c r="M97" s="26"/>
      <c r="N97" s="26"/>
      <c r="O97" s="26"/>
      <c r="P97" s="26"/>
      <c r="Q97" s="26"/>
      <c r="R97" s="26"/>
      <c r="S97" s="26"/>
      <c r="T97" s="26"/>
      <c r="U97" s="26"/>
      <c r="V97" s="26"/>
      <c r="W97" s="26"/>
      <c r="X97" s="26">
        <f>COUNTIF($L$2:L97,"&lt;&gt;"&amp;"")</f>
        <v>5</v>
      </c>
      <c r="Y97" s="27">
        <f t="shared" si="7"/>
        <v>0</v>
      </c>
      <c r="Z97" s="28"/>
      <c r="AA97" s="29"/>
      <c r="AB97" s="30" t="b">
        <f>TRUE()</f>
        <v>1</v>
      </c>
      <c r="AC97" s="31">
        <f t="shared" si="8"/>
        <v>0</v>
      </c>
      <c r="AD97" s="42"/>
      <c r="AE97" s="42"/>
    </row>
    <row r="98" spans="1:31" ht="15" customHeight="1">
      <c r="A98" s="20">
        <f t="shared" ref="A98:A129" si="9">(B98*$P$125+C98*$P$126+D98*$P$127+E98*$P$128+F98*$P$129+G98*$P$130+H98*$P$131+I98*$P$132+J98*$P$133+K98*$P$134)*$T$123</f>
        <v>0</v>
      </c>
      <c r="B98" s="23"/>
      <c r="C98" s="23"/>
      <c r="D98" s="23"/>
      <c r="E98" s="23"/>
      <c r="F98" s="23"/>
      <c r="G98" s="23"/>
      <c r="H98" s="23"/>
      <c r="I98" s="23"/>
      <c r="J98" s="23"/>
      <c r="K98" s="23"/>
      <c r="L98" s="33"/>
      <c r="M98" s="26"/>
      <c r="N98" s="26"/>
      <c r="O98" s="26"/>
      <c r="P98" s="26"/>
      <c r="Q98" s="26"/>
      <c r="R98" s="26"/>
      <c r="S98" s="26"/>
      <c r="T98" s="26"/>
      <c r="U98" s="26"/>
      <c r="V98" s="26"/>
      <c r="W98" s="26"/>
      <c r="X98" s="26">
        <f>COUNTIF($L$2:L98,"&lt;&gt;"&amp;"")</f>
        <v>5</v>
      </c>
      <c r="Y98" s="27">
        <f t="shared" ref="Y98:Y129" si="10">SUMIF($X$2:$X$120,X98,$A$2:$A$120)</f>
        <v>0</v>
      </c>
      <c r="Z98" s="28"/>
      <c r="AA98" s="29"/>
      <c r="AB98" s="30" t="b">
        <f>TRUE()</f>
        <v>1</v>
      </c>
      <c r="AC98" s="31">
        <f t="shared" ref="AC98:AC129" si="11">IF(L98="",0,IF(AB98=FALSE(),0,Y98))</f>
        <v>0</v>
      </c>
      <c r="AD98" s="42"/>
      <c r="AE98" s="42"/>
    </row>
    <row r="99" spans="1:31" ht="15" customHeight="1">
      <c r="A99" s="20">
        <f t="shared" si="9"/>
        <v>0</v>
      </c>
      <c r="B99" s="23"/>
      <c r="C99" s="23"/>
      <c r="D99" s="23"/>
      <c r="E99" s="23"/>
      <c r="F99" s="23"/>
      <c r="G99" s="23"/>
      <c r="H99" s="23"/>
      <c r="I99" s="23"/>
      <c r="J99" s="23"/>
      <c r="K99" s="23"/>
      <c r="L99" s="33"/>
      <c r="M99" s="26"/>
      <c r="N99" s="26"/>
      <c r="O99" s="26"/>
      <c r="P99" s="26"/>
      <c r="Q99" s="26"/>
      <c r="R99" s="26"/>
      <c r="S99" s="26"/>
      <c r="T99" s="26"/>
      <c r="U99" s="26"/>
      <c r="V99" s="26"/>
      <c r="W99" s="26"/>
      <c r="X99" s="26">
        <f>COUNTIF($L$2:L99,"&lt;&gt;"&amp;"")</f>
        <v>5</v>
      </c>
      <c r="Y99" s="27">
        <f t="shared" si="10"/>
        <v>0</v>
      </c>
      <c r="Z99" s="28"/>
      <c r="AA99" s="29"/>
      <c r="AB99" s="30" t="b">
        <f>TRUE()</f>
        <v>1</v>
      </c>
      <c r="AC99" s="31">
        <f t="shared" si="11"/>
        <v>0</v>
      </c>
      <c r="AD99" s="42"/>
      <c r="AE99" s="42"/>
    </row>
    <row r="100" spans="1:31" ht="15" customHeight="1">
      <c r="A100" s="20">
        <f t="shared" si="9"/>
        <v>0</v>
      </c>
      <c r="B100" s="23"/>
      <c r="C100" s="23"/>
      <c r="D100" s="23"/>
      <c r="E100" s="23"/>
      <c r="F100" s="23"/>
      <c r="G100" s="23"/>
      <c r="H100" s="23"/>
      <c r="I100" s="23"/>
      <c r="J100" s="23"/>
      <c r="K100" s="23"/>
      <c r="L100" s="33"/>
      <c r="M100" s="26"/>
      <c r="N100" s="26"/>
      <c r="O100" s="26"/>
      <c r="P100" s="26"/>
      <c r="Q100" s="26"/>
      <c r="R100" s="26"/>
      <c r="S100" s="26"/>
      <c r="T100" s="26"/>
      <c r="U100" s="26"/>
      <c r="V100" s="26"/>
      <c r="W100" s="26"/>
      <c r="X100" s="26">
        <f>COUNTIF($L$2:L100,"&lt;&gt;"&amp;"")</f>
        <v>5</v>
      </c>
      <c r="Y100" s="27">
        <f t="shared" si="10"/>
        <v>0</v>
      </c>
      <c r="Z100" s="28"/>
      <c r="AA100" s="29"/>
      <c r="AB100" s="30" t="b">
        <f>TRUE()</f>
        <v>1</v>
      </c>
      <c r="AC100" s="31">
        <f t="shared" si="11"/>
        <v>0</v>
      </c>
      <c r="AD100" s="42"/>
      <c r="AE100" s="42"/>
    </row>
    <row r="101" spans="1:31" ht="15" customHeight="1">
      <c r="A101" s="20">
        <f t="shared" si="9"/>
        <v>0</v>
      </c>
      <c r="B101" s="23"/>
      <c r="C101" s="23"/>
      <c r="D101" s="23"/>
      <c r="E101" s="23"/>
      <c r="F101" s="23"/>
      <c r="G101" s="23"/>
      <c r="H101" s="23"/>
      <c r="I101" s="23"/>
      <c r="J101" s="23"/>
      <c r="K101" s="23"/>
      <c r="L101" s="33"/>
      <c r="M101" s="26"/>
      <c r="N101" s="26"/>
      <c r="O101" s="26"/>
      <c r="P101" s="26"/>
      <c r="Q101" s="26"/>
      <c r="R101" s="26"/>
      <c r="S101" s="26"/>
      <c r="T101" s="26"/>
      <c r="U101" s="26"/>
      <c r="V101" s="26"/>
      <c r="W101" s="26"/>
      <c r="X101" s="26">
        <f>COUNTIF($L$2:L101,"&lt;&gt;"&amp;"")</f>
        <v>5</v>
      </c>
      <c r="Y101" s="27">
        <f t="shared" si="10"/>
        <v>0</v>
      </c>
      <c r="Z101" s="28"/>
      <c r="AA101" s="29"/>
      <c r="AB101" s="30" t="b">
        <f>TRUE()</f>
        <v>1</v>
      </c>
      <c r="AC101" s="31">
        <f t="shared" si="11"/>
        <v>0</v>
      </c>
      <c r="AD101" s="23"/>
      <c r="AE101" s="23"/>
    </row>
    <row r="102" spans="1:31" ht="15" customHeight="1">
      <c r="A102" s="20">
        <f t="shared" si="9"/>
        <v>0</v>
      </c>
      <c r="B102" s="23"/>
      <c r="C102" s="23"/>
      <c r="D102" s="23"/>
      <c r="E102" s="23"/>
      <c r="F102" s="23"/>
      <c r="G102" s="23"/>
      <c r="H102" s="23"/>
      <c r="I102" s="23"/>
      <c r="J102" s="23"/>
      <c r="K102" s="23"/>
      <c r="L102" s="33"/>
      <c r="M102" s="26"/>
      <c r="N102" s="26"/>
      <c r="O102" s="26"/>
      <c r="P102" s="26"/>
      <c r="Q102" s="26"/>
      <c r="R102" s="26"/>
      <c r="S102" s="26"/>
      <c r="T102" s="26"/>
      <c r="U102" s="26"/>
      <c r="V102" s="26"/>
      <c r="W102" s="26"/>
      <c r="X102" s="26">
        <f>COUNTIF($L$2:L106,"&lt;&gt;"&amp;"")</f>
        <v>5</v>
      </c>
      <c r="Y102" s="27">
        <f t="shared" si="10"/>
        <v>0</v>
      </c>
      <c r="Z102" s="28"/>
      <c r="AA102" s="29"/>
      <c r="AB102" s="30" t="b">
        <f>TRUE()</f>
        <v>1</v>
      </c>
      <c r="AC102" s="31">
        <f t="shared" si="11"/>
        <v>0</v>
      </c>
      <c r="AD102" s="23"/>
      <c r="AE102" s="23"/>
    </row>
    <row r="103" spans="1:31" ht="15" customHeight="1">
      <c r="A103" s="20">
        <f t="shared" si="9"/>
        <v>0</v>
      </c>
      <c r="B103" s="23"/>
      <c r="C103" s="23"/>
      <c r="D103" s="23"/>
      <c r="E103" s="23"/>
      <c r="F103" s="23"/>
      <c r="G103" s="23"/>
      <c r="H103" s="23"/>
      <c r="I103" s="23"/>
      <c r="J103" s="23"/>
      <c r="K103" s="23"/>
      <c r="L103" s="33"/>
      <c r="M103" s="26"/>
      <c r="N103" s="26"/>
      <c r="O103" s="26"/>
      <c r="P103" s="26"/>
      <c r="Q103" s="26"/>
      <c r="R103" s="26"/>
      <c r="S103" s="26"/>
      <c r="T103" s="26"/>
      <c r="U103" s="26"/>
      <c r="V103" s="26"/>
      <c r="W103" s="26"/>
      <c r="X103" s="26">
        <f>COUNTIF($L$2:L103,"&lt;&gt;"&amp;"")</f>
        <v>5</v>
      </c>
      <c r="Y103" s="27">
        <f t="shared" si="10"/>
        <v>0</v>
      </c>
      <c r="Z103" s="28"/>
      <c r="AA103" s="29"/>
      <c r="AB103" s="30" t="b">
        <f>TRUE()</f>
        <v>1</v>
      </c>
      <c r="AC103" s="31">
        <f t="shared" si="11"/>
        <v>0</v>
      </c>
      <c r="AD103" s="42"/>
      <c r="AE103" s="42"/>
    </row>
    <row r="104" spans="1:31" ht="15" customHeight="1">
      <c r="A104" s="20">
        <f t="shared" si="9"/>
        <v>0</v>
      </c>
      <c r="B104" s="23"/>
      <c r="C104" s="23"/>
      <c r="D104" s="23"/>
      <c r="E104" s="23"/>
      <c r="F104" s="23"/>
      <c r="G104" s="23"/>
      <c r="H104" s="23"/>
      <c r="I104" s="23"/>
      <c r="J104" s="23"/>
      <c r="K104" s="23"/>
      <c r="L104" s="33"/>
      <c r="M104" s="26"/>
      <c r="N104" s="26"/>
      <c r="O104" s="26"/>
      <c r="P104" s="26"/>
      <c r="Q104" s="26"/>
      <c r="R104" s="26"/>
      <c r="S104" s="26"/>
      <c r="T104" s="26"/>
      <c r="U104" s="26"/>
      <c r="V104" s="26"/>
      <c r="W104" s="26"/>
      <c r="X104" s="26">
        <f>COUNTIF($L$2:L104,"&lt;&gt;"&amp;"")</f>
        <v>5</v>
      </c>
      <c r="Y104" s="27">
        <f t="shared" si="10"/>
        <v>0</v>
      </c>
      <c r="Z104" s="28"/>
      <c r="AA104" s="29"/>
      <c r="AB104" s="30" t="b">
        <f>TRUE()</f>
        <v>1</v>
      </c>
      <c r="AC104" s="31">
        <f t="shared" si="11"/>
        <v>0</v>
      </c>
      <c r="AD104" s="42"/>
      <c r="AE104" s="42"/>
    </row>
    <row r="105" spans="1:31" ht="15" customHeight="1">
      <c r="A105" s="20">
        <f t="shared" si="9"/>
        <v>0</v>
      </c>
      <c r="B105" s="23"/>
      <c r="C105" s="23"/>
      <c r="D105" s="23"/>
      <c r="E105" s="23"/>
      <c r="F105" s="23"/>
      <c r="G105" s="23"/>
      <c r="H105" s="23"/>
      <c r="I105" s="23"/>
      <c r="J105" s="23"/>
      <c r="K105" s="23"/>
      <c r="L105" s="33"/>
      <c r="M105" s="26"/>
      <c r="N105" s="26"/>
      <c r="O105" s="26"/>
      <c r="P105" s="26"/>
      <c r="Q105" s="26"/>
      <c r="R105" s="26"/>
      <c r="S105" s="26"/>
      <c r="T105" s="26"/>
      <c r="U105" s="26"/>
      <c r="V105" s="26"/>
      <c r="W105" s="26"/>
      <c r="X105" s="26">
        <f>COUNTIF($L$2:L105,"&lt;&gt;"&amp;"")</f>
        <v>5</v>
      </c>
      <c r="Y105" s="27">
        <f t="shared" si="10"/>
        <v>0</v>
      </c>
      <c r="Z105" s="28"/>
      <c r="AA105" s="29"/>
      <c r="AB105" s="30" t="b">
        <f>TRUE()</f>
        <v>1</v>
      </c>
      <c r="AC105" s="31">
        <f t="shared" si="11"/>
        <v>0</v>
      </c>
      <c r="AD105" s="42"/>
      <c r="AE105" s="42"/>
    </row>
    <row r="106" spans="1:31" ht="15" customHeight="1">
      <c r="A106" s="20">
        <f t="shared" si="9"/>
        <v>0</v>
      </c>
      <c r="B106" s="23"/>
      <c r="C106" s="23"/>
      <c r="D106" s="23"/>
      <c r="E106" s="23"/>
      <c r="F106" s="23"/>
      <c r="G106" s="23"/>
      <c r="H106" s="23"/>
      <c r="I106" s="23"/>
      <c r="J106" s="23"/>
      <c r="K106" s="23"/>
      <c r="L106" s="33"/>
      <c r="M106" s="26"/>
      <c r="N106" s="26"/>
      <c r="O106" s="26"/>
      <c r="P106" s="26"/>
      <c r="Q106" s="26"/>
      <c r="R106" s="26"/>
      <c r="S106" s="26"/>
      <c r="T106" s="26"/>
      <c r="U106" s="26"/>
      <c r="V106" s="26"/>
      <c r="W106" s="26"/>
      <c r="X106" s="26">
        <f>COUNTIF($L$2:L106,"&lt;&gt;"&amp;"")</f>
        <v>5</v>
      </c>
      <c r="Y106" s="27">
        <f t="shared" si="10"/>
        <v>0</v>
      </c>
      <c r="Z106" s="28"/>
      <c r="AA106" s="29"/>
      <c r="AB106" s="30" t="b">
        <f>TRUE()</f>
        <v>1</v>
      </c>
      <c r="AC106" s="31">
        <f t="shared" si="11"/>
        <v>0</v>
      </c>
      <c r="AD106" s="42"/>
      <c r="AE106" s="42"/>
    </row>
    <row r="107" spans="1:31" ht="15" customHeight="1">
      <c r="A107" s="20">
        <f t="shared" si="9"/>
        <v>0</v>
      </c>
      <c r="B107" s="23"/>
      <c r="C107" s="23"/>
      <c r="D107" s="23"/>
      <c r="E107" s="23"/>
      <c r="F107" s="23"/>
      <c r="G107" s="23"/>
      <c r="H107" s="23"/>
      <c r="I107" s="23"/>
      <c r="J107" s="23"/>
      <c r="K107" s="23"/>
      <c r="L107" s="33"/>
      <c r="M107" s="26"/>
      <c r="N107" s="26"/>
      <c r="O107" s="26"/>
      <c r="P107" s="26"/>
      <c r="Q107" s="26"/>
      <c r="R107" s="26"/>
      <c r="S107" s="26"/>
      <c r="T107" s="26"/>
      <c r="U107" s="26"/>
      <c r="V107" s="26"/>
      <c r="W107" s="26"/>
      <c r="X107" s="26">
        <f>COUNTIF($L$2:L107,"&lt;&gt;"&amp;"")</f>
        <v>5</v>
      </c>
      <c r="Y107" s="27">
        <f t="shared" si="10"/>
        <v>0</v>
      </c>
      <c r="Z107" s="28"/>
      <c r="AA107" s="29"/>
      <c r="AB107" s="30" t="b">
        <f>TRUE()</f>
        <v>1</v>
      </c>
      <c r="AC107" s="31">
        <f t="shared" si="11"/>
        <v>0</v>
      </c>
      <c r="AD107" s="23"/>
      <c r="AE107" s="23"/>
    </row>
    <row r="108" spans="1:31" ht="15" customHeight="1">
      <c r="A108" s="20">
        <f t="shared" si="9"/>
        <v>0</v>
      </c>
      <c r="B108" s="23"/>
      <c r="C108" s="23"/>
      <c r="D108" s="23"/>
      <c r="E108" s="23"/>
      <c r="F108" s="23"/>
      <c r="G108" s="23"/>
      <c r="H108" s="23"/>
      <c r="I108" s="23"/>
      <c r="J108" s="23"/>
      <c r="K108" s="23"/>
      <c r="L108" s="33"/>
      <c r="M108" s="26"/>
      <c r="N108" s="26"/>
      <c r="O108" s="26"/>
      <c r="P108" s="26"/>
      <c r="Q108" s="26"/>
      <c r="R108" s="26"/>
      <c r="S108" s="26"/>
      <c r="T108" s="26"/>
      <c r="U108" s="26"/>
      <c r="V108" s="26"/>
      <c r="W108" s="26"/>
      <c r="X108" s="26">
        <f>COUNTIF($L$2:L108,"&lt;&gt;"&amp;"")</f>
        <v>5</v>
      </c>
      <c r="Y108" s="27">
        <f t="shared" si="10"/>
        <v>0</v>
      </c>
      <c r="Z108" s="28"/>
      <c r="AA108" s="29"/>
      <c r="AB108" s="30" t="b">
        <f>TRUE()</f>
        <v>1</v>
      </c>
      <c r="AC108" s="31">
        <f t="shared" si="11"/>
        <v>0</v>
      </c>
      <c r="AD108" s="23"/>
      <c r="AE108" s="23"/>
    </row>
    <row r="109" spans="1:31" ht="15" customHeight="1">
      <c r="A109" s="20">
        <f t="shared" si="9"/>
        <v>0</v>
      </c>
      <c r="B109" s="23"/>
      <c r="C109" s="23"/>
      <c r="D109" s="23"/>
      <c r="E109" s="23"/>
      <c r="F109" s="23"/>
      <c r="G109" s="23"/>
      <c r="H109" s="23"/>
      <c r="I109" s="23"/>
      <c r="J109" s="23"/>
      <c r="K109" s="23"/>
      <c r="L109" s="33"/>
      <c r="M109" s="26"/>
      <c r="N109" s="26"/>
      <c r="O109" s="26"/>
      <c r="P109" s="26"/>
      <c r="Q109" s="26"/>
      <c r="R109" s="26"/>
      <c r="S109" s="26"/>
      <c r="T109" s="26"/>
      <c r="U109" s="26"/>
      <c r="V109" s="26"/>
      <c r="W109" s="26"/>
      <c r="X109" s="26">
        <f>COUNTIF($L$2:L109,"&lt;&gt;"&amp;"")</f>
        <v>5</v>
      </c>
      <c r="Y109" s="27">
        <f t="shared" si="10"/>
        <v>0</v>
      </c>
      <c r="Z109" s="28"/>
      <c r="AA109" s="29"/>
      <c r="AB109" s="30" t="b">
        <f>TRUE()</f>
        <v>1</v>
      </c>
      <c r="AC109" s="31">
        <f t="shared" si="11"/>
        <v>0</v>
      </c>
      <c r="AD109" s="23"/>
      <c r="AE109" s="23"/>
    </row>
    <row r="110" spans="1:31" ht="15" customHeight="1">
      <c r="A110" s="20">
        <f t="shared" si="9"/>
        <v>0</v>
      </c>
      <c r="B110" s="23"/>
      <c r="C110" s="23"/>
      <c r="D110" s="23"/>
      <c r="E110" s="23"/>
      <c r="F110" s="23"/>
      <c r="G110" s="23"/>
      <c r="H110" s="23"/>
      <c r="I110" s="23"/>
      <c r="J110" s="23"/>
      <c r="K110" s="23"/>
      <c r="L110" s="33"/>
      <c r="M110" s="26"/>
      <c r="N110" s="26"/>
      <c r="O110" s="26"/>
      <c r="P110" s="26"/>
      <c r="Q110" s="26"/>
      <c r="R110" s="26"/>
      <c r="S110" s="26"/>
      <c r="T110" s="26"/>
      <c r="U110" s="26"/>
      <c r="V110" s="26"/>
      <c r="W110" s="26"/>
      <c r="X110" s="26">
        <f>COUNTIF($L$2:L110,"&lt;&gt;"&amp;"")</f>
        <v>5</v>
      </c>
      <c r="Y110" s="27">
        <f t="shared" si="10"/>
        <v>0</v>
      </c>
      <c r="Z110" s="28"/>
      <c r="AA110" s="29"/>
      <c r="AB110" s="30" t="b">
        <f>TRUE()</f>
        <v>1</v>
      </c>
      <c r="AC110" s="31">
        <f t="shared" si="11"/>
        <v>0</v>
      </c>
      <c r="AD110" s="23"/>
      <c r="AE110" s="23"/>
    </row>
    <row r="111" spans="1:31" ht="15" customHeight="1">
      <c r="A111" s="20">
        <f t="shared" si="9"/>
        <v>0</v>
      </c>
      <c r="B111" s="23"/>
      <c r="C111" s="23"/>
      <c r="D111" s="23"/>
      <c r="E111" s="23"/>
      <c r="F111" s="23"/>
      <c r="G111" s="23"/>
      <c r="H111" s="23"/>
      <c r="I111" s="23"/>
      <c r="J111" s="23"/>
      <c r="K111" s="23"/>
      <c r="L111" s="33"/>
      <c r="M111" s="26"/>
      <c r="N111" s="26"/>
      <c r="O111" s="26"/>
      <c r="P111" s="26"/>
      <c r="Q111" s="26"/>
      <c r="R111" s="26"/>
      <c r="S111" s="26"/>
      <c r="T111" s="26"/>
      <c r="U111" s="26"/>
      <c r="V111" s="26"/>
      <c r="W111" s="26"/>
      <c r="X111" s="26">
        <f>COUNTIF($L$2:L111,"&lt;&gt;"&amp;"")</f>
        <v>5</v>
      </c>
      <c r="Y111" s="27">
        <f t="shared" si="10"/>
        <v>0</v>
      </c>
      <c r="Z111" s="28"/>
      <c r="AA111" s="29"/>
      <c r="AB111" s="30" t="b">
        <f>TRUE()</f>
        <v>1</v>
      </c>
      <c r="AC111" s="31">
        <f t="shared" si="11"/>
        <v>0</v>
      </c>
      <c r="AD111" s="23"/>
      <c r="AE111" s="23"/>
    </row>
    <row r="112" spans="1:31" ht="15" customHeight="1">
      <c r="A112" s="20">
        <f t="shared" si="9"/>
        <v>0</v>
      </c>
      <c r="B112" s="23"/>
      <c r="C112" s="23"/>
      <c r="D112" s="23"/>
      <c r="E112" s="23"/>
      <c r="F112" s="23"/>
      <c r="G112" s="23"/>
      <c r="H112" s="23"/>
      <c r="I112" s="23"/>
      <c r="J112" s="23"/>
      <c r="K112" s="23"/>
      <c r="L112" s="33"/>
      <c r="M112" s="26"/>
      <c r="N112" s="26"/>
      <c r="O112" s="26"/>
      <c r="P112" s="26"/>
      <c r="Q112" s="26"/>
      <c r="R112" s="26"/>
      <c r="S112" s="26"/>
      <c r="T112" s="26"/>
      <c r="U112" s="26"/>
      <c r="V112" s="26"/>
      <c r="W112" s="26"/>
      <c r="X112" s="26">
        <f>COUNTIF($L$2:L112,"&lt;&gt;"&amp;"")</f>
        <v>5</v>
      </c>
      <c r="Y112" s="27">
        <f t="shared" si="10"/>
        <v>0</v>
      </c>
      <c r="Z112" s="28"/>
      <c r="AA112" s="29"/>
      <c r="AB112" s="30" t="b">
        <f>TRUE()</f>
        <v>1</v>
      </c>
      <c r="AC112" s="31">
        <f t="shared" si="11"/>
        <v>0</v>
      </c>
      <c r="AD112" s="23"/>
      <c r="AE112" s="23"/>
    </row>
    <row r="113" spans="1:31" ht="15" customHeight="1">
      <c r="A113" s="20">
        <f t="shared" si="9"/>
        <v>0</v>
      </c>
      <c r="B113" s="23"/>
      <c r="C113" s="23"/>
      <c r="D113" s="23"/>
      <c r="E113" s="23"/>
      <c r="F113" s="23"/>
      <c r="G113" s="23"/>
      <c r="H113" s="23"/>
      <c r="I113" s="23"/>
      <c r="J113" s="23"/>
      <c r="K113" s="23"/>
      <c r="L113" s="33"/>
      <c r="M113" s="26"/>
      <c r="N113" s="26"/>
      <c r="O113" s="26"/>
      <c r="P113" s="26"/>
      <c r="Q113" s="26"/>
      <c r="R113" s="26"/>
      <c r="S113" s="26"/>
      <c r="T113" s="26"/>
      <c r="U113" s="26"/>
      <c r="V113" s="26"/>
      <c r="W113" s="26"/>
      <c r="X113" s="26">
        <f>COUNTIF($L$2:L113,"&lt;&gt;"&amp;"")</f>
        <v>5</v>
      </c>
      <c r="Y113" s="27">
        <f t="shared" si="10"/>
        <v>0</v>
      </c>
      <c r="Z113" s="28"/>
      <c r="AA113" s="29"/>
      <c r="AB113" s="30" t="b">
        <f>TRUE()</f>
        <v>1</v>
      </c>
      <c r="AC113" s="31">
        <f t="shared" si="11"/>
        <v>0</v>
      </c>
      <c r="AD113" s="23"/>
      <c r="AE113" s="23"/>
    </row>
    <row r="114" spans="1:31" ht="15" customHeight="1">
      <c r="A114" s="20">
        <f t="shared" si="9"/>
        <v>0</v>
      </c>
      <c r="B114" s="23"/>
      <c r="C114" s="23"/>
      <c r="D114" s="23"/>
      <c r="E114" s="23"/>
      <c r="F114" s="23"/>
      <c r="G114" s="23"/>
      <c r="H114" s="23"/>
      <c r="I114" s="23"/>
      <c r="J114" s="23"/>
      <c r="K114" s="23"/>
      <c r="L114" s="33"/>
      <c r="M114" s="26"/>
      <c r="N114" s="26"/>
      <c r="O114" s="26"/>
      <c r="P114" s="26"/>
      <c r="Q114" s="26"/>
      <c r="R114" s="26"/>
      <c r="S114" s="26"/>
      <c r="T114" s="26"/>
      <c r="U114" s="26"/>
      <c r="V114" s="26"/>
      <c r="W114" s="26"/>
      <c r="X114" s="26">
        <f>COUNTIF($L$2:L114,"&lt;&gt;"&amp;"")</f>
        <v>5</v>
      </c>
      <c r="Y114" s="27">
        <f t="shared" si="10"/>
        <v>0</v>
      </c>
      <c r="Z114" s="28"/>
      <c r="AA114" s="29"/>
      <c r="AB114" s="30" t="b">
        <f>TRUE()</f>
        <v>1</v>
      </c>
      <c r="AC114" s="31">
        <f t="shared" si="11"/>
        <v>0</v>
      </c>
      <c r="AD114" s="23"/>
      <c r="AE114" s="23"/>
    </row>
    <row r="115" spans="1:31" ht="15" customHeight="1">
      <c r="A115" s="20">
        <f t="shared" si="9"/>
        <v>0</v>
      </c>
      <c r="B115" s="23"/>
      <c r="C115" s="23"/>
      <c r="D115" s="23"/>
      <c r="E115" s="23"/>
      <c r="F115" s="23"/>
      <c r="G115" s="23"/>
      <c r="H115" s="23"/>
      <c r="I115" s="23"/>
      <c r="J115" s="23"/>
      <c r="K115" s="23"/>
      <c r="L115" s="33"/>
      <c r="M115" s="26"/>
      <c r="N115" s="26"/>
      <c r="O115" s="26"/>
      <c r="P115" s="26"/>
      <c r="Q115" s="26"/>
      <c r="R115" s="26"/>
      <c r="S115" s="26"/>
      <c r="T115" s="26"/>
      <c r="U115" s="26"/>
      <c r="V115" s="26"/>
      <c r="W115" s="26"/>
      <c r="X115" s="26">
        <f>COUNTIF($L$2:L115,"&lt;&gt;"&amp;"")</f>
        <v>5</v>
      </c>
      <c r="Y115" s="27">
        <f t="shared" si="10"/>
        <v>0</v>
      </c>
      <c r="Z115" s="28"/>
      <c r="AA115" s="29"/>
      <c r="AB115" s="30" t="b">
        <f>TRUE()</f>
        <v>1</v>
      </c>
      <c r="AC115" s="31">
        <f t="shared" si="11"/>
        <v>0</v>
      </c>
      <c r="AD115" s="23"/>
      <c r="AE115" s="23"/>
    </row>
    <row r="116" spans="1:31" ht="15" customHeight="1">
      <c r="A116" s="20">
        <f t="shared" si="9"/>
        <v>0</v>
      </c>
      <c r="B116" s="23"/>
      <c r="C116" s="23"/>
      <c r="D116" s="23"/>
      <c r="E116" s="23"/>
      <c r="F116" s="23"/>
      <c r="G116" s="23"/>
      <c r="H116" s="23"/>
      <c r="I116" s="23"/>
      <c r="J116" s="23"/>
      <c r="K116" s="23"/>
      <c r="L116" s="33"/>
      <c r="M116" s="26"/>
      <c r="N116" s="26"/>
      <c r="O116" s="26"/>
      <c r="P116" s="26"/>
      <c r="Q116" s="26"/>
      <c r="R116" s="26"/>
      <c r="S116" s="26"/>
      <c r="T116" s="26"/>
      <c r="U116" s="26"/>
      <c r="V116" s="26"/>
      <c r="W116" s="26"/>
      <c r="X116" s="26">
        <f>COUNTIF($L$2:L116,"&lt;&gt;"&amp;"")</f>
        <v>5</v>
      </c>
      <c r="Y116" s="27">
        <f t="shared" si="10"/>
        <v>0</v>
      </c>
      <c r="Z116" s="28"/>
      <c r="AA116" s="29"/>
      <c r="AB116" s="30" t="b">
        <f>TRUE()</f>
        <v>1</v>
      </c>
      <c r="AC116" s="31">
        <f t="shared" si="11"/>
        <v>0</v>
      </c>
      <c r="AD116" s="23"/>
      <c r="AE116" s="23"/>
    </row>
    <row r="117" spans="1:31" ht="15" customHeight="1">
      <c r="A117" s="20">
        <f t="shared" si="9"/>
        <v>0</v>
      </c>
      <c r="B117" s="23"/>
      <c r="C117" s="23"/>
      <c r="D117" s="23"/>
      <c r="E117" s="23"/>
      <c r="F117" s="23"/>
      <c r="G117" s="23"/>
      <c r="H117" s="23"/>
      <c r="I117" s="23"/>
      <c r="J117" s="23"/>
      <c r="K117" s="23"/>
      <c r="L117" s="33"/>
      <c r="M117" s="26"/>
      <c r="N117" s="26"/>
      <c r="O117" s="26"/>
      <c r="P117" s="26"/>
      <c r="Q117" s="26"/>
      <c r="R117" s="26"/>
      <c r="S117" s="26"/>
      <c r="T117" s="26"/>
      <c r="U117" s="26"/>
      <c r="V117" s="26"/>
      <c r="W117" s="26"/>
      <c r="X117" s="26">
        <f>COUNTIF($L$2:L117,"&lt;&gt;"&amp;"")</f>
        <v>5</v>
      </c>
      <c r="Y117" s="27">
        <f t="shared" si="10"/>
        <v>0</v>
      </c>
      <c r="Z117" s="28"/>
      <c r="AA117" s="29"/>
      <c r="AB117" s="30" t="b">
        <f>TRUE()</f>
        <v>1</v>
      </c>
      <c r="AC117" s="31">
        <f t="shared" si="11"/>
        <v>0</v>
      </c>
      <c r="AD117" s="23"/>
      <c r="AE117" s="23"/>
    </row>
    <row r="118" spans="1:31" ht="15" customHeight="1">
      <c r="A118" s="20">
        <f t="shared" si="9"/>
        <v>0</v>
      </c>
      <c r="B118" s="23"/>
      <c r="C118" s="23"/>
      <c r="D118" s="23"/>
      <c r="E118" s="23"/>
      <c r="F118" s="23"/>
      <c r="G118" s="23"/>
      <c r="H118" s="23"/>
      <c r="I118" s="23"/>
      <c r="J118" s="23"/>
      <c r="K118" s="23"/>
      <c r="L118" s="33"/>
      <c r="M118" s="26"/>
      <c r="N118" s="26"/>
      <c r="O118" s="26"/>
      <c r="P118" s="26"/>
      <c r="Q118" s="26"/>
      <c r="R118" s="26"/>
      <c r="S118" s="26"/>
      <c r="T118" s="26"/>
      <c r="U118" s="26"/>
      <c r="V118" s="26"/>
      <c r="W118" s="26"/>
      <c r="X118" s="26">
        <f>COUNTIF($L$2:L118,"&lt;&gt;"&amp;"")</f>
        <v>5</v>
      </c>
      <c r="Y118" s="27">
        <f t="shared" si="10"/>
        <v>0</v>
      </c>
      <c r="Z118" s="28"/>
      <c r="AA118" s="29"/>
      <c r="AB118" s="30" t="b">
        <f>TRUE()</f>
        <v>1</v>
      </c>
      <c r="AC118" s="31">
        <f t="shared" si="11"/>
        <v>0</v>
      </c>
      <c r="AD118" s="23"/>
      <c r="AE118" s="23"/>
    </row>
    <row r="119" spans="1:31" ht="15" customHeight="1">
      <c r="A119" s="20">
        <f t="shared" si="9"/>
        <v>0</v>
      </c>
      <c r="B119" s="23"/>
      <c r="C119" s="23"/>
      <c r="D119" s="23"/>
      <c r="E119" s="23"/>
      <c r="F119" s="23"/>
      <c r="G119" s="23"/>
      <c r="H119" s="23"/>
      <c r="I119" s="23"/>
      <c r="J119" s="23"/>
      <c r="K119" s="23"/>
      <c r="L119" s="33"/>
      <c r="M119" s="26"/>
      <c r="N119" s="26"/>
      <c r="O119" s="26"/>
      <c r="P119" s="26"/>
      <c r="Q119" s="26"/>
      <c r="R119" s="26"/>
      <c r="S119" s="26"/>
      <c r="T119" s="26"/>
      <c r="U119" s="26"/>
      <c r="V119" s="26"/>
      <c r="W119" s="26"/>
      <c r="X119" s="26">
        <f>COUNTIF($L$2:L119,"&lt;&gt;"&amp;"")</f>
        <v>5</v>
      </c>
      <c r="Y119" s="27">
        <f t="shared" si="10"/>
        <v>0</v>
      </c>
      <c r="Z119" s="28"/>
      <c r="AA119" s="29"/>
      <c r="AB119" s="30" t="b">
        <f>TRUE()</f>
        <v>1</v>
      </c>
      <c r="AC119" s="31">
        <f t="shared" si="11"/>
        <v>0</v>
      </c>
      <c r="AD119" s="23"/>
      <c r="AE119" s="23"/>
    </row>
    <row r="120" spans="1:31" ht="12.75" customHeight="1">
      <c r="A120" s="43"/>
      <c r="B120" s="43"/>
      <c r="C120" s="43"/>
      <c r="D120" s="43"/>
      <c r="E120" s="43"/>
      <c r="F120" s="43"/>
      <c r="G120" s="43"/>
      <c r="H120" s="43"/>
      <c r="I120" s="43"/>
      <c r="J120" s="43"/>
      <c r="K120" s="43"/>
      <c r="L120" s="44"/>
      <c r="M120" s="44"/>
      <c r="N120" s="45"/>
      <c r="O120" s="45" t="s">
        <v>43</v>
      </c>
      <c r="P120" s="44"/>
      <c r="Q120" s="44"/>
      <c r="R120" s="44"/>
      <c r="S120" s="44"/>
      <c r="T120" s="44"/>
      <c r="U120" s="44"/>
      <c r="V120" s="44"/>
      <c r="W120" s="44"/>
      <c r="X120" s="44"/>
      <c r="Y120" s="44"/>
      <c r="Z120" s="44"/>
      <c r="AA120" s="44"/>
      <c r="AB120" s="44"/>
      <c r="AC120" s="44"/>
      <c r="AD120" s="23"/>
      <c r="AE120" s="23"/>
    </row>
    <row r="121" spans="1:31" ht="15" customHeight="1">
      <c r="A121" s="46">
        <f>ROW()</f>
        <v>121</v>
      </c>
      <c r="B121" s="23">
        <f t="shared" ref="B121:K121" si="12">SUM(B2:B120)</f>
        <v>0</v>
      </c>
      <c r="C121" s="23">
        <f t="shared" si="12"/>
        <v>0</v>
      </c>
      <c r="D121" s="23">
        <f t="shared" si="12"/>
        <v>0</v>
      </c>
      <c r="E121" s="23">
        <f t="shared" si="12"/>
        <v>0</v>
      </c>
      <c r="F121" s="23">
        <f t="shared" si="12"/>
        <v>0</v>
      </c>
      <c r="G121" s="23">
        <f t="shared" si="12"/>
        <v>0</v>
      </c>
      <c r="H121" s="23">
        <f t="shared" si="12"/>
        <v>0</v>
      </c>
      <c r="I121" s="23">
        <f t="shared" si="12"/>
        <v>0</v>
      </c>
      <c r="J121" s="23">
        <f t="shared" si="12"/>
        <v>0</v>
      </c>
      <c r="K121" s="23">
        <f t="shared" si="12"/>
        <v>0</v>
      </c>
      <c r="L121" s="33"/>
      <c r="M121" s="26"/>
      <c r="N121" s="26"/>
      <c r="O121" s="26"/>
      <c r="P121" s="23"/>
      <c r="Q121" s="23"/>
      <c r="R121" s="23"/>
      <c r="S121" s="23"/>
      <c r="T121" s="23"/>
      <c r="U121" s="23"/>
      <c r="V121" s="23"/>
      <c r="W121" s="23"/>
      <c r="X121" s="23"/>
      <c r="Y121" s="23"/>
      <c r="Z121" s="23"/>
      <c r="AA121" s="23"/>
      <c r="AB121" s="23"/>
      <c r="AC121" s="47"/>
      <c r="AD121" s="23"/>
      <c r="AE121" s="23"/>
    </row>
    <row r="122" spans="1:31" ht="12.75" customHeight="1">
      <c r="A122" s="23"/>
      <c r="B122" s="23"/>
      <c r="C122" s="48"/>
      <c r="D122" s="48"/>
      <c r="E122" s="48"/>
      <c r="F122" s="48"/>
      <c r="G122" s="48"/>
      <c r="H122" s="48"/>
      <c r="I122" s="9" t="s">
        <v>44</v>
      </c>
      <c r="J122" s="9"/>
      <c r="K122" s="9"/>
      <c r="L122" s="9"/>
      <c r="M122" s="8">
        <f>400000+120000</f>
        <v>520000</v>
      </c>
      <c r="N122" s="8"/>
      <c r="O122" s="8"/>
      <c r="P122" s="23"/>
      <c r="Q122" s="23"/>
      <c r="R122" s="23"/>
      <c r="S122" s="48"/>
      <c r="T122" s="48"/>
      <c r="U122" s="48"/>
      <c r="V122" s="23"/>
      <c r="W122" s="23"/>
      <c r="X122" s="23"/>
      <c r="Y122" s="23"/>
      <c r="Z122" s="23"/>
      <c r="AA122" s="23"/>
      <c r="AB122" s="23"/>
      <c r="AC122" s="47"/>
      <c r="AD122" s="23"/>
      <c r="AE122" s="23"/>
    </row>
    <row r="123" spans="1:31" ht="15" customHeight="1">
      <c r="A123" s="23"/>
      <c r="B123" s="23"/>
      <c r="C123" s="48"/>
      <c r="D123" s="49" t="s">
        <v>45</v>
      </c>
      <c r="E123" s="50">
        <v>1750905</v>
      </c>
      <c r="F123" s="51" t="s">
        <v>46</v>
      </c>
      <c r="G123" s="52">
        <v>249095</v>
      </c>
      <c r="H123" s="48"/>
      <c r="I123" s="53" t="s">
        <v>47</v>
      </c>
      <c r="J123" s="54">
        <v>0.18</v>
      </c>
      <c r="K123" s="54"/>
      <c r="L123" s="55" t="s">
        <v>48</v>
      </c>
      <c r="M123" s="56">
        <f>2.7/12</f>
        <v>0.22500000000000001</v>
      </c>
      <c r="N123" s="57" t="s">
        <v>49</v>
      </c>
      <c r="O123" s="58">
        <f>40*4.2*((244-2)/260)</f>
        <v>156.36923076923077</v>
      </c>
      <c r="P123" s="48"/>
      <c r="Q123" s="53" t="s">
        <v>50</v>
      </c>
      <c r="R123" s="59">
        <v>0.4</v>
      </c>
      <c r="S123" s="48"/>
      <c r="T123" s="60">
        <v>8</v>
      </c>
      <c r="U123" s="61" t="s">
        <v>51</v>
      </c>
      <c r="V123" s="62"/>
      <c r="W123" s="23"/>
      <c r="X123" s="23"/>
      <c r="Y123" s="23"/>
      <c r="Z123" s="23"/>
      <c r="AA123" s="23"/>
      <c r="AB123" s="23"/>
      <c r="AC123" s="47"/>
      <c r="AD123" s="23"/>
      <c r="AE123" s="23"/>
    </row>
    <row r="124" spans="1:31" ht="12.75" customHeight="1">
      <c r="A124" s="23"/>
      <c r="B124" s="23"/>
      <c r="C124" s="7" t="s">
        <v>52</v>
      </c>
      <c r="D124" s="7"/>
      <c r="E124" s="7"/>
      <c r="F124" s="7" t="s">
        <v>53</v>
      </c>
      <c r="G124" s="7"/>
      <c r="H124" s="7"/>
      <c r="I124" s="7" t="s">
        <v>54</v>
      </c>
      <c r="J124" s="7"/>
      <c r="K124" s="7"/>
      <c r="L124" s="7"/>
      <c r="M124" s="7" t="s">
        <v>55</v>
      </c>
      <c r="N124" s="7"/>
      <c r="O124" s="7"/>
      <c r="P124" s="7" t="s">
        <v>56</v>
      </c>
      <c r="Q124" s="7"/>
      <c r="R124" s="7"/>
      <c r="S124" s="48"/>
      <c r="T124" s="48"/>
      <c r="U124" s="63" t="s">
        <v>49</v>
      </c>
      <c r="V124" s="7" t="s">
        <v>57</v>
      </c>
      <c r="W124" s="7"/>
      <c r="X124" s="7"/>
      <c r="Y124" s="23"/>
      <c r="Z124" s="23"/>
      <c r="AA124" s="23"/>
      <c r="AB124" s="23"/>
      <c r="AC124" s="47"/>
      <c r="AD124" s="23"/>
      <c r="AE124" s="23"/>
    </row>
    <row r="125" spans="1:31" ht="12.75" customHeight="1">
      <c r="A125" s="35" t="s">
        <v>58</v>
      </c>
      <c r="B125" s="63" t="str">
        <f>B1</f>
        <v>DB</v>
      </c>
      <c r="C125" s="6">
        <v>6480000</v>
      </c>
      <c r="D125" s="6"/>
      <c r="E125" s="6"/>
      <c r="F125" s="6">
        <v>1080000</v>
      </c>
      <c r="G125" s="6"/>
      <c r="H125" s="6"/>
      <c r="I125" s="6">
        <v>0</v>
      </c>
      <c r="J125" s="6"/>
      <c r="K125" s="6"/>
      <c r="L125" s="6"/>
      <c r="M125" s="6">
        <f t="shared" ref="M125:M134" si="13">C125*(1+$J$123+$M$123)+F125+I125+$M$122+IF(($E$123*2)&gt;=C125,$G$123,0)</f>
        <v>10704400</v>
      </c>
      <c r="N125" s="6"/>
      <c r="O125" s="6"/>
      <c r="P125" s="5">
        <f t="shared" ref="P125:P134" si="14">M125/$O$123*(1+$R$123)</f>
        <v>95838.292011019294</v>
      </c>
      <c r="Q125" s="5"/>
      <c r="R125" s="5"/>
      <c r="S125" s="48"/>
      <c r="T125" s="48"/>
      <c r="U125" s="23">
        <f t="shared" ref="U125:U134" si="15">HLOOKUP(B125,$B$1:$K$121,$A$121,0)*$T$123</f>
        <v>0</v>
      </c>
      <c r="W125" s="64">
        <f t="shared" ref="W125:W134" si="16">P125*U125</f>
        <v>0</v>
      </c>
      <c r="Y125" s="23"/>
      <c r="Z125" s="23"/>
      <c r="AA125" s="23"/>
      <c r="AB125" s="23"/>
      <c r="AC125" s="47"/>
      <c r="AD125" s="23"/>
      <c r="AE125" s="23"/>
    </row>
    <row r="126" spans="1:31" ht="12.75" customHeight="1">
      <c r="A126" s="35" t="s">
        <v>59</v>
      </c>
      <c r="B126" s="63" t="str">
        <f>C1</f>
        <v>UX</v>
      </c>
      <c r="C126" s="6">
        <v>3240000</v>
      </c>
      <c r="D126" s="6"/>
      <c r="E126" s="6"/>
      <c r="F126" s="6">
        <v>540000</v>
      </c>
      <c r="G126" s="6"/>
      <c r="H126" s="6"/>
      <c r="I126" s="6">
        <v>0</v>
      </c>
      <c r="J126" s="6"/>
      <c r="K126" s="6"/>
      <c r="L126" s="6"/>
      <c r="M126" s="6">
        <f t="shared" si="13"/>
        <v>5861295</v>
      </c>
      <c r="N126" s="6"/>
      <c r="O126" s="6"/>
      <c r="P126" s="5">
        <f t="shared" si="14"/>
        <v>52477.159090909088</v>
      </c>
      <c r="Q126" s="5"/>
      <c r="R126" s="5"/>
      <c r="S126" s="48"/>
      <c r="T126" s="48"/>
      <c r="U126" s="23">
        <f t="shared" si="15"/>
        <v>0</v>
      </c>
      <c r="W126" s="64">
        <f t="shared" si="16"/>
        <v>0</v>
      </c>
      <c r="Y126" s="23"/>
      <c r="Z126" s="23"/>
      <c r="AA126" s="23"/>
      <c r="AB126" s="23"/>
      <c r="AC126" s="47"/>
      <c r="AD126" s="23"/>
      <c r="AE126" s="23"/>
    </row>
    <row r="127" spans="1:31" ht="12.75" customHeight="1">
      <c r="A127" s="35" t="s">
        <v>60</v>
      </c>
      <c r="B127" s="63" t="str">
        <f>D1</f>
        <v>FM</v>
      </c>
      <c r="C127" s="6">
        <v>3240000</v>
      </c>
      <c r="D127" s="6"/>
      <c r="E127" s="6"/>
      <c r="F127" s="6">
        <v>540000</v>
      </c>
      <c r="G127" s="6"/>
      <c r="H127" s="6"/>
      <c r="I127" s="6">
        <v>0</v>
      </c>
      <c r="J127" s="6"/>
      <c r="K127" s="6"/>
      <c r="L127" s="6"/>
      <c r="M127" s="6">
        <f t="shared" si="13"/>
        <v>5861295</v>
      </c>
      <c r="N127" s="6"/>
      <c r="O127" s="6"/>
      <c r="P127" s="5">
        <f t="shared" si="14"/>
        <v>52477.159090909088</v>
      </c>
      <c r="Q127" s="5"/>
      <c r="R127" s="5"/>
      <c r="S127" s="48"/>
      <c r="T127" s="48"/>
      <c r="U127" s="23">
        <f t="shared" si="15"/>
        <v>0</v>
      </c>
      <c r="W127" s="64">
        <f t="shared" si="16"/>
        <v>0</v>
      </c>
      <c r="Y127" s="23"/>
      <c r="Z127" s="23"/>
      <c r="AA127" s="23"/>
      <c r="AB127" s="23"/>
      <c r="AC127" s="47"/>
      <c r="AD127" s="23"/>
      <c r="AE127" s="23"/>
    </row>
    <row r="128" spans="1:31" ht="12.75" customHeight="1">
      <c r="A128" s="35" t="s">
        <v>61</v>
      </c>
      <c r="B128" s="63" t="str">
        <f>E1</f>
        <v>BS</v>
      </c>
      <c r="C128" s="6">
        <v>4320000</v>
      </c>
      <c r="D128" s="6"/>
      <c r="E128" s="6"/>
      <c r="F128" s="6">
        <v>1620000</v>
      </c>
      <c r="G128" s="6"/>
      <c r="H128" s="6"/>
      <c r="I128" s="6">
        <v>0</v>
      </c>
      <c r="J128" s="6"/>
      <c r="K128" s="6"/>
      <c r="L128" s="6"/>
      <c r="M128" s="6">
        <f t="shared" si="13"/>
        <v>8209600</v>
      </c>
      <c r="N128" s="6"/>
      <c r="O128" s="6"/>
      <c r="P128" s="5">
        <f t="shared" si="14"/>
        <v>73501.928374655647</v>
      </c>
      <c r="Q128" s="5"/>
      <c r="R128" s="5"/>
      <c r="S128" s="48"/>
      <c r="T128" s="48"/>
      <c r="U128" s="23">
        <f t="shared" si="15"/>
        <v>0</v>
      </c>
      <c r="W128" s="64">
        <f t="shared" si="16"/>
        <v>0</v>
      </c>
      <c r="Y128" s="23"/>
      <c r="Z128" s="23"/>
      <c r="AA128" s="23"/>
      <c r="AB128" s="23"/>
      <c r="AC128" s="47"/>
      <c r="AD128" s="23"/>
      <c r="AE128" s="23"/>
    </row>
    <row r="129" spans="1:31" ht="12.75" customHeight="1">
      <c r="A129" s="35" t="s">
        <v>62</v>
      </c>
      <c r="B129" s="63" t="str">
        <f>F1</f>
        <v>BM</v>
      </c>
      <c r="C129" s="6">
        <v>3780000</v>
      </c>
      <c r="D129" s="6"/>
      <c r="E129" s="6"/>
      <c r="F129" s="6">
        <v>1080000</v>
      </c>
      <c r="G129" s="6"/>
      <c r="H129" s="6"/>
      <c r="I129" s="6">
        <v>0</v>
      </c>
      <c r="J129" s="6"/>
      <c r="K129" s="6"/>
      <c r="L129" s="6"/>
      <c r="M129" s="6">
        <f t="shared" si="13"/>
        <v>6910900</v>
      </c>
      <c r="N129" s="6"/>
      <c r="O129" s="6"/>
      <c r="P129" s="5">
        <f t="shared" si="14"/>
        <v>61874.449035812671</v>
      </c>
      <c r="Q129" s="5"/>
      <c r="R129" s="5"/>
      <c r="S129" s="48"/>
      <c r="T129" s="48"/>
      <c r="U129" s="23">
        <f t="shared" si="15"/>
        <v>0</v>
      </c>
      <c r="W129" s="64">
        <f t="shared" si="16"/>
        <v>0</v>
      </c>
      <c r="Y129" s="23"/>
      <c r="Z129" s="23"/>
      <c r="AA129" s="23"/>
      <c r="AB129" s="23"/>
      <c r="AC129" s="47"/>
      <c r="AD129" s="23"/>
      <c r="AE129" s="23"/>
    </row>
    <row r="130" spans="1:31" ht="12.75" customHeight="1">
      <c r="A130" s="35" t="s">
        <v>63</v>
      </c>
      <c r="B130" s="63" t="str">
        <f>G1</f>
        <v>QA</v>
      </c>
      <c r="C130" s="6">
        <v>2700000</v>
      </c>
      <c r="D130" s="6"/>
      <c r="E130" s="6"/>
      <c r="F130" s="6">
        <v>1080000</v>
      </c>
      <c r="G130" s="6"/>
      <c r="H130" s="6"/>
      <c r="I130" s="6">
        <v>54000</v>
      </c>
      <c r="J130" s="6"/>
      <c r="K130" s="6"/>
      <c r="L130" s="6"/>
      <c r="M130" s="6">
        <f t="shared" si="13"/>
        <v>5696595</v>
      </c>
      <c r="N130" s="6"/>
      <c r="O130" s="6"/>
      <c r="P130" s="5">
        <f t="shared" si="14"/>
        <v>51002.572314049583</v>
      </c>
      <c r="Q130" s="5"/>
      <c r="R130" s="5"/>
      <c r="S130" s="48"/>
      <c r="T130" s="48"/>
      <c r="U130" s="23">
        <f t="shared" si="15"/>
        <v>0</v>
      </c>
      <c r="W130" s="64">
        <f t="shared" si="16"/>
        <v>0</v>
      </c>
      <c r="Y130" s="23"/>
      <c r="Z130" s="23"/>
      <c r="AA130" s="23"/>
      <c r="AB130" s="23"/>
      <c r="AC130" s="47"/>
      <c r="AD130" s="23"/>
      <c r="AE130" s="23"/>
    </row>
    <row r="131" spans="1:31" ht="12.75" customHeight="1">
      <c r="A131" s="35" t="s">
        <v>64</v>
      </c>
      <c r="B131" s="63" t="str">
        <f>H1</f>
        <v>IM</v>
      </c>
      <c r="C131" s="6">
        <v>2700000</v>
      </c>
      <c r="D131" s="6"/>
      <c r="E131" s="6"/>
      <c r="F131" s="6">
        <v>1080000</v>
      </c>
      <c r="G131" s="6"/>
      <c r="H131" s="6"/>
      <c r="I131" s="6">
        <v>0</v>
      </c>
      <c r="J131" s="6"/>
      <c r="K131" s="6"/>
      <c r="L131" s="6"/>
      <c r="M131" s="6">
        <f t="shared" si="13"/>
        <v>5642595</v>
      </c>
      <c r="N131" s="6"/>
      <c r="O131" s="6"/>
      <c r="P131" s="5">
        <f t="shared" si="14"/>
        <v>50519.10123966942</v>
      </c>
      <c r="Q131" s="5"/>
      <c r="R131" s="5"/>
      <c r="S131" s="48"/>
      <c r="T131" s="48"/>
      <c r="U131" s="23">
        <f t="shared" si="15"/>
        <v>0</v>
      </c>
      <c r="W131" s="64">
        <f t="shared" si="16"/>
        <v>0</v>
      </c>
      <c r="Y131" s="23"/>
      <c r="Z131" s="23"/>
      <c r="AA131" s="23"/>
      <c r="AB131" s="23"/>
      <c r="AC131" s="47"/>
      <c r="AD131" s="23"/>
      <c r="AE131" s="23"/>
    </row>
    <row r="132" spans="1:31" ht="12.75" customHeight="1">
      <c r="A132" s="35" t="s">
        <v>65</v>
      </c>
      <c r="B132" s="63" t="str">
        <f>I1</f>
        <v>MS</v>
      </c>
      <c r="C132" s="6">
        <v>8100000</v>
      </c>
      <c r="D132" s="6"/>
      <c r="E132" s="6"/>
      <c r="F132" s="6">
        <v>2160000</v>
      </c>
      <c r="G132" s="6"/>
      <c r="H132" s="6"/>
      <c r="I132" s="6">
        <v>132000</v>
      </c>
      <c r="J132" s="6"/>
      <c r="K132" s="6"/>
      <c r="L132" s="6"/>
      <c r="M132" s="6">
        <f t="shared" si="13"/>
        <v>14192500</v>
      </c>
      <c r="N132" s="6"/>
      <c r="O132" s="6"/>
      <c r="P132" s="5">
        <f t="shared" si="14"/>
        <v>127067.83746556473</v>
      </c>
      <c r="Q132" s="5"/>
      <c r="R132" s="5"/>
      <c r="S132" s="48"/>
      <c r="T132" s="48"/>
      <c r="U132" s="23">
        <f t="shared" si="15"/>
        <v>0</v>
      </c>
      <c r="W132" s="64">
        <f t="shared" si="16"/>
        <v>0</v>
      </c>
      <c r="Y132" s="23"/>
      <c r="Z132" s="23"/>
      <c r="AA132" s="23"/>
      <c r="AB132" s="23"/>
      <c r="AC132" s="47"/>
      <c r="AD132" s="23"/>
      <c r="AE132" s="23"/>
    </row>
    <row r="133" spans="1:31" ht="12.75" customHeight="1">
      <c r="A133" s="35" t="s">
        <v>66</v>
      </c>
      <c r="B133" s="63" t="str">
        <f>J1</f>
        <v>MM</v>
      </c>
      <c r="C133" s="6">
        <v>3240000</v>
      </c>
      <c r="D133" s="6"/>
      <c r="E133" s="6"/>
      <c r="F133" s="6">
        <v>1080000</v>
      </c>
      <c r="G133" s="6"/>
      <c r="H133" s="6"/>
      <c r="I133" s="6">
        <v>132000</v>
      </c>
      <c r="J133" s="6"/>
      <c r="K133" s="6"/>
      <c r="L133" s="6"/>
      <c r="M133" s="6">
        <f t="shared" si="13"/>
        <v>6533295</v>
      </c>
      <c r="N133" s="6"/>
      <c r="O133" s="6"/>
      <c r="P133" s="5">
        <f t="shared" si="14"/>
        <v>58493.688016528926</v>
      </c>
      <c r="Q133" s="5"/>
      <c r="R133" s="5"/>
      <c r="S133" s="48"/>
      <c r="T133" s="48"/>
      <c r="U133" s="23">
        <f t="shared" si="15"/>
        <v>0</v>
      </c>
      <c r="W133" s="64">
        <f t="shared" si="16"/>
        <v>0</v>
      </c>
      <c r="Y133" s="23"/>
      <c r="Z133" s="23"/>
      <c r="AA133" s="23"/>
      <c r="AB133" s="23"/>
      <c r="AC133" s="47"/>
      <c r="AD133" s="23"/>
      <c r="AE133" s="23"/>
    </row>
    <row r="134" spans="1:31" ht="12.75" customHeight="1">
      <c r="A134" s="35" t="s">
        <v>67</v>
      </c>
      <c r="B134" s="63" t="s">
        <v>10</v>
      </c>
      <c r="C134" s="6">
        <v>3240000</v>
      </c>
      <c r="D134" s="6"/>
      <c r="E134" s="6"/>
      <c r="F134" s="6">
        <v>1080000</v>
      </c>
      <c r="G134" s="6"/>
      <c r="H134" s="6"/>
      <c r="I134" s="6"/>
      <c r="J134" s="6"/>
      <c r="K134" s="6"/>
      <c r="L134" s="6"/>
      <c r="M134" s="6">
        <f t="shared" si="13"/>
        <v>6401295</v>
      </c>
      <c r="N134" s="6"/>
      <c r="O134" s="6"/>
      <c r="P134" s="5">
        <f t="shared" si="14"/>
        <v>57311.869834710742</v>
      </c>
      <c r="Q134" s="5"/>
      <c r="R134" s="5"/>
      <c r="S134" s="48"/>
      <c r="T134" s="48"/>
      <c r="U134" s="23">
        <f t="shared" si="15"/>
        <v>0</v>
      </c>
      <c r="W134" s="64">
        <f t="shared" si="16"/>
        <v>0</v>
      </c>
      <c r="Y134" s="23"/>
      <c r="Z134" s="23"/>
      <c r="AA134" s="23"/>
      <c r="AB134" s="23"/>
      <c r="AC134" s="47"/>
      <c r="AD134" s="23"/>
      <c r="AE134" s="23"/>
    </row>
    <row r="135" spans="1:31" ht="12.75" customHeight="1">
      <c r="A135" s="35"/>
      <c r="B135" s="63"/>
      <c r="C135" s="48"/>
      <c r="D135" s="48"/>
      <c r="E135" s="48"/>
      <c r="F135" s="48"/>
      <c r="G135" s="48"/>
      <c r="H135" s="48"/>
      <c r="I135" s="23"/>
      <c r="J135" s="23"/>
      <c r="K135" s="23"/>
      <c r="L135" s="23"/>
      <c r="M135" s="23"/>
      <c r="N135" s="23"/>
      <c r="O135" s="23"/>
      <c r="P135" s="4">
        <f>SUM(P125:P134)</f>
        <v>680564.0564738292</v>
      </c>
      <c r="Q135" s="4"/>
      <c r="R135" s="4"/>
      <c r="S135" s="48"/>
      <c r="T135" s="48"/>
      <c r="U135" s="48"/>
      <c r="W135" s="65">
        <f>SUM(W125:W134)</f>
        <v>0</v>
      </c>
      <c r="Y135" s="23"/>
      <c r="Z135" s="23"/>
      <c r="AA135" s="23"/>
      <c r="AB135" s="23"/>
      <c r="AC135" s="47"/>
      <c r="AD135" s="23"/>
      <c r="AE135" s="23"/>
    </row>
    <row r="136" spans="1:31" ht="12.75" customHeight="1">
      <c r="A136" s="23"/>
      <c r="B136" s="23"/>
      <c r="C136" s="66"/>
      <c r="D136" s="66"/>
      <c r="E136" s="23"/>
      <c r="F136" s="23"/>
      <c r="G136" s="23"/>
      <c r="H136" s="48"/>
      <c r="I136" s="23"/>
      <c r="J136" s="23"/>
      <c r="K136" s="23"/>
      <c r="L136" s="48"/>
      <c r="M136" s="23"/>
      <c r="N136" s="23"/>
      <c r="O136" s="23"/>
      <c r="P136" s="23"/>
      <c r="Q136" s="23"/>
      <c r="R136" s="23"/>
      <c r="S136" s="23"/>
      <c r="T136" s="23"/>
      <c r="U136" s="23"/>
      <c r="V136" s="23"/>
      <c r="W136" s="23"/>
      <c r="X136" s="23"/>
      <c r="Y136" s="23"/>
      <c r="Z136" s="23"/>
      <c r="AA136" s="23"/>
      <c r="AB136" s="23"/>
      <c r="AC136" s="47"/>
      <c r="AD136" s="23"/>
      <c r="AE136" s="23"/>
    </row>
    <row r="137" spans="1:31" ht="12.75" customHeigh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47"/>
      <c r="AD137" s="23"/>
      <c r="AE137" s="23"/>
    </row>
    <row r="138" spans="1:31" ht="12.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8"/>
      <c r="AD138" s="67"/>
      <c r="AE138" s="67"/>
    </row>
    <row r="139" spans="1:31" ht="15" customHeight="1">
      <c r="A139" s="67"/>
      <c r="B139" s="67"/>
      <c r="C139" s="3"/>
      <c r="D139" s="3"/>
      <c r="E139" s="3"/>
      <c r="F139" s="3"/>
      <c r="G139" s="2"/>
      <c r="H139" s="2"/>
      <c r="I139" s="2"/>
      <c r="J139" s="2"/>
      <c r="K139" s="69"/>
      <c r="L139" s="1"/>
      <c r="M139" s="1"/>
      <c r="N139" s="1"/>
      <c r="O139" s="1"/>
      <c r="P139" s="2"/>
      <c r="Q139" s="2"/>
      <c r="R139" s="2"/>
      <c r="S139" s="2"/>
      <c r="T139" s="1"/>
      <c r="U139" s="1"/>
      <c r="V139" s="1"/>
      <c r="W139" s="1"/>
      <c r="X139" s="2"/>
      <c r="Y139" s="2"/>
      <c r="Z139" s="2"/>
      <c r="AA139" s="1"/>
      <c r="AB139" s="1"/>
      <c r="AC139" s="1"/>
      <c r="AD139" s="70"/>
      <c r="AE139" s="67"/>
    </row>
    <row r="140" spans="1:31" ht="12.75" customHeight="1">
      <c r="A140" s="71" t="e">
        <f t="array" aca="1" ref="A140:A144" ca="1">unique(L1:L120)</f>
        <v>#NAME?</v>
      </c>
      <c r="B140" s="72"/>
      <c r="C140" s="73"/>
      <c r="D140" s="73"/>
      <c r="E140" s="73"/>
      <c r="F140" s="74"/>
      <c r="G140" s="75" t="s">
        <v>68</v>
      </c>
      <c r="H140" s="75" t="s">
        <v>69</v>
      </c>
      <c r="I140" s="75" t="s">
        <v>70</v>
      </c>
      <c r="J140" s="75" t="s">
        <v>71</v>
      </c>
      <c r="K140" s="75" t="s">
        <v>72</v>
      </c>
      <c r="L140" s="76" t="s">
        <v>73</v>
      </c>
      <c r="M140" s="76" t="s">
        <v>74</v>
      </c>
      <c r="N140" s="76" t="s">
        <v>75</v>
      </c>
      <c r="O140" s="76" t="s">
        <v>76</v>
      </c>
      <c r="P140" s="75" t="s">
        <v>77</v>
      </c>
      <c r="Q140" s="75"/>
      <c r="R140" s="75"/>
      <c r="S140" s="75"/>
      <c r="T140" s="76"/>
      <c r="U140" s="76"/>
      <c r="V140" s="76"/>
      <c r="W140" s="76"/>
      <c r="X140" s="75"/>
      <c r="Y140" s="75"/>
      <c r="Z140" s="75"/>
      <c r="AA140" s="76"/>
      <c r="AB140" s="76"/>
      <c r="AC140" s="77"/>
      <c r="AD140" s="76"/>
      <c r="AE140" s="67"/>
    </row>
    <row r="141" spans="1:31" ht="12.75" customHeight="1">
      <c r="A141" s="78" t="e">
        <f ca="1"/>
        <v>#NAME?</v>
      </c>
      <c r="B141" s="79"/>
      <c r="C141" s="79"/>
      <c r="D141" s="79" t="s">
        <v>78</v>
      </c>
      <c r="E141" s="79"/>
      <c r="F141" s="80"/>
      <c r="G141" s="81"/>
      <c r="H141" s="81"/>
      <c r="I141" s="81"/>
      <c r="J141" s="81"/>
      <c r="K141" s="81"/>
      <c r="L141" s="82"/>
      <c r="M141" s="82"/>
      <c r="N141" s="82"/>
      <c r="O141" s="82"/>
      <c r="P141" s="81"/>
      <c r="Q141" s="81"/>
      <c r="R141" s="81"/>
      <c r="S141" s="81"/>
      <c r="T141" s="82"/>
      <c r="U141" s="82"/>
      <c r="V141" s="82"/>
      <c r="W141" s="82"/>
      <c r="X141" s="81"/>
      <c r="Y141" s="81"/>
      <c r="Z141" s="81"/>
      <c r="AA141" s="82"/>
      <c r="AB141" s="82"/>
      <c r="AC141" s="83"/>
      <c r="AD141" s="82"/>
      <c r="AE141" s="67"/>
    </row>
    <row r="142" spans="1:31" ht="12.75" customHeight="1">
      <c r="A142" s="78" t="e">
        <f ca="1"/>
        <v>#NAME?</v>
      </c>
      <c r="B142" s="79"/>
      <c r="C142" s="79"/>
      <c r="D142" s="79"/>
      <c r="E142" s="79"/>
      <c r="F142" s="80"/>
      <c r="G142" s="81"/>
      <c r="H142" s="81"/>
      <c r="I142" s="81"/>
      <c r="J142" s="81"/>
      <c r="K142" s="81"/>
      <c r="L142" s="82"/>
      <c r="M142" s="82"/>
      <c r="N142" s="82"/>
      <c r="O142" s="82"/>
      <c r="P142" s="81"/>
      <c r="Q142" s="81"/>
      <c r="R142" s="81"/>
      <c r="S142" s="81"/>
      <c r="T142" s="82"/>
      <c r="U142" s="82"/>
      <c r="V142" s="82"/>
      <c r="W142" s="82"/>
      <c r="X142" s="81"/>
      <c r="Y142" s="81"/>
      <c r="Z142" s="81"/>
      <c r="AA142" s="82"/>
      <c r="AB142" s="82"/>
      <c r="AC142" s="83"/>
      <c r="AD142" s="82"/>
      <c r="AE142" s="67"/>
    </row>
    <row r="143" spans="1:31" ht="12.75" customHeight="1">
      <c r="A143" s="78" t="e">
        <f ca="1"/>
        <v>#NAME?</v>
      </c>
      <c r="B143" s="79"/>
      <c r="C143" s="79"/>
      <c r="D143" s="79"/>
      <c r="E143" s="79"/>
      <c r="F143" s="80"/>
      <c r="G143" s="81"/>
      <c r="H143" s="81"/>
      <c r="I143" s="81"/>
      <c r="J143" s="81"/>
      <c r="K143" s="81"/>
      <c r="L143" s="82"/>
      <c r="M143" s="82"/>
      <c r="N143" s="82"/>
      <c r="O143" s="82"/>
      <c r="P143" s="81"/>
      <c r="Q143" s="81"/>
      <c r="R143" s="81"/>
      <c r="S143" s="81"/>
      <c r="T143" s="82"/>
      <c r="U143" s="82"/>
      <c r="V143" s="82"/>
      <c r="W143" s="82"/>
      <c r="X143" s="81"/>
      <c r="Y143" s="81"/>
      <c r="Z143" s="81"/>
      <c r="AA143" s="82"/>
      <c r="AB143" s="82"/>
      <c r="AC143" s="83"/>
      <c r="AD143" s="82"/>
      <c r="AE143" s="67"/>
    </row>
    <row r="144" spans="1:31" ht="12.75" customHeight="1">
      <c r="A144" s="78" t="e">
        <f ca="1"/>
        <v>#NAME?</v>
      </c>
      <c r="B144" s="79"/>
      <c r="C144" s="79"/>
      <c r="D144" s="79"/>
      <c r="E144" s="79"/>
      <c r="F144" s="80"/>
      <c r="G144" s="81"/>
      <c r="H144" s="81"/>
      <c r="I144" s="81"/>
      <c r="J144" s="81"/>
      <c r="K144" s="81"/>
      <c r="L144" s="82"/>
      <c r="M144" s="82"/>
      <c r="N144" s="82"/>
      <c r="O144" s="82"/>
      <c r="P144" s="81"/>
      <c r="Q144" s="81"/>
      <c r="R144" s="81"/>
      <c r="S144" s="81"/>
      <c r="T144" s="82"/>
      <c r="U144" s="82"/>
      <c r="V144" s="82"/>
      <c r="W144" s="82"/>
      <c r="X144" s="81"/>
      <c r="Y144" s="81"/>
      <c r="Z144" s="81"/>
      <c r="AA144" s="82"/>
      <c r="AB144" s="82"/>
      <c r="AC144" s="83"/>
      <c r="AD144" s="82"/>
      <c r="AE144" s="67"/>
    </row>
    <row r="145" spans="1:31" ht="12.75" customHeight="1">
      <c r="A145" s="78"/>
      <c r="B145" s="79"/>
      <c r="C145" s="79"/>
      <c r="D145" s="79"/>
      <c r="E145" s="79"/>
      <c r="F145" s="80"/>
      <c r="G145" s="81"/>
      <c r="H145" s="81"/>
      <c r="I145" s="81"/>
      <c r="J145" s="81"/>
      <c r="K145" s="81"/>
      <c r="L145" s="82"/>
      <c r="M145" s="82"/>
      <c r="N145" s="82"/>
      <c r="O145" s="82"/>
      <c r="P145" s="81"/>
      <c r="Q145" s="81"/>
      <c r="R145" s="81"/>
      <c r="S145" s="81"/>
      <c r="T145" s="82"/>
      <c r="U145" s="82"/>
      <c r="V145" s="82"/>
      <c r="W145" s="82"/>
      <c r="X145" s="81"/>
      <c r="Y145" s="81"/>
      <c r="Z145" s="81"/>
      <c r="AA145" s="82"/>
      <c r="AB145" s="82"/>
      <c r="AC145" s="83"/>
      <c r="AD145" s="82"/>
      <c r="AE145" s="67"/>
    </row>
    <row r="146" spans="1:31" ht="12.75" customHeight="1">
      <c r="A146" s="78"/>
      <c r="B146" s="79"/>
      <c r="C146" s="79"/>
      <c r="D146" s="79"/>
      <c r="E146" s="79"/>
      <c r="F146" s="80"/>
      <c r="G146" s="81"/>
      <c r="H146" s="81"/>
      <c r="I146" s="81"/>
      <c r="J146" s="81"/>
      <c r="K146" s="81"/>
      <c r="L146" s="82"/>
      <c r="M146" s="82"/>
      <c r="N146" s="82"/>
      <c r="O146" s="82"/>
      <c r="P146" s="81"/>
      <c r="Q146" s="81"/>
      <c r="R146" s="81"/>
      <c r="S146" s="81"/>
      <c r="T146" s="82"/>
      <c r="U146" s="82"/>
      <c r="V146" s="82"/>
      <c r="W146" s="82"/>
      <c r="X146" s="81"/>
      <c r="Y146" s="81"/>
      <c r="Z146" s="81"/>
      <c r="AA146" s="82"/>
      <c r="AB146" s="82"/>
      <c r="AC146" s="83"/>
      <c r="AD146" s="82"/>
      <c r="AE146" s="67"/>
    </row>
    <row r="147" spans="1:31" ht="12.75" customHeight="1">
      <c r="A147" s="78"/>
      <c r="B147" s="79"/>
      <c r="C147" s="79"/>
      <c r="D147" s="79"/>
      <c r="E147" s="79"/>
      <c r="F147" s="80"/>
      <c r="G147" s="81"/>
      <c r="H147" s="81"/>
      <c r="I147" s="81"/>
      <c r="J147" s="81"/>
      <c r="K147" s="81"/>
      <c r="L147" s="82"/>
      <c r="M147" s="82"/>
      <c r="N147" s="82"/>
      <c r="O147" s="82"/>
      <c r="P147" s="81"/>
      <c r="Q147" s="81"/>
      <c r="R147" s="81"/>
      <c r="S147" s="81"/>
      <c r="T147" s="82"/>
      <c r="U147" s="82"/>
      <c r="V147" s="82"/>
      <c r="W147" s="82"/>
      <c r="X147" s="81"/>
      <c r="Y147" s="81"/>
      <c r="Z147" s="81"/>
      <c r="AA147" s="82"/>
      <c r="AB147" s="82"/>
      <c r="AC147" s="83"/>
      <c r="AD147" s="82"/>
      <c r="AE147" s="67"/>
    </row>
    <row r="148" spans="1:31" ht="12.75" customHeight="1">
      <c r="A148" s="78"/>
      <c r="B148" s="79"/>
      <c r="C148" s="79"/>
      <c r="D148" s="79"/>
      <c r="E148" s="79"/>
      <c r="F148" s="80"/>
      <c r="G148" s="81"/>
      <c r="H148" s="81"/>
      <c r="I148" s="81"/>
      <c r="J148" s="81"/>
      <c r="K148" s="81"/>
      <c r="L148" s="82"/>
      <c r="M148" s="82"/>
      <c r="N148" s="82"/>
      <c r="O148" s="82"/>
      <c r="P148" s="81"/>
      <c r="Q148" s="81"/>
      <c r="R148" s="81"/>
      <c r="S148" s="81"/>
      <c r="T148" s="82"/>
      <c r="U148" s="82"/>
      <c r="V148" s="82"/>
      <c r="W148" s="82"/>
      <c r="X148" s="81"/>
      <c r="Y148" s="81"/>
      <c r="Z148" s="81"/>
      <c r="AA148" s="82"/>
      <c r="AB148" s="82"/>
      <c r="AC148" s="83"/>
      <c r="AD148" s="82"/>
      <c r="AE148" s="67"/>
    </row>
    <row r="149" spans="1:31" ht="12.75" customHeight="1">
      <c r="A149" s="78"/>
      <c r="B149" s="79"/>
      <c r="C149" s="79"/>
      <c r="D149" s="79"/>
      <c r="E149" s="79"/>
      <c r="F149" s="80"/>
      <c r="G149" s="81"/>
      <c r="H149" s="81"/>
      <c r="I149" s="81"/>
      <c r="J149" s="81"/>
      <c r="K149" s="81"/>
      <c r="L149" s="82"/>
      <c r="M149" s="82"/>
      <c r="N149" s="82"/>
      <c r="O149" s="82"/>
      <c r="P149" s="81"/>
      <c r="Q149" s="81"/>
      <c r="R149" s="81"/>
      <c r="S149" s="81"/>
      <c r="T149" s="82"/>
      <c r="U149" s="82"/>
      <c r="V149" s="82"/>
      <c r="W149" s="82"/>
      <c r="X149" s="81"/>
      <c r="Y149" s="81"/>
      <c r="Z149" s="81"/>
      <c r="AA149" s="82"/>
      <c r="AB149" s="82"/>
      <c r="AC149" s="83"/>
      <c r="AD149" s="82"/>
      <c r="AE149" s="67"/>
    </row>
    <row r="150" spans="1:31" ht="12.75" customHeight="1">
      <c r="A150" s="78"/>
      <c r="B150" s="79"/>
      <c r="C150" s="79"/>
      <c r="D150" s="79"/>
      <c r="E150" s="79"/>
      <c r="F150" s="80"/>
      <c r="G150" s="81"/>
      <c r="H150" s="81"/>
      <c r="I150" s="81"/>
      <c r="J150" s="81"/>
      <c r="K150" s="81"/>
      <c r="L150" s="82"/>
      <c r="M150" s="82"/>
      <c r="N150" s="82"/>
      <c r="O150" s="82"/>
      <c r="P150" s="81"/>
      <c r="Q150" s="81"/>
      <c r="R150" s="81"/>
      <c r="S150" s="81"/>
      <c r="T150" s="82"/>
      <c r="U150" s="82"/>
      <c r="V150" s="82"/>
      <c r="W150" s="82"/>
      <c r="X150" s="81"/>
      <c r="Y150" s="81"/>
      <c r="Z150" s="81"/>
      <c r="AA150" s="82"/>
      <c r="AB150" s="82"/>
      <c r="AC150" s="83"/>
      <c r="AD150" s="82"/>
      <c r="AE150" s="67"/>
    </row>
    <row r="151" spans="1:31" ht="12.75" customHeight="1">
      <c r="A151" s="78"/>
      <c r="B151" s="79"/>
      <c r="C151" s="79"/>
      <c r="D151" s="79"/>
      <c r="E151" s="79"/>
      <c r="F151" s="80"/>
      <c r="G151" s="81"/>
      <c r="H151" s="81"/>
      <c r="I151" s="81"/>
      <c r="J151" s="81"/>
      <c r="K151" s="81"/>
      <c r="L151" s="82"/>
      <c r="M151" s="82"/>
      <c r="N151" s="82"/>
      <c r="O151" s="82"/>
      <c r="P151" s="81"/>
      <c r="Q151" s="81"/>
      <c r="R151" s="81"/>
      <c r="S151" s="81"/>
      <c r="T151" s="82"/>
      <c r="U151" s="82"/>
      <c r="V151" s="82"/>
      <c r="W151" s="82"/>
      <c r="X151" s="81"/>
      <c r="Y151" s="81"/>
      <c r="Z151" s="81"/>
      <c r="AA151" s="82"/>
      <c r="AB151" s="82"/>
      <c r="AC151" s="83"/>
      <c r="AD151" s="82"/>
      <c r="AE151" s="67"/>
    </row>
    <row r="152" spans="1:31" ht="12.75" customHeight="1">
      <c r="A152" s="78"/>
      <c r="B152" s="79"/>
      <c r="C152" s="79"/>
      <c r="D152" s="79"/>
      <c r="E152" s="79"/>
      <c r="F152" s="80"/>
      <c r="G152" s="81"/>
      <c r="H152" s="81"/>
      <c r="I152" s="81"/>
      <c r="J152" s="81"/>
      <c r="K152" s="81"/>
      <c r="L152" s="82"/>
      <c r="M152" s="82"/>
      <c r="N152" s="82"/>
      <c r="O152" s="82"/>
      <c r="P152" s="81"/>
      <c r="Q152" s="81"/>
      <c r="R152" s="81"/>
      <c r="S152" s="81"/>
      <c r="T152" s="82"/>
      <c r="U152" s="82"/>
      <c r="V152" s="82"/>
      <c r="W152" s="82"/>
      <c r="X152" s="81"/>
      <c r="Y152" s="81"/>
      <c r="Z152" s="81"/>
      <c r="AA152" s="82"/>
      <c r="AB152" s="82"/>
      <c r="AC152" s="83"/>
      <c r="AD152" s="82"/>
      <c r="AE152" s="67"/>
    </row>
    <row r="153" spans="1:31" ht="12.75" customHeight="1">
      <c r="A153" s="78"/>
      <c r="B153" s="79"/>
      <c r="C153" s="79"/>
      <c r="D153" s="79"/>
      <c r="E153" s="79"/>
      <c r="F153" s="80"/>
      <c r="G153" s="81"/>
      <c r="H153" s="81"/>
      <c r="I153" s="81"/>
      <c r="J153" s="81"/>
      <c r="K153" s="81"/>
      <c r="L153" s="82"/>
      <c r="M153" s="82"/>
      <c r="N153" s="82"/>
      <c r="O153" s="82"/>
      <c r="P153" s="81"/>
      <c r="Q153" s="81"/>
      <c r="R153" s="81"/>
      <c r="S153" s="81"/>
      <c r="T153" s="82"/>
      <c r="U153" s="82"/>
      <c r="V153" s="82"/>
      <c r="W153" s="82"/>
      <c r="X153" s="81"/>
      <c r="Y153" s="81"/>
      <c r="Z153" s="81"/>
      <c r="AA153" s="82"/>
      <c r="AB153" s="82"/>
      <c r="AC153" s="83"/>
      <c r="AD153" s="82"/>
      <c r="AE153" s="67"/>
    </row>
    <row r="154" spans="1:31" ht="12.75" customHeight="1">
      <c r="A154" s="78"/>
      <c r="B154" s="79"/>
      <c r="C154" s="79"/>
      <c r="D154" s="79"/>
      <c r="E154" s="79"/>
      <c r="F154" s="80"/>
      <c r="G154" s="81"/>
      <c r="H154" s="81"/>
      <c r="I154" s="81"/>
      <c r="J154" s="81"/>
      <c r="K154" s="81"/>
      <c r="L154" s="82"/>
      <c r="M154" s="82"/>
      <c r="N154" s="82"/>
      <c r="O154" s="82"/>
      <c r="P154" s="81"/>
      <c r="Q154" s="81"/>
      <c r="R154" s="81"/>
      <c r="S154" s="81"/>
      <c r="T154" s="82"/>
      <c r="U154" s="82"/>
      <c r="V154" s="82"/>
      <c r="W154" s="82"/>
      <c r="X154" s="81"/>
      <c r="Y154" s="81"/>
      <c r="Z154" s="81"/>
      <c r="AA154" s="82"/>
      <c r="AB154" s="82"/>
      <c r="AC154" s="83"/>
      <c r="AD154" s="82"/>
      <c r="AE154" s="67"/>
    </row>
    <row r="155" spans="1:31" ht="12.75" customHeight="1">
      <c r="A155" s="78"/>
      <c r="B155" s="79"/>
      <c r="C155" s="79"/>
      <c r="D155" s="79"/>
      <c r="E155" s="79"/>
      <c r="F155" s="80"/>
      <c r="G155" s="81"/>
      <c r="H155" s="81"/>
      <c r="I155" s="81"/>
      <c r="J155" s="81"/>
      <c r="K155" s="81"/>
      <c r="L155" s="82"/>
      <c r="M155" s="82"/>
      <c r="N155" s="82"/>
      <c r="O155" s="82"/>
      <c r="P155" s="81"/>
      <c r="Q155" s="81"/>
      <c r="R155" s="81"/>
      <c r="S155" s="81"/>
      <c r="T155" s="82"/>
      <c r="U155" s="82"/>
      <c r="V155" s="82"/>
      <c r="W155" s="82"/>
      <c r="X155" s="81"/>
      <c r="Y155" s="81"/>
      <c r="Z155" s="81"/>
      <c r="AA155" s="82"/>
      <c r="AB155" s="82"/>
      <c r="AC155" s="83"/>
      <c r="AD155" s="82"/>
      <c r="AE155" s="67"/>
    </row>
    <row r="156" spans="1:31" ht="12.75" customHeight="1">
      <c r="A156" s="78"/>
      <c r="B156" s="79"/>
      <c r="C156" s="79"/>
      <c r="D156" s="79"/>
      <c r="E156" s="79"/>
      <c r="F156" s="80"/>
      <c r="G156" s="81"/>
      <c r="H156" s="81"/>
      <c r="I156" s="81"/>
      <c r="J156" s="81"/>
      <c r="K156" s="81"/>
      <c r="L156" s="82"/>
      <c r="M156" s="82"/>
      <c r="N156" s="82"/>
      <c r="O156" s="82"/>
      <c r="P156" s="81"/>
      <c r="Q156" s="81"/>
      <c r="R156" s="81"/>
      <c r="S156" s="81"/>
      <c r="T156" s="82"/>
      <c r="U156" s="82"/>
      <c r="V156" s="82"/>
      <c r="W156" s="82"/>
      <c r="X156" s="81"/>
      <c r="Y156" s="81"/>
      <c r="Z156" s="81"/>
      <c r="AA156" s="82"/>
      <c r="AB156" s="82"/>
      <c r="AC156" s="83"/>
      <c r="AD156" s="82"/>
      <c r="AE156" s="67"/>
    </row>
    <row r="157" spans="1:31" ht="12.75" customHeight="1">
      <c r="A157" s="78"/>
      <c r="B157" s="79"/>
      <c r="C157" s="79"/>
      <c r="D157" s="79"/>
      <c r="E157" s="79"/>
      <c r="F157" s="80"/>
      <c r="G157" s="81"/>
      <c r="H157" s="81"/>
      <c r="I157" s="81"/>
      <c r="J157" s="81"/>
      <c r="K157" s="81"/>
      <c r="L157" s="82"/>
      <c r="M157" s="82"/>
      <c r="N157" s="82"/>
      <c r="O157" s="82"/>
      <c r="P157" s="81"/>
      <c r="Q157" s="81"/>
      <c r="R157" s="81"/>
      <c r="S157" s="81"/>
      <c r="T157" s="82"/>
      <c r="U157" s="82"/>
      <c r="V157" s="82"/>
      <c r="W157" s="82"/>
      <c r="X157" s="81"/>
      <c r="Y157" s="81"/>
      <c r="Z157" s="81"/>
      <c r="AA157" s="82"/>
      <c r="AB157" s="82"/>
      <c r="AC157" s="83"/>
      <c r="AD157" s="82"/>
      <c r="AE157" s="67"/>
    </row>
    <row r="158" spans="1:31" ht="12.75" customHeight="1">
      <c r="A158" s="78"/>
      <c r="B158" s="79"/>
      <c r="C158" s="79"/>
      <c r="D158" s="79"/>
      <c r="E158" s="79"/>
      <c r="F158" s="80"/>
      <c r="G158" s="81"/>
      <c r="H158" s="81"/>
      <c r="I158" s="81"/>
      <c r="J158" s="81"/>
      <c r="K158" s="81"/>
      <c r="L158" s="82"/>
      <c r="M158" s="82"/>
      <c r="N158" s="82"/>
      <c r="O158" s="82"/>
      <c r="P158" s="81"/>
      <c r="Q158" s="81"/>
      <c r="R158" s="81"/>
      <c r="S158" s="81"/>
      <c r="T158" s="82"/>
      <c r="U158" s="82"/>
      <c r="V158" s="82"/>
      <c r="W158" s="82"/>
      <c r="X158" s="81"/>
      <c r="Y158" s="81"/>
      <c r="Z158" s="81"/>
      <c r="AA158" s="82"/>
      <c r="AB158" s="82"/>
      <c r="AC158" s="83"/>
      <c r="AD158" s="82"/>
      <c r="AE158" s="67"/>
    </row>
    <row r="159" spans="1:31" ht="12.75" customHeight="1">
      <c r="A159" s="78"/>
      <c r="B159" s="79"/>
      <c r="C159" s="79"/>
      <c r="D159" s="79"/>
      <c r="E159" s="79"/>
      <c r="F159" s="80"/>
      <c r="G159" s="81"/>
      <c r="H159" s="81"/>
      <c r="I159" s="81"/>
      <c r="J159" s="81"/>
      <c r="K159" s="81"/>
      <c r="L159" s="82"/>
      <c r="M159" s="82"/>
      <c r="N159" s="82"/>
      <c r="O159" s="82"/>
      <c r="P159" s="81"/>
      <c r="Q159" s="81"/>
      <c r="R159" s="81"/>
      <c r="S159" s="81"/>
      <c r="T159" s="82"/>
      <c r="U159" s="82"/>
      <c r="V159" s="82"/>
      <c r="W159" s="82"/>
      <c r="X159" s="81"/>
      <c r="Y159" s="81"/>
      <c r="Z159" s="81"/>
      <c r="AA159" s="82"/>
      <c r="AB159" s="82"/>
      <c r="AC159" s="83"/>
      <c r="AD159" s="82"/>
      <c r="AE159" s="67"/>
    </row>
    <row r="160" spans="1:31" ht="12.75" customHeight="1">
      <c r="A160" s="78"/>
      <c r="B160" s="79"/>
      <c r="C160" s="79"/>
      <c r="D160" s="79"/>
      <c r="E160" s="79"/>
      <c r="F160" s="80"/>
      <c r="G160" s="81"/>
      <c r="H160" s="81"/>
      <c r="I160" s="81"/>
      <c r="J160" s="81"/>
      <c r="K160" s="81"/>
      <c r="L160" s="82"/>
      <c r="M160" s="82"/>
      <c r="N160" s="82"/>
      <c r="O160" s="82"/>
      <c r="P160" s="81"/>
      <c r="Q160" s="81"/>
      <c r="R160" s="81"/>
      <c r="S160" s="81"/>
      <c r="T160" s="82"/>
      <c r="U160" s="82"/>
      <c r="V160" s="82"/>
      <c r="W160" s="82"/>
      <c r="X160" s="81"/>
      <c r="Y160" s="81"/>
      <c r="Z160" s="81"/>
      <c r="AA160" s="82"/>
      <c r="AB160" s="82"/>
      <c r="AC160" s="83"/>
      <c r="AD160" s="82"/>
      <c r="AE160" s="67"/>
    </row>
    <row r="161" spans="1:31" ht="12.75" customHeight="1">
      <c r="A161" s="78"/>
      <c r="B161" s="79"/>
      <c r="C161" s="79"/>
      <c r="D161" s="79"/>
      <c r="E161" s="79"/>
      <c r="F161" s="80"/>
      <c r="G161" s="81"/>
      <c r="H161" s="81"/>
      <c r="I161" s="81"/>
      <c r="J161" s="81"/>
      <c r="K161" s="81"/>
      <c r="L161" s="82"/>
      <c r="M161" s="82"/>
      <c r="N161" s="82"/>
      <c r="O161" s="82"/>
      <c r="P161" s="81"/>
      <c r="Q161" s="81"/>
      <c r="R161" s="81"/>
      <c r="S161" s="81"/>
      <c r="T161" s="82"/>
      <c r="U161" s="82"/>
      <c r="V161" s="82"/>
      <c r="W161" s="82"/>
      <c r="X161" s="81"/>
      <c r="Y161" s="81"/>
      <c r="Z161" s="81"/>
      <c r="AA161" s="82"/>
      <c r="AB161" s="82"/>
      <c r="AC161" s="83"/>
      <c r="AD161" s="82"/>
      <c r="AE161" s="67"/>
    </row>
    <row r="162" spans="1:31" ht="12.75" customHeight="1">
      <c r="A162" s="78"/>
      <c r="B162" s="79"/>
      <c r="C162" s="79"/>
      <c r="D162" s="79"/>
      <c r="E162" s="79"/>
      <c r="F162" s="80"/>
      <c r="G162" s="81"/>
      <c r="H162" s="81"/>
      <c r="I162" s="81"/>
      <c r="J162" s="81"/>
      <c r="K162" s="81"/>
      <c r="L162" s="82"/>
      <c r="M162" s="82"/>
      <c r="N162" s="82"/>
      <c r="O162" s="82"/>
      <c r="P162" s="81"/>
      <c r="Q162" s="81"/>
      <c r="R162" s="81"/>
      <c r="S162" s="81"/>
      <c r="T162" s="82"/>
      <c r="U162" s="82"/>
      <c r="V162" s="82"/>
      <c r="W162" s="82"/>
      <c r="X162" s="81"/>
      <c r="Y162" s="81"/>
      <c r="Z162" s="81"/>
      <c r="AA162" s="82"/>
      <c r="AB162" s="82"/>
      <c r="AC162" s="83"/>
      <c r="AD162" s="82"/>
      <c r="AE162" s="67"/>
    </row>
    <row r="163" spans="1:31" ht="12.75" customHeight="1">
      <c r="A163" s="78"/>
      <c r="B163" s="79"/>
      <c r="C163" s="79"/>
      <c r="D163" s="79"/>
      <c r="E163" s="79"/>
      <c r="F163" s="80"/>
      <c r="G163" s="81"/>
      <c r="H163" s="81"/>
      <c r="I163" s="81"/>
      <c r="J163" s="81"/>
      <c r="K163" s="81"/>
      <c r="L163" s="82"/>
      <c r="M163" s="82"/>
      <c r="N163" s="82"/>
      <c r="O163" s="82"/>
      <c r="P163" s="81"/>
      <c r="Q163" s="81"/>
      <c r="R163" s="81"/>
      <c r="S163" s="81"/>
      <c r="T163" s="82"/>
      <c r="U163" s="82"/>
      <c r="V163" s="82"/>
      <c r="W163" s="82"/>
      <c r="X163" s="81"/>
      <c r="Y163" s="81"/>
      <c r="Z163" s="81"/>
      <c r="AA163" s="82"/>
      <c r="AB163" s="82"/>
      <c r="AC163" s="83"/>
      <c r="AD163" s="82"/>
      <c r="AE163" s="67"/>
    </row>
    <row r="164" spans="1:31" ht="12.75" customHeight="1">
      <c r="A164" s="78"/>
      <c r="B164" s="79"/>
      <c r="C164" s="79"/>
      <c r="D164" s="79"/>
      <c r="E164" s="79"/>
      <c r="F164" s="80"/>
      <c r="G164" s="81"/>
      <c r="H164" s="81"/>
      <c r="I164" s="81"/>
      <c r="J164" s="81"/>
      <c r="K164" s="81"/>
      <c r="L164" s="82"/>
      <c r="M164" s="82"/>
      <c r="N164" s="82"/>
      <c r="O164" s="82"/>
      <c r="P164" s="81"/>
      <c r="Q164" s="81"/>
      <c r="R164" s="81"/>
      <c r="S164" s="81"/>
      <c r="T164" s="82"/>
      <c r="U164" s="82"/>
      <c r="V164" s="82"/>
      <c r="W164" s="82"/>
      <c r="X164" s="81"/>
      <c r="Y164" s="81"/>
      <c r="Z164" s="81"/>
      <c r="AA164" s="82"/>
      <c r="AB164" s="82"/>
      <c r="AC164" s="83"/>
      <c r="AD164" s="82"/>
      <c r="AE164" s="67"/>
    </row>
    <row r="165" spans="1:31" ht="12.75" customHeigh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47"/>
      <c r="AD165" s="23"/>
      <c r="AE165" s="67"/>
    </row>
    <row r="166" spans="1:31" ht="12.75" customHeigh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47"/>
      <c r="AD166" s="23"/>
      <c r="AE166" s="23"/>
    </row>
    <row r="167" spans="1:31" ht="12.75" customHeigh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47"/>
      <c r="AD167" s="23"/>
      <c r="AE167" s="23"/>
    </row>
  </sheetData>
  <mergeCells count="68">
    <mergeCell ref="T139:W139"/>
    <mergeCell ref="X139:Z139"/>
    <mergeCell ref="AA139:AC139"/>
    <mergeCell ref="P135:R135"/>
    <mergeCell ref="C139:F139"/>
    <mergeCell ref="G139:J139"/>
    <mergeCell ref="L139:O139"/>
    <mergeCell ref="P139:S139"/>
    <mergeCell ref="C134:E134"/>
    <mergeCell ref="F134:H134"/>
    <mergeCell ref="I134:L134"/>
    <mergeCell ref="M134:O134"/>
    <mergeCell ref="P134:R134"/>
    <mergeCell ref="C133:E133"/>
    <mergeCell ref="F133:H133"/>
    <mergeCell ref="I133:L133"/>
    <mergeCell ref="M133:O133"/>
    <mergeCell ref="P133:R133"/>
    <mergeCell ref="C132:E132"/>
    <mergeCell ref="F132:H132"/>
    <mergeCell ref="I132:L132"/>
    <mergeCell ref="M132:O132"/>
    <mergeCell ref="P132:R132"/>
    <mergeCell ref="C131:E131"/>
    <mergeCell ref="F131:H131"/>
    <mergeCell ref="I131:L131"/>
    <mergeCell ref="M131:O131"/>
    <mergeCell ref="P131:R131"/>
    <mergeCell ref="C130:E130"/>
    <mergeCell ref="F130:H130"/>
    <mergeCell ref="I130:L130"/>
    <mergeCell ref="M130:O130"/>
    <mergeCell ref="P130:R130"/>
    <mergeCell ref="C129:E129"/>
    <mergeCell ref="F129:H129"/>
    <mergeCell ref="I129:L129"/>
    <mergeCell ref="M129:O129"/>
    <mergeCell ref="P129:R129"/>
    <mergeCell ref="C128:E128"/>
    <mergeCell ref="F128:H128"/>
    <mergeCell ref="I128:L128"/>
    <mergeCell ref="M128:O128"/>
    <mergeCell ref="P128:R128"/>
    <mergeCell ref="C127:E127"/>
    <mergeCell ref="F127:H127"/>
    <mergeCell ref="I127:L127"/>
    <mergeCell ref="M127:O127"/>
    <mergeCell ref="P127:R127"/>
    <mergeCell ref="C126:E126"/>
    <mergeCell ref="F126:H126"/>
    <mergeCell ref="I126:L126"/>
    <mergeCell ref="M126:O126"/>
    <mergeCell ref="P126:R126"/>
    <mergeCell ref="V124:X124"/>
    <mergeCell ref="C125:E125"/>
    <mergeCell ref="F125:H125"/>
    <mergeCell ref="I125:L125"/>
    <mergeCell ref="M125:O125"/>
    <mergeCell ref="P125:R125"/>
    <mergeCell ref="M1:N1"/>
    <mergeCell ref="O1:U1"/>
    <mergeCell ref="I122:L122"/>
    <mergeCell ref="M122:O122"/>
    <mergeCell ref="C124:E124"/>
    <mergeCell ref="F124:H124"/>
    <mergeCell ref="I124:L124"/>
    <mergeCell ref="M124:O124"/>
    <mergeCell ref="P124:R124"/>
  </mergeCells>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PRY-ERP</vt:lpstr>
      <vt:lpstr>PRY-WMS</vt:lpstr>
      <vt:lpstr>PRY-CRM-EXT</vt:lpstr>
      <vt:lpstr>PRY-DMS-EXT</vt:lpstr>
      <vt:lpstr>PRY-DAT</vt:lpstr>
      <vt:lpstr>PRY-AIE-01 Ag Logistico</vt:lpstr>
      <vt:lpstr>PRY-AIE-02 Ag Comercial</vt:lpstr>
      <vt:lpstr>PRY-AIE-03 Ag Compras</vt:lpstr>
      <vt:lpstr>PRY-AIE-04 Ag Inventarios</vt:lpstr>
      <vt:lpstr>PRY-AIE-05 Ag Cartera</vt:lpstr>
      <vt:lpstr>PRY-AIE-06 Ag Fidelizacion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Full Service</cp:lastModifiedBy>
  <cp:revision>0</cp:revision>
  <dcterms:created xsi:type="dcterms:W3CDTF">2026-07-09T20:06:31Z</dcterms:created>
  <dcterms:modified xsi:type="dcterms:W3CDTF">2026-07-09T20:45:32Z</dcterms:modified>
  <dc:language>es-419</dc:language>
</cp:coreProperties>
</file>