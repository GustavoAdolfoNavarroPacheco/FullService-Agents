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<sst xmlns="http://schemas.openxmlformats.org/spreadsheetml/2006/main" count="95" uniqueCount="93">
  <si>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</si>
  <si>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</si>
  <si>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</si>
  <si>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</si>
  <si>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</si>
  <si>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</si>
  <si>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</si>
  <si>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</si>
  <si>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</si>
  <si>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</si>
  <si>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</si>
  <si>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</si>
  <si>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</si>
  <si>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</si>
  <si>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</si>
  <si>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</si>
  <si>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</si>
  <si>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</si>
  <si>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</si>
  <si>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</si>
  <si>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AGENTE ORQUESTADOR ORBIT - Motor central que clasifica la intención del asociado y enruta internamente entre líneas de negocio, sin fricción visible para el usuario</t>
  </si>
  <si>
    <t xml:space="preserve">Clasificación de intención y enrutamiento</t>
  </si>
  <si>
    <t xml:space="preserve">Motor de clasificación de intención (NLU/LLM) que identifica la línea de negocio del mensaje entrante (Canales Digitales, Ventas &amp; Crédito, PQRS &amp; Jurídico)</t>
  </si>
  <si>
    <t xml:space="preserve">Enrutamiento interno entre líneas de negocio sin exponer el cambio de agente al asociado</t>
  </si>
  <si>
    <t xml:space="preserve">Ajuste automático de tono de respuesta según el área activa (colaborativo en servicio, comercial en ventas)</t>
  </si>
  <si>
    <t xml:space="preserve">Escalamiento a línea de atención humana definida por Comultrasan para consultas fuera de entrenamiento, con reporte de vacíos de conocimiento</t>
  </si>
  <si>
    <t xml:space="preserve">Entrenamiento de contenido propio de Comultrasan</t>
  </si>
  <si>
    <t xml:space="preserve">Ingesta y entrenamiento del asistente con las FAQs existentes del portal de Comultrasan</t>
  </si>
  <si>
    <t xml:space="preserve">Ingesta y entrenamiento con los vídeos tutoriales existentes de Comultrasan, incluyendo su referencia dentro de la respuesta conversacional</t>
  </si>
  <si>
    <t xml:space="preserve">Panel de gestión para Comultrasan</t>
  </si>
  <si>
    <t xml:space="preserve">Dashboard de visualización de leads generados, organizados por línea de negocio</t>
  </si>
  <si>
    <t xml:space="preserve">Configuración de reglas de clasificación y enrutamiento desde el panel, sin depender de desarrollo nuevo</t>
  </si>
  <si>
    <t xml:space="preserve">Edición del contenido entrenado (FAQs, prompts, plantillas) desde el panel</t>
  </si>
  <si>
    <t xml:space="preserve">CANALES DIGITALES - Resolución conversacional de las consultas operativas más recurrentes sobre transferencias, pagos y uso de canales transaccionales (alcance inicial acordado)</t>
  </si>
  <si>
    <t xml:space="preserve">Transferencias y pagos</t>
  </si>
  <si>
    <t xml:space="preserve">Flujo guiado para transferencias Bre-B, paso a paso, con envío del vídeo tutorial correspondiente</t>
  </si>
  <si>
    <t xml:space="preserve">Flujo guiado para pago de crédito desde la Agencia Virtual o la App móvil</t>
  </si>
  <si>
    <t xml:space="preserve">Flujo guiado para transferencias generales entre cuentas</t>
  </si>
  <si>
    <t xml:space="preserve">Registro y uso de canales transaccionales</t>
  </si>
  <si>
    <t xml:space="preserve">Flujo guiado de registro en la Agencia Virtual</t>
  </si>
  <si>
    <t xml:space="preserve">Resolución de dudas frecuentes sobre uso de la App móvil y la Agencia Virtual a partir del contenido entrenado (FAQs)</t>
  </si>
  <si>
    <t xml:space="preserve">INTEGRACIONES Y CANALES DE ENTRADA - Conexión de Orbit con los canales y sistemas que Comultrasan ya utiliza, sin crear un chat o enlace paralelo</t>
  </si>
  <si>
    <t xml:space="preserve">WhatsApp Business</t>
  </si>
  <si>
    <t xml:space="preserve">Integración vía WhatsApp Business (Meta Cloud API) sobre la línea designada por Comultrasan, cumpliendo los parámetros de Meta para mensajería comercial</t>
  </si>
  <si>
    <t xml:space="preserve">Canal web</t>
  </si>
  <si>
    <t xml:space="preserve">Conexión del botón “Canales Digitales” del portal web de Comultrasan al mismo agente Orbit</t>
  </si>
  <si>
    <t xml:space="preserve">CRM</t>
  </si>
  <si>
    <t xml:space="preserve">Integración vía API con HubSpot para trazabilidad de los leads comerciales generados por Orbit</t>
  </si>
  <si>
    <t xml:space="preserve">VENTAS Y CRÉDITO - Precalificación conversacional de crédito y generación de leads comerciales calificados (fase posterior opcional, activable sobre la misma arquitectura de Orbit)</t>
  </si>
  <si>
    <t xml:space="preserve">Precalificación de crédito</t>
  </si>
  <si>
    <t xml:space="preserve">Flujo conversacional de precalificación por tipo de crédito (libre inversión, vehículo, vivienda) y monto solicitado</t>
  </si>
  <si>
    <t xml:space="preserve">Clasificación y priorización de leads por monto solicitado (“estrategia de semáforo”)</t>
  </si>
  <si>
    <t xml:space="preserve">Derivación calificada a asesor comercial con los datos de la solicitud registrados</t>
  </si>
  <si>
    <t xml:space="preserve">PQRS Y JURÍDICO - Recepción y enrutamiento de quejas y reclamos (fase posterior opcional, activable sobre la misma arquitectura de Orbit)</t>
  </si>
  <si>
    <t xml:space="preserve">Gestión de quejas y reclamos</t>
  </si>
  <si>
    <t xml:space="preserve">Flujo de recepción y clasificación de quejas y reclamos</t>
  </si>
  <si>
    <t xml:space="preserve">Derivación a la línea jurídica/PQRS correspondiente con registro trazable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</si>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</sst>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48378374.5995671</v>
      </c>
      <c r="Z1" s="3" t="s">
        <v>13</v>
      </c>
      <c r="AA1" s="8" t="s">
        <v>14</v>
      </c>
      <c r="AB1" s="9" t="s">
        <v>15</v>
      </c>
      <c r="AC1" s="10" t="n">
        <f aca="false">SUM(AC2:AC120)</f>
        <v>48378374.5995671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3614472.72727273</v>
      </c>
      <c r="B2" s="12" t="n">
        <v>6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3614472.72727273</v>
      </c>
      <c r="Z2" s="19"/>
      <c r="AA2" s="20"/>
      <c r="AB2" s="21" t="b">
        <f aca="false">TRUE()</f>
        <v>1</v>
      </c>
      <c r="AC2" s="22" t="n">
        <f aca="false">IF(L2="",0,IF(AB2=FALSE(),0,Y2))</f>
        <v>3614472.72727273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1649282.14285714</v>
      </c>
      <c r="B3" s="13"/>
      <c r="C3" s="12" t="n">
        <v>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1649282.14285714</v>
      </c>
      <c r="Z3" s="19"/>
      <c r="AA3" s="20"/>
      <c r="AB3" s="21" t="b">
        <f aca="false">TRUE()</f>
        <v>1</v>
      </c>
      <c r="AC3" s="22" t="n">
        <f aca="false">IF(L3="",0,IF(AB3=FALSE(),0,Y3))</f>
        <v>1649282.14285714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1905291.81818182</v>
      </c>
      <c r="B4" s="13"/>
      <c r="C4" s="13"/>
      <c r="D4" s="13"/>
      <c r="E4" s="13"/>
      <c r="F4" s="13"/>
      <c r="G4" s="13"/>
      <c r="H4" s="12" t="n">
        <v>6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1905291.81818182</v>
      </c>
      <c r="Z4" s="19"/>
      <c r="AA4" s="23"/>
      <c r="AB4" s="21" t="b">
        <f aca="false">TRUE()</f>
        <v>1</v>
      </c>
      <c r="AC4" s="22" t="n">
        <f aca="false">IF(L4="",0,IF(AB4=FALSE(),0,Y4))</f>
        <v>1905291.81818182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3366300.47619048</v>
      </c>
      <c r="B5" s="14" t="n">
        <v>2</v>
      </c>
      <c r="C5" s="14"/>
      <c r="D5" s="14"/>
      <c r="E5" s="14"/>
      <c r="F5" s="14"/>
      <c r="G5" s="14"/>
      <c r="H5" s="14"/>
      <c r="I5" s="14"/>
      <c r="J5" s="14"/>
      <c r="K5" s="14" t="n">
        <v>6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3366300.47619048</v>
      </c>
      <c r="Z5" s="19"/>
      <c r="AA5" s="23"/>
      <c r="AB5" s="21" t="b">
        <f aca="false">TRUE()</f>
        <v>1</v>
      </c>
      <c r="AC5" s="22" t="n">
        <f aca="false">IF(L5="",0,IF(AB5=FALSE(),0,Y5))</f>
        <v>3366300.47619048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3366300.47619048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3366300.47619048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19892157.9437229</v>
      </c>
      <c r="Z8" s="19"/>
      <c r="AA8" s="20"/>
      <c r="AB8" s="21" t="b">
        <f aca="false">TRUE()</f>
        <v>1</v>
      </c>
      <c r="AC8" s="22" t="n">
        <f aca="false">IF(L8="",0,IF(AB8=FALSE(),0,Y8))</f>
        <v>19892157.9437229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19892157.9437229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4490406.11471862</v>
      </c>
      <c r="B10" s="14"/>
      <c r="C10" s="14"/>
      <c r="D10" s="14"/>
      <c r="E10" s="14" t="n">
        <v>4</v>
      </c>
      <c r="F10" s="14"/>
      <c r="G10" s="14" t="n">
        <v>1.5</v>
      </c>
      <c r="H10" s="14"/>
      <c r="I10" s="14"/>
      <c r="J10" s="14"/>
      <c r="K10" s="14" t="n">
        <v>6</v>
      </c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19892157.9437229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2466774.48051948</v>
      </c>
      <c r="B11" s="14"/>
      <c r="C11" s="14"/>
      <c r="D11" s="14"/>
      <c r="E11" s="14" t="n">
        <v>3</v>
      </c>
      <c r="F11" s="14"/>
      <c r="G11" s="14"/>
      <c r="H11" s="14"/>
      <c r="I11" s="14"/>
      <c r="J11" s="14"/>
      <c r="K11" s="14" t="n">
        <v>3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19892157.9437229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900615.097402597</v>
      </c>
      <c r="B12" s="14"/>
      <c r="C12" s="14"/>
      <c r="D12" s="14"/>
      <c r="E12" s="14"/>
      <c r="F12" s="14"/>
      <c r="G12" s="14"/>
      <c r="H12" s="14"/>
      <c r="I12" s="14"/>
      <c r="J12" s="14"/>
      <c r="K12" s="14" t="n">
        <v>2.5</v>
      </c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19892157.9437229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1631353.25757576</v>
      </c>
      <c r="B13" s="14"/>
      <c r="C13" s="14"/>
      <c r="D13" s="14"/>
      <c r="E13" s="14" t="n">
        <v>2.5</v>
      </c>
      <c r="F13" s="14"/>
      <c r="G13" s="14"/>
      <c r="H13" s="14" t="n">
        <v>1.5</v>
      </c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19892157.9437229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27" t="s">
        <v>26</v>
      </c>
      <c r="N14" s="30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19892157.9437229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1260861.13636364</v>
      </c>
      <c r="B15" s="14"/>
      <c r="C15" s="14"/>
      <c r="D15" s="14"/>
      <c r="E15" s="14"/>
      <c r="F15" s="14"/>
      <c r="G15" s="14"/>
      <c r="H15" s="14"/>
      <c r="I15" s="14"/>
      <c r="J15" s="14"/>
      <c r="K15" s="14" t="n">
        <v>3.5</v>
      </c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19892157.9437229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1289540.20562771</v>
      </c>
      <c r="B16" s="14"/>
      <c r="C16" s="14"/>
      <c r="D16" s="14"/>
      <c r="E16" s="14"/>
      <c r="F16" s="14" t="n">
        <v>1</v>
      </c>
      <c r="G16" s="14"/>
      <c r="H16" s="14"/>
      <c r="I16" s="14"/>
      <c r="J16" s="14"/>
      <c r="K16" s="14" t="n">
        <v>2.5</v>
      </c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19892157.9437229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19892157.9437229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2936468.13852814</v>
      </c>
      <c r="B18" s="14"/>
      <c r="C18" s="14"/>
      <c r="D18" s="14" t="n">
        <v>4</v>
      </c>
      <c r="E18" s="14" t="n">
        <v>3.5</v>
      </c>
      <c r="F18" s="14"/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19892157.9437229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2771539.92424243</v>
      </c>
      <c r="B19" s="14"/>
      <c r="C19" s="14"/>
      <c r="D19" s="14" t="n">
        <v>3.5</v>
      </c>
      <c r="E19" s="14" t="n">
        <v>3.5</v>
      </c>
      <c r="F19" s="14"/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19892157.9437229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2144599.58874459</v>
      </c>
      <c r="B20" s="14"/>
      <c r="C20" s="14"/>
      <c r="D20" s="14" t="n">
        <v>3</v>
      </c>
      <c r="E20" s="14" t="n">
        <v>2.5</v>
      </c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19892157.9437229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31" t="s">
        <v>33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5352623.37662338</v>
      </c>
      <c r="Z21" s="19"/>
      <c r="AA21" s="20"/>
      <c r="AB21" s="21" t="b">
        <f aca="false">TRUE()</f>
        <v>1</v>
      </c>
      <c r="AC21" s="22" t="n">
        <f aca="false">IF(L21="",0,IF(AB21=FALSE(),0,Y21))</f>
        <v>5352623.37662338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5352623.37662338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1484002.75974026</v>
      </c>
      <c r="B23" s="14"/>
      <c r="C23" s="14"/>
      <c r="D23" s="14"/>
      <c r="E23" s="14"/>
      <c r="F23" s="14" t="n">
        <v>1.5</v>
      </c>
      <c r="G23" s="14"/>
      <c r="H23" s="14"/>
      <c r="I23" s="14"/>
      <c r="J23" s="14"/>
      <c r="K23" s="14" t="n">
        <v>2.5</v>
      </c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5352623.37662338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1109417.18614719</v>
      </c>
      <c r="B24" s="14"/>
      <c r="C24" s="14"/>
      <c r="D24" s="14"/>
      <c r="E24" s="14"/>
      <c r="F24" s="14" t="n">
        <v>1</v>
      </c>
      <c r="G24" s="14"/>
      <c r="H24" s="14"/>
      <c r="I24" s="14"/>
      <c r="J24" s="14"/>
      <c r="K24" s="14" t="n">
        <v>2</v>
      </c>
      <c r="L24" s="17"/>
      <c r="M24" s="32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5352623.37662338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1109417.18614719</v>
      </c>
      <c r="B25" s="14"/>
      <c r="C25" s="14"/>
      <c r="D25" s="14"/>
      <c r="E25" s="14"/>
      <c r="F25" s="14" t="n">
        <v>1</v>
      </c>
      <c r="G25" s="14"/>
      <c r="H25" s="14"/>
      <c r="I25" s="14"/>
      <c r="J25" s="14"/>
      <c r="K25" s="14" t="n">
        <v>2</v>
      </c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5352623.37662338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27" t="s">
        <v>38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5352623.37662338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929294.166666667</v>
      </c>
      <c r="B27" s="14"/>
      <c r="C27" s="14"/>
      <c r="D27" s="14"/>
      <c r="E27" s="14"/>
      <c r="F27" s="14" t="n">
        <v>1</v>
      </c>
      <c r="G27" s="14"/>
      <c r="H27" s="14"/>
      <c r="I27" s="14"/>
      <c r="J27" s="14"/>
      <c r="K27" s="14" t="n">
        <v>1.5</v>
      </c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5352623.37662338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720492.077922078</v>
      </c>
      <c r="B28" s="14"/>
      <c r="C28" s="14"/>
      <c r="D28" s="14"/>
      <c r="E28" s="14"/>
      <c r="F28" s="14"/>
      <c r="G28" s="14"/>
      <c r="H28" s="14"/>
      <c r="I28" s="14"/>
      <c r="J28" s="14"/>
      <c r="K28" s="14" t="n">
        <v>2</v>
      </c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5352623.37662338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31" t="s">
        <v>41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7</v>
      </c>
      <c r="Y29" s="18" t="n">
        <f aca="false">SUMIF($X$2:$X$120,X29,$A$2:$A$120)</f>
        <v>6152015.32467532</v>
      </c>
      <c r="Z29" s="19"/>
      <c r="AA29" s="20"/>
      <c r="AB29" s="21" t="b">
        <f aca="false">TRUE()</f>
        <v>1</v>
      </c>
      <c r="AC29" s="22" t="n">
        <f aca="false">IF(L29="",0,IF(AB29=FALSE(),0,Y29))</f>
        <v>6152015.32467532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27" t="s">
        <v>42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7</v>
      </c>
      <c r="Y30" s="18" t="n">
        <f aca="false">SUMIF($X$2:$X$120,X30,$A$2:$A$120)</f>
        <v>6152015.32467532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2168636.08225108</v>
      </c>
      <c r="B31" s="14"/>
      <c r="C31" s="14"/>
      <c r="D31" s="14"/>
      <c r="E31" s="14" t="n">
        <v>4</v>
      </c>
      <c r="F31" s="14"/>
      <c r="G31" s="14" t="n">
        <v>1</v>
      </c>
      <c r="H31" s="14"/>
      <c r="I31" s="14"/>
      <c r="J31" s="14"/>
      <c r="K31" s="14"/>
      <c r="L31" s="24"/>
      <c r="M31" s="17"/>
      <c r="N31" s="28" t="s">
        <v>43</v>
      </c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7</v>
      </c>
      <c r="Y31" s="18" t="n">
        <f aca="false">SUMIF($X$2:$X$120,X31,$A$2:$A$120)</f>
        <v>6152015.32467532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27" t="s">
        <v>44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7</v>
      </c>
      <c r="Y32" s="18" t="n">
        <f aca="false">SUMIF($X$2:$X$120,X32,$A$2:$A$120)</f>
        <v>6152015.32467532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1583737.0995671</v>
      </c>
      <c r="B33" s="14"/>
      <c r="C33" s="14"/>
      <c r="D33" s="14" t="n">
        <v>2</v>
      </c>
      <c r="E33" s="14" t="n">
        <v>2</v>
      </c>
      <c r="F33" s="14"/>
      <c r="G33" s="14"/>
      <c r="H33" s="14"/>
      <c r="I33" s="14"/>
      <c r="J33" s="14"/>
      <c r="K33" s="14"/>
      <c r="L33" s="24"/>
      <c r="M33" s="17"/>
      <c r="N33" s="28" t="s">
        <v>45</v>
      </c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7</v>
      </c>
      <c r="Y33" s="18" t="n">
        <f aca="false">SUMIF($X$2:$X$120,X33,$A$2:$A$120)</f>
        <v>6152015.32467532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7" t="s">
        <v>46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7</v>
      </c>
      <c r="Y34" s="18" t="n">
        <f aca="false">SUMIF($X$2:$X$120,X34,$A$2:$A$120)</f>
        <v>6152015.32467532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2399642.14285714</v>
      </c>
      <c r="B35" s="14"/>
      <c r="C35" s="14"/>
      <c r="D35" s="14"/>
      <c r="E35" s="14" t="n">
        <v>4.5</v>
      </c>
      <c r="F35" s="14"/>
      <c r="G35" s="14" t="n">
        <v>1</v>
      </c>
      <c r="H35" s="14"/>
      <c r="I35" s="14"/>
      <c r="J35" s="14"/>
      <c r="K35" s="14"/>
      <c r="L35" s="24"/>
      <c r="M35" s="17"/>
      <c r="N35" s="33" t="s">
        <v>47</v>
      </c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7</v>
      </c>
      <c r="Y35" s="18" t="n">
        <f aca="false">SUMIF($X$2:$X$120,X35,$A$2:$A$120)</f>
        <v>6152015.32467532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31" t="s">
        <v>48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8</v>
      </c>
      <c r="Y36" s="18" t="n">
        <f aca="false">SUMIF($X$2:$X$120,X36,$A$2:$A$120)</f>
        <v>4463672.4025974</v>
      </c>
      <c r="Z36" s="19"/>
      <c r="AA36" s="20"/>
      <c r="AB36" s="21" t="b">
        <f aca="false">TRUE()</f>
        <v>1</v>
      </c>
      <c r="AC36" s="22" t="n">
        <f aca="false">IF(L36="",0,IF(AB36=FALSE(),0,Y36))</f>
        <v>4463672.4025974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27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8</v>
      </c>
      <c r="Y37" s="18" t="n">
        <f aca="false">SUMIF($X$2:$X$120,X37,$A$2:$A$120)</f>
        <v>4463672.4025974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1844248.7987013</v>
      </c>
      <c r="B38" s="14"/>
      <c r="C38" s="14"/>
      <c r="D38" s="14"/>
      <c r="E38" s="14"/>
      <c r="F38" s="14" t="n">
        <v>1.5</v>
      </c>
      <c r="G38" s="14"/>
      <c r="H38" s="14"/>
      <c r="I38" s="14"/>
      <c r="J38" s="14"/>
      <c r="K38" s="14" t="n">
        <v>3.5</v>
      </c>
      <c r="L38" s="24"/>
      <c r="M38" s="17"/>
      <c r="N38" s="28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8</v>
      </c>
      <c r="Y38" s="18" t="n">
        <f aca="false">SUMIF($X$2:$X$120,X38,$A$2:$A$120)</f>
        <v>4463672.4025974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1695399.36147186</v>
      </c>
      <c r="B39" s="14"/>
      <c r="C39" s="14"/>
      <c r="D39" s="14"/>
      <c r="E39" s="14" t="n">
        <v>2.5</v>
      </c>
      <c r="F39" s="14"/>
      <c r="G39" s="14"/>
      <c r="H39" s="14"/>
      <c r="I39" s="14"/>
      <c r="J39" s="14"/>
      <c r="K39" s="14" t="n">
        <v>1.5</v>
      </c>
      <c r="L39" s="24"/>
      <c r="M39" s="17"/>
      <c r="N39" s="28" t="s">
        <v>51</v>
      </c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8</v>
      </c>
      <c r="Y39" s="18" t="n">
        <f aca="false">SUMIF($X$2:$X$120,X39,$A$2:$A$120)</f>
        <v>4463672.4025974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924024.242424242</v>
      </c>
      <c r="B40" s="14"/>
      <c r="C40" s="14"/>
      <c r="D40" s="14"/>
      <c r="E40" s="14" t="n">
        <v>2</v>
      </c>
      <c r="F40" s="14"/>
      <c r="G40" s="14"/>
      <c r="H40" s="14"/>
      <c r="I40" s="14"/>
      <c r="J40" s="14"/>
      <c r="K40" s="14"/>
      <c r="L40" s="24"/>
      <c r="M40" s="17"/>
      <c r="N40" s="28" t="s">
        <v>52</v>
      </c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8</v>
      </c>
      <c r="Y40" s="18" t="n">
        <f aca="false">SUMIF($X$2:$X$120,X40,$A$2:$A$120)</f>
        <v>4463672.4025974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31" t="s">
        <v>53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9</v>
      </c>
      <c r="Y41" s="18" t="n">
        <f aca="false">SUMIF($X$2:$X$120,X41,$A$2:$A$120)</f>
        <v>1982558.38744589</v>
      </c>
      <c r="Z41" s="19"/>
      <c r="AA41" s="20"/>
      <c r="AB41" s="21" t="b">
        <f aca="false">TRUE()</f>
        <v>1</v>
      </c>
      <c r="AC41" s="22" t="n">
        <f aca="false">IF(L41="",0,IF(AB41=FALSE(),0,Y41))</f>
        <v>1982558.38744589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27" t="s">
        <v>54</v>
      </c>
      <c r="N42" s="32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9</v>
      </c>
      <c r="Y42" s="18" t="n">
        <f aca="false">SUMIF($X$2:$X$120,X42,$A$2:$A$120)</f>
        <v>1982558.38744589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1289540.20562771</v>
      </c>
      <c r="B43" s="14"/>
      <c r="C43" s="14"/>
      <c r="D43" s="14"/>
      <c r="E43" s="14"/>
      <c r="F43" s="14" t="n">
        <v>1</v>
      </c>
      <c r="G43" s="14"/>
      <c r="H43" s="14"/>
      <c r="I43" s="14"/>
      <c r="J43" s="14"/>
      <c r="K43" s="14" t="n">
        <v>2.5</v>
      </c>
      <c r="L43" s="24"/>
      <c r="M43" s="24"/>
      <c r="N43" s="28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9</v>
      </c>
      <c r="Y43" s="18" t="n">
        <f aca="false">SUMIF($X$2:$X$120,X43,$A$2:$A$120)</f>
        <v>1982558.38744589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693018.181818182</v>
      </c>
      <c r="B44" s="14"/>
      <c r="C44" s="14"/>
      <c r="D44" s="14"/>
      <c r="E44" s="14" t="n">
        <v>1.5</v>
      </c>
      <c r="F44" s="14"/>
      <c r="G44" s="14"/>
      <c r="H44" s="14"/>
      <c r="I44" s="14"/>
      <c r="J44" s="14"/>
      <c r="K44" s="14"/>
      <c r="L44" s="24"/>
      <c r="M44" s="17"/>
      <c r="N44" s="28" t="s">
        <v>56</v>
      </c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9</v>
      </c>
      <c r="Y44" s="18" t="n">
        <f aca="false">SUMIF($X$2:$X$120,X44,$A$2:$A$120)</f>
        <v>1982558.38744589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9</v>
      </c>
      <c r="Y45" s="18" t="n">
        <f aca="false">SUMIF($X$2:$X$120,X45,$A$2:$A$120)</f>
        <v>1982558.38744589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9</v>
      </c>
      <c r="Y46" s="18" t="n">
        <f aca="false">SUMIF($X$2:$X$120,X46,$A$2:$A$120)</f>
        <v>1982558.38744589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9</v>
      </c>
      <c r="Y47" s="18" t="n">
        <f aca="false">SUMIF($X$2:$X$120,X47,$A$2:$A$120)</f>
        <v>1982558.38744589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9</v>
      </c>
      <c r="Y48" s="18" t="n">
        <f aca="false">SUMIF($X$2:$X$120,X48,$A$2:$A$120)</f>
        <v>1982558.38744589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9</v>
      </c>
      <c r="Y49" s="18" t="n">
        <f aca="false">SUMIF($X$2:$X$120,X49,$A$2:$A$120)</f>
        <v>1982558.38744589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9</v>
      </c>
      <c r="Y50" s="18" t="n">
        <f aca="false">SUMIF($X$2:$X$120,X50,$A$2:$A$120)</f>
        <v>1982558.38744589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9</v>
      </c>
      <c r="Y51" s="18" t="n">
        <f aca="false">SUMIF($X$2:$X$120,X51,$A$2:$A$120)</f>
        <v>1982558.38744589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9</v>
      </c>
      <c r="Y52" s="18" t="n">
        <f aca="false">SUMIF($X$2:$X$120,X52,$A$2:$A$120)</f>
        <v>1982558.38744589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9</v>
      </c>
      <c r="Y53" s="18" t="n">
        <f aca="false">SUMIF($X$2:$X$120,X53,$A$2:$A$120)</f>
        <v>1982558.38744589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9</v>
      </c>
      <c r="Y54" s="18" t="n">
        <f aca="false">SUMIF($X$2:$X$120,X54,$A$2:$A$120)</f>
        <v>1982558.38744589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9</v>
      </c>
      <c r="Y55" s="18" t="n">
        <f aca="false">SUMIF($X$2:$X$120,X55,$A$2:$A$120)</f>
        <v>1982558.38744589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9</v>
      </c>
      <c r="Y56" s="18" t="n">
        <f aca="false">SUMIF($X$2:$X$120,X56,$A$2:$A$120)</f>
        <v>1982558.38744589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9</v>
      </c>
      <c r="Y57" s="18" t="n">
        <f aca="false">SUMIF($X$2:$X$120,X57,$A$2:$A$120)</f>
        <v>1982558.38744589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9</v>
      </c>
      <c r="Y58" s="18" t="n">
        <f aca="false">SUMIF($X$2:$X$120,X58,$A$2:$A$120)</f>
        <v>1982558.38744589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9</v>
      </c>
      <c r="Y59" s="18" t="n">
        <f aca="false">SUMIF($X$2:$X$120,X59,$A$2:$A$120)</f>
        <v>1982558.38744589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9</v>
      </c>
      <c r="Y60" s="18" t="n">
        <f aca="false">SUMIF($X$2:$X$120,X60,$A$2:$A$120)</f>
        <v>1982558.38744589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9</v>
      </c>
      <c r="Y61" s="18" t="n">
        <f aca="false">SUMIF($X$2:$X$120,X61,$A$2:$A$120)</f>
        <v>1982558.38744589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9</v>
      </c>
      <c r="Y62" s="18" t="n">
        <f aca="false">SUMIF($X$2:$X$120,X62,$A$2:$A$120)</f>
        <v>1982558.38744589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9</v>
      </c>
      <c r="Y63" s="18" t="n">
        <f aca="false">SUMIF($X$2:$X$120,X63,$A$2:$A$120)</f>
        <v>1982558.38744589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9</v>
      </c>
      <c r="Y64" s="18" t="n">
        <f aca="false">SUMIF($X$2:$X$120,X64,$A$2:$A$120)</f>
        <v>1982558.38744589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9</v>
      </c>
      <c r="Y65" s="18" t="n">
        <f aca="false">SUMIF($X$2:$X$120,X65,$A$2:$A$120)</f>
        <v>1982558.38744589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9</v>
      </c>
      <c r="Y66" s="18" t="n">
        <f aca="false">SUMIF($X$2:$X$120,X66,$A$2:$A$120)</f>
        <v>1982558.38744589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9</v>
      </c>
      <c r="Y67" s="18" t="n">
        <f aca="false">SUMIF($X$2:$X$120,X67,$A$2:$A$120)</f>
        <v>1982558.38744589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9</v>
      </c>
      <c r="Y68" s="18" t="n">
        <f aca="false">SUMIF($X$2:$X$120,X68,$A$2:$A$120)</f>
        <v>1982558.38744589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9</v>
      </c>
      <c r="Y69" s="18" t="n">
        <f aca="false">SUMIF($X$2:$X$120,X69,$A$2:$A$120)</f>
        <v>1982558.38744589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9</v>
      </c>
      <c r="Y70" s="18" t="n">
        <f aca="false">SUMIF($X$2:$X$120,X70,$A$2:$A$120)</f>
        <v>1982558.38744589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9</v>
      </c>
      <c r="Y71" s="18" t="n">
        <f aca="false">SUMIF($X$2:$X$120,X71,$A$2:$A$120)</f>
        <v>1982558.38744589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9</v>
      </c>
      <c r="Y72" s="18" t="n">
        <f aca="false">SUMIF($X$2:$X$120,X72,$A$2:$A$120)</f>
        <v>1982558.38744589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9</v>
      </c>
      <c r="Y73" s="18" t="n">
        <f aca="false">SUMIF($X$2:$X$120,X73,$A$2:$A$120)</f>
        <v>1982558.38744589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9</v>
      </c>
      <c r="Y74" s="18" t="n">
        <f aca="false">SUMIF($X$2:$X$120,X74,$A$2:$A$120)</f>
        <v>1982558.38744589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9</v>
      </c>
      <c r="Y75" s="18" t="n">
        <f aca="false">SUMIF($X$2:$X$120,X75,$A$2:$A$120)</f>
        <v>1982558.38744589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9</v>
      </c>
      <c r="Y76" s="18" t="n">
        <f aca="false">SUMIF($X$2:$X$120,X76,$A$2:$A$120)</f>
        <v>1982558.38744589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9</v>
      </c>
      <c r="Y77" s="18" t="n">
        <f aca="false">SUMIF($X$2:$X$120,X77,$A$2:$A$120)</f>
        <v>1982558.38744589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9</v>
      </c>
      <c r="Y78" s="18" t="n">
        <f aca="false">SUMIF($X$2:$X$120,X78,$A$2:$A$120)</f>
        <v>1982558.38744589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9</v>
      </c>
      <c r="Y79" s="18" t="n">
        <f aca="false">SUMIF($X$2:$X$120,X79,$A$2:$A$120)</f>
        <v>1982558.38744589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9</v>
      </c>
      <c r="Y80" s="18" t="n">
        <f aca="false">SUMIF($X$2:$X$120,X80,$A$2:$A$120)</f>
        <v>1982558.38744589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9</v>
      </c>
      <c r="Y81" s="18" t="n">
        <f aca="false">SUMIF($X$2:$X$120,X81,$A$2:$A$120)</f>
        <v>1982558.38744589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9</v>
      </c>
      <c r="Y82" s="18" t="n">
        <f aca="false">SUMIF($X$2:$X$120,X82,$A$2:$A$120)</f>
        <v>1982558.38744589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9</v>
      </c>
      <c r="Y83" s="18" t="n">
        <f aca="false">SUMIF($X$2:$X$120,X83,$A$2:$A$120)</f>
        <v>1982558.38744589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9</v>
      </c>
      <c r="Y84" s="18" t="n">
        <f aca="false">SUMIF($X$2:$X$120,X84,$A$2:$A$120)</f>
        <v>1982558.38744589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9</v>
      </c>
      <c r="Y85" s="18" t="n">
        <f aca="false">SUMIF($X$2:$X$120,X85,$A$2:$A$120)</f>
        <v>1982558.38744589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9</v>
      </c>
      <c r="Y86" s="18" t="n">
        <f aca="false">SUMIF($X$2:$X$120,X86,$A$2:$A$120)</f>
        <v>1982558.38744589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9</v>
      </c>
      <c r="Y87" s="18" t="n">
        <f aca="false">SUMIF($X$2:$X$120,X87,$A$2:$A$120)</f>
        <v>1982558.38744589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9</v>
      </c>
      <c r="Y88" s="18" t="n">
        <f aca="false">SUMIF($X$2:$X$120,X88,$A$2:$A$120)</f>
        <v>1982558.38744589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9</v>
      </c>
      <c r="Y89" s="18" t="n">
        <f aca="false">SUMIF($X$2:$X$120,X89,$A$2:$A$120)</f>
        <v>1982558.38744589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9</v>
      </c>
      <c r="Y90" s="18" t="n">
        <f aca="false">SUMIF($X$2:$X$120,X90,$A$2:$A$120)</f>
        <v>1982558.38744589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9</v>
      </c>
      <c r="Y91" s="18" t="n">
        <f aca="false">SUMIF($X$2:$X$120,X91,$A$2:$A$120)</f>
        <v>1982558.38744589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9</v>
      </c>
      <c r="Y92" s="18" t="n">
        <f aca="false">SUMIF($X$2:$X$120,X92,$A$2:$A$120)</f>
        <v>1982558.38744589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9</v>
      </c>
      <c r="Y93" s="18" t="n">
        <f aca="false">SUMIF($X$2:$X$120,X93,$A$2:$A$120)</f>
        <v>1982558.38744589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9</v>
      </c>
      <c r="Y94" s="18" t="n">
        <f aca="false">SUMIF($X$2:$X$120,X94,$A$2:$A$120)</f>
        <v>1982558.38744589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9</v>
      </c>
      <c r="Y95" s="18" t="n">
        <f aca="false">SUMIF($X$2:$X$120,X95,$A$2:$A$120)</f>
        <v>1982558.38744589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9</v>
      </c>
      <c r="Y96" s="18" t="n">
        <f aca="false">SUMIF($X$2:$X$120,X96,$A$2:$A$120)</f>
        <v>1982558.38744589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9</v>
      </c>
      <c r="Y97" s="18" t="n">
        <f aca="false">SUMIF($X$2:$X$120,X97,$A$2:$A$120)</f>
        <v>1982558.38744589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9</v>
      </c>
      <c r="Y98" s="18" t="n">
        <f aca="false">SUMIF($X$2:$X$120,X98,$A$2:$A$120)</f>
        <v>1982558.38744589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9</v>
      </c>
      <c r="Y99" s="18" t="n">
        <f aca="false">SUMIF($X$2:$X$120,X99,$A$2:$A$120)</f>
        <v>1982558.38744589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9</v>
      </c>
      <c r="Y100" s="18" t="n">
        <f aca="false">SUMIF($X$2:$X$120,X100,$A$2:$A$120)</f>
        <v>1982558.38744589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9</v>
      </c>
      <c r="Y101" s="18" t="n">
        <f aca="false">SUMIF($X$2:$X$120,X101,$A$2:$A$120)</f>
        <v>1982558.38744589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9</v>
      </c>
      <c r="Y102" s="18" t="n">
        <f aca="false">SUMIF($X$2:$X$120,X102,$A$2:$A$120)</f>
        <v>1982558.38744589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9</v>
      </c>
      <c r="Y103" s="18" t="n">
        <f aca="false">SUMIF($X$2:$X$120,X103,$A$2:$A$120)</f>
        <v>1982558.38744589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9</v>
      </c>
      <c r="Y104" s="18" t="n">
        <f aca="false">SUMIF($X$2:$X$120,X104,$A$2:$A$120)</f>
        <v>1982558.38744589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9</v>
      </c>
      <c r="Y105" s="18" t="n">
        <f aca="false">SUMIF($X$2:$X$120,X105,$A$2:$A$120)</f>
        <v>1982558.38744589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9</v>
      </c>
      <c r="Y106" s="18" t="n">
        <f aca="false">SUMIF($X$2:$X$120,X106,$A$2:$A$120)</f>
        <v>1982558.38744589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9</v>
      </c>
      <c r="Y107" s="18" t="n">
        <f aca="false">SUMIF($X$2:$X$120,X107,$A$2:$A$120)</f>
        <v>1982558.38744589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9</v>
      </c>
      <c r="Y108" s="18" t="n">
        <f aca="false">SUMIF($X$2:$X$120,X108,$A$2:$A$120)</f>
        <v>1982558.38744589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9</v>
      </c>
      <c r="Y109" s="18" t="n">
        <f aca="false">SUMIF($X$2:$X$120,X109,$A$2:$A$120)</f>
        <v>1982558.38744589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9</v>
      </c>
      <c r="Y110" s="18" t="n">
        <f aca="false">SUMIF($X$2:$X$120,X110,$A$2:$A$120)</f>
        <v>1982558.38744589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9</v>
      </c>
      <c r="Y111" s="18" t="n">
        <f aca="false">SUMIF($X$2:$X$120,X111,$A$2:$A$120)</f>
        <v>1982558.38744589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9</v>
      </c>
      <c r="Y112" s="18" t="n">
        <f aca="false">SUMIF($X$2:$X$120,X112,$A$2:$A$120)</f>
        <v>1982558.38744589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9</v>
      </c>
      <c r="Y113" s="18" t="n">
        <f aca="false">SUMIF($X$2:$X$120,X113,$A$2:$A$120)</f>
        <v>1982558.38744589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9</v>
      </c>
      <c r="Y114" s="18" t="n">
        <f aca="false">SUMIF($X$2:$X$120,X114,$A$2:$A$120)</f>
        <v>1982558.38744589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9</v>
      </c>
      <c r="Y115" s="18" t="n">
        <f aca="false">SUMIF($X$2:$X$120,X115,$A$2:$A$120)</f>
        <v>1982558.38744589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9</v>
      </c>
      <c r="Y116" s="18" t="n">
        <f aca="false">SUMIF($X$2:$X$120,X116,$A$2:$A$120)</f>
        <v>1982558.38744589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9</v>
      </c>
      <c r="Y117" s="18" t="n">
        <f aca="false">SUMIF($X$2:$X$120,X117,$A$2:$A$120)</f>
        <v>1982558.38744589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9</v>
      </c>
      <c r="Y118" s="18" t="n">
        <f aca="false">SUMIF($X$2:$X$120,X118,$A$2:$A$120)</f>
        <v>1982558.38744589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9</v>
      </c>
      <c r="Y119" s="18" t="n">
        <f aca="false">SUMIF($X$2:$X$120,X119,$A$2:$A$120)</f>
        <v>1982558.38744589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57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8</v>
      </c>
      <c r="C121" s="14" t="n">
        <f aca="false">SUM(C2:C120)</f>
        <v>5</v>
      </c>
      <c r="D121" s="14" t="n">
        <f aca="false">SUM(D2:D120)</f>
        <v>12.5</v>
      </c>
      <c r="E121" s="14" t="n">
        <f aca="false">SUM(E2:E120)</f>
        <v>35.5</v>
      </c>
      <c r="F121" s="14" t="n">
        <f aca="false">SUM(F2:F120)</f>
        <v>8</v>
      </c>
      <c r="G121" s="14" t="n">
        <f aca="false">SUM(G2:G120)</f>
        <v>3.5</v>
      </c>
      <c r="H121" s="14" t="n">
        <f aca="false">SUM(H2:H120)</f>
        <v>7.5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41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58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80630624.3326118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59</v>
      </c>
      <c r="E123" s="44" t="n">
        <v>1750905</v>
      </c>
      <c r="F123" s="45" t="s">
        <v>60</v>
      </c>
      <c r="G123" s="46" t="n">
        <v>249095</v>
      </c>
      <c r="H123" s="40"/>
      <c r="I123" s="47" t="s">
        <v>61</v>
      </c>
      <c r="J123" s="48" t="n">
        <v>0.18</v>
      </c>
      <c r="K123" s="48"/>
      <c r="L123" s="49" t="s">
        <v>62</v>
      </c>
      <c r="M123" s="50" t="n">
        <f aca="false">2.7/12</f>
        <v>0.225</v>
      </c>
      <c r="N123" s="51" t="s">
        <v>63</v>
      </c>
      <c r="O123" s="52" t="n">
        <f aca="false">40*4.2*((244-2)/260)</f>
        <v>156.369230769231</v>
      </c>
      <c r="P123" s="40"/>
      <c r="Q123" s="47" t="s">
        <v>64</v>
      </c>
      <c r="R123" s="53" t="n">
        <v>0.1</v>
      </c>
      <c r="S123" s="40"/>
      <c r="T123" s="54" t="n">
        <v>8</v>
      </c>
      <c r="U123" s="55" t="s">
        <v>65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66</v>
      </c>
      <c r="D124" s="57"/>
      <c r="E124" s="57"/>
      <c r="F124" s="57" t="s">
        <v>67</v>
      </c>
      <c r="G124" s="57"/>
      <c r="H124" s="57"/>
      <c r="I124" s="57" t="s">
        <v>68</v>
      </c>
      <c r="J124" s="57"/>
      <c r="K124" s="57"/>
      <c r="L124" s="57"/>
      <c r="M124" s="57" t="s">
        <v>69</v>
      </c>
      <c r="N124" s="57"/>
      <c r="O124" s="57"/>
      <c r="P124" s="57" t="s">
        <v>70</v>
      </c>
      <c r="Q124" s="57"/>
      <c r="R124" s="57"/>
      <c r="S124" s="40"/>
      <c r="T124" s="40"/>
      <c r="U124" s="58" t="s">
        <v>63</v>
      </c>
      <c r="V124" s="57" t="s">
        <v>71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72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4" t="n">
        <f aca="false">HLOOKUP(B125,$B$1:$K$121,$A$121,0)*$T$123</f>
        <v>64</v>
      </c>
      <c r="W125" s="61" t="n">
        <f aca="false">P125*U125</f>
        <v>4819296.96969697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73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4" t="n">
        <f aca="false">HLOOKUP(B126,$B$1:$K$121,$A$121,0)*$T$123</f>
        <v>40</v>
      </c>
      <c r="W126" s="61" t="n">
        <f aca="false">P126*U126</f>
        <v>1649282.14285714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74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4" t="n">
        <f aca="false">HLOOKUP(B127,$B$1:$K$121,$A$121,0)*$T$123</f>
        <v>100</v>
      </c>
      <c r="W127" s="61" t="n">
        <f aca="false">P127*U127</f>
        <v>4123205.35714286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75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4" t="n">
        <f aca="false">HLOOKUP(B128,$B$1:$K$121,$A$121,0)*$T$123</f>
        <v>284</v>
      </c>
      <c r="W128" s="61" t="n">
        <f aca="false">P128*U128</f>
        <v>16401430.3030303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76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4" t="n">
        <f aca="false">HLOOKUP(B129,$B$1:$K$121,$A$121,0)*$T$123</f>
        <v>64</v>
      </c>
      <c r="W129" s="61" t="n">
        <f aca="false">P129*U129</f>
        <v>3111400.86580087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77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4" t="n">
        <f aca="false">HLOOKUP(B130,$B$1:$K$121,$A$121,0)*$T$123</f>
        <v>28</v>
      </c>
      <c r="W130" s="61" t="n">
        <f aca="false">P130*U130</f>
        <v>1122056.59090909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78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4" t="n">
        <f aca="false">HLOOKUP(B131,$B$1:$K$121,$A$121,0)*$T$123</f>
        <v>60</v>
      </c>
      <c r="W131" s="61" t="n">
        <f aca="false">P131*U131</f>
        <v>2381614.77272727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79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4" t="n">
        <f aca="false">HLOOKUP(B132,$B$1:$K$121,$A$121,0)*$T$123</f>
        <v>0</v>
      </c>
      <c r="W132" s="61" t="n">
        <f aca="false">P132*U132</f>
        <v>0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80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4" t="n">
        <f aca="false">HLOOKUP(B133,$B$1:$K$121,$A$121,0)*$T$123</f>
        <v>0</v>
      </c>
      <c r="W133" s="61" t="n">
        <f aca="false">P133*U133</f>
        <v>0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81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4" t="n">
        <f aca="false">HLOOKUP(B134,$B$1:$K$121,$A$121,0)*$T$123</f>
        <v>328</v>
      </c>
      <c r="W134" s="61" t="n">
        <f aca="false">P134*U134</f>
        <v>14770087.5974026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48378374.5995671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82</v>
      </c>
      <c r="H140" s="74" t="s">
        <v>83</v>
      </c>
      <c r="I140" s="74" t="s">
        <v>84</v>
      </c>
      <c r="J140" s="74" t="s">
        <v>85</v>
      </c>
      <c r="K140" s="74" t="s">
        <v>86</v>
      </c>
      <c r="L140" s="75" t="s">
        <v>87</v>
      </c>
      <c r="M140" s="75" t="s">
        <v>88</v>
      </c>
      <c r="N140" s="75" t="s">
        <v>89</v>
      </c>
      <c r="O140" s="75" t="s">
        <v>90</v>
      </c>
      <c r="P140" s="74" t="s">
        <v>91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92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2026-08-05T18:46:56Z</dcterms:created>
  <dc:creator>openpyxl</dc:creator>
  <dc:description/>
  <dc:language>es-CO</dc:language>
  <cp:lastModifiedBy>Full Service</cp:lastModifiedBy>
  <dcterms:modified xsi:type="dcterms:W3CDTF">2026-08-05T18:54:39Z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