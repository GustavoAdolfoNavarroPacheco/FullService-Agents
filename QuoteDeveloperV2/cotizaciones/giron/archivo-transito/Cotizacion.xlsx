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till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None</author>
  </authors>
  <commentList>
    <comment ref="B1" authorId="0">
      <text>
        <r>
          <rPr>
            <sz val="10"/>
            <rFont val="Arial"/>
            <family val="2"/>
          </rPr>
          <t xml:space="preserve">Bases de datos
Estructura Proyecto
Líder equipo, creación actividad
Taskman</t>
        </r>
      </text>
    </comment>
    <comment ref="C1" authorId="0">
      <text>
        <r>
          <rPr>
            <sz val="10"/>
            <rFont val="Arial"/>
            <family val="2"/>
          </rPr>
          <t xml:space="preserve">Diseño interfaz</t>
        </r>
      </text>
    </comment>
    <comment ref="D1" authorId="0">
      <text>
        <r>
          <rPr>
            <sz val="10"/>
            <rFont val="Arial"/>
            <family val="2"/>
          </rPr>
          <t xml:space="preserve">Frontend Medium</t>
        </r>
      </text>
    </comment>
    <comment ref="E1" authorId="0">
      <text>
        <r>
          <rPr>
            <sz val="10"/>
            <rFont val="Arial"/>
            <family val="2"/>
          </rPr>
          <t xml:space="preserve">Backend Senior</t>
        </r>
      </text>
    </comment>
    <comment ref="E123" authorId="0">
      <text>
        <r>
          <rPr>
            <sz val="10"/>
            <rFont val="Arial"/>
            <family val="2"/>
          </rPr>
          <t xml:space="preserve">Salario minimo legal vigente</t>
        </r>
      </text>
    </comment>
    <comment ref="F1" authorId="0">
      <text>
        <r>
          <rPr>
            <sz val="10"/>
            <rFont val="Arial"/>
            <family val="2"/>
          </rPr>
          <t xml:space="preserve">Backend Medium</t>
        </r>
      </text>
    </comment>
    <comment ref="G1" authorId="0">
      <text>
        <r>
          <rPr>
            <sz val="10"/>
            <rFont val="Arial"/>
            <family val="2"/>
          </rPr>
          <t xml:space="preserve">QA, Test</t>
        </r>
      </text>
    </comment>
    <comment ref="G123" authorId="0">
      <text>
        <r>
          <rPr>
            <sz val="10"/>
            <rFont val="Arial"/>
            <family val="2"/>
          </rPr>
          <t xml:space="preserve">Auxilio de transporte</t>
        </r>
      </text>
    </comment>
    <comment ref="H1" authorId="0">
      <text>
        <r>
          <rPr>
            <sz val="10"/>
            <rFont val="Arial"/>
            <family val="2"/>
          </rPr>
          <t xml:space="preserve">Implementación, capacitación, entrega</t>
        </r>
      </text>
    </comment>
    <comment ref="I1" authorId="0">
      <text>
        <r>
          <rPr>
            <sz val="10"/>
            <rFont val="Arial"/>
            <family val="2"/>
          </rPr>
          <t xml:space="preserve">Mobile Semi-senior</t>
        </r>
      </text>
    </comment>
    <comment ref="I122" authorId="0">
      <text>
        <r>
          <rPr>
            <sz val="10"/>
            <rFont val="Arial"/>
            <family val="2"/>
          </rPr>
          <t xml:space="preserve">Valor mensual por persona</t>
        </r>
      </text>
    </comment>
    <comment ref="I130" authorId="0">
      <text>
        <r>
          <rPr>
            <sz val="10"/>
            <rFont val="Arial"/>
            <family val="2"/>
          </rPr>
          <t xml:space="preserve">Equipos mobile para test</t>
        </r>
      </text>
    </comment>
    <comment ref="I132" authorId="0">
      <text>
        <r>
          <rPr>
            <sz val="10"/>
            <rFont val="Arial"/>
            <family val="2"/>
          </rPr>
          <t xml:space="preserve">Equipo MAC para despliegue</t>
        </r>
      </text>
    </comment>
    <comment ref="I133" authorId="0">
      <text>
        <r>
          <rPr>
            <sz val="10"/>
            <rFont val="Arial"/>
            <family val="2"/>
          </rPr>
          <t xml:space="preserve">Equipo MAC para despliegue</t>
        </r>
      </text>
    </comment>
    <comment ref="J1" authorId="0">
      <text>
        <r>
          <rPr>
            <sz val="10"/>
            <rFont val="Arial"/>
            <family val="2"/>
          </rPr>
          <t xml:space="preserve">Mobile Medium</t>
        </r>
      </text>
    </comment>
    <comment ref="J123" authorId="0">
      <text>
        <r>
          <rPr>
            <sz val="10"/>
            <rFont val="Arial"/>
            <family val="2"/>
          </rPr>
          <t xml:space="preserve">12% pensión
4% caja
0,5% ARL
13% adicional si fueran +10 salarios</t>
        </r>
      </text>
    </comment>
    <comment ref="K1" authorId="0">
      <text>
        <r>
          <rPr>
            <sz val="10"/>
            <rFont val="Arial"/>
            <family val="2"/>
          </rPr>
          <t xml:space="preserve">Desarrollador Back -Skill IA 
</t>
        </r>
      </text>
    </comment>
    <comment ref="M122" authorId="0">
      <text>
        <r>
          <rPr>
            <sz val="10"/>
            <rFont val="Arial"/>
            <family val="2"/>
          </rPr>
          <t xml:space="preserve">Espacio de trabajo + Computador</t>
        </r>
      </text>
    </comment>
    <comment ref="M123" authorId="0">
      <text>
        <r>
          <rPr>
            <sz val="10"/>
            <rFont val="Arial"/>
            <family val="2"/>
          </rPr>
          <t xml:space="preserve">1 primas
1 cesantías
0,5 vacaciones
1% intereses censantías + aux</t>
        </r>
      </text>
    </comment>
    <comment ref="O1" authorId="0">
      <text>
        <r>
          <rPr>
            <sz val="10"/>
            <rFont val="Arial"/>
            <family val="2"/>
          </rPr>
          <t xml:space="preserve">Resumen del Proyecto 
</t>
        </r>
      </text>
    </comment>
    <comment ref="O123" authorId="0">
      <text>
        <r>
          <rPr>
            <sz val="10"/>
            <rFont val="Arial"/>
            <family val="2"/>
          </rPr>
          <t xml:space="preserve">40 semanales
x 4,2 semanas al mes
x días festivos del año / total hábiles</t>
        </r>
      </text>
    </comment>
    <comment ref="W1" authorId="0">
      <text>
        <r>
          <rPr>
            <sz val="10"/>
            <rFont val="Arial"/>
            <family val="2"/>
          </rPr>
          <t xml:space="preserve">Fecha de actualización</t>
        </r>
      </text>
    </comment>
    <comment ref="Y1" authorId="0">
      <text>
        <r>
          <rPr>
            <sz val="10"/>
            <rFont val="Arial"/>
            <family val="2"/>
          </rPr>
          <t xml:space="preserve">COSTO con todos los alcances</t>
        </r>
      </text>
    </comment>
    <comment ref="Z1" authorId="0">
      <text>
        <r>
          <rPr>
            <sz val="10"/>
            <rFont val="Arial"/>
            <family val="2"/>
          </rPr>
          <t xml:space="preserve">Alcances que se consideran importantes para el cliente, son Plus o hacen parte esencial de la oferta de valor</t>
        </r>
      </text>
    </comment>
    <comment ref="AA1" authorId="0">
      <text>
        <r>
          <rPr>
            <sz val="10"/>
            <rFont val="Arial"/>
            <family val="2"/>
          </rPr>
          <t xml:space="preserve">Ítems o funcionalidades que No son criticas o prioritarias en el sistema y sería posible eliminarlas</t>
        </r>
      </text>
    </comment>
    <comment ref="AB1" authorId="0">
      <text>
        <r>
          <rPr>
            <sz val="10"/>
            <rFont val="Arial"/>
            <family val="2"/>
          </rPr>
          <t xml:space="preserve">Selección de alcances, para creación de 2da versión de la oferta</t>
        </r>
      </text>
    </comment>
  </commentList>
</comments>
</file>

<file path=xl/sharedStrings.xml><?xml version="1.0" encoding="utf-8"?>
<sst xmlns="http://schemas.openxmlformats.org/spreadsheetml/2006/main" count="78" uniqueCount="76">
  <si>
    <t xml:space="preserve">Días de Trabajo por especialidad</t>
  </si>
  <si>
    <t xml:space="preserve">DB</t>
  </si>
  <si>
    <t xml:space="preserve">UX</t>
  </si>
  <si>
    <t xml:space="preserve">FM</t>
  </si>
  <si>
    <t xml:space="preserve">BS</t>
  </si>
  <si>
    <t xml:space="preserve">BM</t>
  </si>
  <si>
    <t xml:space="preserve">QA</t>
  </si>
  <si>
    <t xml:space="preserve">IM</t>
  </si>
  <si>
    <t xml:space="preserve">MS</t>
  </si>
  <si>
    <t xml:space="preserve">MM</t>
  </si>
  <si>
    <t xml:space="preserve">IA </t>
  </si>
  <si>
    <t xml:space="preserve">Resumen</t>
  </si>
  <si>
    <t xml:space="preserve">Escribe acá una breve descripción del proyecto</t>
  </si>
  <si>
    <t xml:space="preserve">Plus</t>
  </si>
  <si>
    <t xml:space="preserve">Quitar</t>
  </si>
  <si>
    <t xml:space="preserve">2da Ver</t>
  </si>
  <si>
    <t xml:space="preserve">Estructura del proyecto</t>
  </si>
  <si>
    <t xml:space="preserve">UX y esquema del proyecto</t>
  </si>
  <si>
    <t xml:space="preserve">Implementación y entrega del sistema</t>
  </si>
  <si>
    <t xml:space="preserve">Estructura del agente IA </t>
  </si>
  <si>
    <t xml:space="preserve">SISTEMA DE ARCHIVO DIGITAL DE TRÁNSITO - organización del archivo propio de la Secretaría y reducción de duplicidad entre información física y digital</t>
  </si>
  <si>
    <t xml:space="preserve">Digitalización y organización</t>
  </si>
  <si>
    <t xml:space="preserve">Digitalización.</t>
  </si>
  <si>
    <t xml:space="preserve">Indexación.</t>
  </si>
  <si>
    <t xml:space="preserve">Depuración de duplicados.</t>
  </si>
  <si>
    <t xml:space="preserve">Clasificación documental.</t>
  </si>
  <si>
    <t xml:space="preserve">Consulta e integración</t>
  </si>
  <si>
    <t xml:space="preserve">Consulta de expedientes.</t>
  </si>
  <si>
    <t xml:space="preserve">Integración con Archivo Central.</t>
  </si>
  <si>
    <t xml:space="preserve">Transferencias y conservación</t>
  </si>
  <si>
    <t xml:space="preserve">Control de transferencias.</t>
  </si>
  <si>
    <t xml:space="preserve">Control de conservación.</t>
  </si>
  <si>
    <t xml:space="preserve">MÓDULO DE INTEGRACIÓN PARA NOTIFICACIÓN DE COMPARENDOS - cierre del vacío en notificación de comparendos con información de sistemas externos</t>
  </si>
  <si>
    <t xml:space="preserve">Integración y obtención de datos</t>
  </si>
  <si>
    <t xml:space="preserve">Consulta/integración con sistemas autorizados.</t>
  </si>
  <si>
    <t xml:space="preserve">Obtención de datos requeridos para notificación.</t>
  </si>
  <si>
    <t xml:space="preserve">Notificación y registro</t>
  </si>
  <si>
    <t xml:space="preserve">Preparación de comunicación.</t>
  </si>
  <si>
    <t xml:space="preserve">Registro de la actuación.</t>
  </si>
  <si>
    <t xml:space="preserve">Trazabilidad del proceso.</t>
  </si>
  <si>
    <t xml:space="preserve">No borrar</t>
  </si>
  <si>
    <t xml:space="preserve">Costos Fijos -&gt;</t>
  </si>
  <si>
    <t xml:space="preserve">Min</t>
  </si>
  <si>
    <t xml:space="preserve">Aux</t>
  </si>
  <si>
    <t xml:space="preserve">SS</t>
  </si>
  <si>
    <t xml:space="preserve">Prov</t>
  </si>
  <si>
    <t xml:space="preserve">Horas</t>
  </si>
  <si>
    <t xml:space="preserve">AIU</t>
  </si>
  <si>
    <t xml:space="preserve">Horas Rango</t>
  </si>
  <si>
    <t xml:space="preserve">Básico</t>
  </si>
  <si>
    <t xml:space="preserve">Bono</t>
  </si>
  <si>
    <t xml:space="preserve">Otros</t>
  </si>
  <si>
    <t xml:space="preserve">TOTAL</t>
  </si>
  <si>
    <t xml:space="preserve">Valor Hora</t>
  </si>
  <si>
    <t xml:space="preserve">Valor Proyecto</t>
  </si>
  <si>
    <t xml:space="preserve">DB, Líder, Arquitecto, Scrum</t>
  </si>
  <si>
    <t xml:space="preserve">Diseño UI/UX</t>
  </si>
  <si>
    <t xml:space="preserve">FrontEnd Medium</t>
  </si>
  <si>
    <t xml:space="preserve">BackEnd Senior</t>
  </si>
  <si>
    <t xml:space="preserve">BackEnd Semi-Senior</t>
  </si>
  <si>
    <t xml:space="preserve">QA, Test</t>
  </si>
  <si>
    <t xml:space="preserve">Implementación, Capacitación</t>
  </si>
  <si>
    <t xml:space="preserve">Mobile Semi-Senior</t>
  </si>
  <si>
    <t xml:space="preserve">Mobile Medium</t>
  </si>
  <si>
    <t xml:space="preserve">BackEnd IA 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</si>
  <si>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</si>
  <si>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</si>
  <si>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</si>
  <si>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</si>
  <si>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</si>
  <si>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</si>
  <si>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</si>
  <si>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</si>
  <si>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</si>
  <si>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</si>
  <si>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 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</si>
</sst>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\ mmmm\ yyyy"/>
    <numFmt numFmtId="166" formatCode="\$#,##0"/>
    <numFmt numFmtId="167" formatCode="0%"/>
    <numFmt numFmtId="168" formatCode="#,##0"/>
    <numFmt numFmtId="169" formatCode="#,##0_);[RED]#,##0"/>
    <numFmt numFmtId="170" formatCode="0"/>
    <numFmt numFmtId="171" formatCode="\ mmmm\ "/>
  </numFmts>
  <fonts count="2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4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1"/>
      <color rgb="FF000000"/>
      <name val="&quot;Calibri&quot;"/>
      <family val="0"/>
      <charset val="1"/>
    </font>
    <font>
      <b val="true"/>
      <sz val="10"/>
      <color rgb="FFFF0000"/>
      <name val="Arial"/>
      <family val="0"/>
      <charset val="1"/>
    </font>
    <font>
      <sz val="10"/>
      <color rgb="FF000000"/>
      <name val="&quot;Calibri&quot;"/>
      <family val="0"/>
      <charset val="1"/>
    </font>
    <font>
      <sz val="8"/>
      <color theme="1"/>
      <name val="Arial"/>
      <family val="0"/>
      <charset val="1"/>
    </font>
    <font>
      <sz val="10"/>
      <color rgb="FF686868"/>
      <name val="&quot;Open Sans&quot;"/>
      <family val="0"/>
      <charset val="1"/>
    </font>
    <font>
      <sz val="1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6AA84F"/>
        <bgColor rgb="FF808080"/>
      </patternFill>
    </fill>
    <fill>
      <patternFill patternType="solid">
        <fgColor rgb="FF1155CC"/>
        <bgColor rgb="FF3366FF"/>
      </patternFill>
    </fill>
    <fill>
      <patternFill patternType="solid">
        <fgColor rgb="FF9FC5E8"/>
        <bgColor rgb="FFA4C2F4"/>
      </patternFill>
    </fill>
    <fill>
      <patternFill patternType="solid">
        <fgColor rgb="FFFFFF00"/>
        <bgColor rgb="FFFFD966"/>
      </patternFill>
    </fill>
    <fill>
      <patternFill patternType="solid">
        <fgColor rgb="FF274E13"/>
        <bgColor rgb="FF333333"/>
      </patternFill>
    </fill>
    <fill>
      <patternFill patternType="solid">
        <fgColor rgb="FFFFFFFF"/>
        <bgColor rgb="FFF3F3F3"/>
      </patternFill>
    </fill>
    <fill>
      <patternFill patternType="solid">
        <fgColor rgb="FF999999"/>
        <bgColor rgb="FF808080"/>
      </patternFill>
    </fill>
    <fill>
      <patternFill patternType="solid">
        <fgColor rgb="FFFF0000"/>
        <bgColor rgb="FF993300"/>
      </patternFill>
    </fill>
    <fill>
      <patternFill patternType="solid">
        <fgColor rgb="FFFFF2CC"/>
        <bgColor rgb="FFFCE8B2"/>
      </patternFill>
    </fill>
    <fill>
      <patternFill patternType="solid">
        <fgColor rgb="FFCFE2F3"/>
        <bgColor rgb="FFC9DAF8"/>
      </patternFill>
    </fill>
    <fill>
      <patternFill patternType="solid">
        <fgColor rgb="FFD9EAD3"/>
        <bgColor rgb="FFD9D9D9"/>
      </patternFill>
    </fill>
    <fill>
      <patternFill patternType="solid">
        <fgColor rgb="FFB6D7A8"/>
        <bgColor rgb="FFCCCCCC"/>
      </patternFill>
    </fill>
    <fill>
      <patternFill patternType="solid">
        <fgColor rgb="FFC9DAF8"/>
        <bgColor rgb="FFCFE2F3"/>
      </patternFill>
    </fill>
    <fill>
      <patternFill patternType="solid">
        <fgColor rgb="FFEAD1DC"/>
        <bgColor rgb="FFD9D2E9"/>
      </patternFill>
    </fill>
    <fill>
      <patternFill patternType="solid">
        <fgColor rgb="FFD9D2E9"/>
        <bgColor rgb="FFD9D9D9"/>
      </patternFill>
    </fill>
    <fill>
      <patternFill patternType="solid">
        <fgColor rgb="FFEFEFEF"/>
        <bgColor rgb="FFF3F3F3"/>
      </patternFill>
    </fill>
    <fill>
      <patternFill patternType="solid">
        <fgColor rgb="FFA4C2F4"/>
        <bgColor rgb="FF9FC5E8"/>
      </patternFill>
    </fill>
    <fill>
      <patternFill patternType="solid">
        <fgColor rgb="FFD9D9D9"/>
        <bgColor rgb="FFD9D2E9"/>
      </patternFill>
    </fill>
    <fill>
      <patternFill patternType="solid">
        <fgColor rgb="FFF3F3F3"/>
        <bgColor rgb="FFEFEFE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FFFFFF"/>
      </left>
      <right/>
      <top style="thin">
        <color rgb="FFFFFFFF"/>
      </top>
      <bottom/>
      <diagonal/>
    </border>
    <border diagonalUp="false" diagonalDown="false">
      <left style="thin">
        <color rgb="FFB7B7B7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1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8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8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8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8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4" fillId="18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" fillId="1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FFD966"/>
      </font>
      <fill>
        <patternFill>
          <bgColor rgb="FFFFD966"/>
        </patternFill>
      </fill>
    </dxf>
    <dxf>
      <font>
        <b val="1"/>
      </font>
      <fill>
        <patternFill>
          <bgColor rgb="FFFCE8B2"/>
        </patternFill>
      </fill>
    </dxf>
    <dxf>
      <font>
        <b val="1"/>
      </font>
      <fill>
        <patternFill>
          <bgColor rgb="FF00FF00"/>
        </patternFill>
      </fill>
    </dxf>
    <dxf>
      <fill>
        <patternFill>
          <bgColor rgb="FFCCCCCC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A4C2F4"/>
      <rgbColor rgb="FF993366"/>
      <rgbColor rgb="FFFFF2CC"/>
      <rgbColor rgb="FFCFE2F3"/>
      <rgbColor rgb="FF660066"/>
      <rgbColor rgb="FFD9D2E9"/>
      <rgbColor rgb="FF1155CC"/>
      <rgbColor rgb="FFC9DAF8"/>
      <rgbColor rgb="FF000080"/>
      <rgbColor rgb="FFFF00FF"/>
      <rgbColor rgb="FFF3F3F3"/>
      <rgbColor rgb="FF00FFFF"/>
      <rgbColor rgb="FF800080"/>
      <rgbColor rgb="FF800000"/>
      <rgbColor rgb="FF008080"/>
      <rgbColor rgb="FF0000FF"/>
      <rgbColor rgb="FF00CCFF"/>
      <rgbColor rgb="FFEFEFEF"/>
      <rgbColor rgb="FFD9EAD3"/>
      <rgbColor rgb="FFFCE8B2"/>
      <rgbColor rgb="FF9FC5E8"/>
      <rgbColor rgb="FFEAD1DC"/>
      <rgbColor rgb="FFCCCCCC"/>
      <rgbColor rgb="FFFFD966"/>
      <rgbColor rgb="FF3366FF"/>
      <rgbColor rgb="FF33CCCC"/>
      <rgbColor rgb="FFB6D7A8"/>
      <rgbColor rgb="FFD9D9D9"/>
      <rgbColor rgb="FFFF9900"/>
      <rgbColor rgb="FFFF6600"/>
      <rgbColor rgb="FF686868"/>
      <rgbColor rgb="FF999999"/>
      <rgbColor rgb="FF003366"/>
      <rgbColor rgb="FF6AA84F"/>
      <rgbColor rgb="FF003300"/>
      <rgbColor rgb="FF274E1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E1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F10" activeCellId="0" sqref="AF10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0" width="23.86"/>
    <col collapsed="false" customWidth="true" hidden="false" outlineLevel="0" max="4" min="2" style="0" width="5"/>
    <col collapsed="false" customWidth="true" hidden="false" outlineLevel="0" max="5" min="5" style="0" width="6.71"/>
    <col collapsed="false" customWidth="true" hidden="false" outlineLevel="0" max="8" min="6" style="0" width="5"/>
    <col collapsed="false" customWidth="true" hidden="false" outlineLevel="0" max="22" min="9" style="0" width="4.57"/>
    <col collapsed="false" customWidth="true" hidden="false" outlineLevel="0" max="23" min="23" style="0" width="19.14"/>
    <col collapsed="false" customWidth="true" hidden="false" outlineLevel="0" max="24" min="24" style="0" width="4.57"/>
    <col collapsed="false" customWidth="true" hidden="false" outlineLevel="0" max="25" min="25" style="0" width="13.29"/>
    <col collapsed="false" customWidth="true" hidden="false" outlineLevel="0" max="27" min="26" style="0" width="6"/>
    <col collapsed="false" customWidth="true" hidden="false" outlineLevel="0" max="28" min="28" style="0" width="5"/>
    <col collapsed="false" customWidth="true" hidden="false" outlineLevel="0" max="29" min="29" style="0" width="15"/>
    <col collapsed="false" customWidth="true" hidden="false" outlineLevel="0" max="31" min="30" style="0" width="4.57"/>
  </cols>
  <sheetData>
    <row r="1" customFormat="false" ht="25.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4" t="s">
        <v>11</v>
      </c>
      <c r="N1" s="4"/>
      <c r="O1" s="5" t="s">
        <v>12</v>
      </c>
      <c r="P1" s="5"/>
      <c r="Q1" s="5"/>
      <c r="R1" s="5"/>
      <c r="S1" s="5"/>
      <c r="T1" s="5"/>
      <c r="U1" s="5"/>
      <c r="V1" s="3"/>
      <c r="W1" s="6" t="n">
        <v>46049</v>
      </c>
      <c r="X1" s="3"/>
      <c r="Y1" s="7" t="n">
        <f aca="false">SUMIFS(Y2:Y120,L2:L120,"&lt;&gt;"&amp;"")</f>
        <v>15206181.7424242</v>
      </c>
      <c r="Z1" s="3" t="s">
        <v>13</v>
      </c>
      <c r="AA1" s="8" t="s">
        <v>14</v>
      </c>
      <c r="AB1" s="9" t="s">
        <v>15</v>
      </c>
      <c r="AC1" s="10" t="n">
        <f aca="false">SUM(AC2:AC120)</f>
        <v>15206181.7424242</v>
      </c>
      <c r="AD1" s="3"/>
      <c r="AE1" s="3"/>
    </row>
    <row r="2" customFormat="false" ht="15.75" hidden="false" customHeight="true" outlineLevel="0" collapsed="false">
      <c r="A2" s="11" t="n">
        <f aca="false">(B2*$P$125+C2*$P$126+D2*$P$127+E2*$P$128+F2*$P$129+G2*$P$130+H2*$P$131+I2*$P$132+J2*$P$133+K2*$P$134)*$T$123</f>
        <v>1807236.36363636</v>
      </c>
      <c r="B2" s="12" t="n">
        <v>3</v>
      </c>
      <c r="C2" s="13"/>
      <c r="D2" s="13"/>
      <c r="E2" s="13"/>
      <c r="F2" s="13"/>
      <c r="G2" s="13"/>
      <c r="H2" s="13"/>
      <c r="I2" s="13"/>
      <c r="J2" s="14"/>
      <c r="K2" s="14"/>
      <c r="L2" s="15" t="s">
        <v>16</v>
      </c>
      <c r="M2" s="16"/>
      <c r="N2" s="17"/>
      <c r="O2" s="17"/>
      <c r="P2" s="17"/>
      <c r="Q2" s="17"/>
      <c r="R2" s="17"/>
      <c r="S2" s="17"/>
      <c r="T2" s="17"/>
      <c r="U2" s="17"/>
      <c r="V2" s="17"/>
      <c r="W2" s="17"/>
      <c r="X2" s="17" t="n">
        <f aca="false">COUNTIF($L$2:L2,"&lt;&gt;"&amp;"")</f>
        <v>1</v>
      </c>
      <c r="Y2" s="18" t="n">
        <f aca="false">SUMIF($X$2:$X$120,X2,$A$2:$A$120)</f>
        <v>1807236.36363636</v>
      </c>
      <c r="Z2" s="19"/>
      <c r="AA2" s="20"/>
      <c r="AB2" s="21" t="b">
        <f aca="false">TRUE()</f>
        <v>1</v>
      </c>
      <c r="AC2" s="22" t="n">
        <f aca="false">IF(L2="",0,IF(AB2=FALSE(),0,Y2))</f>
        <v>1807236.36363636</v>
      </c>
      <c r="AD2" s="14"/>
      <c r="AE2" s="14"/>
    </row>
    <row r="3" customFormat="false" ht="15.75" hidden="false" customHeight="true" outlineLevel="0" collapsed="false">
      <c r="A3" s="11" t="n">
        <f aca="false">(B3*$P$125+C3*$P$126+D3*$P$127+E3*$P$128+F3*$P$129+G3*$P$130+H3*$P$131+I3*$P$132+J3*$P$133+K3*$P$134)*$T$123</f>
        <v>659712.857142857</v>
      </c>
      <c r="B3" s="13"/>
      <c r="C3" s="12" t="n">
        <v>2</v>
      </c>
      <c r="D3" s="12"/>
      <c r="E3" s="13"/>
      <c r="F3" s="13"/>
      <c r="G3" s="13"/>
      <c r="H3" s="13"/>
      <c r="I3" s="13"/>
      <c r="J3" s="14"/>
      <c r="K3" s="14"/>
      <c r="L3" s="15" t="s">
        <v>17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 t="n">
        <f aca="false">COUNTIF($L$2:L3,"&lt;&gt;"&amp;"")</f>
        <v>2</v>
      </c>
      <c r="Y3" s="18" t="n">
        <f aca="false">SUMIF($X$2:$X$120,X3,$A$2:$A$120)</f>
        <v>659712.857142857</v>
      </c>
      <c r="Z3" s="19"/>
      <c r="AA3" s="20"/>
      <c r="AB3" s="21" t="b">
        <f aca="false">TRUE()</f>
        <v>1</v>
      </c>
      <c r="AC3" s="22" t="n">
        <f aca="false">IF(L3="",0,IF(AB3=FALSE(),0,Y3))</f>
        <v>659712.857142857</v>
      </c>
      <c r="AD3" s="14"/>
      <c r="AE3" s="14"/>
    </row>
    <row r="4" customFormat="false" ht="15.75" hidden="false" customHeight="true" outlineLevel="0" collapsed="false">
      <c r="A4" s="11" t="n">
        <f aca="false">(B4*$P$125+C4*$P$126+D4*$P$127+E4*$P$128+F4*$P$129+G4*$P$130+H4*$P$131+I4*$P$132+J4*$P$133+K4*$P$134)*$T$123</f>
        <v>793871.590909091</v>
      </c>
      <c r="B4" s="13"/>
      <c r="C4" s="13"/>
      <c r="D4" s="13"/>
      <c r="E4" s="13"/>
      <c r="F4" s="13"/>
      <c r="G4" s="13"/>
      <c r="H4" s="12" t="n">
        <v>2.5</v>
      </c>
      <c r="I4" s="13"/>
      <c r="J4" s="14"/>
      <c r="K4" s="14"/>
      <c r="L4" s="15" t="s">
        <v>18</v>
      </c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 t="n">
        <f aca="false">COUNTIF($L$2:L4,"&lt;&gt;"&amp;"")</f>
        <v>3</v>
      </c>
      <c r="Y4" s="18" t="n">
        <f aca="false">SUMIF($X$2:$X$120,X4,$A$2:$A$120)</f>
        <v>793871.590909091</v>
      </c>
      <c r="Z4" s="19"/>
      <c r="AA4" s="23"/>
      <c r="AB4" s="21" t="b">
        <f aca="false">TRUE()</f>
        <v>1</v>
      </c>
      <c r="AC4" s="22" t="n">
        <f aca="false">IF(L4="",0,IF(AB4=FALSE(),0,Y4))</f>
        <v>793871.590909091</v>
      </c>
      <c r="AD4" s="14"/>
      <c r="AE4" s="14"/>
    </row>
    <row r="5" customFormat="false" ht="15.75" hidden="false" customHeight="true" outlineLevel="0" collapsed="false">
      <c r="A5" s="11" t="n">
        <f aca="false">(B5*$P$125+C5*$P$126+D5*$P$127+E5*$P$128+F5*$P$129+G5*$P$130+H5*$P$131+I5*$P$132+J5*$P$133+K5*$P$134)*$T$123</f>
        <v>841575.119047619</v>
      </c>
      <c r="B5" s="14" t="n">
        <v>0.5</v>
      </c>
      <c r="C5" s="14"/>
      <c r="D5" s="14"/>
      <c r="E5" s="14"/>
      <c r="F5" s="14"/>
      <c r="G5" s="14"/>
      <c r="H5" s="14"/>
      <c r="I5" s="14"/>
      <c r="J5" s="14"/>
      <c r="K5" s="14" t="n">
        <v>1.5</v>
      </c>
      <c r="L5" s="15" t="s">
        <v>19</v>
      </c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 t="n">
        <f aca="false">COUNTIF($L$2:L5,"&lt;&gt;"&amp;"")</f>
        <v>4</v>
      </c>
      <c r="Y5" s="18" t="n">
        <f aca="false">SUMIF($X$2:$X$120,X5,$A$2:$A$120)</f>
        <v>841575.119047619</v>
      </c>
      <c r="Z5" s="19"/>
      <c r="AA5" s="23"/>
      <c r="AB5" s="21" t="b">
        <f aca="false">TRUE()</f>
        <v>1</v>
      </c>
      <c r="AC5" s="22" t="n">
        <f aca="false">IF(L5="",0,IF(AB5=FALSE(),0,Y5))</f>
        <v>841575.119047619</v>
      </c>
      <c r="AD5" s="14"/>
      <c r="AE5" s="14"/>
    </row>
    <row r="6" customFormat="false" ht="15" hidden="false" customHeight="true" outlineLevel="0" collapsed="false">
      <c r="A6" s="11" t="n">
        <f aca="false">(B6*$P$125+C6*$P$126+D6*$P$127+E6*$P$128+F6*$P$129+G6*$P$130+H6*$P$131+I6*$P$132+J6*$P$133+K6*$P$134)*$T$123</f>
        <v>0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24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 t="n">
        <f aca="false">COUNTIF($L$2:L6,"&lt;&gt;"&amp;"")</f>
        <v>4</v>
      </c>
      <c r="Y6" s="18" t="n">
        <f aca="false">SUMIF($X$2:$X$120,X6,$A$2:$A$120)</f>
        <v>841575.119047619</v>
      </c>
      <c r="Z6" s="19"/>
      <c r="AA6" s="20"/>
      <c r="AB6" s="21" t="b">
        <f aca="false">TRUE()</f>
        <v>1</v>
      </c>
      <c r="AC6" s="22" t="n">
        <f aca="false">IF(L6="",0,IF(AB6=FALSE(),0,Y6))</f>
        <v>0</v>
      </c>
      <c r="AD6" s="14"/>
      <c r="AE6" s="14"/>
    </row>
    <row r="7" customFormat="false" ht="15" hidden="false" customHeight="true" outlineLevel="0" collapsed="false">
      <c r="A7" s="11" t="n">
        <f aca="false">(B7*$P$125+C7*$P$126+D7*$P$127+E7*$P$128+F7*$P$129+G7*$P$130+H7*$P$131+I7*$P$132+J7*$P$133+K7*$P$134)*$T$123</f>
        <v>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24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 t="n">
        <f aca="false">COUNTIF($L$2:L7,"&lt;&gt;"&amp;"")</f>
        <v>4</v>
      </c>
      <c r="Y7" s="18" t="n">
        <f aca="false">SUMIF($X$2:$X$120,X7,$A$2:$A$120)</f>
        <v>841575.119047619</v>
      </c>
      <c r="Z7" s="19"/>
      <c r="AA7" s="23"/>
      <c r="AB7" s="21" t="b">
        <f aca="false">TRUE()</f>
        <v>1</v>
      </c>
      <c r="AC7" s="22" t="n">
        <f aca="false">IF(L7="",0,IF(AB7=FALSE(),0,Y7))</f>
        <v>0</v>
      </c>
      <c r="AD7" s="14"/>
      <c r="AE7" s="14"/>
    </row>
    <row r="8" customFormat="false" ht="15.75" hidden="false" customHeight="true" outlineLevel="0" collapsed="false">
      <c r="A8" s="11" t="n">
        <f aca="false">(B8*$P$125+C8*$P$126+D8*$P$127+E8*$P$128+F8*$P$129+G8*$P$130+H8*$P$131+I8*$P$132+J8*$P$133+K8*$P$134)*$T$123</f>
        <v>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25" t="s">
        <v>20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 t="n">
        <f aca="false">COUNTIF($L$2:L8,"&lt;&gt;"&amp;"")</f>
        <v>5</v>
      </c>
      <c r="Y8" s="18" t="n">
        <f aca="false">SUMIF($X$2:$X$120,X8,$A$2:$A$120)</f>
        <v>6665417.26190476</v>
      </c>
      <c r="Z8" s="19"/>
      <c r="AA8" s="20"/>
      <c r="AB8" s="21" t="b">
        <f aca="false">TRUE()</f>
        <v>1</v>
      </c>
      <c r="AC8" s="22" t="n">
        <f aca="false">IF(L8="",0,IF(AB8=FALSE(),0,Y8))</f>
        <v>6665417.26190476</v>
      </c>
      <c r="AD8" s="26"/>
      <c r="AE8" s="26"/>
    </row>
    <row r="9" customFormat="false" ht="12.75" hidden="false" customHeight="true" outlineLevel="0" collapsed="false">
      <c r="A9" s="11" t="n">
        <f aca="false">(B9*$P$125+C9*$P$126+D9*$P$127+E9*$P$128+F9*$P$129+G9*$P$130+H9*$P$131+I9*$P$132+J9*$P$133+K9*$P$134)*$T$123</f>
        <v>0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7"/>
      <c r="M9" s="27" t="s">
        <v>21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 t="n">
        <f aca="false">COUNTIF($L$2:L9,"&lt;&gt;"&amp;"")</f>
        <v>5</v>
      </c>
      <c r="Y9" s="18" t="n">
        <f aca="false">SUMIF($X$2:$X$120,X9,$A$2:$A$120)</f>
        <v>6665417.26190476</v>
      </c>
      <c r="Z9" s="19"/>
      <c r="AA9" s="20"/>
      <c r="AB9" s="21" t="b">
        <f aca="false">TRUE()</f>
        <v>1</v>
      </c>
      <c r="AC9" s="22" t="n">
        <f aca="false">IF(L9="",0,IF(AB9=FALSE(),0,Y9))</f>
        <v>0</v>
      </c>
      <c r="AD9" s="26"/>
      <c r="AE9" s="26"/>
    </row>
    <row r="10" customFormat="false" ht="12.75" hidden="false" customHeight="true" outlineLevel="0" collapsed="false">
      <c r="A10" s="11" t="n">
        <f aca="false">(B10*$P$125+C10*$P$126+D10*$P$127+E10*$P$128+F10*$P$129+G10*$P$130+H10*$P$131+I10*$P$132+J10*$P$133+K10*$P$134)*$T$123</f>
        <v>777850.216450217</v>
      </c>
      <c r="B10" s="14"/>
      <c r="C10" s="14"/>
      <c r="D10" s="14"/>
      <c r="E10" s="14"/>
      <c r="F10" s="14" t="n">
        <v>2</v>
      </c>
      <c r="G10" s="14"/>
      <c r="H10" s="14"/>
      <c r="I10" s="14"/>
      <c r="J10" s="14"/>
      <c r="K10" s="14"/>
      <c r="L10" s="17"/>
      <c r="M10" s="17"/>
      <c r="N10" s="28" t="s">
        <v>22</v>
      </c>
      <c r="O10" s="17"/>
      <c r="P10" s="17"/>
      <c r="Q10" s="17"/>
      <c r="R10" s="17"/>
      <c r="S10" s="17"/>
      <c r="T10" s="17"/>
      <c r="U10" s="17"/>
      <c r="V10" s="17"/>
      <c r="W10" s="17"/>
      <c r="X10" s="17" t="n">
        <f aca="false">COUNTIF($L$2:L10,"&lt;&gt;"&amp;"")</f>
        <v>5</v>
      </c>
      <c r="Y10" s="18" t="n">
        <f aca="false">SUMIF($X$2:$X$120,X10,$A$2:$A$120)</f>
        <v>6665417.26190476</v>
      </c>
      <c r="Z10" s="19"/>
      <c r="AA10" s="20"/>
      <c r="AB10" s="21" t="b">
        <f aca="false">TRUE()</f>
        <v>1</v>
      </c>
      <c r="AC10" s="22" t="n">
        <f aca="false">IF(L10="",0,IF(AB10=FALSE(),0,Y10))</f>
        <v>0</v>
      </c>
      <c r="AD10" s="26"/>
      <c r="AE10" s="26"/>
    </row>
    <row r="11" customFormat="false" ht="12.75" hidden="false" customHeight="true" outlineLevel="0" collapsed="false">
      <c r="A11" s="11" t="n">
        <f aca="false">(B11*$P$125+C11*$P$126+D11*$P$127+E11*$P$128+F11*$P$129+G11*$P$130+H11*$P$131+I11*$P$132+J11*$P$133+K11*$P$134)*$T$123</f>
        <v>943633.701298701</v>
      </c>
      <c r="B11" s="14"/>
      <c r="C11" s="14"/>
      <c r="D11" s="14"/>
      <c r="E11" s="14"/>
      <c r="F11" s="14" t="n">
        <v>1.5</v>
      </c>
      <c r="G11" s="14"/>
      <c r="H11" s="14"/>
      <c r="I11" s="14"/>
      <c r="J11" s="14"/>
      <c r="K11" s="14" t="n">
        <v>1</v>
      </c>
      <c r="L11" s="17"/>
      <c r="M11" s="17"/>
      <c r="N11" s="28" t="s">
        <v>23</v>
      </c>
      <c r="O11" s="17"/>
      <c r="P11" s="17"/>
      <c r="Q11" s="17"/>
      <c r="R11" s="17"/>
      <c r="S11" s="17"/>
      <c r="T11" s="17"/>
      <c r="U11" s="17"/>
      <c r="V11" s="17"/>
      <c r="W11" s="17"/>
      <c r="X11" s="17" t="n">
        <f aca="false">COUNTIF($L$2:L11,"&lt;&gt;"&amp;"")</f>
        <v>5</v>
      </c>
      <c r="Y11" s="18" t="n">
        <f aca="false">SUMIF($X$2:$X$120,X11,$A$2:$A$120)</f>
        <v>6665417.26190476</v>
      </c>
      <c r="Z11" s="19"/>
      <c r="AA11" s="20"/>
      <c r="AB11" s="21" t="b">
        <f aca="false">TRUE()</f>
        <v>1</v>
      </c>
      <c r="AC11" s="22" t="n">
        <f aca="false">IF(L11="",0,IF(AB11=FALSE(),0,Y11))</f>
        <v>0</v>
      </c>
      <c r="AD11" s="26"/>
      <c r="AE11" s="26"/>
    </row>
    <row r="12" customFormat="false" ht="12.75" hidden="false" customHeight="true" outlineLevel="0" collapsed="false">
      <c r="A12" s="11" t="n">
        <f aca="false">(B12*$P$125+C12*$P$126+D12*$P$127+E12*$P$128+F12*$P$129+G12*$P$130+H12*$P$131+I12*$P$132+J12*$P$133+K12*$P$134)*$T$123</f>
        <v>887480.735930736</v>
      </c>
      <c r="B12" s="14"/>
      <c r="C12" s="14"/>
      <c r="D12" s="14"/>
      <c r="E12" s="14" t="n">
        <v>1.5</v>
      </c>
      <c r="F12" s="14" t="n">
        <v>0.5</v>
      </c>
      <c r="G12" s="14"/>
      <c r="H12" s="14"/>
      <c r="I12" s="14"/>
      <c r="J12" s="14"/>
      <c r="K12" s="14"/>
      <c r="L12" s="17"/>
      <c r="M12" s="29"/>
      <c r="N12" s="28" t="s">
        <v>24</v>
      </c>
      <c r="O12" s="17"/>
      <c r="P12" s="17"/>
      <c r="Q12" s="17"/>
      <c r="R12" s="17"/>
      <c r="S12" s="17"/>
      <c r="T12" s="17"/>
      <c r="U12" s="17"/>
      <c r="V12" s="17"/>
      <c r="W12" s="17"/>
      <c r="X12" s="17" t="n">
        <f aca="false">COUNTIF($L$2:L12,"&lt;&gt;"&amp;"")</f>
        <v>5</v>
      </c>
      <c r="Y12" s="18" t="n">
        <f aca="false">SUMIF($X$2:$X$120,X12,$A$2:$A$120)</f>
        <v>6665417.26190476</v>
      </c>
      <c r="Z12" s="19"/>
      <c r="AA12" s="20"/>
      <c r="AB12" s="21" t="b">
        <f aca="false">TRUE()</f>
        <v>1</v>
      </c>
      <c r="AC12" s="22" t="n">
        <f aca="false">IF(L12="",0,IF(AB12=FALSE(),0,Y12))</f>
        <v>0</v>
      </c>
      <c r="AD12" s="26"/>
      <c r="AE12" s="26"/>
    </row>
    <row r="13" customFormat="false" ht="12.75" hidden="false" customHeight="true" outlineLevel="0" collapsed="false">
      <c r="A13" s="11" t="n">
        <f aca="false">(B13*$P$125+C13*$P$126+D13*$P$127+E13*$P$128+F13*$P$129+G13*$P$130+H13*$P$131+I13*$P$132+J13*$P$133+K13*$P$134)*$T$123</f>
        <v>693018.181818182</v>
      </c>
      <c r="B13" s="14"/>
      <c r="C13" s="14"/>
      <c r="D13" s="14"/>
      <c r="E13" s="14" t="n">
        <v>1.5</v>
      </c>
      <c r="F13" s="14"/>
      <c r="G13" s="14"/>
      <c r="H13" s="14"/>
      <c r="I13" s="14"/>
      <c r="J13" s="14"/>
      <c r="K13" s="14"/>
      <c r="L13" s="17"/>
      <c r="M13" s="17"/>
      <c r="N13" s="28" t="s">
        <v>25</v>
      </c>
      <c r="O13" s="17"/>
      <c r="P13" s="17"/>
      <c r="Q13" s="17"/>
      <c r="R13" s="17"/>
      <c r="S13" s="17"/>
      <c r="T13" s="17"/>
      <c r="U13" s="17"/>
      <c r="V13" s="17"/>
      <c r="W13" s="17"/>
      <c r="X13" s="17" t="n">
        <f aca="false">COUNTIF($L$2:L13,"&lt;&gt;"&amp;"")</f>
        <v>5</v>
      </c>
      <c r="Y13" s="18" t="n">
        <f aca="false">SUMIF($X$2:$X$120,X13,$A$2:$A$120)</f>
        <v>6665417.26190476</v>
      </c>
      <c r="Z13" s="19"/>
      <c r="AA13" s="20"/>
      <c r="AB13" s="21" t="b">
        <f aca="false">TRUE()</f>
        <v>1</v>
      </c>
      <c r="AC13" s="22" t="n">
        <f aca="false">IF(L13="",0,IF(AB13=FALSE(),0,Y13))</f>
        <v>0</v>
      </c>
      <c r="AD13" s="26"/>
      <c r="AE13" s="26"/>
    </row>
    <row r="14" customFormat="false" ht="15" hidden="false" customHeight="true" outlineLevel="0" collapsed="false">
      <c r="A14" s="11" t="n">
        <f aca="false">(B14*$P$125+C14*$P$126+D14*$P$127+E14*$P$128+F14*$P$129+G14*$P$130+H14*$P$131+I14*$P$132+J14*$P$133+K14*$P$134)*$T$123</f>
        <v>0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24"/>
      <c r="M14" s="27" t="s">
        <v>26</v>
      </c>
      <c r="N14" s="30"/>
      <c r="O14" s="17"/>
      <c r="P14" s="17"/>
      <c r="Q14" s="17"/>
      <c r="R14" s="17"/>
      <c r="S14" s="17"/>
      <c r="T14" s="17"/>
      <c r="U14" s="17"/>
      <c r="V14" s="17"/>
      <c r="W14" s="17"/>
      <c r="X14" s="17" t="n">
        <f aca="false">COUNTIF($L$2:L14,"&lt;&gt;"&amp;"")</f>
        <v>5</v>
      </c>
      <c r="Y14" s="18" t="n">
        <f aca="false">SUMIF($X$2:$X$120,X14,$A$2:$A$120)</f>
        <v>6665417.26190476</v>
      </c>
      <c r="Z14" s="19"/>
      <c r="AA14" s="20"/>
      <c r="AB14" s="21" t="b">
        <f aca="false">TRUE()</f>
        <v>1</v>
      </c>
      <c r="AC14" s="22" t="n">
        <f aca="false">IF(L14="",0,IF(AB14=FALSE(),0,Y14))</f>
        <v>0</v>
      </c>
      <c r="AD14" s="26"/>
      <c r="AE14" s="26"/>
    </row>
    <row r="15" customFormat="false" ht="12.75" hidden="false" customHeight="true" outlineLevel="0" collapsed="false">
      <c r="A15" s="11" t="n">
        <f aca="false">(B15*$P$125+C15*$P$126+D15*$P$127+E15*$P$128+F15*$P$129+G15*$P$130+H15*$P$131+I15*$P$132+J15*$P$133+K15*$P$134)*$T$123</f>
        <v>883709.751082251</v>
      </c>
      <c r="B15" s="14"/>
      <c r="C15" s="14"/>
      <c r="D15" s="14" t="n">
        <v>1.5</v>
      </c>
      <c r="E15" s="14"/>
      <c r="F15" s="14" t="n">
        <v>1</v>
      </c>
      <c r="G15" s="14"/>
      <c r="H15" s="14"/>
      <c r="I15" s="14"/>
      <c r="J15" s="14"/>
      <c r="K15" s="14"/>
      <c r="L15" s="17"/>
      <c r="M15" s="17"/>
      <c r="N15" s="28" t="s">
        <v>27</v>
      </c>
      <c r="O15" s="17"/>
      <c r="P15" s="17"/>
      <c r="Q15" s="17"/>
      <c r="R15" s="17"/>
      <c r="S15" s="17"/>
      <c r="T15" s="17"/>
      <c r="U15" s="17"/>
      <c r="V15" s="17"/>
      <c r="W15" s="17"/>
      <c r="X15" s="17" t="n">
        <f aca="false">COUNTIF($L$2:L15,"&lt;&gt;"&amp;"")</f>
        <v>5</v>
      </c>
      <c r="Y15" s="18" t="n">
        <f aca="false">SUMIF($X$2:$X$120,X15,$A$2:$A$120)</f>
        <v>6665417.26190476</v>
      </c>
      <c r="Z15" s="19"/>
      <c r="AA15" s="20"/>
      <c r="AB15" s="21" t="b">
        <f aca="false">TRUE()</f>
        <v>1</v>
      </c>
      <c r="AC15" s="22" t="n">
        <f aca="false">IF(L15="",0,IF(AB15=FALSE(),0,Y15))</f>
        <v>0</v>
      </c>
      <c r="AD15" s="26"/>
      <c r="AE15" s="26"/>
    </row>
    <row r="16" customFormat="false" ht="12.75" hidden="false" customHeight="true" outlineLevel="0" collapsed="false">
      <c r="A16" s="11" t="n">
        <f aca="false">(B16*$P$125+C16*$P$126+D16*$P$127+E16*$P$128+F16*$P$129+G16*$P$130+H16*$P$131+I16*$P$132+J16*$P$133+K16*$P$134)*$T$123</f>
        <v>1312949.35064935</v>
      </c>
      <c r="B16" s="14"/>
      <c r="C16" s="14"/>
      <c r="D16" s="14"/>
      <c r="E16" s="14" t="n">
        <v>2</v>
      </c>
      <c r="F16" s="14" t="n">
        <v>1</v>
      </c>
      <c r="G16" s="14"/>
      <c r="H16" s="14"/>
      <c r="I16" s="14"/>
      <c r="J16" s="14"/>
      <c r="K16" s="14"/>
      <c r="L16" s="17"/>
      <c r="M16" s="17"/>
      <c r="N16" s="28" t="s">
        <v>28</v>
      </c>
      <c r="O16" s="17"/>
      <c r="P16" s="17"/>
      <c r="Q16" s="17"/>
      <c r="R16" s="17"/>
      <c r="S16" s="17"/>
      <c r="T16" s="17"/>
      <c r="U16" s="17"/>
      <c r="V16" s="17"/>
      <c r="W16" s="17"/>
      <c r="X16" s="17" t="n">
        <f aca="false">COUNTIF($L$2:L16,"&lt;&gt;"&amp;"")</f>
        <v>5</v>
      </c>
      <c r="Y16" s="18" t="n">
        <f aca="false">SUMIF($X$2:$X$120,X16,$A$2:$A$120)</f>
        <v>6665417.26190476</v>
      </c>
      <c r="Z16" s="19"/>
      <c r="AA16" s="20"/>
      <c r="AB16" s="21" t="b">
        <f aca="false">TRUE()</f>
        <v>1</v>
      </c>
      <c r="AC16" s="22" t="n">
        <f aca="false">IF(L16="",0,IF(AB16=FALSE(),0,Y16))</f>
        <v>0</v>
      </c>
      <c r="AD16" s="26"/>
      <c r="AE16" s="26"/>
    </row>
    <row r="17" customFormat="false" ht="12.75" hidden="false" customHeight="true" outlineLevel="0" collapsed="false">
      <c r="A17" s="11" t="n">
        <f aca="false">(B17*$P$125+C17*$P$126+D17*$P$127+E17*$P$128+F17*$P$129+G17*$P$130+H17*$P$131+I17*$P$132+J17*$P$133+K17*$P$134)*$T$123</f>
        <v>0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7"/>
      <c r="M17" s="27" t="s">
        <v>29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 t="n">
        <f aca="false">COUNTIF($L$2:L17,"&lt;&gt;"&amp;"")</f>
        <v>5</v>
      </c>
      <c r="Y17" s="18" t="n">
        <f aca="false">SUMIF($X$2:$X$120,X17,$A$2:$A$120)</f>
        <v>6665417.26190476</v>
      </c>
      <c r="Z17" s="19"/>
      <c r="AA17" s="20"/>
      <c r="AB17" s="21" t="b">
        <f aca="false">TRUE()</f>
        <v>1</v>
      </c>
      <c r="AC17" s="22" t="n">
        <f aca="false">IF(L17="",0,IF(AB17=FALSE(),0,Y17))</f>
        <v>0</v>
      </c>
      <c r="AD17" s="26"/>
      <c r="AE17" s="26"/>
    </row>
    <row r="18" customFormat="false" ht="12.75" hidden="false" customHeight="true" outlineLevel="0" collapsed="false">
      <c r="A18" s="11" t="n">
        <f aca="false">(B18*$P$125+C18*$P$126+D18*$P$127+E18*$P$128+F18*$P$129+G18*$P$130+H18*$P$131+I18*$P$132+J18*$P$133+K18*$P$134)*$T$123</f>
        <v>583387.662337662</v>
      </c>
      <c r="B18" s="14"/>
      <c r="C18" s="14"/>
      <c r="D18" s="14"/>
      <c r="E18" s="14"/>
      <c r="F18" s="14" t="n">
        <v>1.5</v>
      </c>
      <c r="G18" s="14"/>
      <c r="H18" s="14"/>
      <c r="I18" s="14"/>
      <c r="J18" s="14"/>
      <c r="K18" s="14"/>
      <c r="L18" s="17"/>
      <c r="M18" s="17"/>
      <c r="N18" s="28" t="s">
        <v>30</v>
      </c>
      <c r="O18" s="17"/>
      <c r="P18" s="17"/>
      <c r="Q18" s="17"/>
      <c r="R18" s="17"/>
      <c r="S18" s="17"/>
      <c r="T18" s="17"/>
      <c r="U18" s="17"/>
      <c r="V18" s="17"/>
      <c r="W18" s="17"/>
      <c r="X18" s="17" t="n">
        <f aca="false">COUNTIF($L$2:L18,"&lt;&gt;"&amp;"")</f>
        <v>5</v>
      </c>
      <c r="Y18" s="18" t="n">
        <f aca="false">SUMIF($X$2:$X$120,X18,$A$2:$A$120)</f>
        <v>6665417.26190476</v>
      </c>
      <c r="Z18" s="19"/>
      <c r="AA18" s="20"/>
      <c r="AB18" s="21" t="b">
        <f aca="false">TRUE()</f>
        <v>1</v>
      </c>
      <c r="AC18" s="22" t="n">
        <f aca="false">IF(L18="",0,IF(AB18=FALSE(),0,Y18))</f>
        <v>0</v>
      </c>
      <c r="AD18" s="26"/>
      <c r="AE18" s="26"/>
    </row>
    <row r="19" customFormat="false" ht="15" hidden="false" customHeight="true" outlineLevel="0" collapsed="false">
      <c r="A19" s="11" t="n">
        <f aca="false">(B19*$P$125+C19*$P$126+D19*$P$127+E19*$P$128+F19*$P$129+G19*$P$130+H19*$P$131+I19*$P$132+J19*$P$133+K19*$P$134)*$T$123</f>
        <v>583387.662337662</v>
      </c>
      <c r="B19" s="14"/>
      <c r="C19" s="14"/>
      <c r="D19" s="14"/>
      <c r="E19" s="14"/>
      <c r="F19" s="14" t="n">
        <v>1.5</v>
      </c>
      <c r="G19" s="14"/>
      <c r="H19" s="14"/>
      <c r="I19" s="14"/>
      <c r="J19" s="14"/>
      <c r="K19" s="14"/>
      <c r="L19" s="24"/>
      <c r="M19" s="17"/>
      <c r="N19" s="28" t="s">
        <v>31</v>
      </c>
      <c r="O19" s="17"/>
      <c r="P19" s="17"/>
      <c r="Q19" s="17"/>
      <c r="R19" s="17"/>
      <c r="S19" s="17"/>
      <c r="T19" s="17"/>
      <c r="U19" s="17"/>
      <c r="V19" s="17"/>
      <c r="W19" s="17"/>
      <c r="X19" s="17" t="n">
        <f aca="false">COUNTIF($L$2:L19,"&lt;&gt;"&amp;"")</f>
        <v>5</v>
      </c>
      <c r="Y19" s="18" t="n">
        <f aca="false">SUMIF($X$2:$X$120,X19,$A$2:$A$120)</f>
        <v>6665417.26190476</v>
      </c>
      <c r="Z19" s="19"/>
      <c r="AA19" s="20"/>
      <c r="AB19" s="21" t="b">
        <f aca="false">TRUE()</f>
        <v>1</v>
      </c>
      <c r="AC19" s="22" t="n">
        <f aca="false">IF(L19="",0,IF(AB19=FALSE(),0,Y19))</f>
        <v>0</v>
      </c>
      <c r="AD19" s="26"/>
      <c r="AE19" s="26"/>
    </row>
    <row r="20" customFormat="false" ht="12.75" hidden="false" customHeight="true" outlineLevel="0" collapsed="false">
      <c r="A20" s="11" t="n">
        <f aca="false">(B20*$P$125+C20*$P$126+D20*$P$127+E20*$P$128+F20*$P$129+G20*$P$130+H20*$P$131+I20*$P$132+J20*$P$133+K20*$P$134)*$T$123</f>
        <v>0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31" t="s">
        <v>32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 t="n">
        <f aca="false">COUNTIF($L$2:L20,"&lt;&gt;"&amp;"")</f>
        <v>6</v>
      </c>
      <c r="Y20" s="18" t="n">
        <f aca="false">SUMIF($X$2:$X$120,X20,$A$2:$A$120)</f>
        <v>4438368.54978355</v>
      </c>
      <c r="Z20" s="19"/>
      <c r="AA20" s="20"/>
      <c r="AB20" s="21" t="b">
        <f aca="false">TRUE()</f>
        <v>1</v>
      </c>
      <c r="AC20" s="22" t="n">
        <f aca="false">IF(L20="",0,IF(AB20=FALSE(),0,Y20))</f>
        <v>4438368.54978355</v>
      </c>
      <c r="AD20" s="26"/>
      <c r="AE20" s="26"/>
    </row>
    <row r="21" customFormat="false" ht="12.75" hidden="false" customHeight="true" outlineLevel="0" collapsed="false">
      <c r="A21" s="11" t="n">
        <f aca="false">(B21*$P$125+C21*$P$126+D21*$P$127+E21*$P$128+F21*$P$129+G21*$P$130+H21*$P$131+I21*$P$132+J21*$P$133+K21*$P$134)*$T$123</f>
        <v>0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7"/>
      <c r="M21" s="27" t="s">
        <v>33</v>
      </c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 t="n">
        <f aca="false">COUNTIF($L$2:L21,"&lt;&gt;"&amp;"")</f>
        <v>6</v>
      </c>
      <c r="Y21" s="18" t="n">
        <f aca="false">SUMIF($X$2:$X$120,X21,$A$2:$A$120)</f>
        <v>4438368.54978355</v>
      </c>
      <c r="Z21" s="19"/>
      <c r="AA21" s="20"/>
      <c r="AB21" s="21" t="b">
        <f aca="false">TRUE()</f>
        <v>1</v>
      </c>
      <c r="AC21" s="22" t="n">
        <f aca="false">IF(L21="",0,IF(AB21=FALSE(),0,Y21))</f>
        <v>0</v>
      </c>
      <c r="AD21" s="26"/>
      <c r="AE21" s="26"/>
    </row>
    <row r="22" customFormat="false" ht="12.75" hidden="false" customHeight="true" outlineLevel="0" collapsed="false">
      <c r="A22" s="11" t="n">
        <f aca="false">(B22*$P$125+C22*$P$126+D22*$P$127+E22*$P$128+F22*$P$129+G22*$P$130+H22*$P$131+I22*$P$132+J22*$P$133+K22*$P$134)*$T$123</f>
        <v>1543955.41125541</v>
      </c>
      <c r="B22" s="14"/>
      <c r="C22" s="14"/>
      <c r="D22" s="14"/>
      <c r="E22" s="14" t="n">
        <v>2.5</v>
      </c>
      <c r="F22" s="14" t="n">
        <v>1</v>
      </c>
      <c r="G22" s="14"/>
      <c r="H22" s="14"/>
      <c r="I22" s="14"/>
      <c r="J22" s="14"/>
      <c r="K22" s="14"/>
      <c r="L22" s="17"/>
      <c r="M22" s="17"/>
      <c r="N22" s="28" t="s">
        <v>34</v>
      </c>
      <c r="O22" s="17"/>
      <c r="P22" s="17"/>
      <c r="Q22" s="17"/>
      <c r="R22" s="17"/>
      <c r="S22" s="17"/>
      <c r="T22" s="17"/>
      <c r="U22" s="17"/>
      <c r="V22" s="17"/>
      <c r="W22" s="17"/>
      <c r="X22" s="17" t="n">
        <f aca="false">COUNTIF($L$2:L22,"&lt;&gt;"&amp;"")</f>
        <v>6</v>
      </c>
      <c r="Y22" s="18" t="n">
        <f aca="false">SUMIF($X$2:$X$120,X22,$A$2:$A$120)</f>
        <v>4438368.54978355</v>
      </c>
      <c r="Z22" s="19"/>
      <c r="AA22" s="20"/>
      <c r="AB22" s="21" t="b">
        <f aca="false">TRUE()</f>
        <v>1</v>
      </c>
      <c r="AC22" s="22" t="n">
        <f aca="false">IF(L22="",0,IF(AB22=FALSE(),0,Y22))</f>
        <v>0</v>
      </c>
      <c r="AD22" s="26"/>
      <c r="AE22" s="26"/>
    </row>
    <row r="23" customFormat="false" ht="12.75" hidden="false" customHeight="true" outlineLevel="0" collapsed="false">
      <c r="A23" s="11" t="n">
        <f aca="false">(B23*$P$125+C23*$P$126+D23*$P$127+E23*$P$128+F23*$P$129+G23*$P$130+H23*$P$131+I23*$P$132+J23*$P$133+K23*$P$134)*$T$123</f>
        <v>814393.722943723</v>
      </c>
      <c r="B23" s="14"/>
      <c r="C23" s="14"/>
      <c r="D23" s="14"/>
      <c r="E23" s="14" t="n">
        <v>0.5</v>
      </c>
      <c r="F23" s="14" t="n">
        <v>1.5</v>
      </c>
      <c r="G23" s="14"/>
      <c r="H23" s="14"/>
      <c r="I23" s="14"/>
      <c r="J23" s="14"/>
      <c r="K23" s="14"/>
      <c r="L23" s="17"/>
      <c r="M23" s="17"/>
      <c r="N23" s="28" t="s">
        <v>35</v>
      </c>
      <c r="O23" s="17"/>
      <c r="P23" s="17"/>
      <c r="Q23" s="17"/>
      <c r="R23" s="17"/>
      <c r="S23" s="17"/>
      <c r="T23" s="17"/>
      <c r="U23" s="17"/>
      <c r="V23" s="17"/>
      <c r="W23" s="17"/>
      <c r="X23" s="17" t="n">
        <f aca="false">COUNTIF($L$2:L23,"&lt;&gt;"&amp;"")</f>
        <v>6</v>
      </c>
      <c r="Y23" s="18" t="n">
        <f aca="false">SUMIF($X$2:$X$120,X23,$A$2:$A$120)</f>
        <v>4438368.54978355</v>
      </c>
      <c r="Z23" s="19"/>
      <c r="AA23" s="20"/>
      <c r="AB23" s="21" t="b">
        <f aca="false">TRUE()</f>
        <v>1</v>
      </c>
      <c r="AC23" s="22" t="n">
        <f aca="false">IF(L23="",0,IF(AB23=FALSE(),0,Y23))</f>
        <v>0</v>
      </c>
      <c r="AD23" s="26"/>
      <c r="AE23" s="26"/>
    </row>
    <row r="24" customFormat="false" ht="12.75" hidden="false" customHeight="true" outlineLevel="0" collapsed="false">
      <c r="A24" s="11" t="n">
        <f aca="false">(B24*$P$125+C24*$P$126+D24*$P$127+E24*$P$128+F24*$P$129+G24*$P$130+H24*$P$131+I24*$P$132+J24*$P$133+K24*$P$134)*$T$123</f>
        <v>0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7"/>
      <c r="M24" s="32" t="s">
        <v>36</v>
      </c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 t="n">
        <f aca="false">COUNTIF($L$2:L24,"&lt;&gt;"&amp;"")</f>
        <v>6</v>
      </c>
      <c r="Y24" s="18" t="n">
        <f aca="false">SUMIF($X$2:$X$120,X24,$A$2:$A$120)</f>
        <v>4438368.54978355</v>
      </c>
      <c r="Z24" s="19"/>
      <c r="AA24" s="20"/>
      <c r="AB24" s="21" t="b">
        <f aca="false">TRUE()</f>
        <v>1</v>
      </c>
      <c r="AC24" s="22" t="n">
        <f aca="false">IF(L24="",0,IF(AB24=FALSE(),0,Y24))</f>
        <v>0</v>
      </c>
      <c r="AD24" s="26"/>
      <c r="AE24" s="26"/>
    </row>
    <row r="25" customFormat="false" ht="15" hidden="false" customHeight="true" outlineLevel="0" collapsed="false">
      <c r="A25" s="11" t="n">
        <f aca="false">(B25*$P$125+C25*$P$126+D25*$P$127+E25*$P$128+F25*$P$129+G25*$P$130+H25*$P$131+I25*$P$132+J25*$P$133+K25*$P$134)*$T$123</f>
        <v>913244.090909091</v>
      </c>
      <c r="B25" s="14"/>
      <c r="C25" s="14"/>
      <c r="D25" s="14" t="n">
        <v>1</v>
      </c>
      <c r="E25" s="14"/>
      <c r="F25" s="14" t="n">
        <v>1.5</v>
      </c>
      <c r="G25" s="14"/>
      <c r="H25" s="14"/>
      <c r="I25" s="14"/>
      <c r="J25" s="14"/>
      <c r="K25" s="14"/>
      <c r="L25" s="24"/>
      <c r="M25" s="17"/>
      <c r="N25" s="28" t="s">
        <v>37</v>
      </c>
      <c r="O25" s="17"/>
      <c r="P25" s="17"/>
      <c r="Q25" s="17"/>
      <c r="R25" s="17"/>
      <c r="S25" s="17"/>
      <c r="T25" s="17"/>
      <c r="U25" s="17"/>
      <c r="V25" s="17"/>
      <c r="W25" s="17"/>
      <c r="X25" s="17" t="n">
        <f aca="false">COUNTIF($L$2:L25,"&lt;&gt;"&amp;"")</f>
        <v>6</v>
      </c>
      <c r="Y25" s="18" t="n">
        <f aca="false">SUMIF($X$2:$X$120,X25,$A$2:$A$120)</f>
        <v>4438368.54978355</v>
      </c>
      <c r="Z25" s="19"/>
      <c r="AA25" s="20"/>
      <c r="AB25" s="21" t="b">
        <f aca="false">TRUE()</f>
        <v>1</v>
      </c>
      <c r="AC25" s="22" t="n">
        <f aca="false">IF(L25="",0,IF(AB25=FALSE(),0,Y25))</f>
        <v>0</v>
      </c>
      <c r="AD25" s="26"/>
      <c r="AE25" s="26"/>
    </row>
    <row r="26" customFormat="false" ht="15" hidden="false" customHeight="true" outlineLevel="0" collapsed="false">
      <c r="A26" s="11" t="n">
        <f aca="false">(B26*$P$125+C26*$P$126+D26*$P$127+E26*$P$128+F26*$P$129+G26*$P$130+H26*$P$131+I26*$P$132+J26*$P$133+K26*$P$134)*$T$123</f>
        <v>583387.662337662</v>
      </c>
      <c r="B26" s="14"/>
      <c r="C26" s="14"/>
      <c r="D26" s="14"/>
      <c r="E26" s="14"/>
      <c r="F26" s="14" t="n">
        <v>1.5</v>
      </c>
      <c r="G26" s="14"/>
      <c r="H26" s="14"/>
      <c r="I26" s="14"/>
      <c r="J26" s="14"/>
      <c r="K26" s="14"/>
      <c r="L26" s="24"/>
      <c r="M26" s="17"/>
      <c r="N26" s="28" t="s">
        <v>38</v>
      </c>
      <c r="O26" s="17"/>
      <c r="P26" s="17"/>
      <c r="Q26" s="17"/>
      <c r="R26" s="17"/>
      <c r="S26" s="17"/>
      <c r="T26" s="17"/>
      <c r="U26" s="17"/>
      <c r="V26" s="17"/>
      <c r="W26" s="17"/>
      <c r="X26" s="17" t="n">
        <f aca="false">COUNTIF($L$2:L26,"&lt;&gt;"&amp;"")</f>
        <v>6</v>
      </c>
      <c r="Y26" s="18" t="n">
        <f aca="false">SUMIF($X$2:$X$120,X26,$A$2:$A$120)</f>
        <v>4438368.54978355</v>
      </c>
      <c r="Z26" s="19"/>
      <c r="AA26" s="20"/>
      <c r="AB26" s="21" t="b">
        <f aca="false">TRUE()</f>
        <v>1</v>
      </c>
      <c r="AC26" s="22" t="n">
        <f aca="false">IF(L26="",0,IF(AB26=FALSE(),0,Y26))</f>
        <v>0</v>
      </c>
      <c r="AD26" s="26"/>
      <c r="AE26" s="26"/>
    </row>
    <row r="27" customFormat="false" ht="15" hidden="false" customHeight="true" outlineLevel="0" collapsed="false">
      <c r="A27" s="11" t="n">
        <f aca="false">(B27*$P$125+C27*$P$126+D27*$P$127+E27*$P$128+F27*$P$129+G27*$P$130+H27*$P$131+I27*$P$132+J27*$P$133+K27*$P$134)*$T$123</f>
        <v>583387.662337662</v>
      </c>
      <c r="B27" s="14"/>
      <c r="C27" s="14"/>
      <c r="D27" s="14"/>
      <c r="E27" s="14"/>
      <c r="F27" s="14" t="n">
        <v>1.5</v>
      </c>
      <c r="G27" s="14"/>
      <c r="H27" s="14"/>
      <c r="I27" s="14"/>
      <c r="J27" s="14"/>
      <c r="K27" s="14"/>
      <c r="L27" s="24"/>
      <c r="M27" s="17"/>
      <c r="N27" s="28" t="s">
        <v>39</v>
      </c>
      <c r="O27" s="17"/>
      <c r="P27" s="17"/>
      <c r="Q27" s="17"/>
      <c r="R27" s="17"/>
      <c r="S27" s="17"/>
      <c r="T27" s="17"/>
      <c r="U27" s="17"/>
      <c r="V27" s="17"/>
      <c r="W27" s="17"/>
      <c r="X27" s="17" t="n">
        <f aca="false">COUNTIF($L$2:L27,"&lt;&gt;"&amp;"")</f>
        <v>6</v>
      </c>
      <c r="Y27" s="18" t="n">
        <f aca="false">SUMIF($X$2:$X$120,X27,$A$2:$A$120)</f>
        <v>4438368.54978355</v>
      </c>
      <c r="Z27" s="19"/>
      <c r="AA27" s="20"/>
      <c r="AB27" s="21" t="b">
        <f aca="false">TRUE()</f>
        <v>1</v>
      </c>
      <c r="AC27" s="22" t="n">
        <f aca="false">IF(L27="",0,IF(AB27=FALSE(),0,Y27))</f>
        <v>0</v>
      </c>
      <c r="AD27" s="26"/>
      <c r="AE27" s="26"/>
    </row>
    <row r="28" customFormat="false" ht="15" hidden="false" customHeight="true" outlineLevel="0" collapsed="false">
      <c r="A28" s="11" t="n">
        <f aca="false">(B28*$P$125+C28*$P$126+D28*$P$127+E28*$P$128+F28*$P$129+G28*$P$130+H28*$P$131+I28*$P$132+J28*$P$133+K28*$P$134)*$T$123</f>
        <v>0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24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 t="n">
        <f aca="false">COUNTIF($L$2:L28,"&lt;&gt;"&amp;"")</f>
        <v>6</v>
      </c>
      <c r="Y28" s="18" t="n">
        <f aca="false">SUMIF($X$2:$X$120,X28,$A$2:$A$120)</f>
        <v>4438368.54978355</v>
      </c>
      <c r="Z28" s="19"/>
      <c r="AA28" s="20"/>
      <c r="AB28" s="21" t="b">
        <f aca="false">TRUE()</f>
        <v>1</v>
      </c>
      <c r="AC28" s="22" t="n">
        <f aca="false">IF(L28="",0,IF(AB28=FALSE(),0,Y28))</f>
        <v>0</v>
      </c>
      <c r="AD28" s="26"/>
      <c r="AE28" s="26"/>
    </row>
    <row r="29" customFormat="false" ht="15" hidden="false" customHeight="true" outlineLevel="0" collapsed="false">
      <c r="A29" s="11" t="n">
        <f aca="false">(B29*$P$125+C29*$P$126+D29*$P$127+E29*$P$128+F29*$P$129+G29*$P$130+H29*$P$131+I29*$P$132+J29*$P$133+K29*$P$134)*$T$123</f>
        <v>0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24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 t="n">
        <f aca="false">COUNTIF($L$2:L29,"&lt;&gt;"&amp;"")</f>
        <v>6</v>
      </c>
      <c r="Y29" s="18" t="n">
        <f aca="false">SUMIF($X$2:$X$120,X29,$A$2:$A$120)</f>
        <v>4438368.54978355</v>
      </c>
      <c r="Z29" s="19"/>
      <c r="AA29" s="20"/>
      <c r="AB29" s="21" t="b">
        <f aca="false">TRUE()</f>
        <v>1</v>
      </c>
      <c r="AC29" s="22" t="n">
        <f aca="false">IF(L29="",0,IF(AB29=FALSE(),0,Y29))</f>
        <v>0</v>
      </c>
      <c r="AD29" s="26"/>
      <c r="AE29" s="26"/>
    </row>
    <row r="30" customFormat="false" ht="15" hidden="false" customHeight="true" outlineLevel="0" collapsed="false">
      <c r="A30" s="11" t="n">
        <f aca="false">(B30*$P$125+C30*$P$126+D30*$P$127+E30*$P$128+F30*$P$129+G30*$P$130+H30*$P$131+I30*$P$132+J30*$P$133+K30*$P$134)*$T$123</f>
        <v>0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24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 t="n">
        <f aca="false">COUNTIF($L$2:L30,"&lt;&gt;"&amp;"")</f>
        <v>6</v>
      </c>
      <c r="Y30" s="18" t="n">
        <f aca="false">SUMIF($X$2:$X$120,X30,$A$2:$A$120)</f>
        <v>4438368.54978355</v>
      </c>
      <c r="Z30" s="19"/>
      <c r="AA30" s="20"/>
      <c r="AB30" s="21" t="b">
        <f aca="false">TRUE()</f>
        <v>1</v>
      </c>
      <c r="AC30" s="22" t="n">
        <f aca="false">IF(L30="",0,IF(AB30=FALSE(),0,Y30))</f>
        <v>0</v>
      </c>
      <c r="AD30" s="26"/>
      <c r="AE30" s="26"/>
    </row>
    <row r="31" customFormat="false" ht="15" hidden="false" customHeight="true" outlineLevel="0" collapsed="false">
      <c r="A31" s="11" t="n">
        <f aca="false">(B31*$P$125+C31*$P$126+D31*$P$127+E31*$P$128+F31*$P$129+G31*$P$130+H31*$P$131+I31*$P$132+J31*$P$133+K31*$P$134)*$T$123</f>
        <v>0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24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 t="n">
        <f aca="false">COUNTIF($L$2:L31,"&lt;&gt;"&amp;"")</f>
        <v>6</v>
      </c>
      <c r="Y31" s="18" t="n">
        <f aca="false">SUMIF($X$2:$X$120,X31,$A$2:$A$120)</f>
        <v>4438368.54978355</v>
      </c>
      <c r="Z31" s="19"/>
      <c r="AA31" s="20"/>
      <c r="AB31" s="21" t="b">
        <f aca="false">TRUE()</f>
        <v>1</v>
      </c>
      <c r="AC31" s="22" t="n">
        <f aca="false">IF(L31="",0,IF(AB31=FALSE(),0,Y31))</f>
        <v>0</v>
      </c>
      <c r="AD31" s="26"/>
      <c r="AE31" s="26"/>
    </row>
    <row r="32" customFormat="false" ht="15" hidden="false" customHeight="true" outlineLevel="0" collapsed="false">
      <c r="A32" s="11" t="n">
        <f aca="false">(B32*$P$125+C32*$P$126+D32*$P$127+E32*$P$128+F32*$P$129+G32*$P$130+H32*$P$131+I32*$P$132+J32*$P$133+K32*$P$134)*$T$123</f>
        <v>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24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 t="n">
        <f aca="false">COUNTIF($L$2:L32,"&lt;&gt;"&amp;"")</f>
        <v>6</v>
      </c>
      <c r="Y32" s="18" t="n">
        <f aca="false">SUMIF($X$2:$X$120,X32,$A$2:$A$120)</f>
        <v>4438368.54978355</v>
      </c>
      <c r="Z32" s="19"/>
      <c r="AA32" s="20"/>
      <c r="AB32" s="21" t="b">
        <f aca="false">TRUE()</f>
        <v>1</v>
      </c>
      <c r="AC32" s="22" t="n">
        <f aca="false">IF(L32="",0,IF(AB32=FALSE(),0,Y32))</f>
        <v>0</v>
      </c>
      <c r="AD32" s="26"/>
      <c r="AE32" s="26"/>
    </row>
    <row r="33" customFormat="false" ht="15" hidden="false" customHeight="true" outlineLevel="0" collapsed="false">
      <c r="A33" s="11" t="n">
        <f aca="false">(B33*$P$125+C33*$P$126+D33*$P$127+E33*$P$128+F33*$P$129+G33*$P$130+H33*$P$131+I33*$P$132+J33*$P$133+K33*$P$134)*$T$123</f>
        <v>0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24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 t="n">
        <f aca="false">COUNTIF($L$2:L33,"&lt;&gt;"&amp;"")</f>
        <v>6</v>
      </c>
      <c r="Y33" s="18" t="n">
        <f aca="false">SUMIF($X$2:$X$120,X33,$A$2:$A$120)</f>
        <v>4438368.54978355</v>
      </c>
      <c r="Z33" s="19"/>
      <c r="AA33" s="20"/>
      <c r="AB33" s="21" t="b">
        <f aca="false">TRUE()</f>
        <v>1</v>
      </c>
      <c r="AC33" s="22" t="n">
        <f aca="false">IF(L33="",0,IF(AB33=FALSE(),0,Y33))</f>
        <v>0</v>
      </c>
      <c r="AD33" s="26"/>
      <c r="AE33" s="26"/>
    </row>
    <row r="34" customFormat="false" ht="15" hidden="false" customHeight="true" outlineLevel="0" collapsed="false">
      <c r="A34" s="11" t="n">
        <f aca="false">(B34*$P$125+C34*$P$126+D34*$P$127+E34*$P$128+F34*$P$129+G34*$P$130+H34*$P$131+I34*$P$132+J34*$P$133+K34*$P$134)*$T$123</f>
        <v>0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24"/>
      <c r="M34" s="24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 t="n">
        <f aca="false">COUNTIF($L$2:L34,"&lt;&gt;"&amp;"")</f>
        <v>6</v>
      </c>
      <c r="Y34" s="18" t="n">
        <f aca="false">SUMIF($X$2:$X$120,X34,$A$2:$A$120)</f>
        <v>4438368.54978355</v>
      </c>
      <c r="Z34" s="19"/>
      <c r="AA34" s="20"/>
      <c r="AB34" s="21" t="b">
        <f aca="false">TRUE()</f>
        <v>1</v>
      </c>
      <c r="AC34" s="22" t="n">
        <f aca="false">IF(L34="",0,IF(AB34=FALSE(),0,Y34))</f>
        <v>0</v>
      </c>
      <c r="AD34" s="26"/>
      <c r="AE34" s="26"/>
    </row>
    <row r="35" customFormat="false" ht="15" hidden="false" customHeight="true" outlineLevel="0" collapsed="false">
      <c r="A35" s="11" t="n">
        <f aca="false">(B35*$P$125+C35*$P$126+D35*$P$127+E35*$P$128+F35*$P$129+G35*$P$130+H35*$P$131+I35*$P$132+J35*$P$133+K35*$P$134)*$T$123</f>
        <v>0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24"/>
      <c r="M35" s="17"/>
      <c r="N35" s="33"/>
      <c r="O35" s="17"/>
      <c r="P35" s="17"/>
      <c r="Q35" s="17"/>
      <c r="R35" s="17"/>
      <c r="S35" s="17"/>
      <c r="T35" s="17"/>
      <c r="U35" s="17"/>
      <c r="V35" s="17"/>
      <c r="W35" s="17"/>
      <c r="X35" s="17" t="n">
        <f aca="false">COUNTIF($L$2:L35,"&lt;&gt;"&amp;"")</f>
        <v>6</v>
      </c>
      <c r="Y35" s="18" t="n">
        <f aca="false">SUMIF($X$2:$X$120,X35,$A$2:$A$120)</f>
        <v>4438368.54978355</v>
      </c>
      <c r="Z35" s="19"/>
      <c r="AA35" s="20"/>
      <c r="AB35" s="21" t="b">
        <f aca="false">TRUE()</f>
        <v>1</v>
      </c>
      <c r="AC35" s="22" t="n">
        <f aca="false">IF(L35="",0,IF(AB35=FALSE(),0,Y35))</f>
        <v>0</v>
      </c>
      <c r="AD35" s="26"/>
      <c r="AE35" s="26"/>
    </row>
    <row r="36" customFormat="false" ht="15" hidden="false" customHeight="true" outlineLevel="0" collapsed="false">
      <c r="A36" s="11" t="n">
        <f aca="false">(B36*$P$125+C36*$P$126+D36*$P$127+E36*$P$128+F36*$P$129+G36*$P$130+H36*$P$131+I36*$P$132+J36*$P$133+K36*$P$134)*$T$123</f>
        <v>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24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 t="n">
        <f aca="false">COUNTIF($L$2:L36,"&lt;&gt;"&amp;"")</f>
        <v>6</v>
      </c>
      <c r="Y36" s="18" t="n">
        <f aca="false">SUMIF($X$2:$X$120,X36,$A$2:$A$120)</f>
        <v>4438368.54978355</v>
      </c>
      <c r="Z36" s="19"/>
      <c r="AA36" s="20"/>
      <c r="AB36" s="21" t="b">
        <f aca="false">TRUE()</f>
        <v>1</v>
      </c>
      <c r="AC36" s="22" t="n">
        <f aca="false">IF(L36="",0,IF(AB36=FALSE(),0,Y36))</f>
        <v>0</v>
      </c>
      <c r="AD36" s="26"/>
      <c r="AE36" s="26"/>
    </row>
    <row r="37" customFormat="false" ht="15" hidden="false" customHeight="true" outlineLevel="0" collapsed="false">
      <c r="A37" s="11" t="n">
        <f aca="false">(B37*$P$125+C37*$P$126+D37*$P$127+E37*$P$128+F37*$P$129+G37*$P$130+H37*$P$131+I37*$P$132+J37*$P$133+K37*$P$134)*$T$123</f>
        <v>0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24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 t="n">
        <f aca="false">COUNTIF($L$2:L37,"&lt;&gt;"&amp;"")</f>
        <v>6</v>
      </c>
      <c r="Y37" s="18" t="n">
        <f aca="false">SUMIF($X$2:$X$120,X37,$A$2:$A$120)</f>
        <v>4438368.54978355</v>
      </c>
      <c r="Z37" s="19"/>
      <c r="AA37" s="20"/>
      <c r="AB37" s="21" t="b">
        <f aca="false">TRUE()</f>
        <v>1</v>
      </c>
      <c r="AC37" s="22" t="n">
        <f aca="false">IF(L37="",0,IF(AB37=FALSE(),0,Y37))</f>
        <v>0</v>
      </c>
      <c r="AD37" s="26"/>
      <c r="AE37" s="26"/>
    </row>
    <row r="38" customFormat="false" ht="15" hidden="false" customHeight="true" outlineLevel="0" collapsed="false">
      <c r="A38" s="11" t="n">
        <f aca="false">(B38*$P$125+C38*$P$126+D38*$P$127+E38*$P$128+F38*$P$129+G38*$P$130+H38*$P$131+I38*$P$132+J38*$P$133+K38*$P$134)*$T$123</f>
        <v>0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24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 t="n">
        <f aca="false">COUNTIF($L$2:L38,"&lt;&gt;"&amp;"")</f>
        <v>6</v>
      </c>
      <c r="Y38" s="18" t="n">
        <f aca="false">SUMIF($X$2:$X$120,X38,$A$2:$A$120)</f>
        <v>4438368.54978355</v>
      </c>
      <c r="Z38" s="19"/>
      <c r="AA38" s="20"/>
      <c r="AB38" s="21" t="b">
        <f aca="false">TRUE()</f>
        <v>1</v>
      </c>
      <c r="AC38" s="22" t="n">
        <f aca="false">IF(L38="",0,IF(AB38=FALSE(),0,Y38))</f>
        <v>0</v>
      </c>
      <c r="AD38" s="34"/>
      <c r="AE38" s="34"/>
    </row>
    <row r="39" customFormat="false" ht="15" hidden="false" customHeight="true" outlineLevel="0" collapsed="false">
      <c r="A39" s="11" t="n">
        <f aca="false">(B39*$P$125+C39*$P$126+D39*$P$127+E39*$P$128+F39*$P$129+G39*$P$130+H39*$P$131+I39*$P$132+J39*$P$133+K39*$P$134)*$T$123</f>
        <v>0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24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 t="n">
        <f aca="false">COUNTIF($L$2:L39,"&lt;&gt;"&amp;"")</f>
        <v>6</v>
      </c>
      <c r="Y39" s="18" t="n">
        <f aca="false">SUMIF($X$2:$X$120,X39,$A$2:$A$120)</f>
        <v>4438368.54978355</v>
      </c>
      <c r="Z39" s="19"/>
      <c r="AA39" s="20"/>
      <c r="AB39" s="21" t="b">
        <f aca="false">TRUE()</f>
        <v>1</v>
      </c>
      <c r="AC39" s="22" t="n">
        <f aca="false">IF(L39="",0,IF(AB39=FALSE(),0,Y39))</f>
        <v>0</v>
      </c>
      <c r="AD39" s="26"/>
      <c r="AE39" s="26"/>
    </row>
    <row r="40" customFormat="false" ht="15" hidden="false" customHeight="true" outlineLevel="0" collapsed="false">
      <c r="A40" s="11" t="n">
        <f aca="false">(B40*$P$125+C40*$P$126+D40*$P$127+E40*$P$128+F40*$P$129+G40*$P$130+H40*$P$131+I40*$P$132+J40*$P$133+K40*$P$134)*$T$123</f>
        <v>0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24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 t="n">
        <f aca="false">COUNTIF($L$2:L40,"&lt;&gt;"&amp;"")</f>
        <v>6</v>
      </c>
      <c r="Y40" s="18" t="n">
        <f aca="false">SUMIF($X$2:$X$120,X40,$A$2:$A$120)</f>
        <v>4438368.54978355</v>
      </c>
      <c r="Z40" s="19"/>
      <c r="AA40" s="20"/>
      <c r="AB40" s="21" t="b">
        <f aca="false">TRUE()</f>
        <v>1</v>
      </c>
      <c r="AC40" s="22" t="n">
        <f aca="false">IF(L40="",0,IF(AB40=FALSE(),0,Y40))</f>
        <v>0</v>
      </c>
      <c r="AD40" s="34"/>
      <c r="AE40" s="34"/>
    </row>
    <row r="41" customFormat="false" ht="15" hidden="false" customHeight="true" outlineLevel="0" collapsed="false">
      <c r="A41" s="11" t="n">
        <f aca="false">(B41*$P$125+C41*$P$126+D41*$P$127+E41*$P$128+F41*$P$129+G41*$P$130+H41*$P$131+I41*$P$132+J41*$P$133+K41*$P$134)*$T$123</f>
        <v>0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24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 t="n">
        <f aca="false">COUNTIF($L$2:L41,"&lt;&gt;"&amp;"")</f>
        <v>6</v>
      </c>
      <c r="Y41" s="18" t="n">
        <f aca="false">SUMIF($X$2:$X$120,X41,$A$2:$A$120)</f>
        <v>4438368.54978355</v>
      </c>
      <c r="Z41" s="19"/>
      <c r="AA41" s="20"/>
      <c r="AB41" s="21" t="b">
        <f aca="false">TRUE()</f>
        <v>1</v>
      </c>
      <c r="AC41" s="22" t="n">
        <f aca="false">IF(L41="",0,IF(AB41=FALSE(),0,Y41))</f>
        <v>0</v>
      </c>
      <c r="AD41" s="34"/>
      <c r="AE41" s="34"/>
    </row>
    <row r="42" customFormat="false" ht="15" hidden="false" customHeight="true" outlineLevel="0" collapsed="false">
      <c r="A42" s="11" t="n">
        <f aca="false">(B42*$P$125+C42*$P$126+D42*$P$127+E42*$P$128+F42*$P$129+G42*$P$130+H42*$P$131+I42*$P$132+J42*$P$133+K42*$P$134)*$T$123</f>
        <v>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24"/>
      <c r="M42" s="17"/>
      <c r="N42" s="35"/>
      <c r="O42" s="17"/>
      <c r="P42" s="17"/>
      <c r="Q42" s="17"/>
      <c r="R42" s="17"/>
      <c r="S42" s="17"/>
      <c r="T42" s="17"/>
      <c r="U42" s="17"/>
      <c r="V42" s="17"/>
      <c r="W42" s="17"/>
      <c r="X42" s="17" t="n">
        <f aca="false">COUNTIF($L$2:L42,"&lt;&gt;"&amp;"")</f>
        <v>6</v>
      </c>
      <c r="Y42" s="18" t="n">
        <f aca="false">SUMIF($X$2:$X$120,X42,$A$2:$A$120)</f>
        <v>4438368.54978355</v>
      </c>
      <c r="Z42" s="19"/>
      <c r="AA42" s="20"/>
      <c r="AB42" s="21" t="b">
        <f aca="false">TRUE()</f>
        <v>1</v>
      </c>
      <c r="AC42" s="22" t="n">
        <f aca="false">IF(L42="",0,IF(AB42=FALSE(),0,Y42))</f>
        <v>0</v>
      </c>
      <c r="AD42" s="26"/>
      <c r="AE42" s="26"/>
    </row>
    <row r="43" customFormat="false" ht="15" hidden="false" customHeight="true" outlineLevel="0" collapsed="false">
      <c r="A43" s="11" t="n">
        <f aca="false">(B43*$P$125+C43*$P$126+D43*$P$127+E43*$P$128+F43*$P$129+G43*$P$130+H43*$P$131+I43*$P$132+J43*$P$133+K43*$P$134)*$T$123</f>
        <v>0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24"/>
      <c r="M43" s="24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 t="n">
        <f aca="false">COUNTIF($L$2:L43,"&lt;&gt;"&amp;"")</f>
        <v>6</v>
      </c>
      <c r="Y43" s="18" t="n">
        <f aca="false">SUMIF($X$2:$X$120,X43,$A$2:$A$120)</f>
        <v>4438368.54978355</v>
      </c>
      <c r="Z43" s="19"/>
      <c r="AA43" s="20"/>
      <c r="AB43" s="21" t="b">
        <f aca="false">TRUE()</f>
        <v>1</v>
      </c>
      <c r="AC43" s="22" t="n">
        <f aca="false">IF(L43="",0,IF(AB43=FALSE(),0,Y43))</f>
        <v>0</v>
      </c>
      <c r="AD43" s="26"/>
      <c r="AE43" s="26"/>
    </row>
    <row r="44" customFormat="false" ht="15" hidden="false" customHeight="true" outlineLevel="0" collapsed="false">
      <c r="A44" s="11" t="n">
        <f aca="false">(B44*$P$125+C44*$P$126+D44*$P$127+E44*$P$128+F44*$P$129+G44*$P$130+H44*$P$131+I44*$P$132+J44*$P$133+K44*$P$134)*$T$123</f>
        <v>0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24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 t="n">
        <f aca="false">COUNTIF($L$2:L44,"&lt;&gt;"&amp;"")</f>
        <v>6</v>
      </c>
      <c r="Y44" s="18" t="n">
        <f aca="false">SUMIF($X$2:$X$120,X44,$A$2:$A$120)</f>
        <v>4438368.54978355</v>
      </c>
      <c r="Z44" s="19"/>
      <c r="AA44" s="20"/>
      <c r="AB44" s="21" t="b">
        <f aca="false">TRUE()</f>
        <v>1</v>
      </c>
      <c r="AC44" s="22" t="n">
        <f aca="false">IF(L44="",0,IF(AB44=FALSE(),0,Y44))</f>
        <v>0</v>
      </c>
      <c r="AD44" s="26"/>
      <c r="AE44" s="26"/>
    </row>
    <row r="45" customFormat="false" ht="15" hidden="false" customHeight="true" outlineLevel="0" collapsed="false">
      <c r="A45" s="11" t="n">
        <f aca="false">(B45*$P$125+C45*$P$126+D45*$P$127+E45*$P$128+F45*$P$129+G45*$P$130+H45*$P$131+I45*$P$132+J45*$P$133+K45*$P$134)*$T$123</f>
        <v>0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24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 t="n">
        <f aca="false">COUNTIF($L$2:L45,"&lt;&gt;"&amp;"")</f>
        <v>6</v>
      </c>
      <c r="Y45" s="18" t="n">
        <f aca="false">SUMIF($X$2:$X$120,X45,$A$2:$A$120)</f>
        <v>4438368.54978355</v>
      </c>
      <c r="Z45" s="19"/>
      <c r="AA45" s="20"/>
      <c r="AB45" s="21" t="b">
        <f aca="false">TRUE()</f>
        <v>1</v>
      </c>
      <c r="AC45" s="22" t="n">
        <f aca="false">IF(L45="",0,IF(AB45=FALSE(),0,Y45))</f>
        <v>0</v>
      </c>
      <c r="AD45" s="26"/>
      <c r="AE45" s="26"/>
    </row>
    <row r="46" customFormat="false" ht="15" hidden="false" customHeight="true" outlineLevel="0" collapsed="false">
      <c r="A46" s="11" t="n">
        <f aca="false">(B46*$P$125+C46*$P$126+D46*$P$127+E46*$P$128+F46*$P$129+G46*$P$130+H46*$P$131+I46*$P$132+J46*$P$133+K46*$P$134)*$T$123</f>
        <v>0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24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 t="n">
        <f aca="false">COUNTIF($L$2:L46,"&lt;&gt;"&amp;"")</f>
        <v>6</v>
      </c>
      <c r="Y46" s="18" t="n">
        <f aca="false">SUMIF($X$2:$X$120,X46,$A$2:$A$120)</f>
        <v>4438368.54978355</v>
      </c>
      <c r="Z46" s="19"/>
      <c r="AA46" s="20"/>
      <c r="AB46" s="21" t="b">
        <f aca="false">TRUE()</f>
        <v>1</v>
      </c>
      <c r="AC46" s="22" t="n">
        <f aca="false">IF(L46="",0,IF(AB46=FALSE(),0,Y46))</f>
        <v>0</v>
      </c>
      <c r="AD46" s="26"/>
      <c r="AE46" s="26"/>
    </row>
    <row r="47" customFormat="false" ht="15" hidden="false" customHeight="true" outlineLevel="0" collapsed="false">
      <c r="A47" s="11" t="n">
        <f aca="false">(B47*$P$125+C47*$P$126+D47*$P$127+E47*$P$128+F47*$P$129+G47*$P$130+H47*$P$131+I47*$P$132+J47*$P$133+K47*$P$134)*$T$123</f>
        <v>0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24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 t="n">
        <f aca="false">COUNTIF($L$2:L47,"&lt;&gt;"&amp;"")</f>
        <v>6</v>
      </c>
      <c r="Y47" s="18" t="n">
        <f aca="false">SUMIF($X$2:$X$120,X47,$A$2:$A$120)</f>
        <v>4438368.54978355</v>
      </c>
      <c r="Z47" s="19"/>
      <c r="AA47" s="20"/>
      <c r="AB47" s="21" t="b">
        <f aca="false">TRUE()</f>
        <v>1</v>
      </c>
      <c r="AC47" s="22" t="n">
        <f aca="false">IF(L47="",0,IF(AB47=FALSE(),0,Y47))</f>
        <v>0</v>
      </c>
      <c r="AD47" s="26"/>
      <c r="AE47" s="26"/>
    </row>
    <row r="48" customFormat="false" ht="15" hidden="false" customHeight="true" outlineLevel="0" collapsed="false">
      <c r="A48" s="11" t="n">
        <f aca="false">(B48*$P$125+C48*$P$126+D48*$P$127+E48*$P$128+F48*$P$129+G48*$P$130+H48*$P$131+I48*$P$132+J48*$P$133+K48*$P$134)*$T$123</f>
        <v>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24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 t="n">
        <f aca="false">COUNTIF($L$2:L48,"&lt;&gt;"&amp;"")</f>
        <v>6</v>
      </c>
      <c r="Y48" s="18" t="n">
        <f aca="false">SUMIF($X$2:$X$120,X48,$A$2:$A$120)</f>
        <v>4438368.54978355</v>
      </c>
      <c r="Z48" s="19"/>
      <c r="AA48" s="20"/>
      <c r="AB48" s="21" t="b">
        <f aca="false">TRUE()</f>
        <v>1</v>
      </c>
      <c r="AC48" s="22" t="n">
        <f aca="false">IF(L48="",0,IF(AB48=FALSE(),0,Y48))</f>
        <v>0</v>
      </c>
      <c r="AD48" s="34"/>
      <c r="AE48" s="34"/>
    </row>
    <row r="49" customFormat="false" ht="15" hidden="false" customHeight="true" outlineLevel="0" collapsed="false">
      <c r="A49" s="11" t="n">
        <f aca="false">(B49*$P$125+C49*$P$126+D49*$P$127+E49*$P$128+F49*$P$129+G49*$P$130+H49*$P$131+I49*$P$132+J49*$P$133+K49*$P$134)*$T$123</f>
        <v>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24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 t="n">
        <f aca="false">COUNTIF($L$2:L49,"&lt;&gt;"&amp;"")</f>
        <v>6</v>
      </c>
      <c r="Y49" s="18" t="n">
        <f aca="false">SUMIF($X$2:$X$120,X49,$A$2:$A$120)</f>
        <v>4438368.54978355</v>
      </c>
      <c r="Z49" s="19"/>
      <c r="AA49" s="20"/>
      <c r="AB49" s="21" t="b">
        <f aca="false">TRUE()</f>
        <v>1</v>
      </c>
      <c r="AC49" s="22" t="n">
        <f aca="false">IF(L49="",0,IF(AB49=FALSE(),0,Y49))</f>
        <v>0</v>
      </c>
      <c r="AD49" s="34"/>
      <c r="AE49" s="34"/>
    </row>
    <row r="50" customFormat="false" ht="15" hidden="false" customHeight="true" outlineLevel="0" collapsed="false">
      <c r="A50" s="11" t="n">
        <f aca="false">(B50*$P$125+C50*$P$126+D50*$P$127+E50*$P$128+F50*$P$129+G50*$P$130+H50*$P$131+I50*$P$132+J50*$P$133+K50*$P$134)*$T$123</f>
        <v>0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24"/>
      <c r="M50" s="24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 t="n">
        <f aca="false">COUNTIF($L$2:L50,"&lt;&gt;"&amp;"")</f>
        <v>6</v>
      </c>
      <c r="Y50" s="18" t="n">
        <f aca="false">SUMIF($X$2:$X$120,X50,$A$2:$A$120)</f>
        <v>4438368.54978355</v>
      </c>
      <c r="Z50" s="19"/>
      <c r="AA50" s="20"/>
      <c r="AB50" s="21" t="b">
        <f aca="false">TRUE()</f>
        <v>1</v>
      </c>
      <c r="AC50" s="22" t="n">
        <f aca="false">IF(L50="",0,IF(AB50=FALSE(),0,Y50))</f>
        <v>0</v>
      </c>
      <c r="AD50" s="34"/>
      <c r="AE50" s="34"/>
    </row>
    <row r="51" customFormat="false" ht="15" hidden="false" customHeight="true" outlineLevel="0" collapsed="false">
      <c r="A51" s="11" t="n">
        <f aca="false">(B51*$P$125+C51*$P$126+D51*$P$127+E51*$P$128+F51*$P$129+G51*$P$130+H51*$P$131+I51*$P$132+J51*$P$133+K51*$P$134)*$T$123</f>
        <v>0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24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 t="n">
        <f aca="false">COUNTIF($L$2:L51,"&lt;&gt;"&amp;"")</f>
        <v>6</v>
      </c>
      <c r="Y51" s="18" t="n">
        <f aca="false">SUMIF($X$2:$X$120,X51,$A$2:$A$120)</f>
        <v>4438368.54978355</v>
      </c>
      <c r="Z51" s="19"/>
      <c r="AA51" s="20"/>
      <c r="AB51" s="21" t="b">
        <f aca="false">TRUE()</f>
        <v>1</v>
      </c>
      <c r="AC51" s="22" t="n">
        <f aca="false">IF(L51="",0,IF(AB51=FALSE(),0,Y51))</f>
        <v>0</v>
      </c>
      <c r="AD51" s="34"/>
      <c r="AE51" s="34"/>
    </row>
    <row r="52" customFormat="false" ht="15" hidden="false" customHeight="true" outlineLevel="0" collapsed="false">
      <c r="A52" s="11" t="n">
        <f aca="false">(B52*$P$125+C52*$P$126+D52*$P$127+E52*$P$128+F52*$P$129+G52*$P$130+H52*$P$131+I52*$P$132+J52*$P$133+K52*$P$134)*$T$123</f>
        <v>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24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 t="n">
        <f aca="false">COUNTIF($L$2:L52,"&lt;&gt;"&amp;"")</f>
        <v>6</v>
      </c>
      <c r="Y52" s="18" t="n">
        <f aca="false">SUMIF($X$2:$X$120,X52,$A$2:$A$120)</f>
        <v>4438368.54978355</v>
      </c>
      <c r="Z52" s="19"/>
      <c r="AA52" s="20"/>
      <c r="AB52" s="21" t="b">
        <f aca="false">TRUE()</f>
        <v>1</v>
      </c>
      <c r="AC52" s="22" t="n">
        <f aca="false">IF(L52="",0,IF(AB52=FALSE(),0,Y52))</f>
        <v>0</v>
      </c>
      <c r="AD52" s="34"/>
      <c r="AE52" s="34"/>
    </row>
    <row r="53" customFormat="false" ht="15" hidden="false" customHeight="true" outlineLevel="0" collapsed="false">
      <c r="A53" s="11" t="n">
        <f aca="false">(B53*$P$125+C53*$P$126+D53*$P$127+E53*$P$128+F53*$P$129+G53*$P$130+H53*$P$131+I53*$P$132+J53*$P$133+K53*$P$134)*$T$123</f>
        <v>0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24"/>
      <c r="M53" s="24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 t="n">
        <f aca="false">COUNTIF($L$2:L53,"&lt;&gt;"&amp;"")</f>
        <v>6</v>
      </c>
      <c r="Y53" s="18" t="n">
        <f aca="false">SUMIF($X$2:$X$120,X53,$A$2:$A$120)</f>
        <v>4438368.54978355</v>
      </c>
      <c r="Z53" s="19"/>
      <c r="AA53" s="20"/>
      <c r="AB53" s="21" t="b">
        <f aca="false">TRUE()</f>
        <v>1</v>
      </c>
      <c r="AC53" s="22" t="n">
        <f aca="false">IF(L53="",0,IF(AB53=FALSE(),0,Y53))</f>
        <v>0</v>
      </c>
      <c r="AD53" s="34"/>
      <c r="AE53" s="34"/>
    </row>
    <row r="54" customFormat="false" ht="15" hidden="false" customHeight="true" outlineLevel="0" collapsed="false">
      <c r="A54" s="11" t="n">
        <f aca="false">(B54*$P$125+C54*$P$126+D54*$P$127+E54*$P$128+F54*$P$129+G54*$P$130+H54*$P$131+I54*$P$132+J54*$P$133+K54*$P$134)*$T$123</f>
        <v>0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24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 t="n">
        <f aca="false">COUNTIF($L$2:L54,"&lt;&gt;"&amp;"")</f>
        <v>6</v>
      </c>
      <c r="Y54" s="18" t="n">
        <f aca="false">SUMIF($X$2:$X$120,X54,$A$2:$A$120)</f>
        <v>4438368.54978355</v>
      </c>
      <c r="Z54" s="19"/>
      <c r="AA54" s="20"/>
      <c r="AB54" s="21" t="b">
        <f aca="false">TRUE()</f>
        <v>1</v>
      </c>
      <c r="AC54" s="22" t="n">
        <f aca="false">IF(L54="",0,IF(AB54=FALSE(),0,Y54))</f>
        <v>0</v>
      </c>
      <c r="AD54" s="34"/>
      <c r="AE54" s="34"/>
    </row>
    <row r="55" customFormat="false" ht="15" hidden="false" customHeight="true" outlineLevel="0" collapsed="false">
      <c r="A55" s="11" t="n">
        <f aca="false">(B55*$P$125+C55*$P$126+D55*$P$127+E55*$P$128+F55*$P$129+G55*$P$130+H55*$P$131+I55*$P$132+J55*$P$133+K55*$P$134)*$T$123</f>
        <v>0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24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 t="n">
        <f aca="false">COUNTIF($L$2:L55,"&lt;&gt;"&amp;"")</f>
        <v>6</v>
      </c>
      <c r="Y55" s="18" t="n">
        <f aca="false">SUMIF($X$2:$X$120,X55,$A$2:$A$120)</f>
        <v>4438368.54978355</v>
      </c>
      <c r="Z55" s="19"/>
      <c r="AA55" s="20"/>
      <c r="AB55" s="21" t="b">
        <f aca="false">TRUE()</f>
        <v>1</v>
      </c>
      <c r="AC55" s="22" t="n">
        <f aca="false">IF(L55="",0,IF(AB55=FALSE(),0,Y55))</f>
        <v>0</v>
      </c>
      <c r="AD55" s="34"/>
      <c r="AE55" s="34"/>
    </row>
    <row r="56" customFormat="false" ht="15" hidden="false" customHeight="true" outlineLevel="0" collapsed="false">
      <c r="A56" s="11" t="n">
        <f aca="false">(B56*$P$125+C56*$P$126+D56*$P$127+E56*$P$128+F56*$P$129+G56*$P$130+H56*$P$131+I56*$P$132+J56*$P$133+K56*$P$134)*$T$123</f>
        <v>0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24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 t="n">
        <f aca="false">COUNTIF($L$2:L56,"&lt;&gt;"&amp;"")</f>
        <v>6</v>
      </c>
      <c r="Y56" s="18" t="n">
        <f aca="false">SUMIF($X$2:$X$120,X56,$A$2:$A$120)</f>
        <v>4438368.54978355</v>
      </c>
      <c r="Z56" s="19"/>
      <c r="AA56" s="20"/>
      <c r="AB56" s="21" t="b">
        <f aca="false">TRUE()</f>
        <v>1</v>
      </c>
      <c r="AC56" s="22" t="n">
        <f aca="false">IF(L56="",0,IF(AB56=FALSE(),0,Y56))</f>
        <v>0</v>
      </c>
      <c r="AD56" s="34"/>
      <c r="AE56" s="34"/>
    </row>
    <row r="57" customFormat="false" ht="15" hidden="false" customHeight="true" outlineLevel="0" collapsed="false">
      <c r="A57" s="11" t="n">
        <f aca="false">(B57*$P$125+C57*$P$126+D57*$P$127+E57*$P$128+F57*$P$129+G57*$P$130+H57*$P$131+I57*$P$132+J57*$P$133+K57*$P$134)*$T$123</f>
        <v>0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24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 t="n">
        <f aca="false">COUNTIF($L$2:L57,"&lt;&gt;"&amp;"")</f>
        <v>6</v>
      </c>
      <c r="Y57" s="18" t="n">
        <f aca="false">SUMIF($X$2:$X$120,X57,$A$2:$A$120)</f>
        <v>4438368.54978355</v>
      </c>
      <c r="Z57" s="19"/>
      <c r="AA57" s="20"/>
      <c r="AB57" s="21" t="b">
        <f aca="false">TRUE()</f>
        <v>1</v>
      </c>
      <c r="AC57" s="22" t="n">
        <f aca="false">IF(L57="",0,IF(AB57=FALSE(),0,Y57))</f>
        <v>0</v>
      </c>
      <c r="AD57" s="34"/>
      <c r="AE57" s="34"/>
    </row>
    <row r="58" customFormat="false" ht="15" hidden="false" customHeight="true" outlineLevel="0" collapsed="false">
      <c r="A58" s="11" t="n">
        <f aca="false">(B58*$P$125+C58*$P$126+D58*$P$127+E58*$P$128+F58*$P$129+G58*$P$130+H58*$P$131+I58*$P$132+J58*$P$133+K58*$P$134)*$T$123</f>
        <v>0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24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 t="n">
        <f aca="false">COUNTIF($L$2:L58,"&lt;&gt;"&amp;"")</f>
        <v>6</v>
      </c>
      <c r="Y58" s="18" t="n">
        <f aca="false">SUMIF($X$2:$X$120,X58,$A$2:$A$120)</f>
        <v>4438368.54978355</v>
      </c>
      <c r="Z58" s="19"/>
      <c r="AA58" s="20"/>
      <c r="AB58" s="21" t="b">
        <f aca="false">TRUE()</f>
        <v>1</v>
      </c>
      <c r="AC58" s="22" t="n">
        <f aca="false">IF(L58="",0,IF(AB58=FALSE(),0,Y58))</f>
        <v>0</v>
      </c>
      <c r="AD58" s="34"/>
      <c r="AE58" s="34"/>
    </row>
    <row r="59" customFormat="false" ht="15" hidden="false" customHeight="true" outlineLevel="0" collapsed="false">
      <c r="A59" s="11" t="n">
        <f aca="false">(B59*$P$125+C59*$P$126+D59*$P$127+E59*$P$128+F59*$P$129+G59*$P$130+H59*$P$131+I59*$P$132+J59*$P$133+K59*$P$134)*$T$123</f>
        <v>0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24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 t="n">
        <f aca="false">COUNTIF($L$2:L59,"&lt;&gt;"&amp;"")</f>
        <v>6</v>
      </c>
      <c r="Y59" s="18" t="n">
        <f aca="false">SUMIF($X$2:$X$120,X59,$A$2:$A$120)</f>
        <v>4438368.54978355</v>
      </c>
      <c r="Z59" s="19"/>
      <c r="AA59" s="20"/>
      <c r="AB59" s="21" t="b">
        <f aca="false">TRUE()</f>
        <v>1</v>
      </c>
      <c r="AC59" s="22" t="n">
        <f aca="false">IF(L59="",0,IF(AB59=FALSE(),0,Y59))</f>
        <v>0</v>
      </c>
      <c r="AD59" s="34"/>
      <c r="AE59" s="34"/>
    </row>
    <row r="60" customFormat="false" ht="15" hidden="false" customHeight="true" outlineLevel="0" collapsed="false">
      <c r="A60" s="11" t="n">
        <f aca="false">(B60*$P$125+C60*$P$126+D60*$P$127+E60*$P$128+F60*$P$129+G60*$P$130+H60*$P$131+I60*$P$132+J60*$P$133+K60*$P$134)*$T$123</f>
        <v>0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24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 t="n">
        <f aca="false">COUNTIF($L$2:L60,"&lt;&gt;"&amp;"")</f>
        <v>6</v>
      </c>
      <c r="Y60" s="18" t="n">
        <f aca="false">SUMIF($X$2:$X$120,X60,$A$2:$A$120)</f>
        <v>4438368.54978355</v>
      </c>
      <c r="Z60" s="19"/>
      <c r="AA60" s="20"/>
      <c r="AB60" s="21" t="b">
        <f aca="false">TRUE()</f>
        <v>1</v>
      </c>
      <c r="AC60" s="22" t="n">
        <f aca="false">IF(L60="",0,IF(AB60=FALSE(),0,Y60))</f>
        <v>0</v>
      </c>
      <c r="AD60" s="34"/>
      <c r="AE60" s="34"/>
    </row>
    <row r="61" customFormat="false" ht="15" hidden="false" customHeight="true" outlineLevel="0" collapsed="false">
      <c r="A61" s="11" t="n">
        <f aca="false">(B61*$P$125+C61*$P$126+D61*$P$127+E61*$P$128+F61*$P$129+G61*$P$130+H61*$P$131+I61*$P$132+J61*$P$133+K61*$P$134)*$T$123</f>
        <v>0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24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 t="n">
        <f aca="false">COUNTIF($L$2:L61,"&lt;&gt;"&amp;"")</f>
        <v>6</v>
      </c>
      <c r="Y61" s="18" t="n">
        <f aca="false">SUMIF($X$2:$X$120,X61,$A$2:$A$120)</f>
        <v>4438368.54978355</v>
      </c>
      <c r="Z61" s="19"/>
      <c r="AA61" s="20"/>
      <c r="AB61" s="21" t="b">
        <f aca="false">TRUE()</f>
        <v>1</v>
      </c>
      <c r="AC61" s="22" t="n">
        <f aca="false">IF(L61="",0,IF(AB61=FALSE(),0,Y61))</f>
        <v>0</v>
      </c>
      <c r="AD61" s="34"/>
      <c r="AE61" s="34"/>
    </row>
    <row r="62" customFormat="false" ht="15" hidden="false" customHeight="true" outlineLevel="0" collapsed="false">
      <c r="A62" s="11" t="n">
        <f aca="false">(B62*$P$125+C62*$P$126+D62*$P$127+E62*$P$128+F62*$P$129+G62*$P$130+H62*$P$131+I62*$P$132+J62*$P$133+K62*$P$134)*$T$123</f>
        <v>0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24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 t="n">
        <f aca="false">COUNTIF($L$2:L62,"&lt;&gt;"&amp;"")</f>
        <v>6</v>
      </c>
      <c r="Y62" s="18" t="n">
        <f aca="false">SUMIF($X$2:$X$120,X62,$A$2:$A$120)</f>
        <v>4438368.54978355</v>
      </c>
      <c r="Z62" s="19"/>
      <c r="AA62" s="20"/>
      <c r="AB62" s="21" t="b">
        <f aca="false">TRUE()</f>
        <v>1</v>
      </c>
      <c r="AC62" s="22" t="n">
        <f aca="false">IF(L62="",0,IF(AB62=FALSE(),0,Y62))</f>
        <v>0</v>
      </c>
      <c r="AD62" s="34"/>
      <c r="AE62" s="34"/>
    </row>
    <row r="63" customFormat="false" ht="15" hidden="false" customHeight="true" outlineLevel="0" collapsed="false">
      <c r="A63" s="11" t="n">
        <f aca="false">(B63*$P$125+C63*$P$126+D63*$P$127+E63*$P$128+F63*$P$129+G63*$P$130+H63*$P$131+I63*$P$132+J63*$P$133+K63*$P$134)*$T$123</f>
        <v>0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24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 t="n">
        <f aca="false">COUNTIF($L$2:L63,"&lt;&gt;"&amp;"")</f>
        <v>6</v>
      </c>
      <c r="Y63" s="18" t="n">
        <f aca="false">SUMIF($X$2:$X$120,X63,$A$2:$A$120)</f>
        <v>4438368.54978355</v>
      </c>
      <c r="Z63" s="19"/>
      <c r="AA63" s="20"/>
      <c r="AB63" s="21" t="b">
        <f aca="false">TRUE()</f>
        <v>1</v>
      </c>
      <c r="AC63" s="22" t="n">
        <f aca="false">IF(L63="",0,IF(AB63=FALSE(),0,Y63))</f>
        <v>0</v>
      </c>
      <c r="AD63" s="34"/>
      <c r="AE63" s="34"/>
    </row>
    <row r="64" customFormat="false" ht="15" hidden="false" customHeight="true" outlineLevel="0" collapsed="false">
      <c r="A64" s="11" t="n">
        <f aca="false">(B64*$P$125+C64*$P$126+D64*$P$127+E64*$P$128+F64*$P$129+G64*$P$130+H64*$P$131+I64*$P$132+J64*$P$133+K64*$P$134)*$T$123</f>
        <v>0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24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 t="n">
        <f aca="false">COUNTIF($L$2:L64,"&lt;&gt;"&amp;"")</f>
        <v>6</v>
      </c>
      <c r="Y64" s="18" t="n">
        <f aca="false">SUMIF($X$2:$X$120,X64,$A$2:$A$120)</f>
        <v>4438368.54978355</v>
      </c>
      <c r="Z64" s="19"/>
      <c r="AA64" s="20"/>
      <c r="AB64" s="21" t="b">
        <f aca="false">TRUE()</f>
        <v>1</v>
      </c>
      <c r="AC64" s="22" t="n">
        <f aca="false">IF(L64="",0,IF(AB64=FALSE(),0,Y64))</f>
        <v>0</v>
      </c>
      <c r="AD64" s="26"/>
      <c r="AE64" s="26"/>
    </row>
    <row r="65" customFormat="false" ht="15" hidden="false" customHeight="true" outlineLevel="0" collapsed="false">
      <c r="A65" s="11" t="n">
        <f aca="false">(B65*$P$125+C65*$P$126+D65*$P$127+E65*$P$128+F65*$P$129+G65*$P$130+H65*$P$131+I65*$P$132+J65*$P$133+K65*$P$134)*$T$123</f>
        <v>0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24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 t="n">
        <f aca="false">COUNTIF($L$2:L65,"&lt;&gt;"&amp;"")</f>
        <v>6</v>
      </c>
      <c r="Y65" s="18" t="n">
        <f aca="false">SUMIF($X$2:$X$120,X65,$A$2:$A$120)</f>
        <v>4438368.54978355</v>
      </c>
      <c r="Z65" s="19"/>
      <c r="AA65" s="20"/>
      <c r="AB65" s="21" t="b">
        <f aca="false">TRUE()</f>
        <v>1</v>
      </c>
      <c r="AC65" s="22" t="n">
        <f aca="false">IF(L65="",0,IF(AB65=FALSE(),0,Y65))</f>
        <v>0</v>
      </c>
      <c r="AD65" s="34"/>
      <c r="AE65" s="34"/>
    </row>
    <row r="66" customFormat="false" ht="15" hidden="false" customHeight="true" outlineLevel="0" collapsed="false">
      <c r="A66" s="11" t="n">
        <f aca="false">(B66*$P$125+C66*$P$126+D66*$P$127+E66*$P$128+F66*$P$129+G66*$P$130+H66*$P$131+I66*$P$132+J66*$P$133+K66*$P$134)*$T$123</f>
        <v>0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24"/>
      <c r="M66" s="24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 t="n">
        <f aca="false">COUNTIF($L$2:L66,"&lt;&gt;"&amp;"")</f>
        <v>6</v>
      </c>
      <c r="Y66" s="18" t="n">
        <f aca="false">SUMIF($X$2:$X$120,X66,$A$2:$A$120)</f>
        <v>4438368.54978355</v>
      </c>
      <c r="Z66" s="19"/>
      <c r="AA66" s="20"/>
      <c r="AB66" s="21" t="b">
        <f aca="false">TRUE()</f>
        <v>1</v>
      </c>
      <c r="AC66" s="22" t="n">
        <f aca="false">IF(L66="",0,IF(AB66=FALSE(),0,Y66))</f>
        <v>0</v>
      </c>
      <c r="AD66" s="34"/>
      <c r="AE66" s="34"/>
    </row>
    <row r="67" customFormat="false" ht="15" hidden="false" customHeight="true" outlineLevel="0" collapsed="false">
      <c r="A67" s="11" t="n">
        <f aca="false">(B67*$P$125+C67*$P$126+D67*$P$127+E67*$P$128+F67*$P$129+G67*$P$130+H67*$P$131+I67*$P$132+J67*$P$133+K67*$P$134)*$T$123</f>
        <v>0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24"/>
      <c r="M67" s="17"/>
      <c r="N67" s="24"/>
      <c r="O67" s="17"/>
      <c r="P67" s="17"/>
      <c r="Q67" s="17"/>
      <c r="R67" s="17"/>
      <c r="S67" s="17"/>
      <c r="T67" s="17"/>
      <c r="U67" s="17"/>
      <c r="V67" s="17"/>
      <c r="W67" s="17"/>
      <c r="X67" s="17" t="n">
        <f aca="false">COUNTIF($L$2:L67,"&lt;&gt;"&amp;"")</f>
        <v>6</v>
      </c>
      <c r="Y67" s="18" t="n">
        <f aca="false">SUMIF($X$2:$X$120,X67,$A$2:$A$120)</f>
        <v>4438368.54978355</v>
      </c>
      <c r="Z67" s="19"/>
      <c r="AA67" s="20"/>
      <c r="AB67" s="21" t="b">
        <f aca="false">TRUE()</f>
        <v>1</v>
      </c>
      <c r="AC67" s="22" t="n">
        <f aca="false">IF(L67="",0,IF(AB67=FALSE(),0,Y67))</f>
        <v>0</v>
      </c>
      <c r="AD67" s="34"/>
      <c r="AE67" s="34"/>
    </row>
    <row r="68" customFormat="false" ht="15" hidden="false" customHeight="true" outlineLevel="0" collapsed="false">
      <c r="A68" s="11" t="n">
        <f aca="false">(B68*$P$125+C68*$P$126+D68*$P$127+E68*$P$128+F68*$P$129+G68*$P$130+H68*$P$131+I68*$P$132+J68*$P$133+K68*$P$134)*$T$123</f>
        <v>0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24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 t="n">
        <f aca="false">COUNTIF($L$2:L68,"&lt;&gt;"&amp;"")</f>
        <v>6</v>
      </c>
      <c r="Y68" s="18" t="n">
        <f aca="false">SUMIF($X$2:$X$120,X68,$A$2:$A$120)</f>
        <v>4438368.54978355</v>
      </c>
      <c r="Z68" s="19"/>
      <c r="AA68" s="20"/>
      <c r="AB68" s="21" t="b">
        <f aca="false">TRUE()</f>
        <v>1</v>
      </c>
      <c r="AC68" s="22" t="n">
        <f aca="false">IF(L68="",0,IF(AB68=FALSE(),0,Y68))</f>
        <v>0</v>
      </c>
      <c r="AD68" s="34"/>
      <c r="AE68" s="34"/>
    </row>
    <row r="69" customFormat="false" ht="15" hidden="false" customHeight="true" outlineLevel="0" collapsed="false">
      <c r="A69" s="11" t="n">
        <f aca="false">(B69*$P$125+C69*$P$126+D69*$P$127+E69*$P$128+F69*$P$129+G69*$P$130+H69*$P$131+I69*$P$132+J69*$P$133+K69*$P$134)*$T$123</f>
        <v>0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24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 t="n">
        <f aca="false">COUNTIF($L$2:L69,"&lt;&gt;"&amp;"")</f>
        <v>6</v>
      </c>
      <c r="Y69" s="18" t="n">
        <f aca="false">SUMIF($X$2:$X$120,X69,$A$2:$A$120)</f>
        <v>4438368.54978355</v>
      </c>
      <c r="Z69" s="19"/>
      <c r="AA69" s="20"/>
      <c r="AB69" s="21" t="b">
        <f aca="false">TRUE()</f>
        <v>1</v>
      </c>
      <c r="AC69" s="22" t="n">
        <f aca="false">IF(L69="",0,IF(AB69=FALSE(),0,Y69))</f>
        <v>0</v>
      </c>
      <c r="AD69" s="34"/>
      <c r="AE69" s="34"/>
    </row>
    <row r="70" customFormat="false" ht="15" hidden="false" customHeight="true" outlineLevel="0" collapsed="false">
      <c r="A70" s="11" t="n">
        <f aca="false">(B70*$P$125+C70*$P$126+D70*$P$127+E70*$P$128+F70*$P$129+G70*$P$130+H70*$P$131+I70*$P$132+J70*$P$133+K70*$P$134)*$T$123</f>
        <v>0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24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 t="n">
        <f aca="false">COUNTIF($L$2:L70,"&lt;&gt;"&amp;"")</f>
        <v>6</v>
      </c>
      <c r="Y70" s="18" t="n">
        <f aca="false">SUMIF($X$2:$X$120,X70,$A$2:$A$120)</f>
        <v>4438368.54978355</v>
      </c>
      <c r="Z70" s="19"/>
      <c r="AA70" s="20"/>
      <c r="AB70" s="21" t="b">
        <f aca="false">TRUE()</f>
        <v>1</v>
      </c>
      <c r="AC70" s="22" t="n">
        <f aca="false">IF(L70="",0,IF(AB70=FALSE(),0,Y70))</f>
        <v>0</v>
      </c>
      <c r="AD70" s="34"/>
      <c r="AE70" s="34"/>
    </row>
    <row r="71" customFormat="false" ht="15" hidden="false" customHeight="true" outlineLevel="0" collapsed="false">
      <c r="A71" s="11" t="n">
        <f aca="false">(B71*$P$125+C71*$P$126+D71*$P$127+E71*$P$128+F71*$P$129+G71*$P$130+H71*$P$131+I71*$P$132+J71*$P$133+K71*$P$134)*$T$123</f>
        <v>0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24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 t="n">
        <f aca="false">COUNTIF($L$2:L71,"&lt;&gt;"&amp;"")</f>
        <v>6</v>
      </c>
      <c r="Y71" s="18" t="n">
        <f aca="false">SUMIF($X$2:$X$120,X71,$A$2:$A$120)</f>
        <v>4438368.54978355</v>
      </c>
      <c r="Z71" s="19"/>
      <c r="AA71" s="20"/>
      <c r="AB71" s="21" t="b">
        <f aca="false">TRUE()</f>
        <v>1</v>
      </c>
      <c r="AC71" s="22" t="n">
        <f aca="false">IF(L71="",0,IF(AB71=FALSE(),0,Y71))</f>
        <v>0</v>
      </c>
      <c r="AD71" s="34"/>
      <c r="AE71" s="34"/>
    </row>
    <row r="72" customFormat="false" ht="15" hidden="false" customHeight="true" outlineLevel="0" collapsed="false">
      <c r="A72" s="11" t="n">
        <f aca="false">(B72*$P$125+C72*$P$126+D72*$P$127+E72*$P$128+F72*$P$129+G72*$P$130+H72*$P$131+I72*$P$132+J72*$P$133+K72*$P$134)*$T$123</f>
        <v>0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24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 t="n">
        <f aca="false">COUNTIF($L$2:L72,"&lt;&gt;"&amp;"")</f>
        <v>6</v>
      </c>
      <c r="Y72" s="18" t="n">
        <f aca="false">SUMIF($X$2:$X$120,X72,$A$2:$A$120)</f>
        <v>4438368.54978355</v>
      </c>
      <c r="Z72" s="19"/>
      <c r="AA72" s="20"/>
      <c r="AB72" s="21" t="b">
        <f aca="false">TRUE()</f>
        <v>1</v>
      </c>
      <c r="AC72" s="22" t="n">
        <f aca="false">IF(L72="",0,IF(AB72=FALSE(),0,Y72))</f>
        <v>0</v>
      </c>
      <c r="AD72" s="34"/>
      <c r="AE72" s="34"/>
    </row>
    <row r="73" customFormat="false" ht="15" hidden="false" customHeight="true" outlineLevel="0" collapsed="false">
      <c r="A73" s="11" t="n">
        <f aca="false">(B73*$P$125+C73*$P$126+D73*$P$127+E73*$P$128+F73*$P$129+G73*$P$130+H73*$P$131+I73*$P$132+J73*$P$133+K73*$P$134)*$T$123</f>
        <v>0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24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 t="n">
        <f aca="false">COUNTIF($L$2:L73,"&lt;&gt;"&amp;"")</f>
        <v>6</v>
      </c>
      <c r="Y73" s="18" t="n">
        <f aca="false">SUMIF($X$2:$X$120,X73,$A$2:$A$120)</f>
        <v>4438368.54978355</v>
      </c>
      <c r="Z73" s="19"/>
      <c r="AA73" s="20"/>
      <c r="AB73" s="21" t="b">
        <f aca="false">TRUE()</f>
        <v>1</v>
      </c>
      <c r="AC73" s="22" t="n">
        <f aca="false">IF(L73="",0,IF(AB73=FALSE(),0,Y73))</f>
        <v>0</v>
      </c>
      <c r="AD73" s="34"/>
      <c r="AE73" s="34"/>
    </row>
    <row r="74" customFormat="false" ht="15" hidden="false" customHeight="true" outlineLevel="0" collapsed="false">
      <c r="A74" s="11" t="n">
        <f aca="false">(B74*$P$125+C74*$P$126+D74*$P$127+E74*$P$128+F74*$P$129+G74*$P$130+H74*$P$131+I74*$P$132+J74*$P$133+K74*$P$134)*$T$123</f>
        <v>0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24"/>
      <c r="M74" s="24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 t="n">
        <f aca="false">COUNTIF($L$2:L74,"&lt;&gt;"&amp;"")</f>
        <v>6</v>
      </c>
      <c r="Y74" s="18" t="n">
        <f aca="false">SUMIF($X$2:$X$120,X74,$A$2:$A$120)</f>
        <v>4438368.54978355</v>
      </c>
      <c r="Z74" s="19"/>
      <c r="AA74" s="20"/>
      <c r="AB74" s="21" t="b">
        <f aca="false">TRUE()</f>
        <v>1</v>
      </c>
      <c r="AC74" s="22" t="n">
        <f aca="false">IF(L74="",0,IF(AB74=FALSE(),0,Y74))</f>
        <v>0</v>
      </c>
      <c r="AD74" s="34"/>
      <c r="AE74" s="34"/>
    </row>
    <row r="75" customFormat="false" ht="15" hidden="false" customHeight="true" outlineLevel="0" collapsed="false">
      <c r="A75" s="11" t="n">
        <f aca="false">(B75*$P$125+C75*$P$126+D75*$P$127+E75*$P$128+F75*$P$129+G75*$P$130+H75*$P$131+I75*$P$132+J75*$P$133+K75*$P$134)*$T$123</f>
        <v>0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24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 t="n">
        <f aca="false">COUNTIF($L$2:L75,"&lt;&gt;"&amp;"")</f>
        <v>6</v>
      </c>
      <c r="Y75" s="18" t="n">
        <f aca="false">SUMIF($X$2:$X$120,X75,$A$2:$A$120)</f>
        <v>4438368.54978355</v>
      </c>
      <c r="Z75" s="19"/>
      <c r="AA75" s="20"/>
      <c r="AB75" s="21" t="b">
        <f aca="false">TRUE()</f>
        <v>1</v>
      </c>
      <c r="AC75" s="22" t="n">
        <f aca="false">IF(L75="",0,IF(AB75=FALSE(),0,Y75))</f>
        <v>0</v>
      </c>
      <c r="AD75" s="26"/>
      <c r="AE75" s="26"/>
    </row>
    <row r="76" customFormat="false" ht="15" hidden="false" customHeight="true" outlineLevel="0" collapsed="false">
      <c r="A76" s="11" t="n">
        <f aca="false">(B76*$P$125+C76*$P$126+D76*$P$127+E76*$P$128+F76*$P$129+G76*$P$130+H76*$P$131+I76*$P$132+J76*$P$133+K76*$P$134)*$T$123</f>
        <v>0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24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 t="n">
        <f aca="false">COUNTIF($L$2:L76,"&lt;&gt;"&amp;"")</f>
        <v>6</v>
      </c>
      <c r="Y76" s="18" t="n">
        <f aca="false">SUMIF($X$2:$X$120,X76,$A$2:$A$120)</f>
        <v>4438368.54978355</v>
      </c>
      <c r="Z76" s="19"/>
      <c r="AA76" s="20"/>
      <c r="AB76" s="21" t="b">
        <f aca="false">TRUE()</f>
        <v>1</v>
      </c>
      <c r="AC76" s="22" t="n">
        <f aca="false">IF(L76="",0,IF(AB76=FALSE(),0,Y76))</f>
        <v>0</v>
      </c>
      <c r="AD76" s="26"/>
      <c r="AE76" s="26"/>
    </row>
    <row r="77" customFormat="false" ht="15" hidden="false" customHeight="true" outlineLevel="0" collapsed="false">
      <c r="A77" s="11" t="n">
        <f aca="false">(B77*$P$125+C77*$P$126+D77*$P$127+E77*$P$128+F77*$P$129+G77*$P$130+H77*$P$131+I77*$P$132+J77*$P$133+K77*$P$134)*$T$123</f>
        <v>0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24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 t="n">
        <f aca="false">COUNTIF($L$2:L77,"&lt;&gt;"&amp;"")</f>
        <v>6</v>
      </c>
      <c r="Y77" s="18" t="n">
        <f aca="false">SUMIF($X$2:$X$120,X77,$A$2:$A$120)</f>
        <v>4438368.54978355</v>
      </c>
      <c r="Z77" s="19"/>
      <c r="AA77" s="20"/>
      <c r="AB77" s="21" t="b">
        <f aca="false">TRUE()</f>
        <v>1</v>
      </c>
      <c r="AC77" s="22" t="n">
        <f aca="false">IF(L77="",0,IF(AB77=FALSE(),0,Y77))</f>
        <v>0</v>
      </c>
      <c r="AD77" s="26"/>
      <c r="AE77" s="26"/>
    </row>
    <row r="78" customFormat="false" ht="15" hidden="false" customHeight="true" outlineLevel="0" collapsed="false">
      <c r="A78" s="11" t="n">
        <f aca="false">(B78*$P$125+C78*$P$126+D78*$P$127+E78*$P$128+F78*$P$129+G78*$P$130+H78*$P$131+I78*$P$132+J78*$P$133+K78*$P$134)*$T$123</f>
        <v>0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24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 t="n">
        <f aca="false">COUNTIF($L$2:L78,"&lt;&gt;"&amp;"")</f>
        <v>6</v>
      </c>
      <c r="Y78" s="18" t="n">
        <f aca="false">SUMIF($X$2:$X$120,X78,$A$2:$A$120)</f>
        <v>4438368.54978355</v>
      </c>
      <c r="Z78" s="19"/>
      <c r="AA78" s="20"/>
      <c r="AB78" s="21" t="b">
        <f aca="false">TRUE()</f>
        <v>1</v>
      </c>
      <c r="AC78" s="22" t="n">
        <f aca="false">IF(L78="",0,IF(AB78=FALSE(),0,Y78))</f>
        <v>0</v>
      </c>
      <c r="AD78" s="26"/>
      <c r="AE78" s="26"/>
    </row>
    <row r="79" customFormat="false" ht="15" hidden="false" customHeight="true" outlineLevel="0" collapsed="false">
      <c r="A79" s="11" t="n">
        <f aca="false">(B79*$P$125+C79*$P$126+D79*$P$127+E79*$P$128+F79*$P$129+G79*$P$130+H79*$P$131+I79*$P$132+J79*$P$133+K79*$P$134)*$T$123</f>
        <v>0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24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 t="n">
        <f aca="false">COUNTIF($L$2:L79,"&lt;&gt;"&amp;"")</f>
        <v>6</v>
      </c>
      <c r="Y79" s="18" t="n">
        <f aca="false">SUMIF($X$2:$X$120,X79,$A$2:$A$120)</f>
        <v>4438368.54978355</v>
      </c>
      <c r="Z79" s="19"/>
      <c r="AA79" s="20"/>
      <c r="AB79" s="21" t="b">
        <f aca="false">TRUE()</f>
        <v>1</v>
      </c>
      <c r="AC79" s="22" t="n">
        <f aca="false">IF(L79="",0,IF(AB79=FALSE(),0,Y79))</f>
        <v>0</v>
      </c>
      <c r="AD79" s="26"/>
      <c r="AE79" s="26"/>
    </row>
    <row r="80" customFormat="false" ht="15" hidden="false" customHeight="true" outlineLevel="0" collapsed="false">
      <c r="A80" s="11" t="n">
        <f aca="false">(B80*$P$125+C80*$P$126+D80*$P$127+E80*$P$128+F80*$P$129+G80*$P$130+H80*$P$131+I80*$P$132+J80*$P$133+K80*$P$134)*$T$123</f>
        <v>0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24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 t="n">
        <f aca="false">COUNTIF($L$2:L80,"&lt;&gt;"&amp;"")</f>
        <v>6</v>
      </c>
      <c r="Y80" s="18" t="n">
        <f aca="false">SUMIF($X$2:$X$120,X80,$A$2:$A$120)</f>
        <v>4438368.54978355</v>
      </c>
      <c r="Z80" s="19"/>
      <c r="AA80" s="20"/>
      <c r="AB80" s="21" t="b">
        <f aca="false">TRUE()</f>
        <v>1</v>
      </c>
      <c r="AC80" s="22" t="n">
        <f aca="false">IF(L80="",0,IF(AB80=FALSE(),0,Y80))</f>
        <v>0</v>
      </c>
      <c r="AD80" s="14"/>
      <c r="AE80" s="14"/>
    </row>
    <row r="81" customFormat="false" ht="15" hidden="false" customHeight="true" outlineLevel="0" collapsed="false">
      <c r="A81" s="11" t="n">
        <f aca="false">(B81*$P$125+C81*$P$126+D81*$P$127+E81*$P$128+F81*$P$129+G81*$P$130+H81*$P$131+I81*$P$132+J81*$P$133+K81*$P$134)*$T$123</f>
        <v>0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24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 t="n">
        <f aca="false">COUNTIF($L$2:L81,"&lt;&gt;"&amp;"")</f>
        <v>6</v>
      </c>
      <c r="Y81" s="18" t="n">
        <f aca="false">SUMIF($X$2:$X$120,X81,$A$2:$A$120)</f>
        <v>4438368.54978355</v>
      </c>
      <c r="Z81" s="19"/>
      <c r="AA81" s="20"/>
      <c r="AB81" s="21" t="b">
        <f aca="false">TRUE()</f>
        <v>1</v>
      </c>
      <c r="AC81" s="22" t="n">
        <f aca="false">IF(L81="",0,IF(AB81=FALSE(),0,Y81))</f>
        <v>0</v>
      </c>
      <c r="AD81" s="14"/>
      <c r="AE81" s="14"/>
    </row>
    <row r="82" customFormat="false" ht="15" hidden="false" customHeight="true" outlineLevel="0" collapsed="false">
      <c r="A82" s="11" t="n">
        <f aca="false">(B82*$P$125+C82*$P$126+D82*$P$127+E82*$P$128+F82*$P$129+G82*$P$130+H82*$P$131+I82*$P$132+J82*$P$133+K82*$P$134)*$T$123</f>
        <v>0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24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 t="n">
        <f aca="false">COUNTIF($L$2:L82,"&lt;&gt;"&amp;"")</f>
        <v>6</v>
      </c>
      <c r="Y82" s="18" t="n">
        <f aca="false">SUMIF($X$2:$X$120,X82,$A$2:$A$120)</f>
        <v>4438368.54978355</v>
      </c>
      <c r="Z82" s="19"/>
      <c r="AA82" s="20"/>
      <c r="AB82" s="21" t="b">
        <f aca="false">TRUE()</f>
        <v>1</v>
      </c>
      <c r="AC82" s="22" t="n">
        <f aca="false">IF(L82="",0,IF(AB82=FALSE(),0,Y82))</f>
        <v>0</v>
      </c>
      <c r="AD82" s="14"/>
      <c r="AE82" s="14"/>
    </row>
    <row r="83" customFormat="false" ht="15" hidden="false" customHeight="true" outlineLevel="0" collapsed="false">
      <c r="A83" s="11" t="n">
        <f aca="false">(B83*$P$125+C83*$P$126+D83*$P$127+E83*$P$128+F83*$P$129+G83*$P$130+H83*$P$131+I83*$P$132+J83*$P$133+K83*$P$134)*$T$123</f>
        <v>0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24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 t="n">
        <f aca="false">COUNTIF($L$2:L83,"&lt;&gt;"&amp;"")</f>
        <v>6</v>
      </c>
      <c r="Y83" s="18" t="n">
        <f aca="false">SUMIF($X$2:$X$120,X83,$A$2:$A$120)</f>
        <v>4438368.54978355</v>
      </c>
      <c r="Z83" s="19"/>
      <c r="AA83" s="20"/>
      <c r="AB83" s="21" t="b">
        <f aca="false">TRUE()</f>
        <v>1</v>
      </c>
      <c r="AC83" s="22" t="n">
        <f aca="false">IF(L83="",0,IF(AB83=FALSE(),0,Y83))</f>
        <v>0</v>
      </c>
      <c r="AD83" s="14"/>
      <c r="AE83" s="14"/>
    </row>
    <row r="84" customFormat="false" ht="15" hidden="false" customHeight="true" outlineLevel="0" collapsed="false">
      <c r="A84" s="11" t="n">
        <f aca="false">(B84*$P$125+C84*$P$126+D84*$P$127+E84*$P$128+F84*$P$129+G84*$P$130+H84*$P$131+I84*$P$132+J84*$P$133+K84*$P$134)*$T$123</f>
        <v>0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24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 t="n">
        <f aca="false">COUNTIF($L$2:L84,"&lt;&gt;"&amp;"")</f>
        <v>6</v>
      </c>
      <c r="Y84" s="18" t="n">
        <f aca="false">SUMIF($X$2:$X$120,X84,$A$2:$A$120)</f>
        <v>4438368.54978355</v>
      </c>
      <c r="Z84" s="19"/>
      <c r="AA84" s="20"/>
      <c r="AB84" s="21" t="b">
        <f aca="false">TRUE()</f>
        <v>1</v>
      </c>
      <c r="AC84" s="22" t="n">
        <f aca="false">IF(L84="",0,IF(AB84=FALSE(),0,Y84))</f>
        <v>0</v>
      </c>
      <c r="AD84" s="14"/>
      <c r="AE84" s="14"/>
    </row>
    <row r="85" customFormat="false" ht="15" hidden="false" customHeight="true" outlineLevel="0" collapsed="false">
      <c r="A85" s="11" t="n">
        <f aca="false">(B85*$P$125+C85*$P$126+D85*$P$127+E85*$P$128+F85*$P$129+G85*$P$130+H85*$P$131+I85*$P$132+J85*$P$133+K85*$P$134)*$T$123</f>
        <v>0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24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 t="n">
        <f aca="false">COUNTIF($L$2:L85,"&lt;&gt;"&amp;"")</f>
        <v>6</v>
      </c>
      <c r="Y85" s="18" t="n">
        <f aca="false">SUMIF($X$2:$X$120,X85,$A$2:$A$120)</f>
        <v>4438368.54978355</v>
      </c>
      <c r="Z85" s="19"/>
      <c r="AA85" s="20"/>
      <c r="AB85" s="21" t="b">
        <f aca="false">TRUE()</f>
        <v>1</v>
      </c>
      <c r="AC85" s="22" t="n">
        <f aca="false">IF(L85="",0,IF(AB85=FALSE(),0,Y85))</f>
        <v>0</v>
      </c>
      <c r="AD85" s="34"/>
      <c r="AE85" s="34"/>
    </row>
    <row r="86" customFormat="false" ht="15" hidden="false" customHeight="true" outlineLevel="0" collapsed="false">
      <c r="A86" s="11" t="n">
        <f aca="false">(B86*$P$125+C86*$P$126+D86*$P$127+E86*$P$128+F86*$P$129+G86*$P$130+H86*$P$131+I86*$P$132+J86*$P$133+K86*$P$134)*$T$123</f>
        <v>0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24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 t="n">
        <f aca="false">COUNTIF($L$2:L86,"&lt;&gt;"&amp;"")</f>
        <v>6</v>
      </c>
      <c r="Y86" s="18" t="n">
        <f aca="false">SUMIF($X$2:$X$120,X86,$A$2:$A$120)</f>
        <v>4438368.54978355</v>
      </c>
      <c r="Z86" s="19"/>
      <c r="AA86" s="20"/>
      <c r="AB86" s="21" t="b">
        <f aca="false">TRUE()</f>
        <v>1</v>
      </c>
      <c r="AC86" s="22" t="n">
        <f aca="false">IF(L86="",0,IF(AB86=FALSE(),0,Y86))</f>
        <v>0</v>
      </c>
      <c r="AD86" s="34"/>
      <c r="AE86" s="34"/>
    </row>
    <row r="87" customFormat="false" ht="15" hidden="false" customHeight="true" outlineLevel="0" collapsed="false">
      <c r="A87" s="11" t="n">
        <f aca="false">(B87*$P$125+C87*$P$126+D87*$P$127+E87*$P$128+F87*$P$129+G87*$P$130+H87*$P$131+I87*$P$132+J87*$P$133+K87*$P$134)*$T$123</f>
        <v>0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24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 t="n">
        <f aca="false">COUNTIF($L$2:L87,"&lt;&gt;"&amp;"")</f>
        <v>6</v>
      </c>
      <c r="Y87" s="18" t="n">
        <f aca="false">SUMIF($X$2:$X$120,X87,$A$2:$A$120)</f>
        <v>4438368.54978355</v>
      </c>
      <c r="Z87" s="19"/>
      <c r="AA87" s="20"/>
      <c r="AB87" s="21" t="b">
        <f aca="false">TRUE()</f>
        <v>1</v>
      </c>
      <c r="AC87" s="22" t="n">
        <f aca="false">IF(L87="",0,IF(AB87=FALSE(),0,Y87))</f>
        <v>0</v>
      </c>
      <c r="AD87" s="34"/>
      <c r="AE87" s="34"/>
    </row>
    <row r="88" customFormat="false" ht="15" hidden="false" customHeight="true" outlineLevel="0" collapsed="false">
      <c r="A88" s="11" t="n">
        <f aca="false">(B88*$P$125+C88*$P$126+D88*$P$127+E88*$P$128+F88*$P$129+G88*$P$130+H88*$P$131+I88*$P$132+J88*$P$133+K88*$P$134)*$T$123</f>
        <v>0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24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 t="n">
        <f aca="false">COUNTIF($L$2:L88,"&lt;&gt;"&amp;"")</f>
        <v>6</v>
      </c>
      <c r="Y88" s="18" t="n">
        <f aca="false">SUMIF($X$2:$X$120,X88,$A$2:$A$120)</f>
        <v>4438368.54978355</v>
      </c>
      <c r="Z88" s="19"/>
      <c r="AA88" s="20"/>
      <c r="AB88" s="21" t="b">
        <f aca="false">TRUE()</f>
        <v>1</v>
      </c>
      <c r="AC88" s="22" t="n">
        <f aca="false">IF(L88="",0,IF(AB88=FALSE(),0,Y88))</f>
        <v>0</v>
      </c>
      <c r="AD88" s="34"/>
      <c r="AE88" s="34"/>
    </row>
    <row r="89" customFormat="false" ht="15" hidden="false" customHeight="true" outlineLevel="0" collapsed="false">
      <c r="A89" s="11" t="n">
        <f aca="false">(B89*$P$125+C89*$P$126+D89*$P$127+E89*$P$128+F89*$P$129+G89*$P$130+H89*$P$131+I89*$P$132+J89*$P$133+K89*$P$134)*$T$123</f>
        <v>0</v>
      </c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24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 t="n">
        <f aca="false">COUNTIF($L$2:L89,"&lt;&gt;"&amp;"")</f>
        <v>6</v>
      </c>
      <c r="Y89" s="18" t="n">
        <f aca="false">SUMIF($X$2:$X$120,X89,$A$2:$A$120)</f>
        <v>4438368.54978355</v>
      </c>
      <c r="Z89" s="19"/>
      <c r="AA89" s="20"/>
      <c r="AB89" s="21" t="b">
        <f aca="false">TRUE()</f>
        <v>1</v>
      </c>
      <c r="AC89" s="22" t="n">
        <f aca="false">IF(L89="",0,IF(AB89=FALSE(),0,Y89))</f>
        <v>0</v>
      </c>
      <c r="AD89" s="34"/>
      <c r="AE89" s="34"/>
    </row>
    <row r="90" customFormat="false" ht="15" hidden="false" customHeight="true" outlineLevel="0" collapsed="false">
      <c r="A90" s="11" t="n">
        <f aca="false">(B90*$P$125+C90*$P$126+D90*$P$127+E90*$P$128+F90*$P$129+G90*$P$130+H90*$P$131+I90*$P$132+J90*$P$133+K90*$P$134)*$T$123</f>
        <v>0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24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 t="n">
        <f aca="false">COUNTIF($L$2:L90,"&lt;&gt;"&amp;"")</f>
        <v>6</v>
      </c>
      <c r="Y90" s="18" t="n">
        <f aca="false">SUMIF($X$2:$X$120,X90,$A$2:$A$120)</f>
        <v>4438368.54978355</v>
      </c>
      <c r="Z90" s="19"/>
      <c r="AA90" s="20"/>
      <c r="AB90" s="21" t="b">
        <f aca="false">TRUE()</f>
        <v>1</v>
      </c>
      <c r="AC90" s="22" t="n">
        <f aca="false">IF(L90="",0,IF(AB90=FALSE(),0,Y90))</f>
        <v>0</v>
      </c>
      <c r="AD90" s="34"/>
      <c r="AE90" s="34"/>
    </row>
    <row r="91" customFormat="false" ht="15" hidden="false" customHeight="true" outlineLevel="0" collapsed="false">
      <c r="A91" s="11" t="n">
        <f aca="false">(B91*$P$125+C91*$P$126+D91*$P$127+E91*$P$128+F91*$P$129+G91*$P$130+H91*$P$131+I91*$P$132+J91*$P$133+K91*$P$134)*$T$123</f>
        <v>0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24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 t="n">
        <f aca="false">COUNTIF($L$2:L91,"&lt;&gt;"&amp;"")</f>
        <v>6</v>
      </c>
      <c r="Y91" s="18" t="n">
        <f aca="false">SUMIF($X$2:$X$120,X91,$A$2:$A$120)</f>
        <v>4438368.54978355</v>
      </c>
      <c r="Z91" s="19"/>
      <c r="AA91" s="20"/>
      <c r="AB91" s="21" t="b">
        <f aca="false">TRUE()</f>
        <v>1</v>
      </c>
      <c r="AC91" s="22" t="n">
        <f aca="false">IF(L91="",0,IF(AB91=FALSE(),0,Y91))</f>
        <v>0</v>
      </c>
      <c r="AD91" s="34"/>
      <c r="AE91" s="34"/>
    </row>
    <row r="92" customFormat="false" ht="15" hidden="false" customHeight="true" outlineLevel="0" collapsed="false">
      <c r="A92" s="11" t="n">
        <f aca="false">(B92*$P$125+C92*$P$126+D92*$P$127+E92*$P$128+F92*$P$129+G92*$P$130+H92*$P$131+I92*$P$132+J92*$P$133+K92*$P$134)*$T$123</f>
        <v>0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24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 t="n">
        <f aca="false">COUNTIF($L$2:L92,"&lt;&gt;"&amp;"")</f>
        <v>6</v>
      </c>
      <c r="Y92" s="18" t="n">
        <f aca="false">SUMIF($X$2:$X$120,X92,$A$2:$A$120)</f>
        <v>4438368.54978355</v>
      </c>
      <c r="Z92" s="19"/>
      <c r="AA92" s="20"/>
      <c r="AB92" s="21" t="b">
        <f aca="false">TRUE()</f>
        <v>1</v>
      </c>
      <c r="AC92" s="22" t="n">
        <f aca="false">IF(L92="",0,IF(AB92=FALSE(),0,Y92))</f>
        <v>0</v>
      </c>
      <c r="AD92" s="34"/>
      <c r="AE92" s="34"/>
    </row>
    <row r="93" customFormat="false" ht="15" hidden="false" customHeight="true" outlineLevel="0" collapsed="false">
      <c r="A93" s="11" t="n">
        <f aca="false">(B93*$P$125+C93*$P$126+D93*$P$127+E93*$P$128+F93*$P$129+G93*$P$130+H93*$P$131+I93*$P$132+J93*$P$133+K93*$P$134)*$T$123</f>
        <v>0</v>
      </c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24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 t="n">
        <f aca="false">COUNTIF($L$2:L95,"&lt;&gt;"&amp;"")</f>
        <v>6</v>
      </c>
      <c r="Y93" s="18" t="n">
        <f aca="false">SUMIF($X$2:$X$120,X93,$A$2:$A$120)</f>
        <v>4438368.54978355</v>
      </c>
      <c r="Z93" s="19"/>
      <c r="AA93" s="20"/>
      <c r="AB93" s="21" t="b">
        <f aca="false">TRUE()</f>
        <v>1</v>
      </c>
      <c r="AC93" s="22" t="n">
        <f aca="false">IF(L93="",0,IF(AB93=FALSE(),0,Y93))</f>
        <v>0</v>
      </c>
      <c r="AD93" s="34"/>
      <c r="AE93" s="34"/>
    </row>
    <row r="94" customFormat="false" ht="15" hidden="false" customHeight="true" outlineLevel="0" collapsed="false">
      <c r="A94" s="11" t="n">
        <f aca="false">(B94*$P$125+C94*$P$126+D94*$P$127+E94*$P$128+F94*$P$129+G94*$P$130+H94*$P$131+I94*$P$132+J94*$P$133+K94*$P$134)*$T$123</f>
        <v>0</v>
      </c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24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 t="n">
        <f aca="false">COUNTIF($L$2:L94,"&lt;&gt;"&amp;"")</f>
        <v>6</v>
      </c>
      <c r="Y94" s="18" t="n">
        <f aca="false">SUMIF($X$2:$X$120,X94,$A$2:$A$120)</f>
        <v>4438368.54978355</v>
      </c>
      <c r="Z94" s="19"/>
      <c r="AA94" s="20"/>
      <c r="AB94" s="21" t="b">
        <f aca="false">TRUE()</f>
        <v>1</v>
      </c>
      <c r="AC94" s="22" t="n">
        <f aca="false">IF(L94="",0,IF(AB94=FALSE(),0,Y94))</f>
        <v>0</v>
      </c>
      <c r="AD94" s="34"/>
      <c r="AE94" s="34"/>
    </row>
    <row r="95" customFormat="false" ht="15" hidden="false" customHeight="true" outlineLevel="0" collapsed="false">
      <c r="A95" s="11" t="n">
        <f aca="false">(B95*$P$125+C95*$P$126+D95*$P$127+E95*$P$128+F95*$P$129+G95*$P$130+H95*$P$131+I95*$P$132+J95*$P$133+K95*$P$134)*$T$123</f>
        <v>0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24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 t="n">
        <f aca="false">COUNTIF($L$2:L95,"&lt;&gt;"&amp;"")</f>
        <v>6</v>
      </c>
      <c r="Y95" s="18" t="n">
        <f aca="false">SUMIF($X$2:$X$120,X95,$A$2:$A$120)</f>
        <v>4438368.54978355</v>
      </c>
      <c r="Z95" s="19"/>
      <c r="AA95" s="20"/>
      <c r="AB95" s="21" t="b">
        <f aca="false">TRUE()</f>
        <v>1</v>
      </c>
      <c r="AC95" s="22" t="n">
        <f aca="false">IF(L95="",0,IF(AB95=FALSE(),0,Y95))</f>
        <v>0</v>
      </c>
      <c r="AD95" s="34"/>
      <c r="AE95" s="34"/>
    </row>
    <row r="96" customFormat="false" ht="15" hidden="false" customHeight="true" outlineLevel="0" collapsed="false">
      <c r="A96" s="11" t="n">
        <f aca="false">(B96*$P$125+C96*$P$126+D96*$P$127+E96*$P$128+F96*$P$129+G96*$P$130+H96*$P$131+I96*$P$132+J96*$P$133+K96*$P$134)*$T$123</f>
        <v>0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24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 t="n">
        <f aca="false">COUNTIF($L$2:L96,"&lt;&gt;"&amp;"")</f>
        <v>6</v>
      </c>
      <c r="Y96" s="18" t="n">
        <f aca="false">SUMIF($X$2:$X$120,X96,$A$2:$A$120)</f>
        <v>4438368.54978355</v>
      </c>
      <c r="Z96" s="19"/>
      <c r="AA96" s="20"/>
      <c r="AB96" s="21" t="b">
        <f aca="false">TRUE()</f>
        <v>1</v>
      </c>
      <c r="AC96" s="22" t="n">
        <f aca="false">IF(L96="",0,IF(AB96=FALSE(),0,Y96))</f>
        <v>0</v>
      </c>
      <c r="AD96" s="34"/>
      <c r="AE96" s="34"/>
    </row>
    <row r="97" customFormat="false" ht="15" hidden="false" customHeight="true" outlineLevel="0" collapsed="false">
      <c r="A97" s="11" t="n">
        <f aca="false">(B97*$P$125+C97*$P$126+D97*$P$127+E97*$P$128+F97*$P$129+G97*$P$130+H97*$P$131+I97*$P$132+J97*$P$133+K97*$P$134)*$T$123</f>
        <v>0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24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 t="n">
        <f aca="false">COUNTIF($L$2:L97,"&lt;&gt;"&amp;"")</f>
        <v>6</v>
      </c>
      <c r="Y97" s="18" t="n">
        <f aca="false">SUMIF($X$2:$X$120,X97,$A$2:$A$120)</f>
        <v>4438368.54978355</v>
      </c>
      <c r="Z97" s="19"/>
      <c r="AA97" s="20"/>
      <c r="AB97" s="21" t="b">
        <f aca="false">TRUE()</f>
        <v>1</v>
      </c>
      <c r="AC97" s="22" t="n">
        <f aca="false">IF(L97="",0,IF(AB97=FALSE(),0,Y97))</f>
        <v>0</v>
      </c>
      <c r="AD97" s="34"/>
      <c r="AE97" s="34"/>
    </row>
    <row r="98" customFormat="false" ht="15" hidden="false" customHeight="true" outlineLevel="0" collapsed="false">
      <c r="A98" s="11" t="n">
        <f aca="false">(B98*$P$125+C98*$P$126+D98*$P$127+E98*$P$128+F98*$P$129+G98*$P$130+H98*$P$131+I98*$P$132+J98*$P$133+K98*$P$134)*$T$123</f>
        <v>0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24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 t="n">
        <f aca="false">COUNTIF($L$2:L98,"&lt;&gt;"&amp;"")</f>
        <v>6</v>
      </c>
      <c r="Y98" s="18" t="n">
        <f aca="false">SUMIF($X$2:$X$120,X98,$A$2:$A$120)</f>
        <v>4438368.54978355</v>
      </c>
      <c r="Z98" s="19"/>
      <c r="AA98" s="20"/>
      <c r="AB98" s="21" t="b">
        <f aca="false">TRUE()</f>
        <v>1</v>
      </c>
      <c r="AC98" s="22" t="n">
        <f aca="false">IF(L98="",0,IF(AB98=FALSE(),0,Y98))</f>
        <v>0</v>
      </c>
      <c r="AD98" s="34"/>
      <c r="AE98" s="34"/>
    </row>
    <row r="99" customFormat="false" ht="15" hidden="false" customHeight="true" outlineLevel="0" collapsed="false">
      <c r="A99" s="11" t="n">
        <f aca="false">(B99*$P$125+C99*$P$126+D99*$P$127+E99*$P$128+F99*$P$129+G99*$P$130+H99*$P$131+I99*$P$132+J99*$P$133+K99*$P$134)*$T$123</f>
        <v>0</v>
      </c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24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 t="n">
        <f aca="false">COUNTIF($L$2:L99,"&lt;&gt;"&amp;"")</f>
        <v>6</v>
      </c>
      <c r="Y99" s="18" t="n">
        <f aca="false">SUMIF($X$2:$X$120,X99,$A$2:$A$120)</f>
        <v>4438368.54978355</v>
      </c>
      <c r="Z99" s="19"/>
      <c r="AA99" s="20"/>
      <c r="AB99" s="21" t="b">
        <f aca="false">TRUE()</f>
        <v>1</v>
      </c>
      <c r="AC99" s="22" t="n">
        <f aca="false">IF(L99="",0,IF(AB99=FALSE(),0,Y99))</f>
        <v>0</v>
      </c>
      <c r="AD99" s="34"/>
      <c r="AE99" s="34"/>
    </row>
    <row r="100" customFormat="false" ht="15" hidden="false" customHeight="true" outlineLevel="0" collapsed="false">
      <c r="A100" s="11" t="n">
        <f aca="false">(B100*$P$125+C100*$P$126+D100*$P$127+E100*$P$128+F100*$P$129+G100*$P$130+H100*$P$131+I100*$P$132+J100*$P$133+K100*$P$134)*$T$123</f>
        <v>0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24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 t="n">
        <f aca="false">COUNTIF($L$2:L100,"&lt;&gt;"&amp;"")</f>
        <v>6</v>
      </c>
      <c r="Y100" s="18" t="n">
        <f aca="false">SUMIF($X$2:$X$120,X100,$A$2:$A$120)</f>
        <v>4438368.54978355</v>
      </c>
      <c r="Z100" s="19"/>
      <c r="AA100" s="20"/>
      <c r="AB100" s="21" t="b">
        <f aca="false">TRUE()</f>
        <v>1</v>
      </c>
      <c r="AC100" s="22" t="n">
        <f aca="false">IF(L100="",0,IF(AB100=FALSE(),0,Y100))</f>
        <v>0</v>
      </c>
      <c r="AD100" s="34"/>
      <c r="AE100" s="34"/>
    </row>
    <row r="101" customFormat="false" ht="15" hidden="false" customHeight="true" outlineLevel="0" collapsed="false">
      <c r="A101" s="11" t="n">
        <f aca="false">(B101*$P$125+C101*$P$126+D101*$P$127+E101*$P$128+F101*$P$129+G101*$P$130+H101*$P$131+I101*$P$132+J101*$P$133+K101*$P$134)*$T$123</f>
        <v>0</v>
      </c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24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 t="n">
        <f aca="false">COUNTIF($L$2:L101,"&lt;&gt;"&amp;"")</f>
        <v>6</v>
      </c>
      <c r="Y101" s="18" t="n">
        <f aca="false">SUMIF($X$2:$X$120,X101,$A$2:$A$120)</f>
        <v>4438368.54978355</v>
      </c>
      <c r="Z101" s="19"/>
      <c r="AA101" s="20"/>
      <c r="AB101" s="21" t="b">
        <f aca="false">TRUE()</f>
        <v>1</v>
      </c>
      <c r="AC101" s="22" t="n">
        <f aca="false">IF(L101="",0,IF(AB101=FALSE(),0,Y101))</f>
        <v>0</v>
      </c>
      <c r="AD101" s="14"/>
      <c r="AE101" s="14"/>
    </row>
    <row r="102" customFormat="false" ht="15" hidden="false" customHeight="true" outlineLevel="0" collapsed="false">
      <c r="A102" s="11" t="n">
        <f aca="false">(B102*$P$125+C102*$P$126+D102*$P$127+E102*$P$128+F102*$P$129+G102*$P$130+H102*$P$131+I102*$P$132+J102*$P$133+K102*$P$134)*$T$123</f>
        <v>0</v>
      </c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24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 t="n">
        <f aca="false">COUNTIF($L$2:L106,"&lt;&gt;"&amp;"")</f>
        <v>6</v>
      </c>
      <c r="Y102" s="18" t="n">
        <f aca="false">SUMIF($X$2:$X$120,X102,$A$2:$A$120)</f>
        <v>4438368.54978355</v>
      </c>
      <c r="Z102" s="19"/>
      <c r="AA102" s="20"/>
      <c r="AB102" s="21" t="b">
        <f aca="false">TRUE()</f>
        <v>1</v>
      </c>
      <c r="AC102" s="22" t="n">
        <f aca="false">IF(L102="",0,IF(AB102=FALSE(),0,Y102))</f>
        <v>0</v>
      </c>
      <c r="AD102" s="14"/>
      <c r="AE102" s="14"/>
    </row>
    <row r="103" customFormat="false" ht="15" hidden="false" customHeight="true" outlineLevel="0" collapsed="false">
      <c r="A103" s="11" t="n">
        <f aca="false">(B103*$P$125+C103*$P$126+D103*$P$127+E103*$P$128+F103*$P$129+G103*$P$130+H103*$P$131+I103*$P$132+J103*$P$133+K103*$P$134)*$T$123</f>
        <v>0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24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 t="n">
        <f aca="false">COUNTIF($L$2:L103,"&lt;&gt;"&amp;"")</f>
        <v>6</v>
      </c>
      <c r="Y103" s="18" t="n">
        <f aca="false">SUMIF($X$2:$X$120,X103,$A$2:$A$120)</f>
        <v>4438368.54978355</v>
      </c>
      <c r="Z103" s="19"/>
      <c r="AA103" s="20"/>
      <c r="AB103" s="21" t="b">
        <f aca="false">TRUE()</f>
        <v>1</v>
      </c>
      <c r="AC103" s="22" t="n">
        <f aca="false">IF(L103="",0,IF(AB103=FALSE(),0,Y103))</f>
        <v>0</v>
      </c>
      <c r="AD103" s="34"/>
      <c r="AE103" s="34"/>
    </row>
    <row r="104" customFormat="false" ht="15" hidden="false" customHeight="true" outlineLevel="0" collapsed="false">
      <c r="A104" s="11" t="n">
        <f aca="false">(B104*$P$125+C104*$P$126+D104*$P$127+E104*$P$128+F104*$P$129+G104*$P$130+H104*$P$131+I104*$P$132+J104*$P$133+K104*$P$134)*$T$123</f>
        <v>0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24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 t="n">
        <f aca="false">COUNTIF($L$2:L104,"&lt;&gt;"&amp;"")</f>
        <v>6</v>
      </c>
      <c r="Y104" s="18" t="n">
        <f aca="false">SUMIF($X$2:$X$120,X104,$A$2:$A$120)</f>
        <v>4438368.54978355</v>
      </c>
      <c r="Z104" s="19"/>
      <c r="AA104" s="20"/>
      <c r="AB104" s="21" t="b">
        <f aca="false">TRUE()</f>
        <v>1</v>
      </c>
      <c r="AC104" s="22" t="n">
        <f aca="false">IF(L104="",0,IF(AB104=FALSE(),0,Y104))</f>
        <v>0</v>
      </c>
      <c r="AD104" s="34"/>
      <c r="AE104" s="34"/>
    </row>
    <row r="105" customFormat="false" ht="15" hidden="false" customHeight="true" outlineLevel="0" collapsed="false">
      <c r="A105" s="11" t="n">
        <f aca="false">(B105*$P$125+C105*$P$126+D105*$P$127+E105*$P$128+F105*$P$129+G105*$P$130+H105*$P$131+I105*$P$132+J105*$P$133+K105*$P$134)*$T$123</f>
        <v>0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24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 t="n">
        <f aca="false">COUNTIF($L$2:L105,"&lt;&gt;"&amp;"")</f>
        <v>6</v>
      </c>
      <c r="Y105" s="18" t="n">
        <f aca="false">SUMIF($X$2:$X$120,X105,$A$2:$A$120)</f>
        <v>4438368.54978355</v>
      </c>
      <c r="Z105" s="19"/>
      <c r="AA105" s="20"/>
      <c r="AB105" s="21" t="b">
        <f aca="false">TRUE()</f>
        <v>1</v>
      </c>
      <c r="AC105" s="22" t="n">
        <f aca="false">IF(L105="",0,IF(AB105=FALSE(),0,Y105))</f>
        <v>0</v>
      </c>
      <c r="AD105" s="34"/>
      <c r="AE105" s="34"/>
    </row>
    <row r="106" customFormat="false" ht="15" hidden="false" customHeight="true" outlineLevel="0" collapsed="false">
      <c r="A106" s="11" t="n">
        <f aca="false">(B106*$P$125+C106*$P$126+D106*$P$127+E106*$P$128+F106*$P$129+G106*$P$130+H106*$P$131+I106*$P$132+J106*$P$133+K106*$P$134)*$T$123</f>
        <v>0</v>
      </c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24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 t="n">
        <f aca="false">COUNTIF($L$2:L106,"&lt;&gt;"&amp;"")</f>
        <v>6</v>
      </c>
      <c r="Y106" s="18" t="n">
        <f aca="false">SUMIF($X$2:$X$120,X106,$A$2:$A$120)</f>
        <v>4438368.54978355</v>
      </c>
      <c r="Z106" s="19"/>
      <c r="AA106" s="20"/>
      <c r="AB106" s="21" t="b">
        <f aca="false">TRUE()</f>
        <v>1</v>
      </c>
      <c r="AC106" s="22" t="n">
        <f aca="false">IF(L106="",0,IF(AB106=FALSE(),0,Y106))</f>
        <v>0</v>
      </c>
      <c r="AD106" s="34"/>
      <c r="AE106" s="34"/>
    </row>
    <row r="107" customFormat="false" ht="15" hidden="false" customHeight="true" outlineLevel="0" collapsed="false">
      <c r="A107" s="11" t="n">
        <f aca="false">(B107*$P$125+C107*$P$126+D107*$P$127+E107*$P$128+F107*$P$129+G107*$P$130+H107*$P$131+I107*$P$132+J107*$P$133+K107*$P$134)*$T$123</f>
        <v>0</v>
      </c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24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 t="n">
        <f aca="false">COUNTIF($L$2:L107,"&lt;&gt;"&amp;"")</f>
        <v>6</v>
      </c>
      <c r="Y107" s="18" t="n">
        <f aca="false">SUMIF($X$2:$X$120,X107,$A$2:$A$120)</f>
        <v>4438368.54978355</v>
      </c>
      <c r="Z107" s="19"/>
      <c r="AA107" s="20"/>
      <c r="AB107" s="21" t="b">
        <f aca="false">TRUE()</f>
        <v>1</v>
      </c>
      <c r="AC107" s="22" t="n">
        <f aca="false">IF(L107="",0,IF(AB107=FALSE(),0,Y107))</f>
        <v>0</v>
      </c>
      <c r="AD107" s="14"/>
      <c r="AE107" s="14"/>
    </row>
    <row r="108" customFormat="false" ht="15" hidden="false" customHeight="true" outlineLevel="0" collapsed="false">
      <c r="A108" s="11" t="n">
        <f aca="false">(B108*$P$125+C108*$P$126+D108*$P$127+E108*$P$128+F108*$P$129+G108*$P$130+H108*$P$131+I108*$P$132+J108*$P$133+K108*$P$134)*$T$123</f>
        <v>0</v>
      </c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24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 t="n">
        <f aca="false">COUNTIF($L$2:L108,"&lt;&gt;"&amp;"")</f>
        <v>6</v>
      </c>
      <c r="Y108" s="18" t="n">
        <f aca="false">SUMIF($X$2:$X$120,X108,$A$2:$A$120)</f>
        <v>4438368.54978355</v>
      </c>
      <c r="Z108" s="19"/>
      <c r="AA108" s="20"/>
      <c r="AB108" s="21" t="b">
        <f aca="false">TRUE()</f>
        <v>1</v>
      </c>
      <c r="AC108" s="22" t="n">
        <f aca="false">IF(L108="",0,IF(AB108=FALSE(),0,Y108))</f>
        <v>0</v>
      </c>
      <c r="AD108" s="14"/>
      <c r="AE108" s="14"/>
    </row>
    <row r="109" customFormat="false" ht="15" hidden="false" customHeight="true" outlineLevel="0" collapsed="false">
      <c r="A109" s="11" t="n">
        <f aca="false">(B109*$P$125+C109*$P$126+D109*$P$127+E109*$P$128+F109*$P$129+G109*$P$130+H109*$P$131+I109*$P$132+J109*$P$133+K109*$P$134)*$T$123</f>
        <v>0</v>
      </c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24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 t="n">
        <f aca="false">COUNTIF($L$2:L109,"&lt;&gt;"&amp;"")</f>
        <v>6</v>
      </c>
      <c r="Y109" s="18" t="n">
        <f aca="false">SUMIF($X$2:$X$120,X109,$A$2:$A$120)</f>
        <v>4438368.54978355</v>
      </c>
      <c r="Z109" s="19"/>
      <c r="AA109" s="20"/>
      <c r="AB109" s="21" t="b">
        <f aca="false">TRUE()</f>
        <v>1</v>
      </c>
      <c r="AC109" s="22" t="n">
        <f aca="false">IF(L109="",0,IF(AB109=FALSE(),0,Y109))</f>
        <v>0</v>
      </c>
      <c r="AD109" s="14"/>
      <c r="AE109" s="14"/>
    </row>
    <row r="110" customFormat="false" ht="15" hidden="false" customHeight="true" outlineLevel="0" collapsed="false">
      <c r="A110" s="11" t="n">
        <f aca="false">(B110*$P$125+C110*$P$126+D110*$P$127+E110*$P$128+F110*$P$129+G110*$P$130+H110*$P$131+I110*$P$132+J110*$P$133+K110*$P$134)*$T$123</f>
        <v>0</v>
      </c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24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 t="n">
        <f aca="false">COUNTIF($L$2:L110,"&lt;&gt;"&amp;"")</f>
        <v>6</v>
      </c>
      <c r="Y110" s="18" t="n">
        <f aca="false">SUMIF($X$2:$X$120,X110,$A$2:$A$120)</f>
        <v>4438368.54978355</v>
      </c>
      <c r="Z110" s="19"/>
      <c r="AA110" s="20"/>
      <c r="AB110" s="21" t="b">
        <f aca="false">TRUE()</f>
        <v>1</v>
      </c>
      <c r="AC110" s="22" t="n">
        <f aca="false">IF(L110="",0,IF(AB110=FALSE(),0,Y110))</f>
        <v>0</v>
      </c>
      <c r="AD110" s="14"/>
      <c r="AE110" s="14"/>
    </row>
    <row r="111" customFormat="false" ht="15" hidden="false" customHeight="true" outlineLevel="0" collapsed="false">
      <c r="A111" s="11" t="n">
        <f aca="false">(B111*$P$125+C111*$P$126+D111*$P$127+E111*$P$128+F111*$P$129+G111*$P$130+H111*$P$131+I111*$P$132+J111*$P$133+K111*$P$134)*$T$123</f>
        <v>0</v>
      </c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24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 t="n">
        <f aca="false">COUNTIF($L$2:L111,"&lt;&gt;"&amp;"")</f>
        <v>6</v>
      </c>
      <c r="Y111" s="18" t="n">
        <f aca="false">SUMIF($X$2:$X$120,X111,$A$2:$A$120)</f>
        <v>4438368.54978355</v>
      </c>
      <c r="Z111" s="19"/>
      <c r="AA111" s="20"/>
      <c r="AB111" s="21" t="b">
        <f aca="false">TRUE()</f>
        <v>1</v>
      </c>
      <c r="AC111" s="22" t="n">
        <f aca="false">IF(L111="",0,IF(AB111=FALSE(),0,Y111))</f>
        <v>0</v>
      </c>
      <c r="AD111" s="14"/>
      <c r="AE111" s="14"/>
    </row>
    <row r="112" customFormat="false" ht="15" hidden="false" customHeight="true" outlineLevel="0" collapsed="false">
      <c r="A112" s="11" t="n">
        <f aca="false">(B112*$P$125+C112*$P$126+D112*$P$127+E112*$P$128+F112*$P$129+G112*$P$130+H112*$P$131+I112*$P$132+J112*$P$133+K112*$P$134)*$T$123</f>
        <v>0</v>
      </c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24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 t="n">
        <f aca="false">COUNTIF($L$2:L112,"&lt;&gt;"&amp;"")</f>
        <v>6</v>
      </c>
      <c r="Y112" s="18" t="n">
        <f aca="false">SUMIF($X$2:$X$120,X112,$A$2:$A$120)</f>
        <v>4438368.54978355</v>
      </c>
      <c r="Z112" s="19"/>
      <c r="AA112" s="20"/>
      <c r="AB112" s="21" t="b">
        <f aca="false">TRUE()</f>
        <v>1</v>
      </c>
      <c r="AC112" s="22" t="n">
        <f aca="false">IF(L112="",0,IF(AB112=FALSE(),0,Y112))</f>
        <v>0</v>
      </c>
      <c r="AD112" s="14"/>
      <c r="AE112" s="14"/>
    </row>
    <row r="113" customFormat="false" ht="15" hidden="false" customHeight="true" outlineLevel="0" collapsed="false">
      <c r="A113" s="11" t="n">
        <f aca="false">(B113*$P$125+C113*$P$126+D113*$P$127+E113*$P$128+F113*$P$129+G113*$P$130+H113*$P$131+I113*$P$132+J113*$P$133+K113*$P$134)*$T$123</f>
        <v>0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24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 t="n">
        <f aca="false">COUNTIF($L$2:L113,"&lt;&gt;"&amp;"")</f>
        <v>6</v>
      </c>
      <c r="Y113" s="18" t="n">
        <f aca="false">SUMIF($X$2:$X$120,X113,$A$2:$A$120)</f>
        <v>4438368.54978355</v>
      </c>
      <c r="Z113" s="19"/>
      <c r="AA113" s="20"/>
      <c r="AB113" s="21" t="b">
        <f aca="false">TRUE()</f>
        <v>1</v>
      </c>
      <c r="AC113" s="22" t="n">
        <f aca="false">IF(L113="",0,IF(AB113=FALSE(),0,Y113))</f>
        <v>0</v>
      </c>
      <c r="AD113" s="14"/>
      <c r="AE113" s="14"/>
    </row>
    <row r="114" customFormat="false" ht="15" hidden="false" customHeight="true" outlineLevel="0" collapsed="false">
      <c r="A114" s="11" t="n">
        <f aca="false">(B114*$P$125+C114*$P$126+D114*$P$127+E114*$P$128+F114*$P$129+G114*$P$130+H114*$P$131+I114*$P$132+J114*$P$133+K114*$P$134)*$T$123</f>
        <v>0</v>
      </c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24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 t="n">
        <f aca="false">COUNTIF($L$2:L114,"&lt;&gt;"&amp;"")</f>
        <v>6</v>
      </c>
      <c r="Y114" s="18" t="n">
        <f aca="false">SUMIF($X$2:$X$120,X114,$A$2:$A$120)</f>
        <v>4438368.54978355</v>
      </c>
      <c r="Z114" s="19"/>
      <c r="AA114" s="20"/>
      <c r="AB114" s="21" t="b">
        <f aca="false">TRUE()</f>
        <v>1</v>
      </c>
      <c r="AC114" s="22" t="n">
        <f aca="false">IF(L114="",0,IF(AB114=FALSE(),0,Y114))</f>
        <v>0</v>
      </c>
      <c r="AD114" s="14"/>
      <c r="AE114" s="14"/>
    </row>
    <row r="115" customFormat="false" ht="15" hidden="false" customHeight="true" outlineLevel="0" collapsed="false">
      <c r="A115" s="11" t="n">
        <f aca="false">(B115*$P$125+C115*$P$126+D115*$P$127+E115*$P$128+F115*$P$129+G115*$P$130+H115*$P$131+I115*$P$132+J115*$P$133+K115*$P$134)*$T$123</f>
        <v>0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24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 t="n">
        <f aca="false">COUNTIF($L$2:L115,"&lt;&gt;"&amp;"")</f>
        <v>6</v>
      </c>
      <c r="Y115" s="18" t="n">
        <f aca="false">SUMIF($X$2:$X$120,X115,$A$2:$A$120)</f>
        <v>4438368.54978355</v>
      </c>
      <c r="Z115" s="19"/>
      <c r="AA115" s="20"/>
      <c r="AB115" s="21" t="b">
        <f aca="false">TRUE()</f>
        <v>1</v>
      </c>
      <c r="AC115" s="22" t="n">
        <f aca="false">IF(L115="",0,IF(AB115=FALSE(),0,Y115))</f>
        <v>0</v>
      </c>
      <c r="AD115" s="14"/>
      <c r="AE115" s="14"/>
    </row>
    <row r="116" customFormat="false" ht="15" hidden="false" customHeight="true" outlineLevel="0" collapsed="false">
      <c r="A116" s="11" t="n">
        <f aca="false">(B116*$P$125+C116*$P$126+D116*$P$127+E116*$P$128+F116*$P$129+G116*$P$130+H116*$P$131+I116*$P$132+J116*$P$133+K116*$P$134)*$T$123</f>
        <v>0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24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 t="n">
        <f aca="false">COUNTIF($L$2:L116,"&lt;&gt;"&amp;"")</f>
        <v>6</v>
      </c>
      <c r="Y116" s="18" t="n">
        <f aca="false">SUMIF($X$2:$X$120,X116,$A$2:$A$120)</f>
        <v>4438368.54978355</v>
      </c>
      <c r="Z116" s="19"/>
      <c r="AA116" s="20"/>
      <c r="AB116" s="21" t="b">
        <f aca="false">TRUE()</f>
        <v>1</v>
      </c>
      <c r="AC116" s="22" t="n">
        <f aca="false">IF(L116="",0,IF(AB116=FALSE(),0,Y116))</f>
        <v>0</v>
      </c>
      <c r="AD116" s="14"/>
      <c r="AE116" s="14"/>
    </row>
    <row r="117" customFormat="false" ht="15" hidden="false" customHeight="true" outlineLevel="0" collapsed="false">
      <c r="A117" s="11" t="n">
        <f aca="false">(B117*$P$125+C117*$P$126+D117*$P$127+E117*$P$128+F117*$P$129+G117*$P$130+H117*$P$131+I117*$P$132+J117*$P$133+K117*$P$134)*$T$123</f>
        <v>0</v>
      </c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24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 t="n">
        <f aca="false">COUNTIF($L$2:L117,"&lt;&gt;"&amp;"")</f>
        <v>6</v>
      </c>
      <c r="Y117" s="18" t="n">
        <f aca="false">SUMIF($X$2:$X$120,X117,$A$2:$A$120)</f>
        <v>4438368.54978355</v>
      </c>
      <c r="Z117" s="19"/>
      <c r="AA117" s="20"/>
      <c r="AB117" s="21" t="b">
        <f aca="false">TRUE()</f>
        <v>1</v>
      </c>
      <c r="AC117" s="22" t="n">
        <f aca="false">IF(L117="",0,IF(AB117=FALSE(),0,Y117))</f>
        <v>0</v>
      </c>
      <c r="AD117" s="14"/>
      <c r="AE117" s="14"/>
    </row>
    <row r="118" customFormat="false" ht="15" hidden="false" customHeight="true" outlineLevel="0" collapsed="false">
      <c r="A118" s="11" t="n">
        <f aca="false">(B118*$P$125+C118*$P$126+D118*$P$127+E118*$P$128+F118*$P$129+G118*$P$130+H118*$P$131+I118*$P$132+J118*$P$133+K118*$P$134)*$T$123</f>
        <v>0</v>
      </c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24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 t="n">
        <f aca="false">COUNTIF($L$2:L118,"&lt;&gt;"&amp;"")</f>
        <v>6</v>
      </c>
      <c r="Y118" s="18" t="n">
        <f aca="false">SUMIF($X$2:$X$120,X118,$A$2:$A$120)</f>
        <v>4438368.54978355</v>
      </c>
      <c r="Z118" s="19"/>
      <c r="AA118" s="20"/>
      <c r="AB118" s="21" t="b">
        <f aca="false">TRUE()</f>
        <v>1</v>
      </c>
      <c r="AC118" s="22" t="n">
        <f aca="false">IF(L118="",0,IF(AB118=FALSE(),0,Y118))</f>
        <v>0</v>
      </c>
      <c r="AD118" s="14"/>
      <c r="AE118" s="14"/>
    </row>
    <row r="119" customFormat="false" ht="15" hidden="false" customHeight="true" outlineLevel="0" collapsed="false">
      <c r="A119" s="11" t="n">
        <f aca="false">(B119*$P$125+C119*$P$126+D119*$P$127+E119*$P$128+F119*$P$129+G119*$P$130+H119*$P$131+I119*$P$132+J119*$P$133+K119*$P$134)*$T$123</f>
        <v>0</v>
      </c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24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 t="n">
        <f aca="false">COUNTIF($L$2:L119,"&lt;&gt;"&amp;"")</f>
        <v>6</v>
      </c>
      <c r="Y119" s="18" t="n">
        <f aca="false">SUMIF($X$2:$X$120,X119,$A$2:$A$120)</f>
        <v>4438368.54978355</v>
      </c>
      <c r="Z119" s="19"/>
      <c r="AA119" s="20"/>
      <c r="AB119" s="21" t="b">
        <f aca="false">TRUE()</f>
        <v>1</v>
      </c>
      <c r="AC119" s="22" t="n">
        <f aca="false">IF(L119="",0,IF(AB119=FALSE(),0,Y119))</f>
        <v>0</v>
      </c>
      <c r="AD119" s="14"/>
      <c r="AE119" s="14"/>
    </row>
    <row r="120" customFormat="false" ht="12.75" hidden="false" customHeight="true" outlineLevel="0" collapsed="false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7"/>
      <c r="M120" s="37"/>
      <c r="N120" s="38"/>
      <c r="O120" s="38" t="s">
        <v>40</v>
      </c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14"/>
      <c r="AE120" s="14"/>
    </row>
    <row r="121" customFormat="false" ht="15" hidden="false" customHeight="true" outlineLevel="0" collapsed="false">
      <c r="A121" s="39" t="n">
        <f aca="false">ROW()</f>
        <v>121</v>
      </c>
      <c r="B121" s="14" t="n">
        <f aca="false">SUM(B2:B120)</f>
        <v>3.5</v>
      </c>
      <c r="C121" s="14" t="n">
        <f aca="false">SUM(C2:C120)</f>
        <v>2</v>
      </c>
      <c r="D121" s="14" t="n">
        <f aca="false">SUM(D2:D120)</f>
        <v>2.5</v>
      </c>
      <c r="E121" s="14" t="n">
        <f aca="false">SUM(E2:E120)</f>
        <v>8</v>
      </c>
      <c r="F121" s="14" t="n">
        <f aca="false">SUM(F2:F120)</f>
        <v>16</v>
      </c>
      <c r="G121" s="14" t="n">
        <f aca="false">SUM(G2:G120)</f>
        <v>0</v>
      </c>
      <c r="H121" s="14" t="n">
        <f aca="false">SUM(H2:H120)</f>
        <v>2.5</v>
      </c>
      <c r="I121" s="14" t="n">
        <f aca="false">SUM(I2:I120)</f>
        <v>0</v>
      </c>
      <c r="J121" s="14" t="n">
        <f aca="false">SUM(J2:J120)</f>
        <v>0</v>
      </c>
      <c r="K121" s="14" t="n">
        <f aca="false">SUM(K2:K120)</f>
        <v>2.5</v>
      </c>
      <c r="L121" s="24"/>
      <c r="M121" s="17"/>
      <c r="N121" s="17"/>
      <c r="O121" s="17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40"/>
      <c r="AD121" s="14"/>
      <c r="AE121" s="14"/>
    </row>
    <row r="122" customFormat="false" ht="12.75" hidden="false" customHeight="true" outlineLevel="0" collapsed="false">
      <c r="A122" s="14"/>
      <c r="B122" s="14"/>
      <c r="C122" s="41"/>
      <c r="D122" s="41"/>
      <c r="E122" s="41"/>
      <c r="F122" s="41"/>
      <c r="G122" s="41"/>
      <c r="H122" s="41"/>
      <c r="I122" s="42" t="s">
        <v>41</v>
      </c>
      <c r="J122" s="42"/>
      <c r="K122" s="42"/>
      <c r="L122" s="42"/>
      <c r="M122" s="43" t="n">
        <f aca="false">400000+120000</f>
        <v>520000</v>
      </c>
      <c r="N122" s="43"/>
      <c r="O122" s="43"/>
      <c r="P122" s="14"/>
      <c r="Q122" s="14"/>
      <c r="R122" s="14"/>
      <c r="S122" s="41"/>
      <c r="T122" s="41"/>
      <c r="U122" s="41"/>
      <c r="V122" s="14"/>
      <c r="W122" s="14"/>
      <c r="X122" s="14"/>
      <c r="Y122" s="14" t="n">
        <f aca="false">Y1/0.6</f>
        <v>25343636.2373737</v>
      </c>
      <c r="Z122" s="14"/>
      <c r="AA122" s="14"/>
      <c r="AB122" s="14"/>
      <c r="AC122" s="40"/>
      <c r="AD122" s="14"/>
      <c r="AE122" s="14"/>
    </row>
    <row r="123" customFormat="false" ht="15" hidden="false" customHeight="true" outlineLevel="0" collapsed="false">
      <c r="A123" s="14"/>
      <c r="B123" s="14"/>
      <c r="C123" s="41"/>
      <c r="D123" s="44" t="s">
        <v>42</v>
      </c>
      <c r="E123" s="45" t="n">
        <v>1750905</v>
      </c>
      <c r="F123" s="46" t="s">
        <v>43</v>
      </c>
      <c r="G123" s="47" t="n">
        <v>249095</v>
      </c>
      <c r="H123" s="41"/>
      <c r="I123" s="48" t="s">
        <v>44</v>
      </c>
      <c r="J123" s="49" t="n">
        <v>0.18</v>
      </c>
      <c r="K123" s="49"/>
      <c r="L123" s="50" t="s">
        <v>45</v>
      </c>
      <c r="M123" s="51" t="n">
        <f aca="false">2.7/12</f>
        <v>0.225</v>
      </c>
      <c r="N123" s="52" t="s">
        <v>46</v>
      </c>
      <c r="O123" s="53" t="n">
        <f aca="false">40*4.2*((244-2)/260)</f>
        <v>156.369230769231</v>
      </c>
      <c r="P123" s="41"/>
      <c r="Q123" s="48" t="s">
        <v>47</v>
      </c>
      <c r="R123" s="54" t="n">
        <v>0.1</v>
      </c>
      <c r="S123" s="41"/>
      <c r="T123" s="55" t="n">
        <v>8</v>
      </c>
      <c r="U123" s="56" t="s">
        <v>48</v>
      </c>
      <c r="V123" s="57"/>
      <c r="W123" s="14"/>
      <c r="X123" s="14"/>
      <c r="Y123" s="14"/>
      <c r="Z123" s="14"/>
      <c r="AA123" s="14"/>
      <c r="AB123" s="14"/>
      <c r="AC123" s="40"/>
      <c r="AD123" s="14"/>
      <c r="AE123" s="14"/>
    </row>
    <row r="124" customFormat="false" ht="12.75" hidden="false" customHeight="true" outlineLevel="0" collapsed="false">
      <c r="A124" s="14"/>
      <c r="B124" s="14"/>
      <c r="C124" s="58" t="s">
        <v>49</v>
      </c>
      <c r="D124" s="58"/>
      <c r="E124" s="58"/>
      <c r="F124" s="58" t="s">
        <v>50</v>
      </c>
      <c r="G124" s="58"/>
      <c r="H124" s="58"/>
      <c r="I124" s="58" t="s">
        <v>51</v>
      </c>
      <c r="J124" s="58"/>
      <c r="K124" s="58"/>
      <c r="L124" s="58"/>
      <c r="M124" s="58" t="s">
        <v>52</v>
      </c>
      <c r="N124" s="58"/>
      <c r="O124" s="58"/>
      <c r="P124" s="58" t="s">
        <v>53</v>
      </c>
      <c r="Q124" s="58"/>
      <c r="R124" s="58"/>
      <c r="S124" s="41"/>
      <c r="T124" s="41"/>
      <c r="U124" s="59" t="s">
        <v>46</v>
      </c>
      <c r="V124" s="58" t="s">
        <v>54</v>
      </c>
      <c r="W124" s="58"/>
      <c r="X124" s="58"/>
      <c r="Y124" s="14"/>
      <c r="Z124" s="14"/>
      <c r="AA124" s="14"/>
      <c r="AB124" s="14"/>
      <c r="AC124" s="40"/>
      <c r="AD124" s="14"/>
      <c r="AE124" s="14"/>
    </row>
    <row r="125" customFormat="false" ht="12.75" hidden="false" customHeight="true" outlineLevel="0" collapsed="false">
      <c r="A125" s="26" t="s">
        <v>55</v>
      </c>
      <c r="B125" s="59" t="str">
        <f aca="false">B1</f>
        <v>DB</v>
      </c>
      <c r="C125" s="60" t="n">
        <v>6480000</v>
      </c>
      <c r="D125" s="60"/>
      <c r="E125" s="60"/>
      <c r="F125" s="60" t="n">
        <v>1080000</v>
      </c>
      <c r="G125" s="60"/>
      <c r="H125" s="60"/>
      <c r="I125" s="60" t="n">
        <v>0</v>
      </c>
      <c r="J125" s="60"/>
      <c r="K125" s="60"/>
      <c r="L125" s="60"/>
      <c r="M125" s="60" t="n">
        <f aca="false">C125*(1+$J$123+$M$123)+F125+I125+$M$122+IF(($E$123*2)&gt;=C125,$G$123,0)</f>
        <v>10704400</v>
      </c>
      <c r="N125" s="60"/>
      <c r="O125" s="60"/>
      <c r="P125" s="61" t="n">
        <f aca="false">M125/$O$123*(1+$R$123)</f>
        <v>75301.5151515152</v>
      </c>
      <c r="Q125" s="61"/>
      <c r="R125" s="61"/>
      <c r="S125" s="41"/>
      <c r="T125" s="41"/>
      <c r="U125" s="14" t="n">
        <f aca="false">HLOOKUP(B125,$B$1:$K$121,$A$121,0)*$T$123</f>
        <v>28</v>
      </c>
      <c r="W125" s="62" t="n">
        <f aca="false">P125*U125</f>
        <v>2108442.42424243</v>
      </c>
      <c r="Y125" s="14"/>
      <c r="Z125" s="14"/>
      <c r="AA125" s="14"/>
      <c r="AB125" s="14"/>
      <c r="AC125" s="40"/>
      <c r="AD125" s="14"/>
      <c r="AE125" s="14"/>
    </row>
    <row r="126" customFormat="false" ht="12.75" hidden="false" customHeight="true" outlineLevel="0" collapsed="false">
      <c r="A126" s="26" t="s">
        <v>56</v>
      </c>
      <c r="B126" s="59" t="str">
        <f aca="false">C1</f>
        <v>UX</v>
      </c>
      <c r="C126" s="60" t="n">
        <v>3240000</v>
      </c>
      <c r="D126" s="60"/>
      <c r="E126" s="60"/>
      <c r="F126" s="60" t="n">
        <v>540000</v>
      </c>
      <c r="G126" s="60"/>
      <c r="H126" s="60"/>
      <c r="I126" s="60" t="n">
        <v>0</v>
      </c>
      <c r="J126" s="60"/>
      <c r="K126" s="60"/>
      <c r="L126" s="60"/>
      <c r="M126" s="60" t="n">
        <f aca="false">C126*(1+$J$123+$M$123)+F126+I126+$M$122+IF(($E$123*2)&gt;=C126,$G$123,0)</f>
        <v>5861295</v>
      </c>
      <c r="N126" s="60"/>
      <c r="O126" s="60"/>
      <c r="P126" s="61" t="n">
        <f aca="false">M126/$O$123*(1+$R$123)</f>
        <v>41232.0535714286</v>
      </c>
      <c r="Q126" s="61"/>
      <c r="R126" s="61"/>
      <c r="S126" s="41"/>
      <c r="T126" s="41"/>
      <c r="U126" s="14" t="n">
        <f aca="false">HLOOKUP(B126,$B$1:$K$121,$A$121,0)*$T$123</f>
        <v>16</v>
      </c>
      <c r="W126" s="62" t="n">
        <f aca="false">P126*U126</f>
        <v>659712.857142857</v>
      </c>
      <c r="Y126" s="14"/>
      <c r="Z126" s="14"/>
      <c r="AA126" s="14"/>
      <c r="AB126" s="14"/>
      <c r="AC126" s="40"/>
      <c r="AD126" s="14"/>
      <c r="AE126" s="14"/>
    </row>
    <row r="127" customFormat="false" ht="12.75" hidden="false" customHeight="true" outlineLevel="0" collapsed="false">
      <c r="A127" s="26" t="s">
        <v>57</v>
      </c>
      <c r="B127" s="59" t="str">
        <f aca="false">D1</f>
        <v>FM</v>
      </c>
      <c r="C127" s="60" t="n">
        <v>3240000</v>
      </c>
      <c r="D127" s="60"/>
      <c r="E127" s="60"/>
      <c r="F127" s="60" t="n">
        <v>540000</v>
      </c>
      <c r="G127" s="60"/>
      <c r="H127" s="60"/>
      <c r="I127" s="60" t="n">
        <v>0</v>
      </c>
      <c r="J127" s="60"/>
      <c r="K127" s="60"/>
      <c r="L127" s="60"/>
      <c r="M127" s="60" t="n">
        <f aca="false">C127*(1+$J$123+$M$123)+F127+I127+$M$122+IF(($E$123*2)&gt;=C127,$G$123,0)</f>
        <v>5861295</v>
      </c>
      <c r="N127" s="60"/>
      <c r="O127" s="60"/>
      <c r="P127" s="61" t="n">
        <f aca="false">M127/$O$123*(1+$R$123)</f>
        <v>41232.0535714286</v>
      </c>
      <c r="Q127" s="61"/>
      <c r="R127" s="61"/>
      <c r="S127" s="41"/>
      <c r="T127" s="41"/>
      <c r="U127" s="14" t="n">
        <f aca="false">HLOOKUP(B127,$B$1:$K$121,$A$121,0)*$T$123</f>
        <v>20</v>
      </c>
      <c r="W127" s="62" t="n">
        <f aca="false">P127*U127</f>
        <v>824641.071428572</v>
      </c>
      <c r="Y127" s="14"/>
      <c r="Z127" s="14"/>
      <c r="AA127" s="14"/>
      <c r="AB127" s="14"/>
      <c r="AC127" s="40"/>
      <c r="AD127" s="14"/>
      <c r="AE127" s="14"/>
    </row>
    <row r="128" customFormat="false" ht="12.75" hidden="false" customHeight="true" outlineLevel="0" collapsed="false">
      <c r="A128" s="26" t="s">
        <v>58</v>
      </c>
      <c r="B128" s="59" t="str">
        <f aca="false">E1</f>
        <v>BS</v>
      </c>
      <c r="C128" s="60" t="n">
        <v>4320000</v>
      </c>
      <c r="D128" s="60"/>
      <c r="E128" s="60"/>
      <c r="F128" s="60" t="n">
        <v>1620000</v>
      </c>
      <c r="G128" s="60"/>
      <c r="H128" s="60"/>
      <c r="I128" s="60" t="n">
        <v>0</v>
      </c>
      <c r="J128" s="60"/>
      <c r="K128" s="60"/>
      <c r="L128" s="60"/>
      <c r="M128" s="60" t="n">
        <f aca="false">C128*(1+$J$123+$M$123)+F128+I128+$M$122+IF(($E$123*2)&gt;=C128,$G$123,0)</f>
        <v>8209600</v>
      </c>
      <c r="N128" s="60"/>
      <c r="O128" s="60"/>
      <c r="P128" s="61" t="n">
        <f aca="false">M128/$O$123*(1+$R$123)</f>
        <v>57751.5151515152</v>
      </c>
      <c r="Q128" s="61"/>
      <c r="R128" s="61"/>
      <c r="S128" s="41"/>
      <c r="T128" s="41"/>
      <c r="U128" s="14" t="n">
        <f aca="false">HLOOKUP(B128,$B$1:$K$121,$A$121,0)*$T$123</f>
        <v>64</v>
      </c>
      <c r="W128" s="62" t="n">
        <f aca="false">P128*U128</f>
        <v>3696096.96969697</v>
      </c>
      <c r="Y128" s="14"/>
      <c r="Z128" s="14"/>
      <c r="AA128" s="14"/>
      <c r="AB128" s="14"/>
      <c r="AC128" s="40"/>
      <c r="AD128" s="14"/>
      <c r="AE128" s="14"/>
    </row>
    <row r="129" customFormat="false" ht="12.75" hidden="false" customHeight="true" outlineLevel="0" collapsed="false">
      <c r="A129" s="26" t="s">
        <v>59</v>
      </c>
      <c r="B129" s="59" t="str">
        <f aca="false">F1</f>
        <v>BM</v>
      </c>
      <c r="C129" s="60" t="n">
        <v>3780000</v>
      </c>
      <c r="D129" s="60"/>
      <c r="E129" s="60"/>
      <c r="F129" s="60" t="n">
        <v>1080000</v>
      </c>
      <c r="G129" s="60"/>
      <c r="H129" s="60"/>
      <c r="I129" s="60" t="n">
        <v>0</v>
      </c>
      <c r="J129" s="60"/>
      <c r="K129" s="60"/>
      <c r="L129" s="60"/>
      <c r="M129" s="60" t="n">
        <f aca="false">C129*(1+$J$123+$M$123)+F129+I129+$M$122+IF(($E$123*2)&gt;=C129,$G$123,0)</f>
        <v>6910900</v>
      </c>
      <c r="N129" s="60"/>
      <c r="O129" s="60"/>
      <c r="P129" s="61" t="n">
        <f aca="false">M129/$O$123*(1+$R$123)</f>
        <v>48615.6385281385</v>
      </c>
      <c r="Q129" s="61"/>
      <c r="R129" s="61"/>
      <c r="S129" s="41"/>
      <c r="T129" s="41"/>
      <c r="U129" s="14" t="n">
        <f aca="false">HLOOKUP(B129,$B$1:$K$121,$A$121,0)*$T$123</f>
        <v>128</v>
      </c>
      <c r="W129" s="62" t="n">
        <f aca="false">P129*U129</f>
        <v>6222801.73160173</v>
      </c>
      <c r="Y129" s="14"/>
      <c r="Z129" s="14"/>
      <c r="AA129" s="14"/>
      <c r="AB129" s="14"/>
      <c r="AC129" s="40"/>
      <c r="AD129" s="14"/>
      <c r="AE129" s="14"/>
    </row>
    <row r="130" customFormat="false" ht="12.75" hidden="false" customHeight="true" outlineLevel="0" collapsed="false">
      <c r="A130" s="26" t="s">
        <v>60</v>
      </c>
      <c r="B130" s="59" t="str">
        <f aca="false">G1</f>
        <v>QA</v>
      </c>
      <c r="C130" s="60" t="n">
        <v>2700000</v>
      </c>
      <c r="D130" s="60"/>
      <c r="E130" s="60"/>
      <c r="F130" s="60" t="n">
        <v>1080000</v>
      </c>
      <c r="G130" s="60"/>
      <c r="H130" s="60"/>
      <c r="I130" s="60" t="n">
        <v>54000</v>
      </c>
      <c r="J130" s="60"/>
      <c r="K130" s="60"/>
      <c r="L130" s="60"/>
      <c r="M130" s="60" t="n">
        <f aca="false">C130*(1+$J$123+$M$123)+F130+I130+$M$122+IF(($E$123*2)&gt;=C130,$G$123,0)</f>
        <v>5696595</v>
      </c>
      <c r="N130" s="60"/>
      <c r="O130" s="60"/>
      <c r="P130" s="61" t="n">
        <f aca="false">M130/$O$123*(1+$R$123)</f>
        <v>40073.4496753247</v>
      </c>
      <c r="Q130" s="61"/>
      <c r="R130" s="61"/>
      <c r="S130" s="41"/>
      <c r="T130" s="41"/>
      <c r="U130" s="14" t="n">
        <f aca="false">HLOOKUP(B130,$B$1:$K$121,$A$121,0)*$T$123</f>
        <v>0</v>
      </c>
      <c r="W130" s="62" t="n">
        <f aca="false">P130*U130</f>
        <v>0</v>
      </c>
      <c r="Y130" s="14"/>
      <c r="Z130" s="14"/>
      <c r="AA130" s="14"/>
      <c r="AB130" s="14"/>
      <c r="AC130" s="40"/>
      <c r="AD130" s="14"/>
      <c r="AE130" s="14"/>
    </row>
    <row r="131" customFormat="false" ht="12.75" hidden="false" customHeight="true" outlineLevel="0" collapsed="false">
      <c r="A131" s="26" t="s">
        <v>61</v>
      </c>
      <c r="B131" s="59" t="str">
        <f aca="false">H1</f>
        <v>IM</v>
      </c>
      <c r="C131" s="60" t="n">
        <v>2700000</v>
      </c>
      <c r="D131" s="60"/>
      <c r="E131" s="60"/>
      <c r="F131" s="60" t="n">
        <v>1080000</v>
      </c>
      <c r="G131" s="60"/>
      <c r="H131" s="60"/>
      <c r="I131" s="60" t="n">
        <v>0</v>
      </c>
      <c r="J131" s="60"/>
      <c r="K131" s="60"/>
      <c r="L131" s="60"/>
      <c r="M131" s="60" t="n">
        <f aca="false">C131*(1+$J$123+$M$123)+F131+I131+$M$122+IF(($E$123*2)&gt;=C131,$G$123,0)</f>
        <v>5642595</v>
      </c>
      <c r="N131" s="60"/>
      <c r="O131" s="60"/>
      <c r="P131" s="61" t="n">
        <f aca="false">M131/$O$123*(1+$R$123)</f>
        <v>39693.5795454546</v>
      </c>
      <c r="Q131" s="61"/>
      <c r="R131" s="61"/>
      <c r="S131" s="41"/>
      <c r="T131" s="41"/>
      <c r="U131" s="14" t="n">
        <f aca="false">HLOOKUP(B131,$B$1:$K$121,$A$121,0)*$T$123</f>
        <v>20</v>
      </c>
      <c r="W131" s="62" t="n">
        <f aca="false">P131*U131</f>
        <v>793871.590909091</v>
      </c>
      <c r="Y131" s="14"/>
      <c r="Z131" s="14"/>
      <c r="AA131" s="14"/>
      <c r="AB131" s="14"/>
      <c r="AC131" s="40"/>
      <c r="AD131" s="14"/>
      <c r="AE131" s="14"/>
    </row>
    <row r="132" customFormat="false" ht="12.75" hidden="false" customHeight="true" outlineLevel="0" collapsed="false">
      <c r="A132" s="26" t="s">
        <v>62</v>
      </c>
      <c r="B132" s="59" t="str">
        <f aca="false">I1</f>
        <v>MS</v>
      </c>
      <c r="C132" s="60" t="n">
        <v>8100000</v>
      </c>
      <c r="D132" s="60"/>
      <c r="E132" s="60"/>
      <c r="F132" s="60" t="n">
        <v>2160000</v>
      </c>
      <c r="G132" s="60"/>
      <c r="H132" s="60"/>
      <c r="I132" s="60" t="n">
        <v>132000</v>
      </c>
      <c r="J132" s="60"/>
      <c r="K132" s="60"/>
      <c r="L132" s="60"/>
      <c r="M132" s="60" t="n">
        <f aca="false">C132*(1+$J$123+$M$123)+F132+I132+$M$122+IF(($E$123*2)&gt;=C132,$G$123,0)</f>
        <v>14192500</v>
      </c>
      <c r="N132" s="60"/>
      <c r="O132" s="60"/>
      <c r="P132" s="61" t="n">
        <f aca="false">M132/$O$123*(1+$R$123)</f>
        <v>99839.0151515152</v>
      </c>
      <c r="Q132" s="61"/>
      <c r="R132" s="61"/>
      <c r="S132" s="41"/>
      <c r="T132" s="41"/>
      <c r="U132" s="14" t="n">
        <f aca="false">HLOOKUP(B132,$B$1:$K$121,$A$121,0)*$T$123</f>
        <v>0</v>
      </c>
      <c r="W132" s="62" t="n">
        <f aca="false">P132*U132</f>
        <v>0</v>
      </c>
      <c r="Y132" s="14"/>
      <c r="Z132" s="14"/>
      <c r="AA132" s="14"/>
      <c r="AB132" s="14"/>
      <c r="AC132" s="40"/>
      <c r="AD132" s="14"/>
      <c r="AE132" s="14"/>
    </row>
    <row r="133" customFormat="false" ht="12.75" hidden="false" customHeight="true" outlineLevel="0" collapsed="false">
      <c r="A133" s="26" t="s">
        <v>63</v>
      </c>
      <c r="B133" s="59" t="str">
        <f aca="false">J1</f>
        <v>MM</v>
      </c>
      <c r="C133" s="60" t="n">
        <v>3240000</v>
      </c>
      <c r="D133" s="60"/>
      <c r="E133" s="60"/>
      <c r="F133" s="60" t="n">
        <v>1080000</v>
      </c>
      <c r="G133" s="60"/>
      <c r="H133" s="60"/>
      <c r="I133" s="60" t="n">
        <v>132000</v>
      </c>
      <c r="J133" s="60"/>
      <c r="K133" s="60"/>
      <c r="L133" s="60"/>
      <c r="M133" s="60" t="n">
        <f aca="false">C133*(1+$J$123+$M$123)+F133+I133+$M$122+IF(($E$123*2)&gt;=C133,$G$123,0)</f>
        <v>6533295</v>
      </c>
      <c r="N133" s="60"/>
      <c r="O133" s="60"/>
      <c r="P133" s="61" t="n">
        <f aca="false">M133/$O$123*(1+$R$123)</f>
        <v>45959.3262987013</v>
      </c>
      <c r="Q133" s="61"/>
      <c r="R133" s="61"/>
      <c r="S133" s="41"/>
      <c r="T133" s="41"/>
      <c r="U133" s="14" t="n">
        <f aca="false">HLOOKUP(B133,$B$1:$K$121,$A$121,0)*$T$123</f>
        <v>0</v>
      </c>
      <c r="W133" s="62" t="n">
        <f aca="false">P133*U133</f>
        <v>0</v>
      </c>
      <c r="Y133" s="14"/>
      <c r="Z133" s="14"/>
      <c r="AA133" s="14"/>
      <c r="AB133" s="14"/>
      <c r="AC133" s="40"/>
      <c r="AD133" s="14"/>
      <c r="AE133" s="14"/>
    </row>
    <row r="134" customFormat="false" ht="12.75" hidden="false" customHeight="true" outlineLevel="0" collapsed="false">
      <c r="A134" s="26" t="s">
        <v>64</v>
      </c>
      <c r="B134" s="59" t="s">
        <v>10</v>
      </c>
      <c r="C134" s="60" t="n">
        <v>3240000</v>
      </c>
      <c r="D134" s="60"/>
      <c r="E134" s="60"/>
      <c r="F134" s="60" t="n">
        <v>1080000</v>
      </c>
      <c r="G134" s="60"/>
      <c r="H134" s="60"/>
      <c r="I134" s="60"/>
      <c r="J134" s="60"/>
      <c r="K134" s="60"/>
      <c r="L134" s="60"/>
      <c r="M134" s="60" t="n">
        <f aca="false">C134*(1+$J$123+$M$123)+F134+I134+$M$122+IF(($E$123*2)&gt;=C134,$G$123,0)</f>
        <v>6401295</v>
      </c>
      <c r="N134" s="60"/>
      <c r="O134" s="60"/>
      <c r="P134" s="61" t="n">
        <f aca="false">M134/$O$123*(1+$R$123)</f>
        <v>45030.7548701299</v>
      </c>
      <c r="Q134" s="61"/>
      <c r="R134" s="61"/>
      <c r="S134" s="41"/>
      <c r="T134" s="41"/>
      <c r="U134" s="14" t="n">
        <f aca="false">HLOOKUP(B134,$B$1:$K$121,$A$121,0)*$T$123</f>
        <v>20</v>
      </c>
      <c r="W134" s="62" t="n">
        <f aca="false">P134*U134</f>
        <v>900615.097402597</v>
      </c>
      <c r="Y134" s="14"/>
      <c r="Z134" s="14"/>
      <c r="AA134" s="14"/>
      <c r="AB134" s="14"/>
      <c r="AC134" s="40"/>
      <c r="AD134" s="14"/>
      <c r="AE134" s="14"/>
    </row>
    <row r="135" customFormat="false" ht="12.75" hidden="false" customHeight="true" outlineLevel="0" collapsed="false">
      <c r="A135" s="26"/>
      <c r="B135" s="59"/>
      <c r="C135" s="41"/>
      <c r="D135" s="41"/>
      <c r="E135" s="41"/>
      <c r="F135" s="41"/>
      <c r="G135" s="41"/>
      <c r="H135" s="41"/>
      <c r="I135" s="14"/>
      <c r="J135" s="14"/>
      <c r="K135" s="14"/>
      <c r="L135" s="14"/>
      <c r="M135" s="14"/>
      <c r="N135" s="14"/>
      <c r="O135" s="14"/>
      <c r="P135" s="63" t="n">
        <f aca="false">SUM(P125:P134)</f>
        <v>534728.901515152</v>
      </c>
      <c r="Q135" s="63"/>
      <c r="R135" s="63"/>
      <c r="S135" s="41"/>
      <c r="T135" s="41"/>
      <c r="U135" s="41"/>
      <c r="W135" s="64" t="n">
        <f aca="false">SUM(W125:W134)</f>
        <v>15206181.7424242</v>
      </c>
      <c r="Y135" s="14"/>
      <c r="Z135" s="14"/>
      <c r="AA135" s="14"/>
      <c r="AB135" s="14"/>
      <c r="AC135" s="40"/>
      <c r="AD135" s="14"/>
      <c r="AE135" s="14"/>
    </row>
    <row r="136" customFormat="false" ht="12.75" hidden="false" customHeight="true" outlineLevel="0" collapsed="false">
      <c r="A136" s="14"/>
      <c r="B136" s="14"/>
      <c r="C136" s="65"/>
      <c r="D136" s="65"/>
      <c r="E136" s="14"/>
      <c r="F136" s="14"/>
      <c r="G136" s="14"/>
      <c r="H136" s="41"/>
      <c r="I136" s="14"/>
      <c r="J136" s="14"/>
      <c r="K136" s="14"/>
      <c r="L136" s="41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40"/>
      <c r="AD136" s="14"/>
      <c r="AE136" s="14"/>
    </row>
    <row r="137" customFormat="false" ht="12.75" hidden="false" customHeight="true" outlineLevel="0" collapsed="false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40"/>
      <c r="AD137" s="14"/>
      <c r="AE137" s="14"/>
    </row>
    <row r="138" customFormat="false" ht="12.75" hidden="false" customHeight="true" outlineLevel="0" collapsed="false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7"/>
      <c r="AD138" s="66"/>
      <c r="AE138" s="66"/>
    </row>
    <row r="139" customFormat="false" ht="15" hidden="false" customHeight="true" outlineLevel="0" collapsed="false">
      <c r="A139" s="66"/>
      <c r="B139" s="66"/>
      <c r="C139" s="68"/>
      <c r="D139" s="68"/>
      <c r="E139" s="68"/>
      <c r="F139" s="68"/>
      <c r="G139" s="69"/>
      <c r="H139" s="69"/>
      <c r="I139" s="69"/>
      <c r="J139" s="69"/>
      <c r="K139" s="69"/>
      <c r="L139" s="70"/>
      <c r="M139" s="70"/>
      <c r="N139" s="70"/>
      <c r="O139" s="70"/>
      <c r="P139" s="69"/>
      <c r="Q139" s="69"/>
      <c r="R139" s="69"/>
      <c r="S139" s="69"/>
      <c r="T139" s="70"/>
      <c r="U139" s="70"/>
      <c r="V139" s="70"/>
      <c r="W139" s="70"/>
      <c r="X139" s="69"/>
      <c r="Y139" s="69"/>
      <c r="Z139" s="69"/>
      <c r="AA139" s="70"/>
      <c r="AB139" s="70"/>
      <c r="AC139" s="70"/>
      <c r="AD139" s="70"/>
      <c r="AE139" s="66"/>
    </row>
    <row r="140" customFormat="false" ht="12.75" hidden="false" customHeight="true" outlineLevel="0" collapsed="false">
      <c r="A140" s="71" t="e">
        <f aca="false" t="array" ref="A140:A144">unique(L1:L120)</f>
        <v>#NAME?</v>
      </c>
      <c r="B140" s="72"/>
      <c r="C140" s="73"/>
      <c r="D140" s="73"/>
      <c r="E140" s="73"/>
      <c r="F140" s="74"/>
      <c r="G140" s="75" t="s">
        <v>65</v>
      </c>
      <c r="H140" s="75" t="s">
        <v>66</v>
      </c>
      <c r="I140" s="75" t="s">
        <v>67</v>
      </c>
      <c r="J140" s="75" t="s">
        <v>68</v>
      </c>
      <c r="K140" s="75" t="s">
        <v>69</v>
      </c>
      <c r="L140" s="76" t="s">
        <v>70</v>
      </c>
      <c r="M140" s="76" t="s">
        <v>71</v>
      </c>
      <c r="N140" s="76" t="s">
        <v>72</v>
      </c>
      <c r="O140" s="76" t="s">
        <v>73</v>
      </c>
      <c r="P140" s="75" t="s">
        <v>74</v>
      </c>
      <c r="Q140" s="75"/>
      <c r="R140" s="75"/>
      <c r="S140" s="75"/>
      <c r="T140" s="76"/>
      <c r="U140" s="76"/>
      <c r="V140" s="76"/>
      <c r="W140" s="76"/>
      <c r="X140" s="75"/>
      <c r="Y140" s="75"/>
      <c r="Z140" s="75"/>
      <c r="AA140" s="76"/>
      <c r="AB140" s="76"/>
      <c r="AC140" s="77"/>
      <c r="AD140" s="76"/>
      <c r="AE140" s="66"/>
    </row>
    <row r="141" customFormat="false" ht="12.75" hidden="false" customHeight="true" outlineLevel="0" collapsed="false">
      <c r="A141" s="78" t="e">
        <v>#NAME?</v>
      </c>
      <c r="B141" s="79"/>
      <c r="C141" s="79"/>
      <c r="D141" s="79" t="s">
        <v>75</v>
      </c>
      <c r="E141" s="79"/>
      <c r="F141" s="80"/>
      <c r="G141" s="81"/>
      <c r="H141" s="81"/>
      <c r="I141" s="81"/>
      <c r="J141" s="81"/>
      <c r="K141" s="81"/>
      <c r="L141" s="82"/>
      <c r="M141" s="82"/>
      <c r="N141" s="82"/>
      <c r="O141" s="82"/>
      <c r="P141" s="81"/>
      <c r="Q141" s="81"/>
      <c r="R141" s="81"/>
      <c r="S141" s="81"/>
      <c r="T141" s="82"/>
      <c r="U141" s="82"/>
      <c r="V141" s="82"/>
      <c r="W141" s="82"/>
      <c r="X141" s="81"/>
      <c r="Y141" s="81"/>
      <c r="Z141" s="81"/>
      <c r="AA141" s="82"/>
      <c r="AB141" s="82"/>
      <c r="AC141" s="83"/>
      <c r="AD141" s="82"/>
      <c r="AE141" s="66"/>
    </row>
    <row r="142" customFormat="false" ht="12.75" hidden="false" customHeight="true" outlineLevel="0" collapsed="false">
      <c r="A142" s="78" t="e">
        <v>#NAME?</v>
      </c>
      <c r="B142" s="79"/>
      <c r="C142" s="79"/>
      <c r="D142" s="79"/>
      <c r="E142" s="79"/>
      <c r="F142" s="80"/>
      <c r="G142" s="81"/>
      <c r="H142" s="81"/>
      <c r="I142" s="81"/>
      <c r="J142" s="81"/>
      <c r="K142" s="81"/>
      <c r="L142" s="82"/>
      <c r="M142" s="82"/>
      <c r="N142" s="82"/>
      <c r="O142" s="82"/>
      <c r="P142" s="81"/>
      <c r="Q142" s="81"/>
      <c r="R142" s="81"/>
      <c r="S142" s="81"/>
      <c r="T142" s="82"/>
      <c r="U142" s="82"/>
      <c r="V142" s="82"/>
      <c r="W142" s="82"/>
      <c r="X142" s="81"/>
      <c r="Y142" s="81"/>
      <c r="Z142" s="81"/>
      <c r="AA142" s="82"/>
      <c r="AB142" s="82"/>
      <c r="AC142" s="83"/>
      <c r="AD142" s="82"/>
      <c r="AE142" s="66"/>
    </row>
    <row r="143" customFormat="false" ht="12.75" hidden="false" customHeight="true" outlineLevel="0" collapsed="false">
      <c r="A143" s="78" t="e">
        <v>#NAME?</v>
      </c>
      <c r="B143" s="79"/>
      <c r="C143" s="79"/>
      <c r="D143" s="79"/>
      <c r="E143" s="79"/>
      <c r="F143" s="80"/>
      <c r="G143" s="81"/>
      <c r="H143" s="81"/>
      <c r="I143" s="81"/>
      <c r="J143" s="81"/>
      <c r="K143" s="81"/>
      <c r="L143" s="82"/>
      <c r="M143" s="82"/>
      <c r="N143" s="82"/>
      <c r="O143" s="82"/>
      <c r="P143" s="81"/>
      <c r="Q143" s="81"/>
      <c r="R143" s="81"/>
      <c r="S143" s="81"/>
      <c r="T143" s="82"/>
      <c r="U143" s="82"/>
      <c r="V143" s="82"/>
      <c r="W143" s="82"/>
      <c r="X143" s="81"/>
      <c r="Y143" s="81"/>
      <c r="Z143" s="81"/>
      <c r="AA143" s="82"/>
      <c r="AB143" s="82"/>
      <c r="AC143" s="83"/>
      <c r="AD143" s="82"/>
      <c r="AE143" s="66"/>
    </row>
    <row r="144" customFormat="false" ht="12.75" hidden="false" customHeight="true" outlineLevel="0" collapsed="false">
      <c r="A144" s="78" t="e">
        <v>#NAME?</v>
      </c>
      <c r="B144" s="79"/>
      <c r="C144" s="79"/>
      <c r="D144" s="79"/>
      <c r="E144" s="79"/>
      <c r="F144" s="80"/>
      <c r="G144" s="81"/>
      <c r="H144" s="81"/>
      <c r="I144" s="81"/>
      <c r="J144" s="81"/>
      <c r="K144" s="81"/>
      <c r="L144" s="82"/>
      <c r="M144" s="82"/>
      <c r="N144" s="82"/>
      <c r="O144" s="82"/>
      <c r="P144" s="81"/>
      <c r="Q144" s="81"/>
      <c r="R144" s="81"/>
      <c r="S144" s="81"/>
      <c r="T144" s="82"/>
      <c r="U144" s="82"/>
      <c r="V144" s="82"/>
      <c r="W144" s="82"/>
      <c r="X144" s="81"/>
      <c r="Y144" s="81"/>
      <c r="Z144" s="81"/>
      <c r="AA144" s="82"/>
      <c r="AB144" s="82"/>
      <c r="AC144" s="83"/>
      <c r="AD144" s="82"/>
      <c r="AE144" s="66"/>
    </row>
    <row r="145" customFormat="false" ht="12.75" hidden="false" customHeight="true" outlineLevel="0" collapsed="false">
      <c r="A145" s="78"/>
      <c r="B145" s="79"/>
      <c r="C145" s="79"/>
      <c r="D145" s="79"/>
      <c r="E145" s="79"/>
      <c r="F145" s="80"/>
      <c r="G145" s="81"/>
      <c r="H145" s="81"/>
      <c r="I145" s="81"/>
      <c r="J145" s="81"/>
      <c r="K145" s="81"/>
      <c r="L145" s="82"/>
      <c r="M145" s="82"/>
      <c r="N145" s="82"/>
      <c r="O145" s="82"/>
      <c r="P145" s="81"/>
      <c r="Q145" s="81"/>
      <c r="R145" s="81"/>
      <c r="S145" s="81"/>
      <c r="T145" s="82"/>
      <c r="U145" s="82"/>
      <c r="V145" s="82"/>
      <c r="W145" s="82"/>
      <c r="X145" s="81"/>
      <c r="Y145" s="81"/>
      <c r="Z145" s="81"/>
      <c r="AA145" s="82"/>
      <c r="AB145" s="82"/>
      <c r="AC145" s="83"/>
      <c r="AD145" s="82"/>
      <c r="AE145" s="66"/>
    </row>
    <row r="146" customFormat="false" ht="12.75" hidden="false" customHeight="true" outlineLevel="0" collapsed="false">
      <c r="A146" s="78"/>
      <c r="B146" s="79"/>
      <c r="C146" s="79"/>
      <c r="D146" s="79"/>
      <c r="E146" s="79"/>
      <c r="F146" s="80"/>
      <c r="G146" s="81"/>
      <c r="H146" s="81"/>
      <c r="I146" s="81"/>
      <c r="J146" s="81"/>
      <c r="K146" s="81"/>
      <c r="L146" s="82"/>
      <c r="M146" s="82"/>
      <c r="N146" s="82"/>
      <c r="O146" s="82"/>
      <c r="P146" s="81"/>
      <c r="Q146" s="81"/>
      <c r="R146" s="81"/>
      <c r="S146" s="81"/>
      <c r="T146" s="82"/>
      <c r="U146" s="82"/>
      <c r="V146" s="82"/>
      <c r="W146" s="82"/>
      <c r="X146" s="81"/>
      <c r="Y146" s="81"/>
      <c r="Z146" s="81"/>
      <c r="AA146" s="82"/>
      <c r="AB146" s="82"/>
      <c r="AC146" s="83"/>
      <c r="AD146" s="82"/>
      <c r="AE146" s="66"/>
    </row>
    <row r="147" customFormat="false" ht="12.75" hidden="false" customHeight="true" outlineLevel="0" collapsed="false">
      <c r="A147" s="78"/>
      <c r="B147" s="79"/>
      <c r="C147" s="79"/>
      <c r="D147" s="79"/>
      <c r="E147" s="79"/>
      <c r="F147" s="80"/>
      <c r="G147" s="81"/>
      <c r="H147" s="81"/>
      <c r="I147" s="81"/>
      <c r="J147" s="81"/>
      <c r="K147" s="81"/>
      <c r="L147" s="82"/>
      <c r="M147" s="82"/>
      <c r="N147" s="82"/>
      <c r="O147" s="82"/>
      <c r="P147" s="81"/>
      <c r="Q147" s="81"/>
      <c r="R147" s="81"/>
      <c r="S147" s="81"/>
      <c r="T147" s="82"/>
      <c r="U147" s="82"/>
      <c r="V147" s="82"/>
      <c r="W147" s="82"/>
      <c r="X147" s="81"/>
      <c r="Y147" s="81"/>
      <c r="Z147" s="81"/>
      <c r="AA147" s="82"/>
      <c r="AB147" s="82"/>
      <c r="AC147" s="83"/>
      <c r="AD147" s="82"/>
      <c r="AE147" s="66"/>
    </row>
    <row r="148" customFormat="false" ht="12.75" hidden="false" customHeight="true" outlineLevel="0" collapsed="false">
      <c r="A148" s="78"/>
      <c r="B148" s="79"/>
      <c r="C148" s="79"/>
      <c r="D148" s="79"/>
      <c r="E148" s="79"/>
      <c r="F148" s="80"/>
      <c r="G148" s="81"/>
      <c r="H148" s="81"/>
      <c r="I148" s="81"/>
      <c r="J148" s="81"/>
      <c r="K148" s="81"/>
      <c r="L148" s="82"/>
      <c r="M148" s="82"/>
      <c r="N148" s="82"/>
      <c r="O148" s="82"/>
      <c r="P148" s="81"/>
      <c r="Q148" s="81"/>
      <c r="R148" s="81"/>
      <c r="S148" s="81"/>
      <c r="T148" s="82"/>
      <c r="U148" s="82"/>
      <c r="V148" s="82"/>
      <c r="W148" s="82"/>
      <c r="X148" s="81"/>
      <c r="Y148" s="81"/>
      <c r="Z148" s="81"/>
      <c r="AA148" s="82"/>
      <c r="AB148" s="82"/>
      <c r="AC148" s="83"/>
      <c r="AD148" s="82"/>
      <c r="AE148" s="66"/>
    </row>
    <row r="149" customFormat="false" ht="12.75" hidden="false" customHeight="true" outlineLevel="0" collapsed="false">
      <c r="A149" s="78"/>
      <c r="B149" s="79"/>
      <c r="C149" s="79"/>
      <c r="D149" s="79"/>
      <c r="E149" s="79"/>
      <c r="F149" s="80"/>
      <c r="G149" s="81"/>
      <c r="H149" s="81"/>
      <c r="I149" s="81"/>
      <c r="J149" s="81"/>
      <c r="K149" s="81"/>
      <c r="L149" s="82"/>
      <c r="M149" s="82"/>
      <c r="N149" s="82"/>
      <c r="O149" s="82"/>
      <c r="P149" s="81"/>
      <c r="Q149" s="81"/>
      <c r="R149" s="81"/>
      <c r="S149" s="81"/>
      <c r="T149" s="82"/>
      <c r="U149" s="82"/>
      <c r="V149" s="82"/>
      <c r="W149" s="82"/>
      <c r="X149" s="81"/>
      <c r="Y149" s="81"/>
      <c r="Z149" s="81"/>
      <c r="AA149" s="82"/>
      <c r="AB149" s="82"/>
      <c r="AC149" s="83"/>
      <c r="AD149" s="82"/>
      <c r="AE149" s="66"/>
    </row>
    <row r="150" customFormat="false" ht="12.75" hidden="false" customHeight="true" outlineLevel="0" collapsed="false">
      <c r="A150" s="78"/>
      <c r="B150" s="79"/>
      <c r="C150" s="79"/>
      <c r="D150" s="79"/>
      <c r="E150" s="79"/>
      <c r="F150" s="80"/>
      <c r="G150" s="81"/>
      <c r="H150" s="81"/>
      <c r="I150" s="81"/>
      <c r="J150" s="81"/>
      <c r="K150" s="81"/>
      <c r="L150" s="82"/>
      <c r="M150" s="82"/>
      <c r="N150" s="82"/>
      <c r="O150" s="82"/>
      <c r="P150" s="81"/>
      <c r="Q150" s="81"/>
      <c r="R150" s="81"/>
      <c r="S150" s="81"/>
      <c r="T150" s="82"/>
      <c r="U150" s="82"/>
      <c r="V150" s="82"/>
      <c r="W150" s="82"/>
      <c r="X150" s="81"/>
      <c r="Y150" s="81"/>
      <c r="Z150" s="81"/>
      <c r="AA150" s="82"/>
      <c r="AB150" s="82"/>
      <c r="AC150" s="83"/>
      <c r="AD150" s="82"/>
      <c r="AE150" s="66"/>
    </row>
    <row r="151" customFormat="false" ht="12.75" hidden="false" customHeight="true" outlineLevel="0" collapsed="false">
      <c r="A151" s="78"/>
      <c r="B151" s="79"/>
      <c r="C151" s="79"/>
      <c r="D151" s="79"/>
      <c r="E151" s="79"/>
      <c r="F151" s="80"/>
      <c r="G151" s="81"/>
      <c r="H151" s="81"/>
      <c r="I151" s="81"/>
      <c r="J151" s="81"/>
      <c r="K151" s="81"/>
      <c r="L151" s="82"/>
      <c r="M151" s="82"/>
      <c r="N151" s="82"/>
      <c r="O151" s="82"/>
      <c r="P151" s="81"/>
      <c r="Q151" s="81"/>
      <c r="R151" s="81"/>
      <c r="S151" s="81"/>
      <c r="T151" s="82"/>
      <c r="U151" s="82"/>
      <c r="V151" s="82"/>
      <c r="W151" s="82"/>
      <c r="X151" s="81"/>
      <c r="Y151" s="81"/>
      <c r="Z151" s="81"/>
      <c r="AA151" s="82"/>
      <c r="AB151" s="82"/>
      <c r="AC151" s="83"/>
      <c r="AD151" s="82"/>
      <c r="AE151" s="66"/>
    </row>
    <row r="152" customFormat="false" ht="12.75" hidden="false" customHeight="true" outlineLevel="0" collapsed="false">
      <c r="A152" s="78"/>
      <c r="B152" s="79"/>
      <c r="C152" s="79"/>
      <c r="D152" s="79"/>
      <c r="E152" s="79"/>
      <c r="F152" s="80"/>
      <c r="G152" s="81"/>
      <c r="H152" s="81"/>
      <c r="I152" s="81"/>
      <c r="J152" s="81"/>
      <c r="K152" s="81"/>
      <c r="L152" s="82"/>
      <c r="M152" s="82"/>
      <c r="N152" s="82"/>
      <c r="O152" s="82"/>
      <c r="P152" s="81"/>
      <c r="Q152" s="81"/>
      <c r="R152" s="81"/>
      <c r="S152" s="81"/>
      <c r="T152" s="82"/>
      <c r="U152" s="82"/>
      <c r="V152" s="82"/>
      <c r="W152" s="82"/>
      <c r="X152" s="81"/>
      <c r="Y152" s="81"/>
      <c r="Z152" s="81"/>
      <c r="AA152" s="82"/>
      <c r="AB152" s="82"/>
      <c r="AC152" s="83"/>
      <c r="AD152" s="82"/>
      <c r="AE152" s="66"/>
    </row>
    <row r="153" customFormat="false" ht="12.75" hidden="false" customHeight="true" outlineLevel="0" collapsed="false">
      <c r="A153" s="78"/>
      <c r="B153" s="79"/>
      <c r="C153" s="79"/>
      <c r="D153" s="79"/>
      <c r="E153" s="79"/>
      <c r="F153" s="80"/>
      <c r="G153" s="81"/>
      <c r="H153" s="81"/>
      <c r="I153" s="81"/>
      <c r="J153" s="81"/>
      <c r="K153" s="81"/>
      <c r="L153" s="82"/>
      <c r="M153" s="82"/>
      <c r="N153" s="82"/>
      <c r="O153" s="82"/>
      <c r="P153" s="81"/>
      <c r="Q153" s="81"/>
      <c r="R153" s="81"/>
      <c r="S153" s="81"/>
      <c r="T153" s="82"/>
      <c r="U153" s="82"/>
      <c r="V153" s="82"/>
      <c r="W153" s="82"/>
      <c r="X153" s="81"/>
      <c r="Y153" s="81"/>
      <c r="Z153" s="81"/>
      <c r="AA153" s="82"/>
      <c r="AB153" s="82"/>
      <c r="AC153" s="83"/>
      <c r="AD153" s="82"/>
      <c r="AE153" s="66"/>
    </row>
    <row r="154" customFormat="false" ht="12.75" hidden="false" customHeight="true" outlineLevel="0" collapsed="false">
      <c r="A154" s="78"/>
      <c r="B154" s="79"/>
      <c r="C154" s="79"/>
      <c r="D154" s="79"/>
      <c r="E154" s="79"/>
      <c r="F154" s="80"/>
      <c r="G154" s="81"/>
      <c r="H154" s="81"/>
      <c r="I154" s="81"/>
      <c r="J154" s="81"/>
      <c r="K154" s="81"/>
      <c r="L154" s="82"/>
      <c r="M154" s="82"/>
      <c r="N154" s="82"/>
      <c r="O154" s="82"/>
      <c r="P154" s="81"/>
      <c r="Q154" s="81"/>
      <c r="R154" s="81"/>
      <c r="S154" s="81"/>
      <c r="T154" s="82"/>
      <c r="U154" s="82"/>
      <c r="V154" s="82"/>
      <c r="W154" s="82"/>
      <c r="X154" s="81"/>
      <c r="Y154" s="81"/>
      <c r="Z154" s="81"/>
      <c r="AA154" s="82"/>
      <c r="AB154" s="82"/>
      <c r="AC154" s="83"/>
      <c r="AD154" s="82"/>
      <c r="AE154" s="66"/>
    </row>
    <row r="155" customFormat="false" ht="12.75" hidden="false" customHeight="true" outlineLevel="0" collapsed="false">
      <c r="A155" s="78"/>
      <c r="B155" s="79"/>
      <c r="C155" s="79"/>
      <c r="D155" s="79"/>
      <c r="E155" s="79"/>
      <c r="F155" s="80"/>
      <c r="G155" s="81"/>
      <c r="H155" s="81"/>
      <c r="I155" s="81"/>
      <c r="J155" s="81"/>
      <c r="K155" s="81"/>
      <c r="L155" s="82"/>
      <c r="M155" s="82"/>
      <c r="N155" s="82"/>
      <c r="O155" s="82"/>
      <c r="P155" s="81"/>
      <c r="Q155" s="81"/>
      <c r="R155" s="81"/>
      <c r="S155" s="81"/>
      <c r="T155" s="82"/>
      <c r="U155" s="82"/>
      <c r="V155" s="82"/>
      <c r="W155" s="82"/>
      <c r="X155" s="81"/>
      <c r="Y155" s="81"/>
      <c r="Z155" s="81"/>
      <c r="AA155" s="82"/>
      <c r="AB155" s="82"/>
      <c r="AC155" s="83"/>
      <c r="AD155" s="82"/>
      <c r="AE155" s="66"/>
    </row>
    <row r="156" customFormat="false" ht="12.75" hidden="false" customHeight="true" outlineLevel="0" collapsed="false">
      <c r="A156" s="78"/>
      <c r="B156" s="79"/>
      <c r="C156" s="79"/>
      <c r="D156" s="79"/>
      <c r="E156" s="79"/>
      <c r="F156" s="80"/>
      <c r="G156" s="81"/>
      <c r="H156" s="81"/>
      <c r="I156" s="81"/>
      <c r="J156" s="81"/>
      <c r="K156" s="81"/>
      <c r="L156" s="82"/>
      <c r="M156" s="82"/>
      <c r="N156" s="82"/>
      <c r="O156" s="82"/>
      <c r="P156" s="81"/>
      <c r="Q156" s="81"/>
      <c r="R156" s="81"/>
      <c r="S156" s="81"/>
      <c r="T156" s="82"/>
      <c r="U156" s="82"/>
      <c r="V156" s="82"/>
      <c r="W156" s="82"/>
      <c r="X156" s="81"/>
      <c r="Y156" s="81"/>
      <c r="Z156" s="81"/>
      <c r="AA156" s="82"/>
      <c r="AB156" s="82"/>
      <c r="AC156" s="83"/>
      <c r="AD156" s="82"/>
      <c r="AE156" s="66"/>
    </row>
    <row r="157" customFormat="false" ht="12.75" hidden="false" customHeight="true" outlineLevel="0" collapsed="false">
      <c r="A157" s="78"/>
      <c r="B157" s="79"/>
      <c r="C157" s="79"/>
      <c r="D157" s="79"/>
      <c r="E157" s="79"/>
      <c r="F157" s="80"/>
      <c r="G157" s="81"/>
      <c r="H157" s="81"/>
      <c r="I157" s="81"/>
      <c r="J157" s="81"/>
      <c r="K157" s="81"/>
      <c r="L157" s="82"/>
      <c r="M157" s="82"/>
      <c r="N157" s="82"/>
      <c r="O157" s="82"/>
      <c r="P157" s="81"/>
      <c r="Q157" s="81"/>
      <c r="R157" s="81"/>
      <c r="S157" s="81"/>
      <c r="T157" s="82"/>
      <c r="U157" s="82"/>
      <c r="V157" s="82"/>
      <c r="W157" s="82"/>
      <c r="X157" s="81"/>
      <c r="Y157" s="81"/>
      <c r="Z157" s="81"/>
      <c r="AA157" s="82"/>
      <c r="AB157" s="82"/>
      <c r="AC157" s="83"/>
      <c r="AD157" s="82"/>
      <c r="AE157" s="66"/>
    </row>
    <row r="158" customFormat="false" ht="12.75" hidden="false" customHeight="true" outlineLevel="0" collapsed="false">
      <c r="A158" s="78"/>
      <c r="B158" s="79"/>
      <c r="C158" s="79"/>
      <c r="D158" s="79"/>
      <c r="E158" s="79"/>
      <c r="F158" s="80"/>
      <c r="G158" s="81"/>
      <c r="H158" s="81"/>
      <c r="I158" s="81"/>
      <c r="J158" s="81"/>
      <c r="K158" s="81"/>
      <c r="L158" s="82"/>
      <c r="M158" s="82"/>
      <c r="N158" s="82"/>
      <c r="O158" s="82"/>
      <c r="P158" s="81"/>
      <c r="Q158" s="81"/>
      <c r="R158" s="81"/>
      <c r="S158" s="81"/>
      <c r="T158" s="82"/>
      <c r="U158" s="82"/>
      <c r="V158" s="82"/>
      <c r="W158" s="82"/>
      <c r="X158" s="81"/>
      <c r="Y158" s="81"/>
      <c r="Z158" s="81"/>
      <c r="AA158" s="82"/>
      <c r="AB158" s="82"/>
      <c r="AC158" s="83"/>
      <c r="AD158" s="82"/>
      <c r="AE158" s="66"/>
    </row>
    <row r="159" customFormat="false" ht="12.75" hidden="false" customHeight="true" outlineLevel="0" collapsed="false">
      <c r="A159" s="78"/>
      <c r="B159" s="79"/>
      <c r="C159" s="79"/>
      <c r="D159" s="79"/>
      <c r="E159" s="79"/>
      <c r="F159" s="80"/>
      <c r="G159" s="81"/>
      <c r="H159" s="81"/>
      <c r="I159" s="81"/>
      <c r="J159" s="81"/>
      <c r="K159" s="81"/>
      <c r="L159" s="82"/>
      <c r="M159" s="82"/>
      <c r="N159" s="82"/>
      <c r="O159" s="82"/>
      <c r="P159" s="81"/>
      <c r="Q159" s="81"/>
      <c r="R159" s="81"/>
      <c r="S159" s="81"/>
      <c r="T159" s="82"/>
      <c r="U159" s="82"/>
      <c r="V159" s="82"/>
      <c r="W159" s="82"/>
      <c r="X159" s="81"/>
      <c r="Y159" s="81"/>
      <c r="Z159" s="81"/>
      <c r="AA159" s="82"/>
      <c r="AB159" s="82"/>
      <c r="AC159" s="83"/>
      <c r="AD159" s="82"/>
      <c r="AE159" s="66"/>
    </row>
    <row r="160" customFormat="false" ht="12.75" hidden="false" customHeight="true" outlineLevel="0" collapsed="false">
      <c r="A160" s="78"/>
      <c r="B160" s="79"/>
      <c r="C160" s="79"/>
      <c r="D160" s="79"/>
      <c r="E160" s="79"/>
      <c r="F160" s="80"/>
      <c r="G160" s="81"/>
      <c r="H160" s="81"/>
      <c r="I160" s="81"/>
      <c r="J160" s="81"/>
      <c r="K160" s="81"/>
      <c r="L160" s="82"/>
      <c r="M160" s="82"/>
      <c r="N160" s="82"/>
      <c r="O160" s="82"/>
      <c r="P160" s="81"/>
      <c r="Q160" s="81"/>
      <c r="R160" s="81"/>
      <c r="S160" s="81"/>
      <c r="T160" s="82"/>
      <c r="U160" s="82"/>
      <c r="V160" s="82"/>
      <c r="W160" s="82"/>
      <c r="X160" s="81"/>
      <c r="Y160" s="81"/>
      <c r="Z160" s="81"/>
      <c r="AA160" s="82"/>
      <c r="AB160" s="82"/>
      <c r="AC160" s="83"/>
      <c r="AD160" s="82"/>
      <c r="AE160" s="66"/>
    </row>
    <row r="161" customFormat="false" ht="12.75" hidden="false" customHeight="true" outlineLevel="0" collapsed="false">
      <c r="A161" s="78"/>
      <c r="B161" s="79"/>
      <c r="C161" s="79"/>
      <c r="D161" s="79"/>
      <c r="E161" s="79"/>
      <c r="F161" s="80"/>
      <c r="G161" s="81"/>
      <c r="H161" s="81"/>
      <c r="I161" s="81"/>
      <c r="J161" s="81"/>
      <c r="K161" s="81"/>
      <c r="L161" s="82"/>
      <c r="M161" s="82"/>
      <c r="N161" s="82"/>
      <c r="O161" s="82"/>
      <c r="P161" s="81"/>
      <c r="Q161" s="81"/>
      <c r="R161" s="81"/>
      <c r="S161" s="81"/>
      <c r="T161" s="82"/>
      <c r="U161" s="82"/>
      <c r="V161" s="82"/>
      <c r="W161" s="82"/>
      <c r="X161" s="81"/>
      <c r="Y161" s="81"/>
      <c r="Z161" s="81"/>
      <c r="AA161" s="82"/>
      <c r="AB161" s="82"/>
      <c r="AC161" s="83"/>
      <c r="AD161" s="82"/>
      <c r="AE161" s="66"/>
    </row>
    <row r="162" customFormat="false" ht="12.75" hidden="false" customHeight="true" outlineLevel="0" collapsed="false">
      <c r="A162" s="78"/>
      <c r="B162" s="79"/>
      <c r="C162" s="79"/>
      <c r="D162" s="79"/>
      <c r="E162" s="79"/>
      <c r="F162" s="80"/>
      <c r="G162" s="81"/>
      <c r="H162" s="81"/>
      <c r="I162" s="81"/>
      <c r="J162" s="81"/>
      <c r="K162" s="81"/>
      <c r="L162" s="82"/>
      <c r="M162" s="82"/>
      <c r="N162" s="82"/>
      <c r="O162" s="82"/>
      <c r="P162" s="81"/>
      <c r="Q162" s="81"/>
      <c r="R162" s="81"/>
      <c r="S162" s="81"/>
      <c r="T162" s="82"/>
      <c r="U162" s="82"/>
      <c r="V162" s="82"/>
      <c r="W162" s="82"/>
      <c r="X162" s="81"/>
      <c r="Y162" s="81"/>
      <c r="Z162" s="81"/>
      <c r="AA162" s="82"/>
      <c r="AB162" s="82"/>
      <c r="AC162" s="83"/>
      <c r="AD162" s="82"/>
      <c r="AE162" s="66"/>
    </row>
    <row r="163" customFormat="false" ht="12.75" hidden="false" customHeight="true" outlineLevel="0" collapsed="false">
      <c r="A163" s="78"/>
      <c r="B163" s="79"/>
      <c r="C163" s="79"/>
      <c r="D163" s="79"/>
      <c r="E163" s="79"/>
      <c r="F163" s="80"/>
      <c r="G163" s="81"/>
      <c r="H163" s="81"/>
      <c r="I163" s="81"/>
      <c r="J163" s="81"/>
      <c r="K163" s="81"/>
      <c r="L163" s="82"/>
      <c r="M163" s="82"/>
      <c r="N163" s="82"/>
      <c r="O163" s="82"/>
      <c r="P163" s="81"/>
      <c r="Q163" s="81"/>
      <c r="R163" s="81"/>
      <c r="S163" s="81"/>
      <c r="T163" s="82"/>
      <c r="U163" s="82"/>
      <c r="V163" s="82"/>
      <c r="W163" s="82"/>
      <c r="X163" s="81"/>
      <c r="Y163" s="81"/>
      <c r="Z163" s="81"/>
      <c r="AA163" s="82"/>
      <c r="AB163" s="82"/>
      <c r="AC163" s="83"/>
      <c r="AD163" s="82"/>
      <c r="AE163" s="66"/>
    </row>
    <row r="164" customFormat="false" ht="12.75" hidden="false" customHeight="true" outlineLevel="0" collapsed="false">
      <c r="A164" s="78"/>
      <c r="B164" s="79"/>
      <c r="C164" s="79"/>
      <c r="D164" s="79"/>
      <c r="E164" s="79"/>
      <c r="F164" s="80"/>
      <c r="G164" s="81"/>
      <c r="H164" s="81"/>
      <c r="I164" s="81"/>
      <c r="J164" s="81"/>
      <c r="K164" s="81"/>
      <c r="L164" s="82"/>
      <c r="M164" s="82"/>
      <c r="N164" s="82"/>
      <c r="O164" s="82"/>
      <c r="P164" s="81"/>
      <c r="Q164" s="81"/>
      <c r="R164" s="81"/>
      <c r="S164" s="81"/>
      <c r="T164" s="82"/>
      <c r="U164" s="82"/>
      <c r="V164" s="82"/>
      <c r="W164" s="82"/>
      <c r="X164" s="81"/>
      <c r="Y164" s="81"/>
      <c r="Z164" s="81"/>
      <c r="AA164" s="82"/>
      <c r="AB164" s="82"/>
      <c r="AC164" s="83"/>
      <c r="AD164" s="82"/>
      <c r="AE164" s="66"/>
    </row>
    <row r="165" customFormat="false" ht="12.75" hidden="false" customHeight="true" outlineLevel="0" collapsed="false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40"/>
      <c r="AD165" s="14"/>
      <c r="AE165" s="66"/>
    </row>
    <row r="166" customFormat="false" ht="12.75" hidden="false" customHeight="true" outlineLevel="0" collapsed="false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40"/>
      <c r="AD166" s="14"/>
      <c r="AE166" s="14"/>
    </row>
    <row r="167" customFormat="false" ht="12.75" hidden="false" customHeight="true" outlineLevel="0" collapsed="false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40"/>
      <c r="AD167" s="14"/>
      <c r="AE167" s="14"/>
    </row>
  </sheetData>
  <mergeCells count="68">
    <mergeCell ref="M1:N1"/>
    <mergeCell ref="O1:U1"/>
    <mergeCell ref="I122:L122"/>
    <mergeCell ref="M122:O122"/>
    <mergeCell ref="C124:E124"/>
    <mergeCell ref="F124:H124"/>
    <mergeCell ref="I124:L124"/>
    <mergeCell ref="M124:O124"/>
    <mergeCell ref="P124:R124"/>
    <mergeCell ref="V124:X124"/>
    <mergeCell ref="C125:E125"/>
    <mergeCell ref="F125:H125"/>
    <mergeCell ref="I125:L125"/>
    <mergeCell ref="M125:O125"/>
    <mergeCell ref="P125:R125"/>
    <mergeCell ref="C126:E126"/>
    <mergeCell ref="F126:H126"/>
    <mergeCell ref="I126:L126"/>
    <mergeCell ref="M126:O126"/>
    <mergeCell ref="P126:R126"/>
    <mergeCell ref="C127:E127"/>
    <mergeCell ref="F127:H127"/>
    <mergeCell ref="I127:L127"/>
    <mergeCell ref="M127:O127"/>
    <mergeCell ref="P127:R127"/>
    <mergeCell ref="C128:E128"/>
    <mergeCell ref="F128:H128"/>
    <mergeCell ref="I128:L128"/>
    <mergeCell ref="M128:O128"/>
    <mergeCell ref="P128:R128"/>
    <mergeCell ref="C129:E129"/>
    <mergeCell ref="F129:H129"/>
    <mergeCell ref="I129:L129"/>
    <mergeCell ref="M129:O129"/>
    <mergeCell ref="P129:R129"/>
    <mergeCell ref="C130:E130"/>
    <mergeCell ref="F130:H130"/>
    <mergeCell ref="I130:L130"/>
    <mergeCell ref="M130:O130"/>
    <mergeCell ref="P130:R130"/>
    <mergeCell ref="C131:E131"/>
    <mergeCell ref="F131:H131"/>
    <mergeCell ref="I131:L131"/>
    <mergeCell ref="M131:O131"/>
    <mergeCell ref="P131:R131"/>
    <mergeCell ref="C132:E132"/>
    <mergeCell ref="F132:H132"/>
    <mergeCell ref="I132:L132"/>
    <mergeCell ref="M132:O132"/>
    <mergeCell ref="P132:R132"/>
    <mergeCell ref="C133:E133"/>
    <mergeCell ref="F133:H133"/>
    <mergeCell ref="I133:L133"/>
    <mergeCell ref="M133:O133"/>
    <mergeCell ref="P133:R133"/>
    <mergeCell ref="C134:E134"/>
    <mergeCell ref="F134:H134"/>
    <mergeCell ref="I134:L134"/>
    <mergeCell ref="M134:O134"/>
    <mergeCell ref="P134:R134"/>
    <mergeCell ref="P135:R135"/>
    <mergeCell ref="C139:F139"/>
    <mergeCell ref="G139:J139"/>
    <mergeCell ref="L139:O139"/>
    <mergeCell ref="P139:S139"/>
    <mergeCell ref="T139:W139"/>
    <mergeCell ref="X139:Z139"/>
    <mergeCell ref="AA139:AC139"/>
  </mergeCells>
  <conditionalFormatting sqref="C141:AD164">
    <cfRule type="expression" priority="2" aboveAverage="0" equalAverage="0" bottom="0" percent="0" rank="0" text="" dxfId="0">
      <formula>LEN(TRIM(C141))&gt;0</formula>
    </cfRule>
  </conditionalFormatting>
  <conditionalFormatting sqref="Y2:Y119">
    <cfRule type="expression" priority="3" aboveAverage="0" equalAverage="0" bottom="0" percent="0" rank="0" text="" dxfId="1">
      <formula>$L2&lt;&gt;""</formula>
    </cfRule>
  </conditionalFormatting>
  <conditionalFormatting sqref="Z1:Z119">
    <cfRule type="expression" priority="4" aboveAverage="0" equalAverage="0" bottom="0" percent="0" rank="0" text="" dxfId="2">
      <formula>LEN(TRIM(Z1))&gt;0</formula>
    </cfRule>
  </conditionalFormatting>
  <conditionalFormatting sqref="AA1:AA119">
    <cfRule type="expression" priority="5" aboveAverage="0" equalAverage="0" bottom="0" percent="0" rank="0" text="" dxfId="3">
      <formula>LEN(TRIM(AA1))&gt;0</formula>
    </cfRule>
  </conditionalFormatting>
  <conditionalFormatting sqref="AB2:AB119">
    <cfRule type="cellIs" priority="6" operator="equal" aboveAverage="0" equalAverage="0" bottom="0" percent="0" rank="0" text="" dxfId="4">
      <formula>FALSE()</formula>
    </cfRule>
  </conditionalFormatting>
  <dataValidations count="1">
    <dataValidation allowBlank="true" errorStyle="stop" operator="greaterThanOrEqual" showDropDown="true" showErrorMessage="true" showInputMessage="false" sqref="B2:K120" type="decimal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2026-08-06T17:19:12Z</dcterms:created>
  <dc:creator>openpyxl</dc:creator>
  <dc:description/>
  <dc:language>es-CO</dc:language>
  <cp:lastModifiedBy>Full Service</cp:lastModifiedBy>
  <dcterms:modified xsi:type="dcterms:W3CDTF">2026-08-06T17:19:13Z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