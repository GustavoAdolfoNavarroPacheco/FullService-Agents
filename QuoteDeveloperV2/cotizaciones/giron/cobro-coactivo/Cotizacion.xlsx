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<sst xmlns="http://schemas.openxmlformats.org/spreadsheetml/2006/main" count="83" uniqueCount="81">
  <si>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</si>
  <si>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</si>
  <si>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</si>
  <si>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</si>
  <si>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</si>
  <si>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</si>
  <si>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</si>
  <si>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</si>
  <si>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</si>
  <si>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</si>
  <si>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</si>
  <si>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</si>
  <si>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</si>
  <si>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</si>
  <si>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</si>
  <si>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</si>
  <si>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</si>
  <si>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</si>
  <si>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</si>
  <si>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</si>
  <si>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SISTEMA INTEGRAL DE GESTIÓN DE COBRO COACTIVO - centralización de expedientes de diferentes orígenes, con continuidad procesal y trazabilidad</t>
  </si>
  <si>
    <t xml:space="preserve">Recepción y expediente</t>
  </si>
  <si>
    <t xml:space="preserve">Recepción estructurada desde Tránsito, Policía, Predial, Industria y Comercio y otros orígenes.</t>
  </si>
  <si>
    <t xml:space="preserve">Expediente electrónico.</t>
  </si>
  <si>
    <t xml:space="preserve">Estados y etapas procesales.</t>
  </si>
  <si>
    <t xml:space="preserve">Generación documental</t>
  </si>
  <si>
    <t xml:space="preserve">Generación masiva de cartas.</t>
  </si>
  <si>
    <t xml:space="preserve">Generación masiva de actos administrativos.</t>
  </si>
  <si>
    <t xml:space="preserve">Trazabilidad y control</t>
  </si>
  <si>
    <t xml:space="preserve">Trazabilidad de actuaciones.</t>
  </si>
  <si>
    <t xml:space="preserve">Control de embargos.</t>
  </si>
  <si>
    <t xml:space="preserve">Control de notificaciones.</t>
  </si>
  <si>
    <t xml:space="preserve">Dashboard de gestión</t>
  </si>
  <si>
    <t xml:space="preserve">Dashboard de cartera.</t>
  </si>
  <si>
    <t xml:space="preserve">Dashboard de carga de trabajo.</t>
  </si>
  <si>
    <t xml:space="preserve">MOTOR DE ALERTAS DE TÉRMINOS Y RIESGO DE PRESCRIPCIÓN - cálculo de términos, semaforización de riesgo y priorización de expedientes críticos</t>
  </si>
  <si>
    <t xml:space="preserve">Términos y riesgo</t>
  </si>
  <si>
    <t xml:space="preserve">Cálculo y control de términos parametrizados.</t>
  </si>
  <si>
    <t xml:space="preserve">Semaforización de riesgo.</t>
  </si>
  <si>
    <t xml:space="preserve">Alertas por vencimiento próximo.</t>
  </si>
  <si>
    <t xml:space="preserve">Priorización y asignación</t>
  </si>
  <si>
    <t xml:space="preserve">Priorización por cuantía, antigüedad y riesgo.</t>
  </si>
  <si>
    <t xml:space="preserve">Asignación a responsables.</t>
  </si>
  <si>
    <t xml:space="preserve">Dashboard de expedientes críticos</t>
  </si>
  <si>
    <t xml:space="preserve">Dashboard de expedientes críticos.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</si>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</sst>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21721844.6320346</v>
      </c>
      <c r="Z1" s="3" t="s">
        <v>13</v>
      </c>
      <c r="AA1" s="8" t="s">
        <v>14</v>
      </c>
      <c r="AB1" s="9" t="s">
        <v>15</v>
      </c>
      <c r="AC1" s="10" t="n">
        <f aca="false">SUM(AC2:AC120)</f>
        <v>21721844.6320346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2409648.48484849</v>
      </c>
      <c r="B2" s="12" t="n">
        <v>4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2409648.48484849</v>
      </c>
      <c r="Z2" s="19"/>
      <c r="AA2" s="20"/>
      <c r="AB2" s="21" t="b">
        <f aca="false">TRUE()</f>
        <v>1</v>
      </c>
      <c r="AC2" s="22" t="n">
        <f aca="false">IF(L2="",0,IF(AB2=FALSE(),0,Y2))</f>
        <v>2409648.48484849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989569.285714286</v>
      </c>
      <c r="B3" s="13"/>
      <c r="C3" s="12" t="n">
        <v>3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989569.285714286</v>
      </c>
      <c r="Z3" s="19"/>
      <c r="AA3" s="20"/>
      <c r="AB3" s="21" t="b">
        <f aca="false">TRUE()</f>
        <v>1</v>
      </c>
      <c r="AC3" s="22" t="n">
        <f aca="false">IF(L3="",0,IF(AB3=FALSE(),0,Y3))</f>
        <v>989569.285714286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952645.909090909</v>
      </c>
      <c r="B4" s="13"/>
      <c r="C4" s="13"/>
      <c r="D4" s="13"/>
      <c r="E4" s="13"/>
      <c r="F4" s="13"/>
      <c r="G4" s="13"/>
      <c r="H4" s="12" t="n">
        <v>3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952645.909090909</v>
      </c>
      <c r="Z4" s="19"/>
      <c r="AA4" s="23"/>
      <c r="AB4" s="21" t="b">
        <f aca="false">TRUE()</f>
        <v>1</v>
      </c>
      <c r="AC4" s="22" t="n">
        <f aca="false">IF(L4="",0,IF(AB4=FALSE(),0,Y4))</f>
        <v>952645.909090909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841575.119047619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1.5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841575.119047619</v>
      </c>
      <c r="Z5" s="19"/>
      <c r="AA5" s="23"/>
      <c r="AB5" s="21" t="b">
        <f aca="false">TRUE()</f>
        <v>1</v>
      </c>
      <c r="AC5" s="22" t="n">
        <f aca="false">IF(L5="",0,IF(AB5=FALSE(),0,Y5))</f>
        <v>841575.119047619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841575.119047619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841575.119047619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10858681.7857143</v>
      </c>
      <c r="Z8" s="19"/>
      <c r="AA8" s="20"/>
      <c r="AB8" s="21" t="b">
        <f aca="false">TRUE()</f>
        <v>1</v>
      </c>
      <c r="AC8" s="22" t="n">
        <f aca="false">IF(L8="",0,IF(AB8=FALSE(),0,Y8))</f>
        <v>10858681.7857143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10858681.7857143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1969424.02597403</v>
      </c>
      <c r="B10" s="14"/>
      <c r="C10" s="14"/>
      <c r="D10" s="14"/>
      <c r="E10" s="14" t="n">
        <v>3</v>
      </c>
      <c r="F10" s="14" t="n">
        <v>1.5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10858681.7857143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1312949.35064935</v>
      </c>
      <c r="B11" s="14"/>
      <c r="C11" s="14"/>
      <c r="D11" s="14"/>
      <c r="E11" s="14" t="n">
        <v>2</v>
      </c>
      <c r="F11" s="14" t="n">
        <v>1</v>
      </c>
      <c r="G11" s="14"/>
      <c r="H11" s="14"/>
      <c r="I11" s="14"/>
      <c r="J11" s="14"/>
      <c r="K11" s="14"/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10858681.7857143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693018.181818182</v>
      </c>
      <c r="B12" s="14"/>
      <c r="C12" s="14"/>
      <c r="D12" s="14"/>
      <c r="E12" s="14" t="n">
        <v>1.5</v>
      </c>
      <c r="F12" s="14"/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10858681.7857143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27" t="s">
        <v>25</v>
      </c>
      <c r="N13" s="30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10858681.7857143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1107706.64502165</v>
      </c>
      <c r="B14" s="14"/>
      <c r="C14" s="14"/>
      <c r="D14" s="14" t="n">
        <v>1</v>
      </c>
      <c r="E14" s="14"/>
      <c r="F14" s="14" t="n">
        <v>2</v>
      </c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10858681.7857143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1107706.64502165</v>
      </c>
      <c r="B15" s="14"/>
      <c r="C15" s="14"/>
      <c r="D15" s="14" t="n">
        <v>1</v>
      </c>
      <c r="E15" s="14"/>
      <c r="F15" s="14" t="n">
        <v>2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10858681.7857143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10858681.7857143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693018.181818182</v>
      </c>
      <c r="B17" s="14"/>
      <c r="C17" s="14"/>
      <c r="D17" s="14"/>
      <c r="E17" s="14" t="n">
        <v>1.5</v>
      </c>
      <c r="F17" s="14"/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10858681.7857143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1312949.35064935</v>
      </c>
      <c r="B18" s="14"/>
      <c r="C18" s="14"/>
      <c r="D18" s="14"/>
      <c r="E18" s="14" t="n">
        <v>2</v>
      </c>
      <c r="F18" s="14" t="n">
        <v>1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10858681.7857143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583387.662337662</v>
      </c>
      <c r="B19" s="14"/>
      <c r="C19" s="14"/>
      <c r="D19" s="14"/>
      <c r="E19" s="14"/>
      <c r="F19" s="14" t="n">
        <v>1.5</v>
      </c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10858681.7857143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27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10858681.7857143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1121724.97835498</v>
      </c>
      <c r="B21" s="14"/>
      <c r="C21" s="14"/>
      <c r="D21" s="14" t="n">
        <v>2</v>
      </c>
      <c r="E21" s="14" t="n">
        <v>1</v>
      </c>
      <c r="F21" s="14"/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10858681.7857143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956796.764069264</v>
      </c>
      <c r="B22" s="14"/>
      <c r="C22" s="14"/>
      <c r="D22" s="14" t="n">
        <v>1.5</v>
      </c>
      <c r="E22" s="14" t="n">
        <v>1</v>
      </c>
      <c r="F22" s="14"/>
      <c r="G22" s="14"/>
      <c r="H22" s="14"/>
      <c r="I22" s="14"/>
      <c r="J22" s="14"/>
      <c r="K22" s="14"/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10858681.7857143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31" t="s">
        <v>35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5669724.04761905</v>
      </c>
      <c r="Z23" s="19"/>
      <c r="AA23" s="20"/>
      <c r="AB23" s="21" t="b">
        <f aca="false">TRUE()</f>
        <v>1</v>
      </c>
      <c r="AC23" s="22" t="n">
        <f aca="false">IF(L23="",0,IF(AB23=FALSE(),0,Y23))</f>
        <v>5669724.04761905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2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5669724.04761905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1543955.41125541</v>
      </c>
      <c r="B25" s="14"/>
      <c r="C25" s="14"/>
      <c r="D25" s="14"/>
      <c r="E25" s="14" t="n">
        <v>2.5</v>
      </c>
      <c r="F25" s="14" t="n">
        <v>1</v>
      </c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5669724.04761905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913244.090909091</v>
      </c>
      <c r="B26" s="14"/>
      <c r="C26" s="14"/>
      <c r="D26" s="14" t="n">
        <v>1</v>
      </c>
      <c r="E26" s="14"/>
      <c r="F26" s="14" t="n">
        <v>1.5</v>
      </c>
      <c r="G26" s="14"/>
      <c r="H26" s="14"/>
      <c r="I26" s="14"/>
      <c r="J26" s="14"/>
      <c r="K26" s="14"/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5669724.04761905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583387.662337662</v>
      </c>
      <c r="B27" s="14"/>
      <c r="C27" s="14"/>
      <c r="D27" s="14"/>
      <c r="E27" s="14"/>
      <c r="F27" s="14" t="n">
        <v>1.5</v>
      </c>
      <c r="G27" s="14"/>
      <c r="H27" s="14"/>
      <c r="I27" s="14"/>
      <c r="J27" s="14"/>
      <c r="K27" s="14"/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5669724.04761905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27" t="s">
        <v>40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5669724.04761905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924024.242424242</v>
      </c>
      <c r="B29" s="14"/>
      <c r="C29" s="14"/>
      <c r="D29" s="14"/>
      <c r="E29" s="14" t="n">
        <v>2</v>
      </c>
      <c r="F29" s="14"/>
      <c r="G29" s="14"/>
      <c r="H29" s="14"/>
      <c r="I29" s="14"/>
      <c r="J29" s="14"/>
      <c r="K29" s="14"/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5669724.04761905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583387.662337662</v>
      </c>
      <c r="B30" s="14"/>
      <c r="C30" s="14"/>
      <c r="D30" s="14"/>
      <c r="E30" s="14"/>
      <c r="F30" s="14" t="n">
        <v>1.5</v>
      </c>
      <c r="G30" s="14"/>
      <c r="H30" s="14"/>
      <c r="I30" s="14"/>
      <c r="J30" s="14"/>
      <c r="K30" s="14"/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6</v>
      </c>
      <c r="Y30" s="18" t="n">
        <f aca="false">SUMIF($X$2:$X$120,X30,$A$2:$A$120)</f>
        <v>5669724.04761905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2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6</v>
      </c>
      <c r="Y31" s="18" t="n">
        <f aca="false">SUMIF($X$2:$X$120,X31,$A$2:$A$120)</f>
        <v>5669724.04761905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1121724.97835498</v>
      </c>
      <c r="B32" s="14"/>
      <c r="C32" s="14"/>
      <c r="D32" s="14" t="n">
        <v>2</v>
      </c>
      <c r="E32" s="14" t="n">
        <v>1</v>
      </c>
      <c r="F32" s="14"/>
      <c r="G32" s="14"/>
      <c r="H32" s="14"/>
      <c r="I32" s="14"/>
      <c r="J32" s="14"/>
      <c r="K32" s="14"/>
      <c r="L32" s="24"/>
      <c r="M32" s="17"/>
      <c r="N32" s="28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6</v>
      </c>
      <c r="Y32" s="18" t="n">
        <f aca="false">SUMIF($X$2:$X$120,X32,$A$2:$A$120)</f>
        <v>5669724.04761905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6</v>
      </c>
      <c r="Y33" s="18" t="n">
        <f aca="false">SUMIF($X$2:$X$120,X33,$A$2:$A$120)</f>
        <v>5669724.04761905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5669724.04761905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5669724.04761905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5669724.04761905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5669724.04761905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6</v>
      </c>
      <c r="Y38" s="18" t="n">
        <f aca="false">SUMIF($X$2:$X$120,X38,$A$2:$A$120)</f>
        <v>5669724.04761905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6</v>
      </c>
      <c r="Y39" s="18" t="n">
        <f aca="false">SUMIF($X$2:$X$120,X39,$A$2:$A$120)</f>
        <v>5669724.04761905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5669724.04761905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5669724.04761905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5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5669724.04761905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5669724.04761905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6</v>
      </c>
      <c r="Y44" s="18" t="n">
        <f aca="false">SUMIF($X$2:$X$120,X44,$A$2:$A$120)</f>
        <v>5669724.04761905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6</v>
      </c>
      <c r="Y45" s="18" t="n">
        <f aca="false">SUMIF($X$2:$X$120,X45,$A$2:$A$120)</f>
        <v>5669724.04761905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6</v>
      </c>
      <c r="Y46" s="18" t="n">
        <f aca="false">SUMIF($X$2:$X$120,X46,$A$2:$A$120)</f>
        <v>5669724.04761905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6</v>
      </c>
      <c r="Y47" s="18" t="n">
        <f aca="false">SUMIF($X$2:$X$120,X47,$A$2:$A$120)</f>
        <v>5669724.04761905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6</v>
      </c>
      <c r="Y48" s="18" t="n">
        <f aca="false">SUMIF($X$2:$X$120,X48,$A$2:$A$120)</f>
        <v>5669724.04761905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6</v>
      </c>
      <c r="Y49" s="18" t="n">
        <f aca="false">SUMIF($X$2:$X$120,X49,$A$2:$A$120)</f>
        <v>5669724.04761905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6</v>
      </c>
      <c r="Y50" s="18" t="n">
        <f aca="false">SUMIF($X$2:$X$120,X50,$A$2:$A$120)</f>
        <v>5669724.04761905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6</v>
      </c>
      <c r="Y51" s="18" t="n">
        <f aca="false">SUMIF($X$2:$X$120,X51,$A$2:$A$120)</f>
        <v>5669724.04761905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6</v>
      </c>
      <c r="Y52" s="18" t="n">
        <f aca="false">SUMIF($X$2:$X$120,X52,$A$2:$A$120)</f>
        <v>5669724.04761905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6</v>
      </c>
      <c r="Y53" s="18" t="n">
        <f aca="false">SUMIF($X$2:$X$120,X53,$A$2:$A$120)</f>
        <v>5669724.04761905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6</v>
      </c>
      <c r="Y54" s="18" t="n">
        <f aca="false">SUMIF($X$2:$X$120,X54,$A$2:$A$120)</f>
        <v>5669724.04761905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6</v>
      </c>
      <c r="Y55" s="18" t="n">
        <f aca="false">SUMIF($X$2:$X$120,X55,$A$2:$A$120)</f>
        <v>5669724.04761905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6</v>
      </c>
      <c r="Y56" s="18" t="n">
        <f aca="false">SUMIF($X$2:$X$120,X56,$A$2:$A$120)</f>
        <v>5669724.04761905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6</v>
      </c>
      <c r="Y57" s="18" t="n">
        <f aca="false">SUMIF($X$2:$X$120,X57,$A$2:$A$120)</f>
        <v>5669724.04761905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6</v>
      </c>
      <c r="Y58" s="18" t="n">
        <f aca="false">SUMIF($X$2:$X$120,X58,$A$2:$A$120)</f>
        <v>5669724.04761905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6</v>
      </c>
      <c r="Y59" s="18" t="n">
        <f aca="false">SUMIF($X$2:$X$120,X59,$A$2:$A$120)</f>
        <v>5669724.04761905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6</v>
      </c>
      <c r="Y60" s="18" t="n">
        <f aca="false">SUMIF($X$2:$X$120,X60,$A$2:$A$120)</f>
        <v>5669724.04761905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6</v>
      </c>
      <c r="Y61" s="18" t="n">
        <f aca="false">SUMIF($X$2:$X$120,X61,$A$2:$A$120)</f>
        <v>5669724.04761905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6</v>
      </c>
      <c r="Y62" s="18" t="n">
        <f aca="false">SUMIF($X$2:$X$120,X62,$A$2:$A$120)</f>
        <v>5669724.04761905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6</v>
      </c>
      <c r="Y63" s="18" t="n">
        <f aca="false">SUMIF($X$2:$X$120,X63,$A$2:$A$120)</f>
        <v>5669724.04761905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6</v>
      </c>
      <c r="Y64" s="18" t="n">
        <f aca="false">SUMIF($X$2:$X$120,X64,$A$2:$A$120)</f>
        <v>5669724.04761905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6</v>
      </c>
      <c r="Y65" s="18" t="n">
        <f aca="false">SUMIF($X$2:$X$120,X65,$A$2:$A$120)</f>
        <v>5669724.04761905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6</v>
      </c>
      <c r="Y66" s="18" t="n">
        <f aca="false">SUMIF($X$2:$X$120,X66,$A$2:$A$120)</f>
        <v>5669724.04761905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6</v>
      </c>
      <c r="Y67" s="18" t="n">
        <f aca="false">SUMIF($X$2:$X$120,X67,$A$2:$A$120)</f>
        <v>5669724.04761905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6</v>
      </c>
      <c r="Y68" s="18" t="n">
        <f aca="false">SUMIF($X$2:$X$120,X68,$A$2:$A$120)</f>
        <v>5669724.04761905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6</v>
      </c>
      <c r="Y69" s="18" t="n">
        <f aca="false">SUMIF($X$2:$X$120,X69,$A$2:$A$120)</f>
        <v>5669724.04761905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6</v>
      </c>
      <c r="Y70" s="18" t="n">
        <f aca="false">SUMIF($X$2:$X$120,X70,$A$2:$A$120)</f>
        <v>5669724.04761905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6</v>
      </c>
      <c r="Y71" s="18" t="n">
        <f aca="false">SUMIF($X$2:$X$120,X71,$A$2:$A$120)</f>
        <v>5669724.04761905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6</v>
      </c>
      <c r="Y72" s="18" t="n">
        <f aca="false">SUMIF($X$2:$X$120,X72,$A$2:$A$120)</f>
        <v>5669724.04761905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6</v>
      </c>
      <c r="Y73" s="18" t="n">
        <f aca="false">SUMIF($X$2:$X$120,X73,$A$2:$A$120)</f>
        <v>5669724.04761905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6</v>
      </c>
      <c r="Y74" s="18" t="n">
        <f aca="false">SUMIF($X$2:$X$120,X74,$A$2:$A$120)</f>
        <v>5669724.04761905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6</v>
      </c>
      <c r="Y75" s="18" t="n">
        <f aca="false">SUMIF($X$2:$X$120,X75,$A$2:$A$120)</f>
        <v>5669724.04761905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6</v>
      </c>
      <c r="Y76" s="18" t="n">
        <f aca="false">SUMIF($X$2:$X$120,X76,$A$2:$A$120)</f>
        <v>5669724.04761905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6</v>
      </c>
      <c r="Y77" s="18" t="n">
        <f aca="false">SUMIF($X$2:$X$120,X77,$A$2:$A$120)</f>
        <v>5669724.04761905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6</v>
      </c>
      <c r="Y78" s="18" t="n">
        <f aca="false">SUMIF($X$2:$X$120,X78,$A$2:$A$120)</f>
        <v>5669724.04761905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6</v>
      </c>
      <c r="Y79" s="18" t="n">
        <f aca="false">SUMIF($X$2:$X$120,X79,$A$2:$A$120)</f>
        <v>5669724.04761905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6</v>
      </c>
      <c r="Y80" s="18" t="n">
        <f aca="false">SUMIF($X$2:$X$120,X80,$A$2:$A$120)</f>
        <v>5669724.04761905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6</v>
      </c>
      <c r="Y81" s="18" t="n">
        <f aca="false">SUMIF($X$2:$X$120,X81,$A$2:$A$120)</f>
        <v>5669724.04761905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6</v>
      </c>
      <c r="Y82" s="18" t="n">
        <f aca="false">SUMIF($X$2:$X$120,X82,$A$2:$A$120)</f>
        <v>5669724.04761905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6</v>
      </c>
      <c r="Y83" s="18" t="n">
        <f aca="false">SUMIF($X$2:$X$120,X83,$A$2:$A$120)</f>
        <v>5669724.04761905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6</v>
      </c>
      <c r="Y84" s="18" t="n">
        <f aca="false">SUMIF($X$2:$X$120,X84,$A$2:$A$120)</f>
        <v>5669724.04761905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6</v>
      </c>
      <c r="Y85" s="18" t="n">
        <f aca="false">SUMIF($X$2:$X$120,X85,$A$2:$A$120)</f>
        <v>5669724.04761905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6</v>
      </c>
      <c r="Y86" s="18" t="n">
        <f aca="false">SUMIF($X$2:$X$120,X86,$A$2:$A$120)</f>
        <v>5669724.04761905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6</v>
      </c>
      <c r="Y87" s="18" t="n">
        <f aca="false">SUMIF($X$2:$X$120,X87,$A$2:$A$120)</f>
        <v>5669724.04761905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6</v>
      </c>
      <c r="Y88" s="18" t="n">
        <f aca="false">SUMIF($X$2:$X$120,X88,$A$2:$A$120)</f>
        <v>5669724.04761905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6</v>
      </c>
      <c r="Y89" s="18" t="n">
        <f aca="false">SUMIF($X$2:$X$120,X89,$A$2:$A$120)</f>
        <v>5669724.04761905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6</v>
      </c>
      <c r="Y90" s="18" t="n">
        <f aca="false">SUMIF($X$2:$X$120,X90,$A$2:$A$120)</f>
        <v>5669724.04761905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6</v>
      </c>
      <c r="Y91" s="18" t="n">
        <f aca="false">SUMIF($X$2:$X$120,X91,$A$2:$A$120)</f>
        <v>5669724.04761905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c>
      <c r="Y92" s="18" t="n">
        <f aca="false">SUMIF($X$2:$X$120,X92,$A$2:$A$120)</f>
        <v>5669724.04761905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6</v>
      </c>
      <c r="Y93" s="18" t="n">
        <f aca="false">SUMIF($X$2:$X$120,X93,$A$2:$A$120)</f>
        <v>5669724.04761905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6</v>
      </c>
      <c r="Y94" s="18" t="n">
        <f aca="false">SUMIF($X$2:$X$120,X94,$A$2:$A$120)</f>
        <v>5669724.04761905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6</v>
      </c>
      <c r="Y95" s="18" t="n">
        <f aca="false">SUMIF($X$2:$X$120,X95,$A$2:$A$120)</f>
        <v>5669724.04761905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6</v>
      </c>
      <c r="Y96" s="18" t="n">
        <f aca="false">SUMIF($X$2:$X$120,X96,$A$2:$A$120)</f>
        <v>5669724.04761905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6</v>
      </c>
      <c r="Y97" s="18" t="n">
        <f aca="false">SUMIF($X$2:$X$120,X97,$A$2:$A$120)</f>
        <v>5669724.04761905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6</v>
      </c>
      <c r="Y98" s="18" t="n">
        <f aca="false">SUMIF($X$2:$X$120,X98,$A$2:$A$120)</f>
        <v>5669724.04761905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6</v>
      </c>
      <c r="Y99" s="18" t="n">
        <f aca="false">SUMIF($X$2:$X$120,X99,$A$2:$A$120)</f>
        <v>5669724.04761905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6</v>
      </c>
      <c r="Y100" s="18" t="n">
        <f aca="false">SUMIF($X$2:$X$120,X100,$A$2:$A$120)</f>
        <v>5669724.04761905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6</v>
      </c>
      <c r="Y101" s="18" t="n">
        <f aca="false">SUMIF($X$2:$X$120,X101,$A$2:$A$120)</f>
        <v>5669724.04761905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6</v>
      </c>
      <c r="Y102" s="18" t="n">
        <f aca="false">SUMIF($X$2:$X$120,X102,$A$2:$A$120)</f>
        <v>5669724.04761905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6</v>
      </c>
      <c r="Y103" s="18" t="n">
        <f aca="false">SUMIF($X$2:$X$120,X103,$A$2:$A$120)</f>
        <v>5669724.04761905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6</v>
      </c>
      <c r="Y104" s="18" t="n">
        <f aca="false">SUMIF($X$2:$X$120,X104,$A$2:$A$120)</f>
        <v>5669724.04761905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6</v>
      </c>
      <c r="Y105" s="18" t="n">
        <f aca="false">SUMIF($X$2:$X$120,X105,$A$2:$A$120)</f>
        <v>5669724.04761905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6</v>
      </c>
      <c r="Y106" s="18" t="n">
        <f aca="false">SUMIF($X$2:$X$120,X106,$A$2:$A$120)</f>
        <v>5669724.04761905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6</v>
      </c>
      <c r="Y107" s="18" t="n">
        <f aca="false">SUMIF($X$2:$X$120,X107,$A$2:$A$120)</f>
        <v>5669724.04761905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6</v>
      </c>
      <c r="Y108" s="18" t="n">
        <f aca="false">SUMIF($X$2:$X$120,X108,$A$2:$A$120)</f>
        <v>5669724.04761905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6</v>
      </c>
      <c r="Y109" s="18" t="n">
        <f aca="false">SUMIF($X$2:$X$120,X109,$A$2:$A$120)</f>
        <v>5669724.04761905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6</v>
      </c>
      <c r="Y110" s="18" t="n">
        <f aca="false">SUMIF($X$2:$X$120,X110,$A$2:$A$120)</f>
        <v>5669724.04761905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6</v>
      </c>
      <c r="Y111" s="18" t="n">
        <f aca="false">SUMIF($X$2:$X$120,X111,$A$2:$A$120)</f>
        <v>5669724.04761905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6</v>
      </c>
      <c r="Y112" s="18" t="n">
        <f aca="false">SUMIF($X$2:$X$120,X112,$A$2:$A$120)</f>
        <v>5669724.04761905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6</v>
      </c>
      <c r="Y113" s="18" t="n">
        <f aca="false">SUMIF($X$2:$X$120,X113,$A$2:$A$120)</f>
        <v>5669724.04761905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6</v>
      </c>
      <c r="Y114" s="18" t="n">
        <f aca="false">SUMIF($X$2:$X$120,X114,$A$2:$A$120)</f>
        <v>5669724.04761905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6</v>
      </c>
      <c r="Y115" s="18" t="n">
        <f aca="false">SUMIF($X$2:$X$120,X115,$A$2:$A$120)</f>
        <v>5669724.04761905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6</v>
      </c>
      <c r="Y116" s="18" t="n">
        <f aca="false">SUMIF($X$2:$X$120,X116,$A$2:$A$120)</f>
        <v>5669724.04761905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6</v>
      </c>
      <c r="Y117" s="18" t="n">
        <f aca="false">SUMIF($X$2:$X$120,X117,$A$2:$A$120)</f>
        <v>5669724.04761905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6</v>
      </c>
      <c r="Y118" s="18" t="n">
        <f aca="false">SUMIF($X$2:$X$120,X118,$A$2:$A$120)</f>
        <v>5669724.04761905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6</v>
      </c>
      <c r="Y119" s="18" t="n">
        <f aca="false">SUMIF($X$2:$X$120,X119,$A$2:$A$120)</f>
        <v>5669724.04761905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8"/>
      <c r="O120" s="38" t="s">
        <v>45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14"/>
      <c r="AE120" s="14"/>
    </row>
    <row r="121" customFormat="false" ht="15" hidden="false" customHeight="true" outlineLevel="0" collapsed="false">
      <c r="A121" s="39" t="n">
        <f aca="false">ROW()</f>
        <v>121</v>
      </c>
      <c r="B121" s="14" t="n">
        <f aca="false">SUM(B2:B120)</f>
        <v>4.5</v>
      </c>
      <c r="C121" s="14" t="n">
        <f aca="false">SUM(C2:C120)</f>
        <v>3</v>
      </c>
      <c r="D121" s="14" t="n">
        <f aca="false">SUM(D2:D120)</f>
        <v>8.5</v>
      </c>
      <c r="E121" s="14" t="n">
        <f aca="false">SUM(E2:E120)</f>
        <v>17.5</v>
      </c>
      <c r="F121" s="14" t="n">
        <f aca="false">SUM(F2:F120)</f>
        <v>14.5</v>
      </c>
      <c r="G121" s="14" t="n">
        <f aca="false">SUM(G2:G120)</f>
        <v>0</v>
      </c>
      <c r="H121" s="14" t="n">
        <f aca="false">SUM(H2:H120)</f>
        <v>3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40"/>
      <c r="AD121" s="14"/>
      <c r="AE121" s="14"/>
    </row>
    <row r="122" customFormat="false" ht="12.75" hidden="false" customHeight="true" outlineLevel="0" collapsed="false">
      <c r="A122" s="14"/>
      <c r="B122" s="14"/>
      <c r="C122" s="41"/>
      <c r="D122" s="41"/>
      <c r="E122" s="41"/>
      <c r="F122" s="41"/>
      <c r="G122" s="41"/>
      <c r="H122" s="41"/>
      <c r="I122" s="42" t="s">
        <v>46</v>
      </c>
      <c r="J122" s="42"/>
      <c r="K122" s="42"/>
      <c r="L122" s="42"/>
      <c r="M122" s="43" t="n">
        <f aca="false">400000+120000</f>
        <v>520000</v>
      </c>
      <c r="N122" s="43"/>
      <c r="O122" s="43"/>
      <c r="P122" s="14"/>
      <c r="Q122" s="14"/>
      <c r="R122" s="14"/>
      <c r="S122" s="41"/>
      <c r="T122" s="41"/>
      <c r="U122" s="41"/>
      <c r="V122" s="14"/>
      <c r="W122" s="14"/>
      <c r="X122" s="14"/>
      <c r="Y122" s="14" t="n">
        <f aca="false">Y1/0.6</f>
        <v>36203074.3867244</v>
      </c>
      <c r="Z122" s="14"/>
      <c r="AA122" s="14"/>
      <c r="AB122" s="14"/>
      <c r="AC122" s="40"/>
      <c r="AD122" s="14"/>
      <c r="AE122" s="14"/>
    </row>
    <row r="123" customFormat="false" ht="15" hidden="false" customHeight="true" outlineLevel="0" collapsed="false">
      <c r="A123" s="14"/>
      <c r="B123" s="14"/>
      <c r="C123" s="41"/>
      <c r="D123" s="44" t="s">
        <v>47</v>
      </c>
      <c r="E123" s="45" t="n">
        <v>1750905</v>
      </c>
      <c r="F123" s="46" t="s">
        <v>48</v>
      </c>
      <c r="G123" s="47" t="n">
        <v>249095</v>
      </c>
      <c r="H123" s="41"/>
      <c r="I123" s="48" t="s">
        <v>49</v>
      </c>
      <c r="J123" s="49" t="n">
        <v>0.18</v>
      </c>
      <c r="K123" s="49"/>
      <c r="L123" s="50" t="s">
        <v>50</v>
      </c>
      <c r="M123" s="51" t="n">
        <f aca="false">2.7/12</f>
        <v>0.225</v>
      </c>
      <c r="N123" s="52" t="s">
        <v>51</v>
      </c>
      <c r="O123" s="53" t="n">
        <f aca="false">40*4.2*((244-2)/260)</f>
        <v>156.369230769231</v>
      </c>
      <c r="P123" s="41"/>
      <c r="Q123" s="48" t="s">
        <v>52</v>
      </c>
      <c r="R123" s="54" t="n">
        <v>0.1</v>
      </c>
      <c r="S123" s="41"/>
      <c r="T123" s="55" t="n">
        <v>8</v>
      </c>
      <c r="U123" s="56" t="s">
        <v>53</v>
      </c>
      <c r="V123" s="57"/>
      <c r="W123" s="14"/>
      <c r="X123" s="14"/>
      <c r="Y123" s="14"/>
      <c r="Z123" s="14"/>
      <c r="AA123" s="14"/>
      <c r="AB123" s="14"/>
      <c r="AC123" s="40"/>
      <c r="AD123" s="14"/>
      <c r="AE123" s="14"/>
    </row>
    <row r="124" customFormat="false" ht="12.75" hidden="false" customHeight="true" outlineLevel="0" collapsed="false">
      <c r="A124" s="14"/>
      <c r="B124" s="14"/>
      <c r="C124" s="58" t="s">
        <v>54</v>
      </c>
      <c r="D124" s="58"/>
      <c r="E124" s="58"/>
      <c r="F124" s="58" t="s">
        <v>55</v>
      </c>
      <c r="G124" s="58"/>
      <c r="H124" s="58"/>
      <c r="I124" s="58" t="s">
        <v>56</v>
      </c>
      <c r="J124" s="58"/>
      <c r="K124" s="58"/>
      <c r="L124" s="58"/>
      <c r="M124" s="58" t="s">
        <v>57</v>
      </c>
      <c r="N124" s="58"/>
      <c r="O124" s="58"/>
      <c r="P124" s="58" t="s">
        <v>58</v>
      </c>
      <c r="Q124" s="58"/>
      <c r="R124" s="58"/>
      <c r="S124" s="41"/>
      <c r="T124" s="41"/>
      <c r="U124" s="59" t="s">
        <v>51</v>
      </c>
      <c r="V124" s="58" t="s">
        <v>59</v>
      </c>
      <c r="W124" s="58"/>
      <c r="X124" s="58"/>
      <c r="Y124" s="14"/>
      <c r="Z124" s="14"/>
      <c r="AA124" s="14"/>
      <c r="AB124" s="14"/>
      <c r="AC124" s="40"/>
      <c r="AD124" s="14"/>
      <c r="AE124" s="14"/>
    </row>
    <row r="125" customFormat="false" ht="12.75" hidden="false" customHeight="true" outlineLevel="0" collapsed="false">
      <c r="A125" s="26" t="s">
        <v>60</v>
      </c>
      <c r="B125" s="59" t="str">
        <f aca="false">B1</f>
        <v>DB</v>
      </c>
      <c r="C125" s="60" t="n">
        <v>6480000</v>
      </c>
      <c r="D125" s="60"/>
      <c r="E125" s="60"/>
      <c r="F125" s="60" t="n">
        <v>1080000</v>
      </c>
      <c r="G125" s="60"/>
      <c r="H125" s="60"/>
      <c r="I125" s="60" t="n">
        <v>0</v>
      </c>
      <c r="J125" s="60"/>
      <c r="K125" s="60"/>
      <c r="L125" s="60"/>
      <c r="M125" s="60" t="n">
        <f aca="false">C125*(1+$J$123+$M$123)+F125+I125+$M$122+IF(($E$123*2)&gt;=C125,$G$123,0)</f>
        <v>10704400</v>
      </c>
      <c r="N125" s="60"/>
      <c r="O125" s="60"/>
      <c r="P125" s="61" t="n">
        <f aca="false">M125/$O$123*(1+$R$123)</f>
        <v>75301.5151515152</v>
      </c>
      <c r="Q125" s="61"/>
      <c r="R125" s="61"/>
      <c r="S125" s="41"/>
      <c r="T125" s="41"/>
      <c r="U125" s="14" t="n">
        <f aca="false">HLOOKUP(B125,$B$1:$K$121,$A$121,0)*$T$123</f>
        <v>36</v>
      </c>
      <c r="W125" s="62" t="n">
        <f aca="false">P125*U125</f>
        <v>2710854.54545455</v>
      </c>
      <c r="Y125" s="14"/>
      <c r="Z125" s="14"/>
      <c r="AA125" s="14"/>
      <c r="AB125" s="14"/>
      <c r="AC125" s="40"/>
      <c r="AD125" s="14"/>
      <c r="AE125" s="14"/>
    </row>
    <row r="126" customFormat="false" ht="12.75" hidden="false" customHeight="true" outlineLevel="0" collapsed="false">
      <c r="A126" s="26" t="s">
        <v>61</v>
      </c>
      <c r="B126" s="59" t="str">
        <f aca="false">C1</f>
        <v>UX</v>
      </c>
      <c r="C126" s="60" t="n">
        <v>3240000</v>
      </c>
      <c r="D126" s="60"/>
      <c r="E126" s="60"/>
      <c r="F126" s="60" t="n">
        <v>540000</v>
      </c>
      <c r="G126" s="60"/>
      <c r="H126" s="60"/>
      <c r="I126" s="60" t="n">
        <v>0</v>
      </c>
      <c r="J126" s="60"/>
      <c r="K126" s="60"/>
      <c r="L126" s="60"/>
      <c r="M126" s="60" t="n">
        <f aca="false">C126*(1+$J$123+$M$123)+F126+I126+$M$122+IF(($E$123*2)&gt;=C126,$G$123,0)</f>
        <v>5861295</v>
      </c>
      <c r="N126" s="60"/>
      <c r="O126" s="60"/>
      <c r="P126" s="61" t="n">
        <f aca="false">M126/$O$123*(1+$R$123)</f>
        <v>41232.0535714286</v>
      </c>
      <c r="Q126" s="61"/>
      <c r="R126" s="61"/>
      <c r="S126" s="41"/>
      <c r="T126" s="41"/>
      <c r="U126" s="14" t="n">
        <f aca="false">HLOOKUP(B126,$B$1:$K$121,$A$121,0)*$T$123</f>
        <v>24</v>
      </c>
      <c r="W126" s="62" t="n">
        <f aca="false">P126*U126</f>
        <v>989569.285714286</v>
      </c>
      <c r="Y126" s="14"/>
      <c r="Z126" s="14"/>
      <c r="AA126" s="14"/>
      <c r="AB126" s="14"/>
      <c r="AC126" s="40"/>
      <c r="AD126" s="14"/>
      <c r="AE126" s="14"/>
    </row>
    <row r="127" customFormat="false" ht="12.75" hidden="false" customHeight="true" outlineLevel="0" collapsed="false">
      <c r="A127" s="26" t="s">
        <v>62</v>
      </c>
      <c r="B127" s="59" t="str">
        <f aca="false">D1</f>
        <v>FM</v>
      </c>
      <c r="C127" s="60" t="n">
        <v>3240000</v>
      </c>
      <c r="D127" s="60"/>
      <c r="E127" s="60"/>
      <c r="F127" s="60" t="n">
        <v>540000</v>
      </c>
      <c r="G127" s="60"/>
      <c r="H127" s="60"/>
      <c r="I127" s="60" t="n">
        <v>0</v>
      </c>
      <c r="J127" s="60"/>
      <c r="K127" s="60"/>
      <c r="L127" s="60"/>
      <c r="M127" s="60" t="n">
        <f aca="false">C127*(1+$J$123+$M$123)+F127+I127+$M$122+IF(($E$123*2)&gt;=C127,$G$123,0)</f>
        <v>5861295</v>
      </c>
      <c r="N127" s="60"/>
      <c r="O127" s="60"/>
      <c r="P127" s="61" t="n">
        <f aca="false">M127/$O$123*(1+$R$123)</f>
        <v>41232.0535714286</v>
      </c>
      <c r="Q127" s="61"/>
      <c r="R127" s="61"/>
      <c r="S127" s="41"/>
      <c r="T127" s="41"/>
      <c r="U127" s="14" t="n">
        <f aca="false">HLOOKUP(B127,$B$1:$K$121,$A$121,0)*$T$123</f>
        <v>68</v>
      </c>
      <c r="W127" s="62" t="n">
        <f aca="false">P127*U127</f>
        <v>2803779.64285714</v>
      </c>
      <c r="Y127" s="14"/>
      <c r="Z127" s="14"/>
      <c r="AA127" s="14"/>
      <c r="AB127" s="14"/>
      <c r="AC127" s="40"/>
      <c r="AD127" s="14"/>
      <c r="AE127" s="14"/>
    </row>
    <row r="128" customFormat="false" ht="12.75" hidden="false" customHeight="true" outlineLevel="0" collapsed="false">
      <c r="A128" s="26" t="s">
        <v>63</v>
      </c>
      <c r="B128" s="59" t="str">
        <f aca="false">E1</f>
        <v>BS</v>
      </c>
      <c r="C128" s="60" t="n">
        <v>4320000</v>
      </c>
      <c r="D128" s="60"/>
      <c r="E128" s="60"/>
      <c r="F128" s="60" t="n">
        <v>1620000</v>
      </c>
      <c r="G128" s="60"/>
      <c r="H128" s="60"/>
      <c r="I128" s="60" t="n">
        <v>0</v>
      </c>
      <c r="J128" s="60"/>
      <c r="K128" s="60"/>
      <c r="L128" s="60"/>
      <c r="M128" s="60" t="n">
        <f aca="false">C128*(1+$J$123+$M$123)+F128+I128+$M$122+IF(($E$123*2)&gt;=C128,$G$123,0)</f>
        <v>8209600</v>
      </c>
      <c r="N128" s="60"/>
      <c r="O128" s="60"/>
      <c r="P128" s="61" t="n">
        <f aca="false">M128/$O$123*(1+$R$123)</f>
        <v>57751.5151515152</v>
      </c>
      <c r="Q128" s="61"/>
      <c r="R128" s="61"/>
      <c r="S128" s="41"/>
      <c r="T128" s="41"/>
      <c r="U128" s="14" t="n">
        <f aca="false">HLOOKUP(B128,$B$1:$K$121,$A$121,0)*$T$123</f>
        <v>140</v>
      </c>
      <c r="W128" s="62" t="n">
        <f aca="false">P128*U128</f>
        <v>8085212.12121212</v>
      </c>
      <c r="Y128" s="14"/>
      <c r="Z128" s="14"/>
      <c r="AA128" s="14"/>
      <c r="AB128" s="14"/>
      <c r="AC128" s="40"/>
      <c r="AD128" s="14"/>
      <c r="AE128" s="14"/>
    </row>
    <row r="129" customFormat="false" ht="12.75" hidden="false" customHeight="true" outlineLevel="0" collapsed="false">
      <c r="A129" s="26" t="s">
        <v>64</v>
      </c>
      <c r="B129" s="59" t="str">
        <f aca="false">F1</f>
        <v>BM</v>
      </c>
      <c r="C129" s="60" t="n">
        <v>3780000</v>
      </c>
      <c r="D129" s="60"/>
      <c r="E129" s="60"/>
      <c r="F129" s="60" t="n">
        <v>1080000</v>
      </c>
      <c r="G129" s="60"/>
      <c r="H129" s="60"/>
      <c r="I129" s="60" t="n">
        <v>0</v>
      </c>
      <c r="J129" s="60"/>
      <c r="K129" s="60"/>
      <c r="L129" s="60"/>
      <c r="M129" s="60" t="n">
        <f aca="false">C129*(1+$J$123+$M$123)+F129+I129+$M$122+IF(($E$123*2)&gt;=C129,$G$123,0)</f>
        <v>6910900</v>
      </c>
      <c r="N129" s="60"/>
      <c r="O129" s="60"/>
      <c r="P129" s="61" t="n">
        <f aca="false">M129/$O$123*(1+$R$123)</f>
        <v>48615.6385281385</v>
      </c>
      <c r="Q129" s="61"/>
      <c r="R129" s="61"/>
      <c r="S129" s="41"/>
      <c r="T129" s="41"/>
      <c r="U129" s="14" t="n">
        <f aca="false">HLOOKUP(B129,$B$1:$K$121,$A$121,0)*$T$123</f>
        <v>116</v>
      </c>
      <c r="W129" s="62" t="n">
        <f aca="false">P129*U129</f>
        <v>5639414.06926407</v>
      </c>
      <c r="Y129" s="14"/>
      <c r="Z129" s="14"/>
      <c r="AA129" s="14"/>
      <c r="AB129" s="14"/>
      <c r="AC129" s="40"/>
      <c r="AD129" s="14"/>
      <c r="AE129" s="14"/>
    </row>
    <row r="130" customFormat="false" ht="12.75" hidden="false" customHeight="true" outlineLevel="0" collapsed="false">
      <c r="A130" s="26" t="s">
        <v>65</v>
      </c>
      <c r="B130" s="59" t="str">
        <f aca="false">G1</f>
        <v>QA</v>
      </c>
      <c r="C130" s="60" t="n">
        <v>2700000</v>
      </c>
      <c r="D130" s="60"/>
      <c r="E130" s="60"/>
      <c r="F130" s="60" t="n">
        <v>1080000</v>
      </c>
      <c r="G130" s="60"/>
      <c r="H130" s="60"/>
      <c r="I130" s="60" t="n">
        <v>54000</v>
      </c>
      <c r="J130" s="60"/>
      <c r="K130" s="60"/>
      <c r="L130" s="60"/>
      <c r="M130" s="60" t="n">
        <f aca="false">C130*(1+$J$123+$M$123)+F130+I130+$M$122+IF(($E$123*2)&gt;=C130,$G$123,0)</f>
        <v>5696595</v>
      </c>
      <c r="N130" s="60"/>
      <c r="O130" s="60"/>
      <c r="P130" s="61" t="n">
        <f aca="false">M130/$O$123*(1+$R$123)</f>
        <v>40073.4496753247</v>
      </c>
      <c r="Q130" s="61"/>
      <c r="R130" s="61"/>
      <c r="S130" s="41"/>
      <c r="T130" s="41"/>
      <c r="U130" s="14" t="n">
        <f aca="false">HLOOKUP(B130,$B$1:$K$121,$A$121,0)*$T$123</f>
        <v>0</v>
      </c>
      <c r="W130" s="62" t="n">
        <f aca="false">P130*U130</f>
        <v>0</v>
      </c>
      <c r="Y130" s="14"/>
      <c r="Z130" s="14"/>
      <c r="AA130" s="14"/>
      <c r="AB130" s="14"/>
      <c r="AC130" s="40"/>
      <c r="AD130" s="14"/>
      <c r="AE130" s="14"/>
    </row>
    <row r="131" customFormat="false" ht="12.75" hidden="false" customHeight="true" outlineLevel="0" collapsed="false">
      <c r="A131" s="26" t="s">
        <v>66</v>
      </c>
      <c r="B131" s="59" t="str">
        <f aca="false">H1</f>
        <v>IM</v>
      </c>
      <c r="C131" s="60" t="n">
        <v>2700000</v>
      </c>
      <c r="D131" s="60"/>
      <c r="E131" s="60"/>
      <c r="F131" s="60" t="n">
        <v>1080000</v>
      </c>
      <c r="G131" s="60"/>
      <c r="H131" s="60"/>
      <c r="I131" s="60" t="n">
        <v>0</v>
      </c>
      <c r="J131" s="60"/>
      <c r="K131" s="60"/>
      <c r="L131" s="60"/>
      <c r="M131" s="60" t="n">
        <f aca="false">C131*(1+$J$123+$M$123)+F131+I131+$M$122+IF(($E$123*2)&gt;=C131,$G$123,0)</f>
        <v>5642595</v>
      </c>
      <c r="N131" s="60"/>
      <c r="O131" s="60"/>
      <c r="P131" s="61" t="n">
        <f aca="false">M131/$O$123*(1+$R$123)</f>
        <v>39693.5795454546</v>
      </c>
      <c r="Q131" s="61"/>
      <c r="R131" s="61"/>
      <c r="S131" s="41"/>
      <c r="T131" s="41"/>
      <c r="U131" s="14" t="n">
        <f aca="false">HLOOKUP(B131,$B$1:$K$121,$A$121,0)*$T$123</f>
        <v>24</v>
      </c>
      <c r="W131" s="62" t="n">
        <f aca="false">P131*U131</f>
        <v>952645.909090909</v>
      </c>
      <c r="Y131" s="14"/>
      <c r="Z131" s="14"/>
      <c r="AA131" s="14"/>
      <c r="AB131" s="14"/>
      <c r="AC131" s="40"/>
      <c r="AD131" s="14"/>
      <c r="AE131" s="14"/>
    </row>
    <row r="132" customFormat="false" ht="12.75" hidden="false" customHeight="true" outlineLevel="0" collapsed="false">
      <c r="A132" s="26" t="s">
        <v>67</v>
      </c>
      <c r="B132" s="59" t="str">
        <f aca="false">I1</f>
        <v>MS</v>
      </c>
      <c r="C132" s="60" t="n">
        <v>8100000</v>
      </c>
      <c r="D132" s="60"/>
      <c r="E132" s="60"/>
      <c r="F132" s="60" t="n">
        <v>2160000</v>
      </c>
      <c r="G132" s="60"/>
      <c r="H132" s="60"/>
      <c r="I132" s="60" t="n">
        <v>132000</v>
      </c>
      <c r="J132" s="60"/>
      <c r="K132" s="60"/>
      <c r="L132" s="60"/>
      <c r="M132" s="60" t="n">
        <f aca="false">C132*(1+$J$123+$M$123)+F132+I132+$M$122+IF(($E$123*2)&gt;=C132,$G$123,0)</f>
        <v>14192500</v>
      </c>
      <c r="N132" s="60"/>
      <c r="O132" s="60"/>
      <c r="P132" s="61" t="n">
        <f aca="false">M132/$O$123*(1+$R$123)</f>
        <v>99839.0151515152</v>
      </c>
      <c r="Q132" s="61"/>
      <c r="R132" s="61"/>
      <c r="S132" s="41"/>
      <c r="T132" s="41"/>
      <c r="U132" s="14" t="n">
        <f aca="false">HLOOKUP(B132,$B$1:$K$121,$A$121,0)*$T$123</f>
        <v>0</v>
      </c>
      <c r="W132" s="62" t="n">
        <f aca="false">P132*U132</f>
        <v>0</v>
      </c>
      <c r="Y132" s="14"/>
      <c r="Z132" s="14"/>
      <c r="AA132" s="14"/>
      <c r="AB132" s="14"/>
      <c r="AC132" s="40"/>
      <c r="AD132" s="14"/>
      <c r="AE132" s="14"/>
    </row>
    <row r="133" customFormat="false" ht="12.75" hidden="false" customHeight="true" outlineLevel="0" collapsed="false">
      <c r="A133" s="26" t="s">
        <v>68</v>
      </c>
      <c r="B133" s="59" t="str">
        <f aca="false">J1</f>
        <v>MM</v>
      </c>
      <c r="C133" s="60" t="n">
        <v>3240000</v>
      </c>
      <c r="D133" s="60"/>
      <c r="E133" s="60"/>
      <c r="F133" s="60" t="n">
        <v>1080000</v>
      </c>
      <c r="G133" s="60"/>
      <c r="H133" s="60"/>
      <c r="I133" s="60" t="n">
        <v>132000</v>
      </c>
      <c r="J133" s="60"/>
      <c r="K133" s="60"/>
      <c r="L133" s="60"/>
      <c r="M133" s="60" t="n">
        <f aca="false">C133*(1+$J$123+$M$123)+F133+I133+$M$122+IF(($E$123*2)&gt;=C133,$G$123,0)</f>
        <v>6533295</v>
      </c>
      <c r="N133" s="60"/>
      <c r="O133" s="60"/>
      <c r="P133" s="61" t="n">
        <f aca="false">M133/$O$123*(1+$R$123)</f>
        <v>45959.3262987013</v>
      </c>
      <c r="Q133" s="61"/>
      <c r="R133" s="61"/>
      <c r="S133" s="41"/>
      <c r="T133" s="41"/>
      <c r="U133" s="14" t="n">
        <f aca="false">HLOOKUP(B133,$B$1:$K$121,$A$121,0)*$T$123</f>
        <v>0</v>
      </c>
      <c r="W133" s="62" t="n">
        <f aca="false">P133*U133</f>
        <v>0</v>
      </c>
      <c r="Y133" s="14"/>
      <c r="Z133" s="14"/>
      <c r="AA133" s="14"/>
      <c r="AB133" s="14"/>
      <c r="AC133" s="40"/>
      <c r="AD133" s="14"/>
      <c r="AE133" s="14"/>
    </row>
    <row r="134" customFormat="false" ht="12.75" hidden="false" customHeight="true" outlineLevel="0" collapsed="false">
      <c r="A134" s="26" t="s">
        <v>69</v>
      </c>
      <c r="B134" s="59" t="s">
        <v>10</v>
      </c>
      <c r="C134" s="60" t="n">
        <v>3240000</v>
      </c>
      <c r="D134" s="60"/>
      <c r="E134" s="60"/>
      <c r="F134" s="60" t="n">
        <v>1080000</v>
      </c>
      <c r="G134" s="60"/>
      <c r="H134" s="60"/>
      <c r="I134" s="60"/>
      <c r="J134" s="60"/>
      <c r="K134" s="60"/>
      <c r="L134" s="60"/>
      <c r="M134" s="60" t="n">
        <f aca="false">C134*(1+$J$123+$M$123)+F134+I134+$M$122+IF(($E$123*2)&gt;=C134,$G$123,0)</f>
        <v>6401295</v>
      </c>
      <c r="N134" s="60"/>
      <c r="O134" s="60"/>
      <c r="P134" s="61" t="n">
        <f aca="false">M134/$O$123*(1+$R$123)</f>
        <v>45030.7548701299</v>
      </c>
      <c r="Q134" s="61"/>
      <c r="R134" s="61"/>
      <c r="S134" s="41"/>
      <c r="T134" s="41"/>
      <c r="U134" s="14" t="n">
        <f aca="false">HLOOKUP(B134,$B$1:$K$121,$A$121,0)*$T$123</f>
        <v>12</v>
      </c>
      <c r="W134" s="62" t="n">
        <f aca="false">P134*U134</f>
        <v>540369.058441559</v>
      </c>
      <c r="Y134" s="14"/>
      <c r="Z134" s="14"/>
      <c r="AA134" s="14"/>
      <c r="AB134" s="14"/>
      <c r="AC134" s="40"/>
      <c r="AD134" s="14"/>
      <c r="AE134" s="14"/>
    </row>
    <row r="135" customFormat="false" ht="12.75" hidden="false" customHeight="true" outlineLevel="0" collapsed="false">
      <c r="A135" s="26"/>
      <c r="B135" s="59"/>
      <c r="C135" s="41"/>
      <c r="D135" s="41"/>
      <c r="E135" s="41"/>
      <c r="F135" s="41"/>
      <c r="G135" s="41"/>
      <c r="H135" s="41"/>
      <c r="I135" s="14"/>
      <c r="J135" s="14"/>
      <c r="K135" s="14"/>
      <c r="L135" s="14"/>
      <c r="M135" s="14"/>
      <c r="N135" s="14"/>
      <c r="O135" s="14"/>
      <c r="P135" s="63" t="n">
        <f aca="false">SUM(P125:P134)</f>
        <v>534728.901515152</v>
      </c>
      <c r="Q135" s="63"/>
      <c r="R135" s="63"/>
      <c r="S135" s="41"/>
      <c r="T135" s="41"/>
      <c r="U135" s="41"/>
      <c r="W135" s="64" t="n">
        <f aca="false">SUM(W125:W134)</f>
        <v>21721844.6320346</v>
      </c>
      <c r="Y135" s="14"/>
      <c r="Z135" s="14"/>
      <c r="AA135" s="14"/>
      <c r="AB135" s="14"/>
      <c r="AC135" s="40"/>
      <c r="AD135" s="14"/>
      <c r="AE135" s="14"/>
    </row>
    <row r="136" customFormat="false" ht="12.75" hidden="false" customHeight="true" outlineLevel="0" collapsed="false">
      <c r="A136" s="14"/>
      <c r="B136" s="14"/>
      <c r="C136" s="65"/>
      <c r="D136" s="65"/>
      <c r="E136" s="14"/>
      <c r="F136" s="14"/>
      <c r="G136" s="14"/>
      <c r="H136" s="41"/>
      <c r="I136" s="14"/>
      <c r="J136" s="14"/>
      <c r="K136" s="14"/>
      <c r="L136" s="4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40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40"/>
      <c r="AD137" s="14"/>
      <c r="AE137" s="14"/>
    </row>
    <row r="138" customFormat="false" ht="12.75" hidden="false" customHeight="tru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customFormat="false" ht="15" hidden="false" customHeight="true" outlineLevel="0" collapsed="false">
      <c r="A139" s="66"/>
      <c r="B139" s="66"/>
      <c r="C139" s="68"/>
      <c r="D139" s="68"/>
      <c r="E139" s="68"/>
      <c r="F139" s="68"/>
      <c r="G139" s="69"/>
      <c r="H139" s="69"/>
      <c r="I139" s="69"/>
      <c r="J139" s="69"/>
      <c r="K139" s="69"/>
      <c r="L139" s="70"/>
      <c r="M139" s="70"/>
      <c r="N139" s="70"/>
      <c r="O139" s="70"/>
      <c r="P139" s="69"/>
      <c r="Q139" s="69"/>
      <c r="R139" s="69"/>
      <c r="S139" s="69"/>
      <c r="T139" s="70"/>
      <c r="U139" s="70"/>
      <c r="V139" s="70"/>
      <c r="W139" s="70"/>
      <c r="X139" s="69"/>
      <c r="Y139" s="69"/>
      <c r="Z139" s="69"/>
      <c r="AA139" s="70"/>
      <c r="AB139" s="70"/>
      <c r="AC139" s="70"/>
      <c r="AD139" s="70"/>
      <c r="AE139" s="66"/>
    </row>
    <row r="140" customFormat="false" ht="12.75" hidden="false" customHeight="true" outlineLevel="0" collapsed="false">
      <c r="A140" s="71" t="e">
        <f aca="false" t="array" ref="A140:A144">unique(L1:L120)</f>
        <v>#NAME?</v>
      </c>
      <c r="B140" s="72"/>
      <c r="C140" s="73"/>
      <c r="D140" s="73"/>
      <c r="E140" s="73"/>
      <c r="F140" s="74"/>
      <c r="G140" s="75" t="s">
        <v>70</v>
      </c>
      <c r="H140" s="75" t="s">
        <v>71</v>
      </c>
      <c r="I140" s="75" t="s">
        <v>72</v>
      </c>
      <c r="J140" s="75" t="s">
        <v>73</v>
      </c>
      <c r="K140" s="75" t="s">
        <v>74</v>
      </c>
      <c r="L140" s="76" t="s">
        <v>75</v>
      </c>
      <c r="M140" s="76" t="s">
        <v>76</v>
      </c>
      <c r="N140" s="76" t="s">
        <v>77</v>
      </c>
      <c r="O140" s="76" t="s">
        <v>78</v>
      </c>
      <c r="P140" s="75" t="s">
        <v>79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6"/>
    </row>
    <row r="141" customFormat="false" ht="12.75" hidden="false" customHeight="true" outlineLevel="0" collapsed="false">
      <c r="A141" s="78" t="e">
        <v>#NAME?</v>
      </c>
      <c r="B141" s="79"/>
      <c r="C141" s="79"/>
      <c r="D141" s="79" t="s">
        <v>80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6"/>
    </row>
    <row r="142" customFormat="false" ht="12.75" hidden="false" customHeight="true" outlineLevel="0" collapsed="false">
      <c r="A142" s="78" t="e"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6"/>
    </row>
    <row r="143" customFormat="false" ht="12.75" hidden="false" customHeight="true" outlineLevel="0" collapsed="false">
      <c r="A143" s="78" t="e"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6"/>
    </row>
    <row r="144" customFormat="false" ht="12.75" hidden="false" customHeight="true" outlineLevel="0" collapsed="false">
      <c r="A144" s="78" t="e"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6"/>
    </row>
    <row r="145" customFormat="false" ht="12.75" hidden="false" customHeight="true" outlineLevel="0" collapsed="false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6"/>
    </row>
    <row r="146" customFormat="false" ht="12.75" hidden="false" customHeight="true" outlineLevel="0" collapsed="false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6"/>
    </row>
    <row r="147" customFormat="false" ht="12.75" hidden="false" customHeight="true" outlineLevel="0" collapsed="false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6"/>
    </row>
    <row r="148" customFormat="false" ht="12.75" hidden="false" customHeight="true" outlineLevel="0" collapsed="false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6"/>
    </row>
    <row r="149" customFormat="false" ht="12.75" hidden="false" customHeight="true" outlineLevel="0" collapsed="false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6"/>
    </row>
    <row r="150" customFormat="false" ht="12.75" hidden="false" customHeight="true" outlineLevel="0" collapsed="false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6"/>
    </row>
    <row r="151" customFormat="false" ht="12.75" hidden="false" customHeight="true" outlineLevel="0" collapsed="false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6"/>
    </row>
    <row r="152" customFormat="false" ht="12.75" hidden="false" customHeight="true" outlineLevel="0" collapsed="false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6"/>
    </row>
    <row r="153" customFormat="false" ht="12.75" hidden="false" customHeight="true" outlineLevel="0" collapsed="false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6"/>
    </row>
    <row r="154" customFormat="false" ht="12.75" hidden="false" customHeight="true" outlineLevel="0" collapsed="false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6"/>
    </row>
    <row r="155" customFormat="false" ht="12.75" hidden="false" customHeight="true" outlineLevel="0" collapsed="false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6"/>
    </row>
    <row r="156" customFormat="false" ht="12.75" hidden="false" customHeight="true" outlineLevel="0" collapsed="false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6"/>
    </row>
    <row r="157" customFormat="false" ht="12.75" hidden="false" customHeight="true" outlineLevel="0" collapsed="false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6"/>
    </row>
    <row r="158" customFormat="false" ht="12.75" hidden="false" customHeight="true" outlineLevel="0" collapsed="false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6"/>
    </row>
    <row r="159" customFormat="false" ht="12.75" hidden="false" customHeight="true" outlineLevel="0" collapsed="false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6"/>
    </row>
    <row r="160" customFormat="false" ht="12.75" hidden="false" customHeight="true" outlineLevel="0" collapsed="false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6"/>
    </row>
    <row r="161" customFormat="false" ht="12.75" hidden="false" customHeight="true" outlineLevel="0" collapsed="false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6"/>
    </row>
    <row r="162" customFormat="false" ht="12.75" hidden="false" customHeight="true" outlineLevel="0" collapsed="false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6"/>
    </row>
    <row r="163" customFormat="false" ht="12.75" hidden="false" customHeight="true" outlineLevel="0" collapsed="false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6"/>
    </row>
    <row r="164" customFormat="false" ht="12.75" hidden="false" customHeight="true" outlineLevel="0" collapsed="false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6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40"/>
      <c r="AD165" s="14"/>
      <c r="AE165" s="66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40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40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2026-08-06T16:59:41Z</dcterms:created>
  <dc:creator>openpyxl</dc:creator>
  <dc:description/>
  <dc:language>es-CO</dc:language>
  <cp:lastModifiedBy>Full Service</cp:lastModifiedBy>
  <dcterms:modified xsi:type="dcterms:W3CDTF">2026-08-06T16:59:41Z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