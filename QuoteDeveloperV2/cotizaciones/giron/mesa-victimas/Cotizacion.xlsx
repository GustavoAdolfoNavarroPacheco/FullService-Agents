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<sst xmlns="http://schemas.openxmlformats.org/spreadsheetml/2006/main" count="72" uniqueCount="70">
  <si>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</si>
  <si>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</si>
  <si>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</si>
  <si>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</si>
  <si>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</si>
  <si>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</si>
  <si>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</si>
  <si>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</si>
  <si>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</si>
  <si>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</si>
  <si>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</si>
  <si>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</si>
  <si>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</si>
  <si>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</si>
  <si>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</si>
  <si>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</si>
  <si>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</si>
  <si>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</si>
  <si>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</si>
  <si>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</si>
  <si>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SISTEMA DE GESTIÓN DE MESA DE VÍCTIMAS Y LIQUIDACIÓN DE PARTICIPACIONES - validación de soportes de participación y consolidación de pagos</t>
  </si>
  <si>
    <t xml:space="preserve">Registro y participación</t>
  </si>
  <si>
    <t xml:space="preserve">Registro de miembros.</t>
  </si>
  <si>
    <t xml:space="preserve">Registro de sesiones.</t>
  </si>
  <si>
    <t xml:space="preserve">Registro de asistencia.</t>
  </si>
  <si>
    <t xml:space="preserve">Registro de evidencias.</t>
  </si>
  <si>
    <t xml:space="preserve">Certificaciones.</t>
  </si>
  <si>
    <t xml:space="preserve">Validación de participación.</t>
  </si>
  <si>
    <t xml:space="preserve">Liquidación de pagos</t>
  </si>
  <si>
    <t xml:space="preserve">Parametrización de tasas y auxilios.</t>
  </si>
  <si>
    <t xml:space="preserve">Cálculo de valores a reconocer.</t>
  </si>
  <si>
    <t xml:space="preserve">Consolidado para aprobación y pago.</t>
  </si>
  <si>
    <t xml:space="preserve">Auditoría</t>
  </si>
  <si>
    <t xml:space="preserve">Auditoría del proceso.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</si>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</sst>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2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&quot;Calibri&quot;"/>
      <family val="0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7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7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7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7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7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13663745.8116883</v>
      </c>
      <c r="Z1" s="3" t="s">
        <v>13</v>
      </c>
      <c r="AA1" s="8" t="s">
        <v>14</v>
      </c>
      <c r="AB1" s="9" t="s">
        <v>15</v>
      </c>
      <c r="AC1" s="10" t="n">
        <f aca="false">SUM(AC2:AC120)</f>
        <v>13663745.8116883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1807236.36363636</v>
      </c>
      <c r="B2" s="12" t="n">
        <v>3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1807236.36363636</v>
      </c>
      <c r="Z2" s="19"/>
      <c r="AA2" s="20"/>
      <c r="AB2" s="21" t="b">
        <f aca="false">TRUE()</f>
        <v>1</v>
      </c>
      <c r="AC2" s="22" t="n">
        <f aca="false">IF(L2="",0,IF(AB2=FALSE(),0,Y2))</f>
        <v>1807236.36363636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659712.857142857</v>
      </c>
      <c r="B3" s="13"/>
      <c r="C3" s="12" t="n">
        <v>2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659712.857142857</v>
      </c>
      <c r="Z3" s="19"/>
      <c r="AA3" s="20"/>
      <c r="AB3" s="21" t="b">
        <f aca="false">TRUE()</f>
        <v>1</v>
      </c>
      <c r="AC3" s="22" t="n">
        <f aca="false">IF(L3="",0,IF(AB3=FALSE(),0,Y3))</f>
        <v>659712.857142857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793871.590909091</v>
      </c>
      <c r="B4" s="13"/>
      <c r="C4" s="13"/>
      <c r="D4" s="13"/>
      <c r="E4" s="13"/>
      <c r="F4" s="13"/>
      <c r="G4" s="13"/>
      <c r="H4" s="12" t="n">
        <v>2.5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793871.590909091</v>
      </c>
      <c r="Z4" s="19"/>
      <c r="AA4" s="23"/>
      <c r="AB4" s="21" t="b">
        <f aca="false">TRUE()</f>
        <v>1</v>
      </c>
      <c r="AC4" s="22" t="n">
        <f aca="false">IF(L4="",0,IF(AB4=FALSE(),0,Y4))</f>
        <v>793871.590909091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841575.119047619</v>
      </c>
      <c r="B5" s="14" t="n">
        <v>0.5</v>
      </c>
      <c r="C5" s="14"/>
      <c r="D5" s="14"/>
      <c r="E5" s="14"/>
      <c r="F5" s="14"/>
      <c r="G5" s="14"/>
      <c r="H5" s="14"/>
      <c r="I5" s="14"/>
      <c r="J5" s="14"/>
      <c r="K5" s="14" t="n">
        <v>1.5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841575.119047619</v>
      </c>
      <c r="Z5" s="19"/>
      <c r="AA5" s="23"/>
      <c r="AB5" s="21" t="b">
        <f aca="false">TRUE()</f>
        <v>1</v>
      </c>
      <c r="AC5" s="22" t="n">
        <f aca="false">IF(L5="",0,IF(AB5=FALSE(),0,Y5))</f>
        <v>841575.119047619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841575.119047619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841575.119047619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9561349.88095238</v>
      </c>
      <c r="Z8" s="19"/>
      <c r="AA8" s="20"/>
      <c r="AB8" s="21" t="b">
        <f aca="false">TRUE()</f>
        <v>1</v>
      </c>
      <c r="AC8" s="22" t="n">
        <f aca="false">IF(L8="",0,IF(AB8=FALSE(),0,Y8))</f>
        <v>9561349.88095238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9561349.88095238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913244.090909091</v>
      </c>
      <c r="B10" s="14"/>
      <c r="C10" s="14"/>
      <c r="D10" s="14" t="n">
        <v>1</v>
      </c>
      <c r="E10" s="14"/>
      <c r="F10" s="14" t="n">
        <v>1.5</v>
      </c>
      <c r="G10" s="14"/>
      <c r="H10" s="14"/>
      <c r="I10" s="14"/>
      <c r="J10" s="14"/>
      <c r="K10" s="14"/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9561349.88095238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583387.662337662</v>
      </c>
      <c r="B11" s="14"/>
      <c r="C11" s="14"/>
      <c r="D11" s="14"/>
      <c r="E11" s="14"/>
      <c r="F11" s="14" t="n">
        <v>1.5</v>
      </c>
      <c r="G11" s="14"/>
      <c r="H11" s="14"/>
      <c r="I11" s="14"/>
      <c r="J11" s="14"/>
      <c r="K11" s="14"/>
      <c r="L11" s="17"/>
      <c r="M11" s="17"/>
      <c r="N11" s="28" t="s">
        <v>23</v>
      </c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9561349.88095238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583387.662337662</v>
      </c>
      <c r="B12" s="14"/>
      <c r="C12" s="14"/>
      <c r="D12" s="14"/>
      <c r="E12" s="14"/>
      <c r="F12" s="14" t="n">
        <v>1.5</v>
      </c>
      <c r="G12" s="14"/>
      <c r="H12" s="14"/>
      <c r="I12" s="14"/>
      <c r="J12" s="14"/>
      <c r="K12" s="14"/>
      <c r="L12" s="17"/>
      <c r="M12" s="29"/>
      <c r="N12" s="28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9561349.88095238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583387.662337662</v>
      </c>
      <c r="B13" s="14"/>
      <c r="C13" s="14"/>
      <c r="D13" s="14"/>
      <c r="E13" s="14"/>
      <c r="F13" s="14" t="n">
        <v>1.5</v>
      </c>
      <c r="G13" s="14"/>
      <c r="H13" s="14"/>
      <c r="I13" s="14"/>
      <c r="J13" s="14"/>
      <c r="K13" s="14"/>
      <c r="L13" s="17"/>
      <c r="M13" s="17"/>
      <c r="N13" s="28" t="s">
        <v>25</v>
      </c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9561349.88095238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1107706.64502165</v>
      </c>
      <c r="B14" s="14"/>
      <c r="C14" s="14"/>
      <c r="D14" s="14" t="n">
        <v>1</v>
      </c>
      <c r="E14" s="14"/>
      <c r="F14" s="14" t="n">
        <v>2</v>
      </c>
      <c r="G14" s="14"/>
      <c r="H14" s="14"/>
      <c r="I14" s="14"/>
      <c r="J14" s="14"/>
      <c r="K14" s="14"/>
      <c r="L14" s="24"/>
      <c r="M14" s="17"/>
      <c r="N14" s="28" t="s">
        <v>26</v>
      </c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9561349.88095238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1081943.29004329</v>
      </c>
      <c r="B15" s="14"/>
      <c r="C15" s="14"/>
      <c r="D15" s="14"/>
      <c r="E15" s="14" t="n">
        <v>1.5</v>
      </c>
      <c r="F15" s="14" t="n">
        <v>1</v>
      </c>
      <c r="G15" s="14"/>
      <c r="H15" s="14"/>
      <c r="I15" s="14"/>
      <c r="J15" s="14"/>
      <c r="K15" s="14"/>
      <c r="L15" s="17"/>
      <c r="M15" s="17"/>
      <c r="N15" s="28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9561349.88095238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7"/>
      <c r="M16" s="27" t="s">
        <v>28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9561349.88095238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1312949.35064935</v>
      </c>
      <c r="B17" s="14"/>
      <c r="C17" s="14"/>
      <c r="D17" s="14"/>
      <c r="E17" s="14" t="n">
        <v>2</v>
      </c>
      <c r="F17" s="14" t="n">
        <v>1</v>
      </c>
      <c r="G17" s="14"/>
      <c r="H17" s="14"/>
      <c r="I17" s="14"/>
      <c r="J17" s="14"/>
      <c r="K17" s="14"/>
      <c r="L17" s="17"/>
      <c r="M17" s="17"/>
      <c r="N17" s="28" t="s">
        <v>29</v>
      </c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9561349.88095238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1543955.41125541</v>
      </c>
      <c r="B18" s="14"/>
      <c r="C18" s="14"/>
      <c r="D18" s="14"/>
      <c r="E18" s="14" t="n">
        <v>2.5</v>
      </c>
      <c r="F18" s="14" t="n">
        <v>1</v>
      </c>
      <c r="G18" s="14"/>
      <c r="H18" s="14"/>
      <c r="I18" s="14"/>
      <c r="J18" s="14"/>
      <c r="K18" s="14"/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9561349.88095238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1107706.64502165</v>
      </c>
      <c r="B19" s="14"/>
      <c r="C19" s="14"/>
      <c r="D19" s="14" t="n">
        <v>1</v>
      </c>
      <c r="E19" s="14"/>
      <c r="F19" s="14" t="n">
        <v>2</v>
      </c>
      <c r="G19" s="14"/>
      <c r="H19" s="14"/>
      <c r="I19" s="14"/>
      <c r="J19" s="14"/>
      <c r="K19" s="14"/>
      <c r="L19" s="24"/>
      <c r="M19" s="17"/>
      <c r="N19" s="28" t="s">
        <v>31</v>
      </c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5</v>
      </c>
      <c r="Y19" s="18" t="n">
        <f aca="false">SUMIF($X$2:$X$120,X19,$A$2:$A$120)</f>
        <v>9561349.88095238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7"/>
      <c r="M20" s="27" t="s">
        <v>32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5</v>
      </c>
      <c r="Y20" s="18" t="n">
        <f aca="false">SUMIF($X$2:$X$120,X20,$A$2:$A$120)</f>
        <v>9561349.88095238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743681.461038961</v>
      </c>
      <c r="B21" s="14"/>
      <c r="C21" s="14"/>
      <c r="D21" s="14"/>
      <c r="E21" s="14"/>
      <c r="F21" s="14" t="n">
        <v>1.5</v>
      </c>
      <c r="G21" s="14" t="n">
        <v>0.5</v>
      </c>
      <c r="H21" s="14"/>
      <c r="I21" s="14"/>
      <c r="J21" s="14"/>
      <c r="K21" s="14"/>
      <c r="L21" s="17"/>
      <c r="M21" s="17"/>
      <c r="N21" s="28" t="s">
        <v>33</v>
      </c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5</v>
      </c>
      <c r="Y21" s="18" t="n">
        <f aca="false">SUMIF($X$2:$X$120,X21,$A$2:$A$120)</f>
        <v>9561349.88095238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0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5</v>
      </c>
      <c r="Y22" s="18" t="n">
        <f aca="false">SUMIF($X$2:$X$120,X22,$A$2:$A$120)</f>
        <v>9561349.88095238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5</v>
      </c>
      <c r="Y23" s="18" t="n">
        <f aca="false">SUMIF($X$2:$X$120,X23,$A$2:$A$120)</f>
        <v>9561349.88095238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7"/>
      <c r="M24" s="30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5</v>
      </c>
      <c r="Y24" s="18" t="n">
        <f aca="false">SUMIF($X$2:$X$120,X24,$A$2:$A$120)</f>
        <v>9561349.88095238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0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24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5</v>
      </c>
      <c r="Y25" s="18" t="n">
        <f aca="false">SUMIF($X$2:$X$120,X25,$A$2:$A$120)</f>
        <v>9561349.88095238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24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5</v>
      </c>
      <c r="Y26" s="18" t="n">
        <f aca="false">SUMIF($X$2:$X$120,X26,$A$2:$A$120)</f>
        <v>9561349.88095238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24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5</v>
      </c>
      <c r="Y27" s="18" t="n">
        <f aca="false">SUMIF($X$2:$X$120,X27,$A$2:$A$120)</f>
        <v>9561349.88095238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4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5</v>
      </c>
      <c r="Y28" s="18" t="n">
        <f aca="false">SUMIF($X$2:$X$120,X28,$A$2:$A$120)</f>
        <v>9561349.88095238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24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5</v>
      </c>
      <c r="Y29" s="18" t="n">
        <f aca="false">SUMIF($X$2:$X$120,X29,$A$2:$A$120)</f>
        <v>9561349.88095238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4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5</v>
      </c>
      <c r="Y30" s="18" t="n">
        <f aca="false">SUMIF($X$2:$X$120,X30,$A$2:$A$120)</f>
        <v>9561349.88095238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4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5</v>
      </c>
      <c r="Y31" s="18" t="n">
        <f aca="false">SUMIF($X$2:$X$120,X31,$A$2:$A$120)</f>
        <v>9561349.88095238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4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5</v>
      </c>
      <c r="Y32" s="18" t="n">
        <f aca="false">SUMIF($X$2:$X$120,X32,$A$2:$A$120)</f>
        <v>9561349.88095238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24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5</v>
      </c>
      <c r="Y33" s="18" t="n">
        <f aca="false">SUMIF($X$2:$X$120,X33,$A$2:$A$120)</f>
        <v>9561349.88095238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4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5</v>
      </c>
      <c r="Y34" s="18" t="n">
        <f aca="false">SUMIF($X$2:$X$120,X34,$A$2:$A$120)</f>
        <v>9561349.88095238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4"/>
      <c r="M35" s="17"/>
      <c r="N35" s="31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5</v>
      </c>
      <c r="Y35" s="18" t="n">
        <f aca="false">SUMIF($X$2:$X$120,X35,$A$2:$A$120)</f>
        <v>9561349.88095238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4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5</v>
      </c>
      <c r="Y36" s="18" t="n">
        <f aca="false">SUMIF($X$2:$X$120,X36,$A$2:$A$120)</f>
        <v>9561349.88095238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5</v>
      </c>
      <c r="Y37" s="18" t="n">
        <f aca="false">SUMIF($X$2:$X$120,X37,$A$2:$A$120)</f>
        <v>9561349.88095238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4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5</v>
      </c>
      <c r="Y38" s="18" t="n">
        <f aca="false">SUMIF($X$2:$X$120,X38,$A$2:$A$120)</f>
        <v>9561349.88095238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2"/>
      <c r="AE38" s="32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24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5</v>
      </c>
      <c r="Y39" s="18" t="n">
        <f aca="false">SUMIF($X$2:$X$120,X39,$A$2:$A$120)</f>
        <v>9561349.88095238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24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5</v>
      </c>
      <c r="Y40" s="18" t="n">
        <f aca="false">SUMIF($X$2:$X$120,X40,$A$2:$A$120)</f>
        <v>9561349.88095238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2"/>
      <c r="AE40" s="32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5</v>
      </c>
      <c r="Y41" s="18" t="n">
        <f aca="false">SUMIF($X$2:$X$120,X41,$A$2:$A$120)</f>
        <v>9561349.88095238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2"/>
      <c r="AE41" s="32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17"/>
      <c r="N42" s="30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5</v>
      </c>
      <c r="Y42" s="18" t="n">
        <f aca="false">SUMIF($X$2:$X$120,X42,$A$2:$A$120)</f>
        <v>9561349.88095238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4"/>
      <c r="M43" s="2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5</v>
      </c>
      <c r="Y43" s="18" t="n">
        <f aca="false">SUMIF($X$2:$X$120,X43,$A$2:$A$120)</f>
        <v>9561349.88095238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5</v>
      </c>
      <c r="Y44" s="18" t="n">
        <f aca="false">SUMIF($X$2:$X$120,X44,$A$2:$A$120)</f>
        <v>9561349.88095238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5</v>
      </c>
      <c r="Y45" s="18" t="n">
        <f aca="false">SUMIF($X$2:$X$120,X45,$A$2:$A$120)</f>
        <v>9561349.88095238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5</v>
      </c>
      <c r="Y46" s="18" t="n">
        <f aca="false">SUMIF($X$2:$X$120,X46,$A$2:$A$120)</f>
        <v>9561349.88095238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5</v>
      </c>
      <c r="Y47" s="18" t="n">
        <f aca="false">SUMIF($X$2:$X$120,X47,$A$2:$A$120)</f>
        <v>9561349.88095238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5</v>
      </c>
      <c r="Y48" s="18" t="n">
        <f aca="false">SUMIF($X$2:$X$120,X48,$A$2:$A$120)</f>
        <v>9561349.88095238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2"/>
      <c r="AE48" s="32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5</v>
      </c>
      <c r="Y49" s="18" t="n">
        <f aca="false">SUMIF($X$2:$X$120,X49,$A$2:$A$120)</f>
        <v>9561349.88095238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2"/>
      <c r="AE49" s="32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5</v>
      </c>
      <c r="Y50" s="18" t="n">
        <f aca="false">SUMIF($X$2:$X$120,X50,$A$2:$A$120)</f>
        <v>9561349.88095238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2"/>
      <c r="AE50" s="32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5</v>
      </c>
      <c r="Y51" s="18" t="n">
        <f aca="false">SUMIF($X$2:$X$120,X51,$A$2:$A$120)</f>
        <v>9561349.88095238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2"/>
      <c r="AE51" s="32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5</v>
      </c>
      <c r="Y52" s="18" t="n">
        <f aca="false">SUMIF($X$2:$X$120,X52,$A$2:$A$120)</f>
        <v>9561349.88095238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2"/>
      <c r="AE52" s="32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5</v>
      </c>
      <c r="Y53" s="18" t="n">
        <f aca="false">SUMIF($X$2:$X$120,X53,$A$2:$A$120)</f>
        <v>9561349.88095238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2"/>
      <c r="AE53" s="32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5</v>
      </c>
      <c r="Y54" s="18" t="n">
        <f aca="false">SUMIF($X$2:$X$120,X54,$A$2:$A$120)</f>
        <v>9561349.88095238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2"/>
      <c r="AE54" s="32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5</v>
      </c>
      <c r="Y55" s="18" t="n">
        <f aca="false">SUMIF($X$2:$X$120,X55,$A$2:$A$120)</f>
        <v>9561349.88095238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2"/>
      <c r="AE55" s="32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5</v>
      </c>
      <c r="Y56" s="18" t="n">
        <f aca="false">SUMIF($X$2:$X$120,X56,$A$2:$A$120)</f>
        <v>9561349.88095238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2"/>
      <c r="AE56" s="32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5</v>
      </c>
      <c r="Y57" s="18" t="n">
        <f aca="false">SUMIF($X$2:$X$120,X57,$A$2:$A$120)</f>
        <v>9561349.88095238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2"/>
      <c r="AE57" s="32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5</v>
      </c>
      <c r="Y58" s="18" t="n">
        <f aca="false">SUMIF($X$2:$X$120,X58,$A$2:$A$120)</f>
        <v>9561349.88095238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2"/>
      <c r="AE58" s="32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5</v>
      </c>
      <c r="Y59" s="18" t="n">
        <f aca="false">SUMIF($X$2:$X$120,X59,$A$2:$A$120)</f>
        <v>9561349.88095238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2"/>
      <c r="AE59" s="32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5</v>
      </c>
      <c r="Y60" s="18" t="n">
        <f aca="false">SUMIF($X$2:$X$120,X60,$A$2:$A$120)</f>
        <v>9561349.88095238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2"/>
      <c r="AE60" s="32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5</v>
      </c>
      <c r="Y61" s="18" t="n">
        <f aca="false">SUMIF($X$2:$X$120,X61,$A$2:$A$120)</f>
        <v>9561349.88095238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2"/>
      <c r="AE61" s="32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5</v>
      </c>
      <c r="Y62" s="18" t="n">
        <f aca="false">SUMIF($X$2:$X$120,X62,$A$2:$A$120)</f>
        <v>9561349.88095238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2"/>
      <c r="AE62" s="32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5</v>
      </c>
      <c r="Y63" s="18" t="n">
        <f aca="false">SUMIF($X$2:$X$120,X63,$A$2:$A$120)</f>
        <v>9561349.88095238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2"/>
      <c r="AE63" s="32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5</v>
      </c>
      <c r="Y64" s="18" t="n">
        <f aca="false">SUMIF($X$2:$X$120,X64,$A$2:$A$120)</f>
        <v>9561349.88095238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5</v>
      </c>
      <c r="Y65" s="18" t="n">
        <f aca="false">SUMIF($X$2:$X$120,X65,$A$2:$A$120)</f>
        <v>9561349.88095238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2"/>
      <c r="AE65" s="32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5</v>
      </c>
      <c r="Y66" s="18" t="n">
        <f aca="false">SUMIF($X$2:$X$120,X66,$A$2:$A$120)</f>
        <v>9561349.88095238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2"/>
      <c r="AE66" s="32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5</v>
      </c>
      <c r="Y67" s="18" t="n">
        <f aca="false">SUMIF($X$2:$X$120,X67,$A$2:$A$120)</f>
        <v>9561349.88095238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2"/>
      <c r="AE67" s="32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5</v>
      </c>
      <c r="Y68" s="18" t="n">
        <f aca="false">SUMIF($X$2:$X$120,X68,$A$2:$A$120)</f>
        <v>9561349.88095238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2"/>
      <c r="AE68" s="32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5</v>
      </c>
      <c r="Y69" s="18" t="n">
        <f aca="false">SUMIF($X$2:$X$120,X69,$A$2:$A$120)</f>
        <v>9561349.88095238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2"/>
      <c r="AE69" s="32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5</v>
      </c>
      <c r="Y70" s="18" t="n">
        <f aca="false">SUMIF($X$2:$X$120,X70,$A$2:$A$120)</f>
        <v>9561349.88095238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2"/>
      <c r="AE70" s="32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5</v>
      </c>
      <c r="Y71" s="18" t="n">
        <f aca="false">SUMIF($X$2:$X$120,X71,$A$2:$A$120)</f>
        <v>9561349.88095238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2"/>
      <c r="AE71" s="32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5</v>
      </c>
      <c r="Y72" s="18" t="n">
        <f aca="false">SUMIF($X$2:$X$120,X72,$A$2:$A$120)</f>
        <v>9561349.88095238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2"/>
      <c r="AE72" s="32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5</v>
      </c>
      <c r="Y73" s="18" t="n">
        <f aca="false">SUMIF($X$2:$X$120,X73,$A$2:$A$120)</f>
        <v>9561349.88095238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2"/>
      <c r="AE73" s="32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5</v>
      </c>
      <c r="Y74" s="18" t="n">
        <f aca="false">SUMIF($X$2:$X$120,X74,$A$2:$A$120)</f>
        <v>9561349.88095238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2"/>
      <c r="AE74" s="32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5</v>
      </c>
      <c r="Y75" s="18" t="n">
        <f aca="false">SUMIF($X$2:$X$120,X75,$A$2:$A$120)</f>
        <v>9561349.88095238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5</v>
      </c>
      <c r="Y76" s="18" t="n">
        <f aca="false">SUMIF($X$2:$X$120,X76,$A$2:$A$120)</f>
        <v>9561349.88095238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5</v>
      </c>
      <c r="Y77" s="18" t="n">
        <f aca="false">SUMIF($X$2:$X$120,X77,$A$2:$A$120)</f>
        <v>9561349.88095238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5</v>
      </c>
      <c r="Y78" s="18" t="n">
        <f aca="false">SUMIF($X$2:$X$120,X78,$A$2:$A$120)</f>
        <v>9561349.88095238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5</v>
      </c>
      <c r="Y79" s="18" t="n">
        <f aca="false">SUMIF($X$2:$X$120,X79,$A$2:$A$120)</f>
        <v>9561349.88095238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5</v>
      </c>
      <c r="Y80" s="18" t="n">
        <f aca="false">SUMIF($X$2:$X$120,X80,$A$2:$A$120)</f>
        <v>9561349.88095238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5</v>
      </c>
      <c r="Y81" s="18" t="n">
        <f aca="false">SUMIF($X$2:$X$120,X81,$A$2:$A$120)</f>
        <v>9561349.88095238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5</v>
      </c>
      <c r="Y82" s="18" t="n">
        <f aca="false">SUMIF($X$2:$X$120,X82,$A$2:$A$120)</f>
        <v>9561349.88095238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5</v>
      </c>
      <c r="Y83" s="18" t="n">
        <f aca="false">SUMIF($X$2:$X$120,X83,$A$2:$A$120)</f>
        <v>9561349.88095238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5</v>
      </c>
      <c r="Y84" s="18" t="n">
        <f aca="false">SUMIF($X$2:$X$120,X84,$A$2:$A$120)</f>
        <v>9561349.88095238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5</v>
      </c>
      <c r="Y85" s="18" t="n">
        <f aca="false">SUMIF($X$2:$X$120,X85,$A$2:$A$120)</f>
        <v>9561349.88095238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2"/>
      <c r="AE85" s="32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5</v>
      </c>
      <c r="Y86" s="18" t="n">
        <f aca="false">SUMIF($X$2:$X$120,X86,$A$2:$A$120)</f>
        <v>9561349.88095238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2"/>
      <c r="AE86" s="32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5</v>
      </c>
      <c r="Y87" s="18" t="n">
        <f aca="false">SUMIF($X$2:$X$120,X87,$A$2:$A$120)</f>
        <v>9561349.88095238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2"/>
      <c r="AE87" s="32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5</v>
      </c>
      <c r="Y88" s="18" t="n">
        <f aca="false">SUMIF($X$2:$X$120,X88,$A$2:$A$120)</f>
        <v>9561349.88095238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2"/>
      <c r="AE88" s="32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5</v>
      </c>
      <c r="Y89" s="18" t="n">
        <f aca="false">SUMIF($X$2:$X$120,X89,$A$2:$A$120)</f>
        <v>9561349.88095238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2"/>
      <c r="AE89" s="32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5</v>
      </c>
      <c r="Y90" s="18" t="n">
        <f aca="false">SUMIF($X$2:$X$120,X90,$A$2:$A$120)</f>
        <v>9561349.88095238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2"/>
      <c r="AE90" s="32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5</v>
      </c>
      <c r="Y91" s="18" t="n">
        <f aca="false">SUMIF($X$2:$X$120,X91,$A$2:$A$120)</f>
        <v>9561349.88095238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2"/>
      <c r="AE91" s="32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5</v>
      </c>
      <c r="Y92" s="18" t="n">
        <f aca="false">SUMIF($X$2:$X$120,X92,$A$2:$A$120)</f>
        <v>9561349.88095238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2"/>
      <c r="AE92" s="32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5</v>
      </c>
      <c r="Y93" s="18" t="n">
        <f aca="false">SUMIF($X$2:$X$120,X93,$A$2:$A$120)</f>
        <v>9561349.88095238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2"/>
      <c r="AE93" s="32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5</v>
      </c>
      <c r="Y94" s="18" t="n">
        <f aca="false">SUMIF($X$2:$X$120,X94,$A$2:$A$120)</f>
        <v>9561349.88095238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2"/>
      <c r="AE94" s="32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5</v>
      </c>
      <c r="Y95" s="18" t="n">
        <f aca="false">SUMIF($X$2:$X$120,X95,$A$2:$A$120)</f>
        <v>9561349.88095238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2"/>
      <c r="AE95" s="32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5</v>
      </c>
      <c r="Y96" s="18" t="n">
        <f aca="false">SUMIF($X$2:$X$120,X96,$A$2:$A$120)</f>
        <v>9561349.88095238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2"/>
      <c r="AE96" s="32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5</v>
      </c>
      <c r="Y97" s="18" t="n">
        <f aca="false">SUMIF($X$2:$X$120,X97,$A$2:$A$120)</f>
        <v>9561349.88095238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2"/>
      <c r="AE97" s="32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5</v>
      </c>
      <c r="Y98" s="18" t="n">
        <f aca="false">SUMIF($X$2:$X$120,X98,$A$2:$A$120)</f>
        <v>9561349.88095238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2"/>
      <c r="AE98" s="32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5</v>
      </c>
      <c r="Y99" s="18" t="n">
        <f aca="false">SUMIF($X$2:$X$120,X99,$A$2:$A$120)</f>
        <v>9561349.88095238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2"/>
      <c r="AE99" s="32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5</v>
      </c>
      <c r="Y100" s="18" t="n">
        <f aca="false">SUMIF($X$2:$X$120,X100,$A$2:$A$120)</f>
        <v>9561349.88095238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2"/>
      <c r="AE100" s="32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5</v>
      </c>
      <c r="Y101" s="18" t="n">
        <f aca="false">SUMIF($X$2:$X$120,X101,$A$2:$A$120)</f>
        <v>9561349.88095238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5</v>
      </c>
      <c r="Y102" s="18" t="n">
        <f aca="false">SUMIF($X$2:$X$120,X102,$A$2:$A$120)</f>
        <v>9561349.88095238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5</v>
      </c>
      <c r="Y103" s="18" t="n">
        <f aca="false">SUMIF($X$2:$X$120,X103,$A$2:$A$120)</f>
        <v>9561349.88095238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2"/>
      <c r="AE103" s="32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5</v>
      </c>
      <c r="Y104" s="18" t="n">
        <f aca="false">SUMIF($X$2:$X$120,X104,$A$2:$A$120)</f>
        <v>9561349.88095238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2"/>
      <c r="AE104" s="32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5</v>
      </c>
      <c r="Y105" s="18" t="n">
        <f aca="false">SUMIF($X$2:$X$120,X105,$A$2:$A$120)</f>
        <v>9561349.88095238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2"/>
      <c r="AE105" s="32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5</v>
      </c>
      <c r="Y106" s="18" t="n">
        <f aca="false">SUMIF($X$2:$X$120,X106,$A$2:$A$120)</f>
        <v>9561349.88095238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2"/>
      <c r="AE106" s="32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5</v>
      </c>
      <c r="Y107" s="18" t="n">
        <f aca="false">SUMIF($X$2:$X$120,X107,$A$2:$A$120)</f>
        <v>9561349.88095238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5</v>
      </c>
      <c r="Y108" s="18" t="n">
        <f aca="false">SUMIF($X$2:$X$120,X108,$A$2:$A$120)</f>
        <v>9561349.88095238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5</v>
      </c>
      <c r="Y109" s="18" t="n">
        <f aca="false">SUMIF($X$2:$X$120,X109,$A$2:$A$120)</f>
        <v>9561349.88095238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5</v>
      </c>
      <c r="Y110" s="18" t="n">
        <f aca="false">SUMIF($X$2:$X$120,X110,$A$2:$A$120)</f>
        <v>9561349.88095238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5</v>
      </c>
      <c r="Y111" s="18" t="n">
        <f aca="false">SUMIF($X$2:$X$120,X111,$A$2:$A$120)</f>
        <v>9561349.88095238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5</v>
      </c>
      <c r="Y112" s="18" t="n">
        <f aca="false">SUMIF($X$2:$X$120,X112,$A$2:$A$120)</f>
        <v>9561349.88095238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5</v>
      </c>
      <c r="Y113" s="18" t="n">
        <f aca="false">SUMIF($X$2:$X$120,X113,$A$2:$A$120)</f>
        <v>9561349.88095238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5</v>
      </c>
      <c r="Y114" s="18" t="n">
        <f aca="false">SUMIF($X$2:$X$120,X114,$A$2:$A$120)</f>
        <v>9561349.88095238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5</v>
      </c>
      <c r="Y115" s="18" t="n">
        <f aca="false">SUMIF($X$2:$X$120,X115,$A$2:$A$120)</f>
        <v>9561349.88095238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5</v>
      </c>
      <c r="Y116" s="18" t="n">
        <f aca="false">SUMIF($X$2:$X$120,X116,$A$2:$A$120)</f>
        <v>9561349.88095238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5</v>
      </c>
      <c r="Y117" s="18" t="n">
        <f aca="false">SUMIF($X$2:$X$120,X117,$A$2:$A$120)</f>
        <v>9561349.88095238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5</v>
      </c>
      <c r="Y118" s="18" t="n">
        <f aca="false">SUMIF($X$2:$X$120,X118,$A$2:$A$120)</f>
        <v>9561349.88095238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5</v>
      </c>
      <c r="Y119" s="18" t="n">
        <f aca="false">SUMIF($X$2:$X$120,X119,$A$2:$A$120)</f>
        <v>9561349.88095238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4"/>
      <c r="M120" s="34"/>
      <c r="N120" s="35"/>
      <c r="O120" s="35" t="s">
        <v>34</v>
      </c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14"/>
      <c r="AE120" s="14"/>
    </row>
    <row r="121" customFormat="false" ht="15" hidden="false" customHeight="true" outlineLevel="0" collapsed="false">
      <c r="A121" s="36" t="n">
        <f aca="false">ROW()</f>
        <v>121</v>
      </c>
      <c r="B121" s="14" t="n">
        <f aca="false">SUM(B2:B120)</f>
        <v>3.5</v>
      </c>
      <c r="C121" s="14" t="n">
        <f aca="false">SUM(C2:C120)</f>
        <v>2</v>
      </c>
      <c r="D121" s="14" t="n">
        <f aca="false">SUM(D2:D120)</f>
        <v>3</v>
      </c>
      <c r="E121" s="14" t="n">
        <f aca="false">SUM(E2:E120)</f>
        <v>6</v>
      </c>
      <c r="F121" s="14" t="n">
        <f aca="false">SUM(F2:F120)</f>
        <v>14.5</v>
      </c>
      <c r="G121" s="14" t="n">
        <f aca="false">SUM(G2:G120)</f>
        <v>0.5</v>
      </c>
      <c r="H121" s="14" t="n">
        <f aca="false">SUM(H2:H120)</f>
        <v>2.5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1.5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37"/>
      <c r="AD121" s="14"/>
      <c r="AE121" s="14"/>
    </row>
    <row r="122" customFormat="false" ht="12.75" hidden="false" customHeight="true" outlineLevel="0" collapsed="false">
      <c r="A122" s="14"/>
      <c r="B122" s="14"/>
      <c r="C122" s="38"/>
      <c r="D122" s="38"/>
      <c r="E122" s="38"/>
      <c r="F122" s="38"/>
      <c r="G122" s="38"/>
      <c r="H122" s="38"/>
      <c r="I122" s="39" t="s">
        <v>35</v>
      </c>
      <c r="J122" s="39"/>
      <c r="K122" s="39"/>
      <c r="L122" s="39"/>
      <c r="M122" s="40" t="n">
        <f aca="false">400000+120000</f>
        <v>520000</v>
      </c>
      <c r="N122" s="40"/>
      <c r="O122" s="40"/>
      <c r="P122" s="14"/>
      <c r="Q122" s="14"/>
      <c r="R122" s="14"/>
      <c r="S122" s="38"/>
      <c r="T122" s="38"/>
      <c r="U122" s="38"/>
      <c r="V122" s="14"/>
      <c r="W122" s="14"/>
      <c r="X122" s="14"/>
      <c r="Y122" s="14" t="n">
        <f aca="false">Y1/0.6</f>
        <v>22772909.6861472</v>
      </c>
      <c r="Z122" s="14"/>
      <c r="AA122" s="14"/>
      <c r="AB122" s="14"/>
      <c r="AC122" s="37"/>
      <c r="AD122" s="14"/>
      <c r="AE122" s="14"/>
    </row>
    <row r="123" customFormat="false" ht="15" hidden="false" customHeight="true" outlineLevel="0" collapsed="false">
      <c r="A123" s="14"/>
      <c r="B123" s="14"/>
      <c r="C123" s="38"/>
      <c r="D123" s="41" t="s">
        <v>36</v>
      </c>
      <c r="E123" s="42" t="n">
        <v>1750905</v>
      </c>
      <c r="F123" s="43" t="s">
        <v>37</v>
      </c>
      <c r="G123" s="44" t="n">
        <v>249095</v>
      </c>
      <c r="H123" s="38"/>
      <c r="I123" s="45" t="s">
        <v>38</v>
      </c>
      <c r="J123" s="46" t="n">
        <v>0.18</v>
      </c>
      <c r="K123" s="46"/>
      <c r="L123" s="47" t="s">
        <v>39</v>
      </c>
      <c r="M123" s="48" t="n">
        <f aca="false">2.7/12</f>
        <v>0.225</v>
      </c>
      <c r="N123" s="49" t="s">
        <v>40</v>
      </c>
      <c r="O123" s="50" t="n">
        <f aca="false">40*4.2*((244-2)/260)</f>
        <v>156.369230769231</v>
      </c>
      <c r="P123" s="38"/>
      <c r="Q123" s="45" t="s">
        <v>41</v>
      </c>
      <c r="R123" s="51" t="n">
        <v>0.1</v>
      </c>
      <c r="S123" s="38"/>
      <c r="T123" s="52" t="n">
        <v>8</v>
      </c>
      <c r="U123" s="53" t="s">
        <v>42</v>
      </c>
      <c r="V123" s="54"/>
      <c r="W123" s="14"/>
      <c r="X123" s="14"/>
      <c r="Y123" s="14"/>
      <c r="Z123" s="14"/>
      <c r="AA123" s="14"/>
      <c r="AB123" s="14"/>
      <c r="AC123" s="37"/>
      <c r="AD123" s="14"/>
      <c r="AE123" s="14"/>
    </row>
    <row r="124" customFormat="false" ht="12.75" hidden="false" customHeight="true" outlineLevel="0" collapsed="false">
      <c r="A124" s="14"/>
      <c r="B124" s="14"/>
      <c r="C124" s="55" t="s">
        <v>43</v>
      </c>
      <c r="D124" s="55"/>
      <c r="E124" s="55"/>
      <c r="F124" s="55" t="s">
        <v>44</v>
      </c>
      <c r="G124" s="55"/>
      <c r="H124" s="55"/>
      <c r="I124" s="55" t="s">
        <v>45</v>
      </c>
      <c r="J124" s="55"/>
      <c r="K124" s="55"/>
      <c r="L124" s="55"/>
      <c r="M124" s="55" t="s">
        <v>46</v>
      </c>
      <c r="N124" s="55"/>
      <c r="O124" s="55"/>
      <c r="P124" s="55" t="s">
        <v>47</v>
      </c>
      <c r="Q124" s="55"/>
      <c r="R124" s="55"/>
      <c r="S124" s="38"/>
      <c r="T124" s="38"/>
      <c r="U124" s="56" t="s">
        <v>40</v>
      </c>
      <c r="V124" s="55" t="s">
        <v>48</v>
      </c>
      <c r="W124" s="55"/>
      <c r="X124" s="55"/>
      <c r="Y124" s="14"/>
      <c r="Z124" s="14"/>
      <c r="AA124" s="14"/>
      <c r="AB124" s="14"/>
      <c r="AC124" s="37"/>
      <c r="AD124" s="14"/>
      <c r="AE124" s="14"/>
    </row>
    <row r="125" customFormat="false" ht="12.75" hidden="false" customHeight="true" outlineLevel="0" collapsed="false">
      <c r="A125" s="26" t="s">
        <v>49</v>
      </c>
      <c r="B125" s="56" t="str">
        <f aca="false">B1</f>
        <v>DB</v>
      </c>
      <c r="C125" s="57" t="n">
        <v>6480000</v>
      </c>
      <c r="D125" s="57"/>
      <c r="E125" s="57"/>
      <c r="F125" s="57" t="n">
        <v>1080000</v>
      </c>
      <c r="G125" s="57"/>
      <c r="H125" s="57"/>
      <c r="I125" s="57" t="n">
        <v>0</v>
      </c>
      <c r="J125" s="57"/>
      <c r="K125" s="57"/>
      <c r="L125" s="57"/>
      <c r="M125" s="57" t="n">
        <f aca="false">C125*(1+$J$123+$M$123)+F125+I125+$M$122+IF(($E$123*2)&gt;=C125,$G$123,0)</f>
        <v>10704400</v>
      </c>
      <c r="N125" s="57"/>
      <c r="O125" s="57"/>
      <c r="P125" s="58" t="n">
        <f aca="false">M125/$O$123*(1+$R$123)</f>
        <v>75301.5151515152</v>
      </c>
      <c r="Q125" s="58"/>
      <c r="R125" s="58"/>
      <c r="S125" s="38"/>
      <c r="T125" s="38"/>
      <c r="U125" s="14" t="n">
        <f aca="false">HLOOKUP(B125,$B$1:$K$121,$A$121,0)*$T$123</f>
        <v>28</v>
      </c>
      <c r="W125" s="59" t="n">
        <f aca="false">P125*U125</f>
        <v>2108442.42424243</v>
      </c>
      <c r="Y125" s="14"/>
      <c r="Z125" s="14"/>
      <c r="AA125" s="14"/>
      <c r="AB125" s="14"/>
      <c r="AC125" s="37"/>
      <c r="AD125" s="14"/>
      <c r="AE125" s="14"/>
    </row>
    <row r="126" customFormat="false" ht="12.75" hidden="false" customHeight="true" outlineLevel="0" collapsed="false">
      <c r="A126" s="26" t="s">
        <v>50</v>
      </c>
      <c r="B126" s="56" t="str">
        <f aca="false">C1</f>
        <v>UX</v>
      </c>
      <c r="C126" s="57" t="n">
        <v>3240000</v>
      </c>
      <c r="D126" s="57"/>
      <c r="E126" s="57"/>
      <c r="F126" s="57" t="n">
        <v>540000</v>
      </c>
      <c r="G126" s="57"/>
      <c r="H126" s="57"/>
      <c r="I126" s="57" t="n">
        <v>0</v>
      </c>
      <c r="J126" s="57"/>
      <c r="K126" s="57"/>
      <c r="L126" s="57"/>
      <c r="M126" s="57" t="n">
        <f aca="false">C126*(1+$J$123+$M$123)+F126+I126+$M$122+IF(($E$123*2)&gt;=C126,$G$123,0)</f>
        <v>5861295</v>
      </c>
      <c r="N126" s="57"/>
      <c r="O126" s="57"/>
      <c r="P126" s="58" t="n">
        <f aca="false">M126/$O$123*(1+$R$123)</f>
        <v>41232.0535714286</v>
      </c>
      <c r="Q126" s="58"/>
      <c r="R126" s="58"/>
      <c r="S126" s="38"/>
      <c r="T126" s="38"/>
      <c r="U126" s="14" t="n">
        <f aca="false">HLOOKUP(B126,$B$1:$K$121,$A$121,0)*$T$123</f>
        <v>16</v>
      </c>
      <c r="W126" s="59" t="n">
        <f aca="false">P126*U126</f>
        <v>659712.857142857</v>
      </c>
      <c r="Y126" s="14"/>
      <c r="Z126" s="14"/>
      <c r="AA126" s="14"/>
      <c r="AB126" s="14"/>
      <c r="AC126" s="37"/>
      <c r="AD126" s="14"/>
      <c r="AE126" s="14"/>
    </row>
    <row r="127" customFormat="false" ht="12.75" hidden="false" customHeight="true" outlineLevel="0" collapsed="false">
      <c r="A127" s="26" t="s">
        <v>51</v>
      </c>
      <c r="B127" s="56" t="str">
        <f aca="false">D1</f>
        <v>FM</v>
      </c>
      <c r="C127" s="57" t="n">
        <v>3240000</v>
      </c>
      <c r="D127" s="57"/>
      <c r="E127" s="57"/>
      <c r="F127" s="57" t="n">
        <v>540000</v>
      </c>
      <c r="G127" s="57"/>
      <c r="H127" s="57"/>
      <c r="I127" s="57" t="n">
        <v>0</v>
      </c>
      <c r="J127" s="57"/>
      <c r="K127" s="57"/>
      <c r="L127" s="57"/>
      <c r="M127" s="57" t="n">
        <f aca="false">C127*(1+$J$123+$M$123)+F127+I127+$M$122+IF(($E$123*2)&gt;=C127,$G$123,0)</f>
        <v>5861295</v>
      </c>
      <c r="N127" s="57"/>
      <c r="O127" s="57"/>
      <c r="P127" s="58" t="n">
        <f aca="false">M127/$O$123*(1+$R$123)</f>
        <v>41232.0535714286</v>
      </c>
      <c r="Q127" s="58"/>
      <c r="R127" s="58"/>
      <c r="S127" s="38"/>
      <c r="T127" s="38"/>
      <c r="U127" s="14" t="n">
        <f aca="false">HLOOKUP(B127,$B$1:$K$121,$A$121,0)*$T$123</f>
        <v>24</v>
      </c>
      <c r="W127" s="59" t="n">
        <f aca="false">P127*U127</f>
        <v>989569.285714286</v>
      </c>
      <c r="Y127" s="14"/>
      <c r="Z127" s="14"/>
      <c r="AA127" s="14"/>
      <c r="AB127" s="14"/>
      <c r="AC127" s="37"/>
      <c r="AD127" s="14"/>
      <c r="AE127" s="14"/>
    </row>
    <row r="128" customFormat="false" ht="12.75" hidden="false" customHeight="true" outlineLevel="0" collapsed="false">
      <c r="A128" s="26" t="s">
        <v>52</v>
      </c>
      <c r="B128" s="56" t="str">
        <f aca="false">E1</f>
        <v>BS</v>
      </c>
      <c r="C128" s="57" t="n">
        <v>4320000</v>
      </c>
      <c r="D128" s="57"/>
      <c r="E128" s="57"/>
      <c r="F128" s="57" t="n">
        <v>1620000</v>
      </c>
      <c r="G128" s="57"/>
      <c r="H128" s="57"/>
      <c r="I128" s="57" t="n">
        <v>0</v>
      </c>
      <c r="J128" s="57"/>
      <c r="K128" s="57"/>
      <c r="L128" s="57"/>
      <c r="M128" s="57" t="n">
        <f aca="false">C128*(1+$J$123+$M$123)+F128+I128+$M$122+IF(($E$123*2)&gt;=C128,$G$123,0)</f>
        <v>8209600</v>
      </c>
      <c r="N128" s="57"/>
      <c r="O128" s="57"/>
      <c r="P128" s="58" t="n">
        <f aca="false">M128/$O$123*(1+$R$123)</f>
        <v>57751.5151515152</v>
      </c>
      <c r="Q128" s="58"/>
      <c r="R128" s="58"/>
      <c r="S128" s="38"/>
      <c r="T128" s="38"/>
      <c r="U128" s="14" t="n">
        <f aca="false">HLOOKUP(B128,$B$1:$K$121,$A$121,0)*$T$123</f>
        <v>48</v>
      </c>
      <c r="W128" s="59" t="n">
        <f aca="false">P128*U128</f>
        <v>2772072.72727273</v>
      </c>
      <c r="Y128" s="14"/>
      <c r="Z128" s="14"/>
      <c r="AA128" s="14"/>
      <c r="AB128" s="14"/>
      <c r="AC128" s="37"/>
      <c r="AD128" s="14"/>
      <c r="AE128" s="14"/>
    </row>
    <row r="129" customFormat="false" ht="12.75" hidden="false" customHeight="true" outlineLevel="0" collapsed="false">
      <c r="A129" s="26" t="s">
        <v>53</v>
      </c>
      <c r="B129" s="56" t="str">
        <f aca="false">F1</f>
        <v>BM</v>
      </c>
      <c r="C129" s="57" t="n">
        <v>3780000</v>
      </c>
      <c r="D129" s="57"/>
      <c r="E129" s="57"/>
      <c r="F129" s="57" t="n">
        <v>1080000</v>
      </c>
      <c r="G129" s="57"/>
      <c r="H129" s="57"/>
      <c r="I129" s="57" t="n">
        <v>0</v>
      </c>
      <c r="J129" s="57"/>
      <c r="K129" s="57"/>
      <c r="L129" s="57"/>
      <c r="M129" s="57" t="n">
        <f aca="false">C129*(1+$J$123+$M$123)+F129+I129+$M$122+IF(($E$123*2)&gt;=C129,$G$123,0)</f>
        <v>6910900</v>
      </c>
      <c r="N129" s="57"/>
      <c r="O129" s="57"/>
      <c r="P129" s="58" t="n">
        <f aca="false">M129/$O$123*(1+$R$123)</f>
        <v>48615.6385281385</v>
      </c>
      <c r="Q129" s="58"/>
      <c r="R129" s="58"/>
      <c r="S129" s="38"/>
      <c r="T129" s="38"/>
      <c r="U129" s="14" t="n">
        <f aca="false">HLOOKUP(B129,$B$1:$K$121,$A$121,0)*$T$123</f>
        <v>116</v>
      </c>
      <c r="W129" s="59" t="n">
        <f aca="false">P129*U129</f>
        <v>5639414.06926407</v>
      </c>
      <c r="Y129" s="14"/>
      <c r="Z129" s="14"/>
      <c r="AA129" s="14"/>
      <c r="AB129" s="14"/>
      <c r="AC129" s="37"/>
      <c r="AD129" s="14"/>
      <c r="AE129" s="14"/>
    </row>
    <row r="130" customFormat="false" ht="12.75" hidden="false" customHeight="true" outlineLevel="0" collapsed="false">
      <c r="A130" s="26" t="s">
        <v>54</v>
      </c>
      <c r="B130" s="56" t="str">
        <f aca="false">G1</f>
        <v>QA</v>
      </c>
      <c r="C130" s="57" t="n">
        <v>2700000</v>
      </c>
      <c r="D130" s="57"/>
      <c r="E130" s="57"/>
      <c r="F130" s="57" t="n">
        <v>1080000</v>
      </c>
      <c r="G130" s="57"/>
      <c r="H130" s="57"/>
      <c r="I130" s="57" t="n">
        <v>54000</v>
      </c>
      <c r="J130" s="57"/>
      <c r="K130" s="57"/>
      <c r="L130" s="57"/>
      <c r="M130" s="57" t="n">
        <f aca="false">C130*(1+$J$123+$M$123)+F130+I130+$M$122+IF(($E$123*2)&gt;=C130,$G$123,0)</f>
        <v>5696595</v>
      </c>
      <c r="N130" s="57"/>
      <c r="O130" s="57"/>
      <c r="P130" s="58" t="n">
        <f aca="false">M130/$O$123*(1+$R$123)</f>
        <v>40073.4496753247</v>
      </c>
      <c r="Q130" s="58"/>
      <c r="R130" s="58"/>
      <c r="S130" s="38"/>
      <c r="T130" s="38"/>
      <c r="U130" s="14" t="n">
        <f aca="false">HLOOKUP(B130,$B$1:$K$121,$A$121,0)*$T$123</f>
        <v>4</v>
      </c>
      <c r="W130" s="59" t="n">
        <f aca="false">P130*U130</f>
        <v>160293.798701299</v>
      </c>
      <c r="Y130" s="14"/>
      <c r="Z130" s="14"/>
      <c r="AA130" s="14"/>
      <c r="AB130" s="14"/>
      <c r="AC130" s="37"/>
      <c r="AD130" s="14"/>
      <c r="AE130" s="14"/>
    </row>
    <row r="131" customFormat="false" ht="12.75" hidden="false" customHeight="true" outlineLevel="0" collapsed="false">
      <c r="A131" s="26" t="s">
        <v>55</v>
      </c>
      <c r="B131" s="56" t="str">
        <f aca="false">H1</f>
        <v>IM</v>
      </c>
      <c r="C131" s="57" t="n">
        <v>2700000</v>
      </c>
      <c r="D131" s="57"/>
      <c r="E131" s="57"/>
      <c r="F131" s="57" t="n">
        <v>1080000</v>
      </c>
      <c r="G131" s="57"/>
      <c r="H131" s="57"/>
      <c r="I131" s="57" t="n">
        <v>0</v>
      </c>
      <c r="J131" s="57"/>
      <c r="K131" s="57"/>
      <c r="L131" s="57"/>
      <c r="M131" s="57" t="n">
        <f aca="false">C131*(1+$J$123+$M$123)+F131+I131+$M$122+IF(($E$123*2)&gt;=C131,$G$123,0)</f>
        <v>5642595</v>
      </c>
      <c r="N131" s="57"/>
      <c r="O131" s="57"/>
      <c r="P131" s="58" t="n">
        <f aca="false">M131/$O$123*(1+$R$123)</f>
        <v>39693.5795454546</v>
      </c>
      <c r="Q131" s="58"/>
      <c r="R131" s="58"/>
      <c r="S131" s="38"/>
      <c r="T131" s="38"/>
      <c r="U131" s="14" t="n">
        <f aca="false">HLOOKUP(B131,$B$1:$K$121,$A$121,0)*$T$123</f>
        <v>20</v>
      </c>
      <c r="W131" s="59" t="n">
        <f aca="false">P131*U131</f>
        <v>793871.590909091</v>
      </c>
      <c r="Y131" s="14"/>
      <c r="Z131" s="14"/>
      <c r="AA131" s="14"/>
      <c r="AB131" s="14"/>
      <c r="AC131" s="37"/>
      <c r="AD131" s="14"/>
      <c r="AE131" s="14"/>
    </row>
    <row r="132" customFormat="false" ht="12.75" hidden="false" customHeight="true" outlineLevel="0" collapsed="false">
      <c r="A132" s="26" t="s">
        <v>56</v>
      </c>
      <c r="B132" s="56" t="str">
        <f aca="false">I1</f>
        <v>MS</v>
      </c>
      <c r="C132" s="57" t="n">
        <v>8100000</v>
      </c>
      <c r="D132" s="57"/>
      <c r="E132" s="57"/>
      <c r="F132" s="57" t="n">
        <v>2160000</v>
      </c>
      <c r="G132" s="57"/>
      <c r="H132" s="57"/>
      <c r="I132" s="57" t="n">
        <v>132000</v>
      </c>
      <c r="J132" s="57"/>
      <c r="K132" s="57"/>
      <c r="L132" s="57"/>
      <c r="M132" s="57" t="n">
        <f aca="false">C132*(1+$J$123+$M$123)+F132+I132+$M$122+IF(($E$123*2)&gt;=C132,$G$123,0)</f>
        <v>14192500</v>
      </c>
      <c r="N132" s="57"/>
      <c r="O132" s="57"/>
      <c r="P132" s="58" t="n">
        <f aca="false">M132/$O$123*(1+$R$123)</f>
        <v>99839.0151515152</v>
      </c>
      <c r="Q132" s="58"/>
      <c r="R132" s="58"/>
      <c r="S132" s="38"/>
      <c r="T132" s="38"/>
      <c r="U132" s="14" t="n">
        <f aca="false">HLOOKUP(B132,$B$1:$K$121,$A$121,0)*$T$123</f>
        <v>0</v>
      </c>
      <c r="W132" s="59" t="n">
        <f aca="false">P132*U132</f>
        <v>0</v>
      </c>
      <c r="Y132" s="14"/>
      <c r="Z132" s="14"/>
      <c r="AA132" s="14"/>
      <c r="AB132" s="14"/>
      <c r="AC132" s="37"/>
      <c r="AD132" s="14"/>
      <c r="AE132" s="14"/>
    </row>
    <row r="133" customFormat="false" ht="12.75" hidden="false" customHeight="true" outlineLevel="0" collapsed="false">
      <c r="A133" s="26" t="s">
        <v>57</v>
      </c>
      <c r="B133" s="56" t="str">
        <f aca="false">J1</f>
        <v>MM</v>
      </c>
      <c r="C133" s="57" t="n">
        <v>3240000</v>
      </c>
      <c r="D133" s="57"/>
      <c r="E133" s="57"/>
      <c r="F133" s="57" t="n">
        <v>1080000</v>
      </c>
      <c r="G133" s="57"/>
      <c r="H133" s="57"/>
      <c r="I133" s="57" t="n">
        <v>132000</v>
      </c>
      <c r="J133" s="57"/>
      <c r="K133" s="57"/>
      <c r="L133" s="57"/>
      <c r="M133" s="57" t="n">
        <f aca="false">C133*(1+$J$123+$M$123)+F133+I133+$M$122+IF(($E$123*2)&gt;=C133,$G$123,0)</f>
        <v>6533295</v>
      </c>
      <c r="N133" s="57"/>
      <c r="O133" s="57"/>
      <c r="P133" s="58" t="n">
        <f aca="false">M133/$O$123*(1+$R$123)</f>
        <v>45959.3262987013</v>
      </c>
      <c r="Q133" s="58"/>
      <c r="R133" s="58"/>
      <c r="S133" s="38"/>
      <c r="T133" s="38"/>
      <c r="U133" s="14" t="n">
        <f aca="false">HLOOKUP(B133,$B$1:$K$121,$A$121,0)*$T$123</f>
        <v>0</v>
      </c>
      <c r="W133" s="59" t="n">
        <f aca="false">P133*U133</f>
        <v>0</v>
      </c>
      <c r="Y133" s="14"/>
      <c r="Z133" s="14"/>
      <c r="AA133" s="14"/>
      <c r="AB133" s="14"/>
      <c r="AC133" s="37"/>
      <c r="AD133" s="14"/>
      <c r="AE133" s="14"/>
    </row>
    <row r="134" customFormat="false" ht="12.75" hidden="false" customHeight="true" outlineLevel="0" collapsed="false">
      <c r="A134" s="26" t="s">
        <v>58</v>
      </c>
      <c r="B134" s="56" t="s">
        <v>10</v>
      </c>
      <c r="C134" s="57" t="n">
        <v>3240000</v>
      </c>
      <c r="D134" s="57"/>
      <c r="E134" s="57"/>
      <c r="F134" s="57" t="n">
        <v>1080000</v>
      </c>
      <c r="G134" s="57"/>
      <c r="H134" s="57"/>
      <c r="I134" s="57"/>
      <c r="J134" s="57"/>
      <c r="K134" s="57"/>
      <c r="L134" s="57"/>
      <c r="M134" s="57" t="n">
        <f aca="false">C134*(1+$J$123+$M$123)+F134+I134+$M$122+IF(($E$123*2)&gt;=C134,$G$123,0)</f>
        <v>6401295</v>
      </c>
      <c r="N134" s="57"/>
      <c r="O134" s="57"/>
      <c r="P134" s="58" t="n">
        <f aca="false">M134/$O$123*(1+$R$123)</f>
        <v>45030.7548701299</v>
      </c>
      <c r="Q134" s="58"/>
      <c r="R134" s="58"/>
      <c r="S134" s="38"/>
      <c r="T134" s="38"/>
      <c r="U134" s="14" t="n">
        <f aca="false">HLOOKUP(B134,$B$1:$K$121,$A$121,0)*$T$123</f>
        <v>12</v>
      </c>
      <c r="W134" s="59" t="n">
        <f aca="false">P134*U134</f>
        <v>540369.058441559</v>
      </c>
      <c r="Y134" s="14"/>
      <c r="Z134" s="14"/>
      <c r="AA134" s="14"/>
      <c r="AB134" s="14"/>
      <c r="AC134" s="37"/>
      <c r="AD134" s="14"/>
      <c r="AE134" s="14"/>
    </row>
    <row r="135" customFormat="false" ht="12.75" hidden="false" customHeight="true" outlineLevel="0" collapsed="false">
      <c r="A135" s="26"/>
      <c r="B135" s="56"/>
      <c r="C135" s="38"/>
      <c r="D135" s="38"/>
      <c r="E135" s="38"/>
      <c r="F135" s="38"/>
      <c r="G135" s="38"/>
      <c r="H135" s="38"/>
      <c r="I135" s="14"/>
      <c r="J135" s="14"/>
      <c r="K135" s="14"/>
      <c r="L135" s="14"/>
      <c r="M135" s="14"/>
      <c r="N135" s="14"/>
      <c r="O135" s="14"/>
      <c r="P135" s="60" t="n">
        <f aca="false">SUM(P125:P134)</f>
        <v>534728.901515152</v>
      </c>
      <c r="Q135" s="60"/>
      <c r="R135" s="60"/>
      <c r="S135" s="38"/>
      <c r="T135" s="38"/>
      <c r="U135" s="38"/>
      <c r="W135" s="61" t="n">
        <f aca="false">SUM(W125:W134)</f>
        <v>13663745.8116883</v>
      </c>
      <c r="Y135" s="14"/>
      <c r="Z135" s="14"/>
      <c r="AA135" s="14"/>
      <c r="AB135" s="14"/>
      <c r="AC135" s="37"/>
      <c r="AD135" s="14"/>
      <c r="AE135" s="14"/>
    </row>
    <row r="136" customFormat="false" ht="12.75" hidden="false" customHeight="true" outlineLevel="0" collapsed="false">
      <c r="A136" s="14"/>
      <c r="B136" s="14"/>
      <c r="C136" s="62"/>
      <c r="D136" s="62"/>
      <c r="E136" s="14"/>
      <c r="F136" s="14"/>
      <c r="G136" s="14"/>
      <c r="H136" s="38"/>
      <c r="I136" s="14"/>
      <c r="J136" s="14"/>
      <c r="K136" s="14"/>
      <c r="L136" s="38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37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37"/>
      <c r="AD137" s="14"/>
      <c r="AE137" s="14"/>
    </row>
    <row r="138" customFormat="false" ht="12.75" hidden="false" customHeight="true" outlineLevel="0" collapsed="false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4"/>
      <c r="AD138" s="63"/>
      <c r="AE138" s="63"/>
    </row>
    <row r="139" customFormat="false" ht="15" hidden="false" customHeight="true" outlineLevel="0" collapsed="false">
      <c r="A139" s="63"/>
      <c r="B139" s="63"/>
      <c r="C139" s="65"/>
      <c r="D139" s="65"/>
      <c r="E139" s="65"/>
      <c r="F139" s="65"/>
      <c r="G139" s="66"/>
      <c r="H139" s="66"/>
      <c r="I139" s="66"/>
      <c r="J139" s="66"/>
      <c r="K139" s="66"/>
      <c r="L139" s="67"/>
      <c r="M139" s="67"/>
      <c r="N139" s="67"/>
      <c r="O139" s="67"/>
      <c r="P139" s="66"/>
      <c r="Q139" s="66"/>
      <c r="R139" s="66"/>
      <c r="S139" s="66"/>
      <c r="T139" s="67"/>
      <c r="U139" s="67"/>
      <c r="V139" s="67"/>
      <c r="W139" s="67"/>
      <c r="X139" s="66"/>
      <c r="Y139" s="66"/>
      <c r="Z139" s="66"/>
      <c r="AA139" s="67"/>
      <c r="AB139" s="67"/>
      <c r="AC139" s="67"/>
      <c r="AD139" s="67"/>
      <c r="AE139" s="63"/>
    </row>
    <row r="140" customFormat="false" ht="12.75" hidden="false" customHeight="true" outlineLevel="0" collapsed="false">
      <c r="A140" s="68" t="e">
        <f aca="false" t="array" ref="A140:A144">unique(L1:L120)</f>
        <v>#NAME?</v>
      </c>
      <c r="B140" s="69"/>
      <c r="C140" s="70"/>
      <c r="D140" s="70"/>
      <c r="E140" s="70"/>
      <c r="F140" s="71"/>
      <c r="G140" s="72" t="s">
        <v>59</v>
      </c>
      <c r="H140" s="72" t="s">
        <v>60</v>
      </c>
      <c r="I140" s="72" t="s">
        <v>61</v>
      </c>
      <c r="J140" s="72" t="s">
        <v>62</v>
      </c>
      <c r="K140" s="72" t="s">
        <v>63</v>
      </c>
      <c r="L140" s="73" t="s">
        <v>64</v>
      </c>
      <c r="M140" s="73" t="s">
        <v>65</v>
      </c>
      <c r="N140" s="73" t="s">
        <v>66</v>
      </c>
      <c r="O140" s="73" t="s">
        <v>67</v>
      </c>
      <c r="P140" s="72" t="s">
        <v>68</v>
      </c>
      <c r="Q140" s="72"/>
      <c r="R140" s="72"/>
      <c r="S140" s="72"/>
      <c r="T140" s="73"/>
      <c r="U140" s="73"/>
      <c r="V140" s="73"/>
      <c r="W140" s="73"/>
      <c r="X140" s="72"/>
      <c r="Y140" s="72"/>
      <c r="Z140" s="72"/>
      <c r="AA140" s="73"/>
      <c r="AB140" s="73"/>
      <c r="AC140" s="74"/>
      <c r="AD140" s="73"/>
      <c r="AE140" s="63"/>
    </row>
    <row r="141" customFormat="false" ht="12.75" hidden="false" customHeight="true" outlineLevel="0" collapsed="false">
      <c r="A141" s="75" t="e">
        <v>#NAME?</v>
      </c>
      <c r="B141" s="76"/>
      <c r="C141" s="76"/>
      <c r="D141" s="76" t="s">
        <v>69</v>
      </c>
      <c r="E141" s="76"/>
      <c r="F141" s="77"/>
      <c r="G141" s="78"/>
      <c r="H141" s="78"/>
      <c r="I141" s="78"/>
      <c r="J141" s="78"/>
      <c r="K141" s="78"/>
      <c r="L141" s="79"/>
      <c r="M141" s="79"/>
      <c r="N141" s="79"/>
      <c r="O141" s="79"/>
      <c r="P141" s="78"/>
      <c r="Q141" s="78"/>
      <c r="R141" s="78"/>
      <c r="S141" s="78"/>
      <c r="T141" s="79"/>
      <c r="U141" s="79"/>
      <c r="V141" s="79"/>
      <c r="W141" s="79"/>
      <c r="X141" s="78"/>
      <c r="Y141" s="78"/>
      <c r="Z141" s="78"/>
      <c r="AA141" s="79"/>
      <c r="AB141" s="79"/>
      <c r="AC141" s="80"/>
      <c r="AD141" s="79"/>
      <c r="AE141" s="63"/>
    </row>
    <row r="142" customFormat="false" ht="12.75" hidden="false" customHeight="true" outlineLevel="0" collapsed="false">
      <c r="A142" s="75" t="e">
        <v>#NAME?</v>
      </c>
      <c r="B142" s="76"/>
      <c r="C142" s="76"/>
      <c r="D142" s="76"/>
      <c r="E142" s="76"/>
      <c r="F142" s="77"/>
      <c r="G142" s="78"/>
      <c r="H142" s="78"/>
      <c r="I142" s="78"/>
      <c r="J142" s="78"/>
      <c r="K142" s="78"/>
      <c r="L142" s="79"/>
      <c r="M142" s="79"/>
      <c r="N142" s="79"/>
      <c r="O142" s="79"/>
      <c r="P142" s="78"/>
      <c r="Q142" s="78"/>
      <c r="R142" s="78"/>
      <c r="S142" s="78"/>
      <c r="T142" s="79"/>
      <c r="U142" s="79"/>
      <c r="V142" s="79"/>
      <c r="W142" s="79"/>
      <c r="X142" s="78"/>
      <c r="Y142" s="78"/>
      <c r="Z142" s="78"/>
      <c r="AA142" s="79"/>
      <c r="AB142" s="79"/>
      <c r="AC142" s="80"/>
      <c r="AD142" s="79"/>
      <c r="AE142" s="63"/>
    </row>
    <row r="143" customFormat="false" ht="12.75" hidden="false" customHeight="true" outlineLevel="0" collapsed="false">
      <c r="A143" s="75" t="e">
        <v>#NAME?</v>
      </c>
      <c r="B143" s="76"/>
      <c r="C143" s="76"/>
      <c r="D143" s="76"/>
      <c r="E143" s="76"/>
      <c r="F143" s="77"/>
      <c r="G143" s="78"/>
      <c r="H143" s="78"/>
      <c r="I143" s="78"/>
      <c r="J143" s="78"/>
      <c r="K143" s="78"/>
      <c r="L143" s="79"/>
      <c r="M143" s="79"/>
      <c r="N143" s="79"/>
      <c r="O143" s="79"/>
      <c r="P143" s="78"/>
      <c r="Q143" s="78"/>
      <c r="R143" s="78"/>
      <c r="S143" s="78"/>
      <c r="T143" s="79"/>
      <c r="U143" s="79"/>
      <c r="V143" s="79"/>
      <c r="W143" s="79"/>
      <c r="X143" s="78"/>
      <c r="Y143" s="78"/>
      <c r="Z143" s="78"/>
      <c r="AA143" s="79"/>
      <c r="AB143" s="79"/>
      <c r="AC143" s="80"/>
      <c r="AD143" s="79"/>
      <c r="AE143" s="63"/>
    </row>
    <row r="144" customFormat="false" ht="12.75" hidden="false" customHeight="true" outlineLevel="0" collapsed="false">
      <c r="A144" s="75" t="e">
        <v>#NAME?</v>
      </c>
      <c r="B144" s="76"/>
      <c r="C144" s="76"/>
      <c r="D144" s="76"/>
      <c r="E144" s="76"/>
      <c r="F144" s="77"/>
      <c r="G144" s="78"/>
      <c r="H144" s="78"/>
      <c r="I144" s="78"/>
      <c r="J144" s="78"/>
      <c r="K144" s="78"/>
      <c r="L144" s="79"/>
      <c r="M144" s="79"/>
      <c r="N144" s="79"/>
      <c r="O144" s="79"/>
      <c r="P144" s="78"/>
      <c r="Q144" s="78"/>
      <c r="R144" s="78"/>
      <c r="S144" s="78"/>
      <c r="T144" s="79"/>
      <c r="U144" s="79"/>
      <c r="V144" s="79"/>
      <c r="W144" s="79"/>
      <c r="X144" s="78"/>
      <c r="Y144" s="78"/>
      <c r="Z144" s="78"/>
      <c r="AA144" s="79"/>
      <c r="AB144" s="79"/>
      <c r="AC144" s="80"/>
      <c r="AD144" s="79"/>
      <c r="AE144" s="63"/>
    </row>
    <row r="145" customFormat="false" ht="12.75" hidden="false" customHeight="true" outlineLevel="0" collapsed="false">
      <c r="A145" s="75"/>
      <c r="B145" s="76"/>
      <c r="C145" s="76"/>
      <c r="D145" s="76"/>
      <c r="E145" s="76"/>
      <c r="F145" s="77"/>
      <c r="G145" s="78"/>
      <c r="H145" s="78"/>
      <c r="I145" s="78"/>
      <c r="J145" s="78"/>
      <c r="K145" s="78"/>
      <c r="L145" s="79"/>
      <c r="M145" s="79"/>
      <c r="N145" s="79"/>
      <c r="O145" s="79"/>
      <c r="P145" s="78"/>
      <c r="Q145" s="78"/>
      <c r="R145" s="78"/>
      <c r="S145" s="78"/>
      <c r="T145" s="79"/>
      <c r="U145" s="79"/>
      <c r="V145" s="79"/>
      <c r="W145" s="79"/>
      <c r="X145" s="78"/>
      <c r="Y145" s="78"/>
      <c r="Z145" s="78"/>
      <c r="AA145" s="79"/>
      <c r="AB145" s="79"/>
      <c r="AC145" s="80"/>
      <c r="AD145" s="79"/>
      <c r="AE145" s="63"/>
    </row>
    <row r="146" customFormat="false" ht="12.75" hidden="false" customHeight="true" outlineLevel="0" collapsed="false">
      <c r="A146" s="75"/>
      <c r="B146" s="76"/>
      <c r="C146" s="76"/>
      <c r="D146" s="76"/>
      <c r="E146" s="76"/>
      <c r="F146" s="77"/>
      <c r="G146" s="78"/>
      <c r="H146" s="78"/>
      <c r="I146" s="78"/>
      <c r="J146" s="78"/>
      <c r="K146" s="78"/>
      <c r="L146" s="79"/>
      <c r="M146" s="79"/>
      <c r="N146" s="79"/>
      <c r="O146" s="79"/>
      <c r="P146" s="78"/>
      <c r="Q146" s="78"/>
      <c r="R146" s="78"/>
      <c r="S146" s="78"/>
      <c r="T146" s="79"/>
      <c r="U146" s="79"/>
      <c r="V146" s="79"/>
      <c r="W146" s="79"/>
      <c r="X146" s="78"/>
      <c r="Y146" s="78"/>
      <c r="Z146" s="78"/>
      <c r="AA146" s="79"/>
      <c r="AB146" s="79"/>
      <c r="AC146" s="80"/>
      <c r="AD146" s="79"/>
      <c r="AE146" s="63"/>
    </row>
    <row r="147" customFormat="false" ht="12.75" hidden="false" customHeight="true" outlineLevel="0" collapsed="false">
      <c r="A147" s="75"/>
      <c r="B147" s="76"/>
      <c r="C147" s="76"/>
      <c r="D147" s="76"/>
      <c r="E147" s="76"/>
      <c r="F147" s="77"/>
      <c r="G147" s="78"/>
      <c r="H147" s="78"/>
      <c r="I147" s="78"/>
      <c r="J147" s="78"/>
      <c r="K147" s="78"/>
      <c r="L147" s="79"/>
      <c r="M147" s="79"/>
      <c r="N147" s="79"/>
      <c r="O147" s="79"/>
      <c r="P147" s="78"/>
      <c r="Q147" s="78"/>
      <c r="R147" s="78"/>
      <c r="S147" s="78"/>
      <c r="T147" s="79"/>
      <c r="U147" s="79"/>
      <c r="V147" s="79"/>
      <c r="W147" s="79"/>
      <c r="X147" s="78"/>
      <c r="Y147" s="78"/>
      <c r="Z147" s="78"/>
      <c r="AA147" s="79"/>
      <c r="AB147" s="79"/>
      <c r="AC147" s="80"/>
      <c r="AD147" s="79"/>
      <c r="AE147" s="63"/>
    </row>
    <row r="148" customFormat="false" ht="12.75" hidden="false" customHeight="true" outlineLevel="0" collapsed="false">
      <c r="A148" s="75"/>
      <c r="B148" s="76"/>
      <c r="C148" s="76"/>
      <c r="D148" s="76"/>
      <c r="E148" s="76"/>
      <c r="F148" s="77"/>
      <c r="G148" s="78"/>
      <c r="H148" s="78"/>
      <c r="I148" s="78"/>
      <c r="J148" s="78"/>
      <c r="K148" s="78"/>
      <c r="L148" s="79"/>
      <c r="M148" s="79"/>
      <c r="N148" s="79"/>
      <c r="O148" s="79"/>
      <c r="P148" s="78"/>
      <c r="Q148" s="78"/>
      <c r="R148" s="78"/>
      <c r="S148" s="78"/>
      <c r="T148" s="79"/>
      <c r="U148" s="79"/>
      <c r="V148" s="79"/>
      <c r="W148" s="79"/>
      <c r="X148" s="78"/>
      <c r="Y148" s="78"/>
      <c r="Z148" s="78"/>
      <c r="AA148" s="79"/>
      <c r="AB148" s="79"/>
      <c r="AC148" s="80"/>
      <c r="AD148" s="79"/>
      <c r="AE148" s="63"/>
    </row>
    <row r="149" customFormat="false" ht="12.75" hidden="false" customHeight="true" outlineLevel="0" collapsed="false">
      <c r="A149" s="75"/>
      <c r="B149" s="76"/>
      <c r="C149" s="76"/>
      <c r="D149" s="76"/>
      <c r="E149" s="76"/>
      <c r="F149" s="77"/>
      <c r="G149" s="78"/>
      <c r="H149" s="78"/>
      <c r="I149" s="78"/>
      <c r="J149" s="78"/>
      <c r="K149" s="78"/>
      <c r="L149" s="79"/>
      <c r="M149" s="79"/>
      <c r="N149" s="79"/>
      <c r="O149" s="79"/>
      <c r="P149" s="78"/>
      <c r="Q149" s="78"/>
      <c r="R149" s="78"/>
      <c r="S149" s="78"/>
      <c r="T149" s="79"/>
      <c r="U149" s="79"/>
      <c r="V149" s="79"/>
      <c r="W149" s="79"/>
      <c r="X149" s="78"/>
      <c r="Y149" s="78"/>
      <c r="Z149" s="78"/>
      <c r="AA149" s="79"/>
      <c r="AB149" s="79"/>
      <c r="AC149" s="80"/>
      <c r="AD149" s="79"/>
      <c r="AE149" s="63"/>
    </row>
    <row r="150" customFormat="false" ht="12.75" hidden="false" customHeight="true" outlineLevel="0" collapsed="false">
      <c r="A150" s="75"/>
      <c r="B150" s="76"/>
      <c r="C150" s="76"/>
      <c r="D150" s="76"/>
      <c r="E150" s="76"/>
      <c r="F150" s="77"/>
      <c r="G150" s="78"/>
      <c r="H150" s="78"/>
      <c r="I150" s="78"/>
      <c r="J150" s="78"/>
      <c r="K150" s="78"/>
      <c r="L150" s="79"/>
      <c r="M150" s="79"/>
      <c r="N150" s="79"/>
      <c r="O150" s="79"/>
      <c r="P150" s="78"/>
      <c r="Q150" s="78"/>
      <c r="R150" s="78"/>
      <c r="S150" s="78"/>
      <c r="T150" s="79"/>
      <c r="U150" s="79"/>
      <c r="V150" s="79"/>
      <c r="W150" s="79"/>
      <c r="X150" s="78"/>
      <c r="Y150" s="78"/>
      <c r="Z150" s="78"/>
      <c r="AA150" s="79"/>
      <c r="AB150" s="79"/>
      <c r="AC150" s="80"/>
      <c r="AD150" s="79"/>
      <c r="AE150" s="63"/>
    </row>
    <row r="151" customFormat="false" ht="12.75" hidden="false" customHeight="true" outlineLevel="0" collapsed="false">
      <c r="A151" s="75"/>
      <c r="B151" s="76"/>
      <c r="C151" s="76"/>
      <c r="D151" s="76"/>
      <c r="E151" s="76"/>
      <c r="F151" s="77"/>
      <c r="G151" s="78"/>
      <c r="H151" s="78"/>
      <c r="I151" s="78"/>
      <c r="J151" s="78"/>
      <c r="K151" s="78"/>
      <c r="L151" s="79"/>
      <c r="M151" s="79"/>
      <c r="N151" s="79"/>
      <c r="O151" s="79"/>
      <c r="P151" s="78"/>
      <c r="Q151" s="78"/>
      <c r="R151" s="78"/>
      <c r="S151" s="78"/>
      <c r="T151" s="79"/>
      <c r="U151" s="79"/>
      <c r="V151" s="79"/>
      <c r="W151" s="79"/>
      <c r="X151" s="78"/>
      <c r="Y151" s="78"/>
      <c r="Z151" s="78"/>
      <c r="AA151" s="79"/>
      <c r="AB151" s="79"/>
      <c r="AC151" s="80"/>
      <c r="AD151" s="79"/>
      <c r="AE151" s="63"/>
    </row>
    <row r="152" customFormat="false" ht="12.75" hidden="false" customHeight="true" outlineLevel="0" collapsed="false">
      <c r="A152" s="75"/>
      <c r="B152" s="76"/>
      <c r="C152" s="76"/>
      <c r="D152" s="76"/>
      <c r="E152" s="76"/>
      <c r="F152" s="77"/>
      <c r="G152" s="78"/>
      <c r="H152" s="78"/>
      <c r="I152" s="78"/>
      <c r="J152" s="78"/>
      <c r="K152" s="78"/>
      <c r="L152" s="79"/>
      <c r="M152" s="79"/>
      <c r="N152" s="79"/>
      <c r="O152" s="79"/>
      <c r="P152" s="78"/>
      <c r="Q152" s="78"/>
      <c r="R152" s="78"/>
      <c r="S152" s="78"/>
      <c r="T152" s="79"/>
      <c r="U152" s="79"/>
      <c r="V152" s="79"/>
      <c r="W152" s="79"/>
      <c r="X152" s="78"/>
      <c r="Y152" s="78"/>
      <c r="Z152" s="78"/>
      <c r="AA152" s="79"/>
      <c r="AB152" s="79"/>
      <c r="AC152" s="80"/>
      <c r="AD152" s="79"/>
      <c r="AE152" s="63"/>
    </row>
    <row r="153" customFormat="false" ht="12.75" hidden="false" customHeight="true" outlineLevel="0" collapsed="false">
      <c r="A153" s="75"/>
      <c r="B153" s="76"/>
      <c r="C153" s="76"/>
      <c r="D153" s="76"/>
      <c r="E153" s="76"/>
      <c r="F153" s="77"/>
      <c r="G153" s="78"/>
      <c r="H153" s="78"/>
      <c r="I153" s="78"/>
      <c r="J153" s="78"/>
      <c r="K153" s="78"/>
      <c r="L153" s="79"/>
      <c r="M153" s="79"/>
      <c r="N153" s="79"/>
      <c r="O153" s="79"/>
      <c r="P153" s="78"/>
      <c r="Q153" s="78"/>
      <c r="R153" s="78"/>
      <c r="S153" s="78"/>
      <c r="T153" s="79"/>
      <c r="U153" s="79"/>
      <c r="V153" s="79"/>
      <c r="W153" s="79"/>
      <c r="X153" s="78"/>
      <c r="Y153" s="78"/>
      <c r="Z153" s="78"/>
      <c r="AA153" s="79"/>
      <c r="AB153" s="79"/>
      <c r="AC153" s="80"/>
      <c r="AD153" s="79"/>
      <c r="AE153" s="63"/>
    </row>
    <row r="154" customFormat="false" ht="12.75" hidden="false" customHeight="true" outlineLevel="0" collapsed="false">
      <c r="A154" s="75"/>
      <c r="B154" s="76"/>
      <c r="C154" s="76"/>
      <c r="D154" s="76"/>
      <c r="E154" s="76"/>
      <c r="F154" s="77"/>
      <c r="G154" s="78"/>
      <c r="H154" s="78"/>
      <c r="I154" s="78"/>
      <c r="J154" s="78"/>
      <c r="K154" s="78"/>
      <c r="L154" s="79"/>
      <c r="M154" s="79"/>
      <c r="N154" s="79"/>
      <c r="O154" s="79"/>
      <c r="P154" s="78"/>
      <c r="Q154" s="78"/>
      <c r="R154" s="78"/>
      <c r="S154" s="78"/>
      <c r="T154" s="79"/>
      <c r="U154" s="79"/>
      <c r="V154" s="79"/>
      <c r="W154" s="79"/>
      <c r="X154" s="78"/>
      <c r="Y154" s="78"/>
      <c r="Z154" s="78"/>
      <c r="AA154" s="79"/>
      <c r="AB154" s="79"/>
      <c r="AC154" s="80"/>
      <c r="AD154" s="79"/>
      <c r="AE154" s="63"/>
    </row>
    <row r="155" customFormat="false" ht="12.75" hidden="false" customHeight="true" outlineLevel="0" collapsed="false">
      <c r="A155" s="75"/>
      <c r="B155" s="76"/>
      <c r="C155" s="76"/>
      <c r="D155" s="76"/>
      <c r="E155" s="76"/>
      <c r="F155" s="77"/>
      <c r="G155" s="78"/>
      <c r="H155" s="78"/>
      <c r="I155" s="78"/>
      <c r="J155" s="78"/>
      <c r="K155" s="78"/>
      <c r="L155" s="79"/>
      <c r="M155" s="79"/>
      <c r="N155" s="79"/>
      <c r="O155" s="79"/>
      <c r="P155" s="78"/>
      <c r="Q155" s="78"/>
      <c r="R155" s="78"/>
      <c r="S155" s="78"/>
      <c r="T155" s="79"/>
      <c r="U155" s="79"/>
      <c r="V155" s="79"/>
      <c r="W155" s="79"/>
      <c r="X155" s="78"/>
      <c r="Y155" s="78"/>
      <c r="Z155" s="78"/>
      <c r="AA155" s="79"/>
      <c r="AB155" s="79"/>
      <c r="AC155" s="80"/>
      <c r="AD155" s="79"/>
      <c r="AE155" s="63"/>
    </row>
    <row r="156" customFormat="false" ht="12.75" hidden="false" customHeight="true" outlineLevel="0" collapsed="false">
      <c r="A156" s="75"/>
      <c r="B156" s="76"/>
      <c r="C156" s="76"/>
      <c r="D156" s="76"/>
      <c r="E156" s="76"/>
      <c r="F156" s="77"/>
      <c r="G156" s="78"/>
      <c r="H156" s="78"/>
      <c r="I156" s="78"/>
      <c r="J156" s="78"/>
      <c r="K156" s="78"/>
      <c r="L156" s="79"/>
      <c r="M156" s="79"/>
      <c r="N156" s="79"/>
      <c r="O156" s="79"/>
      <c r="P156" s="78"/>
      <c r="Q156" s="78"/>
      <c r="R156" s="78"/>
      <c r="S156" s="78"/>
      <c r="T156" s="79"/>
      <c r="U156" s="79"/>
      <c r="V156" s="79"/>
      <c r="W156" s="79"/>
      <c r="X156" s="78"/>
      <c r="Y156" s="78"/>
      <c r="Z156" s="78"/>
      <c r="AA156" s="79"/>
      <c r="AB156" s="79"/>
      <c r="AC156" s="80"/>
      <c r="AD156" s="79"/>
      <c r="AE156" s="63"/>
    </row>
    <row r="157" customFormat="false" ht="12.75" hidden="false" customHeight="true" outlineLevel="0" collapsed="false">
      <c r="A157" s="75"/>
      <c r="B157" s="76"/>
      <c r="C157" s="76"/>
      <c r="D157" s="76"/>
      <c r="E157" s="76"/>
      <c r="F157" s="77"/>
      <c r="G157" s="78"/>
      <c r="H157" s="78"/>
      <c r="I157" s="78"/>
      <c r="J157" s="78"/>
      <c r="K157" s="78"/>
      <c r="L157" s="79"/>
      <c r="M157" s="79"/>
      <c r="N157" s="79"/>
      <c r="O157" s="79"/>
      <c r="P157" s="78"/>
      <c r="Q157" s="78"/>
      <c r="R157" s="78"/>
      <c r="S157" s="78"/>
      <c r="T157" s="79"/>
      <c r="U157" s="79"/>
      <c r="V157" s="79"/>
      <c r="W157" s="79"/>
      <c r="X157" s="78"/>
      <c r="Y157" s="78"/>
      <c r="Z157" s="78"/>
      <c r="AA157" s="79"/>
      <c r="AB157" s="79"/>
      <c r="AC157" s="80"/>
      <c r="AD157" s="79"/>
      <c r="AE157" s="63"/>
    </row>
    <row r="158" customFormat="false" ht="12.75" hidden="false" customHeight="true" outlineLevel="0" collapsed="false">
      <c r="A158" s="75"/>
      <c r="B158" s="76"/>
      <c r="C158" s="76"/>
      <c r="D158" s="76"/>
      <c r="E158" s="76"/>
      <c r="F158" s="77"/>
      <c r="G158" s="78"/>
      <c r="H158" s="78"/>
      <c r="I158" s="78"/>
      <c r="J158" s="78"/>
      <c r="K158" s="78"/>
      <c r="L158" s="79"/>
      <c r="M158" s="79"/>
      <c r="N158" s="79"/>
      <c r="O158" s="79"/>
      <c r="P158" s="78"/>
      <c r="Q158" s="78"/>
      <c r="R158" s="78"/>
      <c r="S158" s="78"/>
      <c r="T158" s="79"/>
      <c r="U158" s="79"/>
      <c r="V158" s="79"/>
      <c r="W158" s="79"/>
      <c r="X158" s="78"/>
      <c r="Y158" s="78"/>
      <c r="Z158" s="78"/>
      <c r="AA158" s="79"/>
      <c r="AB158" s="79"/>
      <c r="AC158" s="80"/>
      <c r="AD158" s="79"/>
      <c r="AE158" s="63"/>
    </row>
    <row r="159" customFormat="false" ht="12.75" hidden="false" customHeight="true" outlineLevel="0" collapsed="false">
      <c r="A159" s="75"/>
      <c r="B159" s="76"/>
      <c r="C159" s="76"/>
      <c r="D159" s="76"/>
      <c r="E159" s="76"/>
      <c r="F159" s="77"/>
      <c r="G159" s="78"/>
      <c r="H159" s="78"/>
      <c r="I159" s="78"/>
      <c r="J159" s="78"/>
      <c r="K159" s="78"/>
      <c r="L159" s="79"/>
      <c r="M159" s="79"/>
      <c r="N159" s="79"/>
      <c r="O159" s="79"/>
      <c r="P159" s="78"/>
      <c r="Q159" s="78"/>
      <c r="R159" s="78"/>
      <c r="S159" s="78"/>
      <c r="T159" s="79"/>
      <c r="U159" s="79"/>
      <c r="V159" s="79"/>
      <c r="W159" s="79"/>
      <c r="X159" s="78"/>
      <c r="Y159" s="78"/>
      <c r="Z159" s="78"/>
      <c r="AA159" s="79"/>
      <c r="AB159" s="79"/>
      <c r="AC159" s="80"/>
      <c r="AD159" s="79"/>
      <c r="AE159" s="63"/>
    </row>
    <row r="160" customFormat="false" ht="12.75" hidden="false" customHeight="true" outlineLevel="0" collapsed="false">
      <c r="A160" s="75"/>
      <c r="B160" s="76"/>
      <c r="C160" s="76"/>
      <c r="D160" s="76"/>
      <c r="E160" s="76"/>
      <c r="F160" s="77"/>
      <c r="G160" s="78"/>
      <c r="H160" s="78"/>
      <c r="I160" s="78"/>
      <c r="J160" s="78"/>
      <c r="K160" s="78"/>
      <c r="L160" s="79"/>
      <c r="M160" s="79"/>
      <c r="N160" s="79"/>
      <c r="O160" s="79"/>
      <c r="P160" s="78"/>
      <c r="Q160" s="78"/>
      <c r="R160" s="78"/>
      <c r="S160" s="78"/>
      <c r="T160" s="79"/>
      <c r="U160" s="79"/>
      <c r="V160" s="79"/>
      <c r="W160" s="79"/>
      <c r="X160" s="78"/>
      <c r="Y160" s="78"/>
      <c r="Z160" s="78"/>
      <c r="AA160" s="79"/>
      <c r="AB160" s="79"/>
      <c r="AC160" s="80"/>
      <c r="AD160" s="79"/>
      <c r="AE160" s="63"/>
    </row>
    <row r="161" customFormat="false" ht="12.75" hidden="false" customHeight="true" outlineLevel="0" collapsed="false">
      <c r="A161" s="75"/>
      <c r="B161" s="76"/>
      <c r="C161" s="76"/>
      <c r="D161" s="76"/>
      <c r="E161" s="76"/>
      <c r="F161" s="77"/>
      <c r="G161" s="78"/>
      <c r="H161" s="78"/>
      <c r="I161" s="78"/>
      <c r="J161" s="78"/>
      <c r="K161" s="78"/>
      <c r="L161" s="79"/>
      <c r="M161" s="79"/>
      <c r="N161" s="79"/>
      <c r="O161" s="79"/>
      <c r="P161" s="78"/>
      <c r="Q161" s="78"/>
      <c r="R161" s="78"/>
      <c r="S161" s="78"/>
      <c r="T161" s="79"/>
      <c r="U161" s="79"/>
      <c r="V161" s="79"/>
      <c r="W161" s="79"/>
      <c r="X161" s="78"/>
      <c r="Y161" s="78"/>
      <c r="Z161" s="78"/>
      <c r="AA161" s="79"/>
      <c r="AB161" s="79"/>
      <c r="AC161" s="80"/>
      <c r="AD161" s="79"/>
      <c r="AE161" s="63"/>
    </row>
    <row r="162" customFormat="false" ht="12.75" hidden="false" customHeight="true" outlineLevel="0" collapsed="false">
      <c r="A162" s="75"/>
      <c r="B162" s="76"/>
      <c r="C162" s="76"/>
      <c r="D162" s="76"/>
      <c r="E162" s="76"/>
      <c r="F162" s="77"/>
      <c r="G162" s="78"/>
      <c r="H162" s="78"/>
      <c r="I162" s="78"/>
      <c r="J162" s="78"/>
      <c r="K162" s="78"/>
      <c r="L162" s="79"/>
      <c r="M162" s="79"/>
      <c r="N162" s="79"/>
      <c r="O162" s="79"/>
      <c r="P162" s="78"/>
      <c r="Q162" s="78"/>
      <c r="R162" s="78"/>
      <c r="S162" s="78"/>
      <c r="T162" s="79"/>
      <c r="U162" s="79"/>
      <c r="V162" s="79"/>
      <c r="W162" s="79"/>
      <c r="X162" s="78"/>
      <c r="Y162" s="78"/>
      <c r="Z162" s="78"/>
      <c r="AA162" s="79"/>
      <c r="AB162" s="79"/>
      <c r="AC162" s="80"/>
      <c r="AD162" s="79"/>
      <c r="AE162" s="63"/>
    </row>
    <row r="163" customFormat="false" ht="12.75" hidden="false" customHeight="true" outlineLevel="0" collapsed="false">
      <c r="A163" s="75"/>
      <c r="B163" s="76"/>
      <c r="C163" s="76"/>
      <c r="D163" s="76"/>
      <c r="E163" s="76"/>
      <c r="F163" s="77"/>
      <c r="G163" s="78"/>
      <c r="H163" s="78"/>
      <c r="I163" s="78"/>
      <c r="J163" s="78"/>
      <c r="K163" s="78"/>
      <c r="L163" s="79"/>
      <c r="M163" s="79"/>
      <c r="N163" s="79"/>
      <c r="O163" s="79"/>
      <c r="P163" s="78"/>
      <c r="Q163" s="78"/>
      <c r="R163" s="78"/>
      <c r="S163" s="78"/>
      <c r="T163" s="79"/>
      <c r="U163" s="79"/>
      <c r="V163" s="79"/>
      <c r="W163" s="79"/>
      <c r="X163" s="78"/>
      <c r="Y163" s="78"/>
      <c r="Z163" s="78"/>
      <c r="AA163" s="79"/>
      <c r="AB163" s="79"/>
      <c r="AC163" s="80"/>
      <c r="AD163" s="79"/>
      <c r="AE163" s="63"/>
    </row>
    <row r="164" customFormat="false" ht="12.75" hidden="false" customHeight="true" outlineLevel="0" collapsed="false">
      <c r="A164" s="75"/>
      <c r="B164" s="76"/>
      <c r="C164" s="76"/>
      <c r="D164" s="76"/>
      <c r="E164" s="76"/>
      <c r="F164" s="77"/>
      <c r="G164" s="78"/>
      <c r="H164" s="78"/>
      <c r="I164" s="78"/>
      <c r="J164" s="78"/>
      <c r="K164" s="78"/>
      <c r="L164" s="79"/>
      <c r="M164" s="79"/>
      <c r="N164" s="79"/>
      <c r="O164" s="79"/>
      <c r="P164" s="78"/>
      <c r="Q164" s="78"/>
      <c r="R164" s="78"/>
      <c r="S164" s="78"/>
      <c r="T164" s="79"/>
      <c r="U164" s="79"/>
      <c r="V164" s="79"/>
      <c r="W164" s="79"/>
      <c r="X164" s="78"/>
      <c r="Y164" s="78"/>
      <c r="Z164" s="78"/>
      <c r="AA164" s="79"/>
      <c r="AB164" s="79"/>
      <c r="AC164" s="80"/>
      <c r="AD164" s="79"/>
      <c r="AE164" s="63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37"/>
      <c r="AD165" s="14"/>
      <c r="AE165" s="63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37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37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2026-08-06T17:13:22Z</dcterms:created>
  <dc:creator>openpyxl</dc:creator>
  <dc:description/>
  <dc:language>es-CO</dc:language>
  <cp:lastModifiedBy>Full Service</cp:lastModifiedBy>
  <dcterms:modified xsi:type="dcterms:W3CDTF">2026-08-06T17:13:23Z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