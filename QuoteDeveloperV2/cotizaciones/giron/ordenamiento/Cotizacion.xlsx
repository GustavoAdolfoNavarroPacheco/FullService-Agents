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<sst xmlns="http://schemas.openxmlformats.org/spreadsheetml/2006/main" count="82" uniqueCount="80">
  <si>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</si>
  <si>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</si>
  <si>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</si>
  <si>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</si>
  <si>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</si>
  <si>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</si>
  <si>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</si>
  <si>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</si>
  <si>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</si>
  <si>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</si>
  <si>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</si>
  <si>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</si>
  <si>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</si>
  <si>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</si>
  <si>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</si>
  <si>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</si>
  <si>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</si>
  <si>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</si>
  <si>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</si>
  <si>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</si>
  <si>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PLATAFORMA DE TRÁMITES URBANÍSTICOS Y CERTIFICADOS - reducción de tiempos de atención en solicitudes de usos de suelo, nomenclatura, certificados y permisos</t>
  </si>
  <si>
    <t xml:space="preserve">Catálogo y radicación</t>
  </si>
  <si>
    <t xml:space="preserve">Catálogo de trámites y requisitos.</t>
  </si>
  <si>
    <t xml:space="preserve">Radicación digital.</t>
  </si>
  <si>
    <t xml:space="preserve">Validación de documentos.</t>
  </si>
  <si>
    <t xml:space="preserve">Asignación y seguimiento</t>
  </si>
  <si>
    <t xml:space="preserve">Asignación de solicitudes.</t>
  </si>
  <si>
    <t xml:space="preserve">Seguimiento de solicitudes.</t>
  </si>
  <si>
    <t xml:space="preserve">Generación documental</t>
  </si>
  <si>
    <t xml:space="preserve">Generación de certificados.</t>
  </si>
  <si>
    <t xml:space="preserve">Generación de formatos.</t>
  </si>
  <si>
    <t xml:space="preserve">Trazabilidad y pagos</t>
  </si>
  <si>
    <t xml:space="preserve">Trazabilidad para ciudadano y funcionarios.</t>
  </si>
  <si>
    <t xml:space="preserve">Integración con pagos cuando corresponda.</t>
  </si>
  <si>
    <t xml:space="preserve">ASISTENTE IA NORMATIVO PARA TRÁMITES DE ORDENAMIENTO - apoyo a la revisión de solicitudes regidas por lineamientos y normas establecidas</t>
  </si>
  <si>
    <t xml:space="preserve">Base normativa y checklist</t>
  </si>
  <si>
    <t xml:space="preserve">Base de conocimiento normativa.</t>
  </si>
  <si>
    <t xml:space="preserve">Checklist de requisitos.</t>
  </si>
  <si>
    <t xml:space="preserve">Preclasificación y recomendación</t>
  </si>
  <si>
    <t xml:space="preserve">Preclasificación de solicitudes simples y complejas.</t>
  </si>
  <si>
    <t xml:space="preserve">Recomendación de aprobación, subsanación o revisión especializada.</t>
  </si>
  <si>
    <t xml:space="preserve">Explicación del criterio aplicado.</t>
  </si>
  <si>
    <t xml:space="preserve">Validación humana</t>
  </si>
  <si>
    <t xml:space="preserve">Validación final por funcionario.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</si>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</sst>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19992382.7380952</v>
      </c>
      <c r="Z1" s="3" t="s">
        <v>13</v>
      </c>
      <c r="AA1" s="8" t="s">
        <v>14</v>
      </c>
      <c r="AB1" s="9" t="s">
        <v>15</v>
      </c>
      <c r="AC1" s="10" t="n">
        <f aca="false">SUM(AC2:AC120)</f>
        <v>19992382.7380952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2108442.42424243</v>
      </c>
      <c r="B2" s="12" t="n">
        <v>3.5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2108442.42424243</v>
      </c>
      <c r="Z2" s="19"/>
      <c r="AA2" s="20"/>
      <c r="AB2" s="21" t="b">
        <f aca="false">TRUE()</f>
        <v>1</v>
      </c>
      <c r="AC2" s="22" t="n">
        <f aca="false">IF(L2="",0,IF(AB2=FALSE(),0,Y2))</f>
        <v>2108442.42424243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952645.909090909</v>
      </c>
      <c r="B4" s="13"/>
      <c r="C4" s="13"/>
      <c r="D4" s="13"/>
      <c r="E4" s="13"/>
      <c r="F4" s="13"/>
      <c r="G4" s="13"/>
      <c r="H4" s="12" t="n">
        <v>3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952645.909090909</v>
      </c>
      <c r="Z4" s="19"/>
      <c r="AA4" s="23"/>
      <c r="AB4" s="21" t="b">
        <f aca="false">TRUE()</f>
        <v>1</v>
      </c>
      <c r="AC4" s="22" t="n">
        <f aca="false">IF(L4="",0,IF(AB4=FALSE(),0,Y4))</f>
        <v>952645.909090909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1021698.13852814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1021698.13852814</v>
      </c>
      <c r="Z5" s="19"/>
      <c r="AA5" s="23"/>
      <c r="AB5" s="21" t="b">
        <f aca="false">TRUE()</f>
        <v>1</v>
      </c>
      <c r="AC5" s="22" t="n">
        <f aca="false">IF(L5="",0,IF(AB5=FALSE(),0,Y5))</f>
        <v>1021698.13852814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1021698.13852814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1021698.13852814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8636691.3961039</v>
      </c>
      <c r="Z8" s="19"/>
      <c r="AA8" s="20"/>
      <c r="AB8" s="21" t="b">
        <f aca="false">TRUE()</f>
        <v>1</v>
      </c>
      <c r="AC8" s="22" t="n">
        <f aca="false">IF(L8="",0,IF(AB8=FALSE(),0,Y8))</f>
        <v>8636691.3961039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8636691.3961039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1253880.67099567</v>
      </c>
      <c r="B10" s="14"/>
      <c r="C10" s="14"/>
      <c r="D10" s="14" t="n">
        <v>1</v>
      </c>
      <c r="E10" s="14" t="n">
        <v>2</v>
      </c>
      <c r="F10" s="14"/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8636691.3961039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1048637.96536797</v>
      </c>
      <c r="B11" s="14"/>
      <c r="C11" s="14"/>
      <c r="D11" s="14" t="n">
        <v>2</v>
      </c>
      <c r="E11" s="14"/>
      <c r="F11" s="14" t="n">
        <v>1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8636691.3961039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814393.722943723</v>
      </c>
      <c r="B12" s="14"/>
      <c r="C12" s="14"/>
      <c r="D12" s="14"/>
      <c r="E12" s="14" t="n">
        <v>0.5</v>
      </c>
      <c r="F12" s="14" t="n">
        <v>1.5</v>
      </c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8636691.3961039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8636691.3961039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583387.662337662</v>
      </c>
      <c r="B14" s="14"/>
      <c r="C14" s="14"/>
      <c r="D14" s="14"/>
      <c r="E14" s="14"/>
      <c r="F14" s="14" t="n">
        <v>1.5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8636691.3961039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883709.751082251</v>
      </c>
      <c r="B15" s="14"/>
      <c r="C15" s="14"/>
      <c r="D15" s="14" t="n">
        <v>1.5</v>
      </c>
      <c r="E15" s="14"/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8636691.3961039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8636691.3961039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1107706.64502165</v>
      </c>
      <c r="B17" s="14"/>
      <c r="C17" s="14"/>
      <c r="D17" s="14" t="n">
        <v>1</v>
      </c>
      <c r="E17" s="14"/>
      <c r="F17" s="14" t="n">
        <v>2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8636691.3961039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583387.662337662</v>
      </c>
      <c r="B18" s="14"/>
      <c r="C18" s="14"/>
      <c r="D18" s="14"/>
      <c r="E18" s="14"/>
      <c r="F18" s="14" t="n">
        <v>1.5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8636691.3961039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8636691.3961039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1048637.96536797</v>
      </c>
      <c r="B20" s="14"/>
      <c r="C20" s="14"/>
      <c r="D20" s="14" t="n">
        <v>2</v>
      </c>
      <c r="E20" s="14"/>
      <c r="F20" s="14" t="n">
        <v>1</v>
      </c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8636691.3961039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1312949.35064935</v>
      </c>
      <c r="B21" s="14"/>
      <c r="C21" s="14"/>
      <c r="D21" s="14"/>
      <c r="E21" s="14" t="n">
        <v>2</v>
      </c>
      <c r="F21" s="14" t="n">
        <v>1</v>
      </c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8636691.3961039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31" t="s">
        <v>34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6283335.58441559</v>
      </c>
      <c r="Z22" s="19"/>
      <c r="AA22" s="20"/>
      <c r="AB22" s="21" t="b">
        <f aca="false">TRUE()</f>
        <v>1</v>
      </c>
      <c r="AC22" s="22" t="n">
        <f aca="false">IF(L22="",0,IF(AB22=FALSE(),0,Y22))</f>
        <v>6283335.58441559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27" t="s">
        <v>35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6283335.58441559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1542750.23809524</v>
      </c>
      <c r="B24" s="14"/>
      <c r="C24" s="14"/>
      <c r="D24" s="14"/>
      <c r="E24" s="14" t="n">
        <v>1</v>
      </c>
      <c r="F24" s="14"/>
      <c r="G24" s="14"/>
      <c r="H24" s="14"/>
      <c r="I24" s="14"/>
      <c r="J24" s="14"/>
      <c r="K24" s="14" t="n">
        <v>3</v>
      </c>
      <c r="L24" s="17"/>
      <c r="M24" s="32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6283335.58441559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929294.166666667</v>
      </c>
      <c r="B25" s="14"/>
      <c r="C25" s="14"/>
      <c r="D25" s="14"/>
      <c r="E25" s="14"/>
      <c r="F25" s="14" t="n">
        <v>1</v>
      </c>
      <c r="G25" s="14"/>
      <c r="H25" s="14"/>
      <c r="I25" s="14"/>
      <c r="J25" s="14"/>
      <c r="K25" s="14" t="n">
        <v>1.5</v>
      </c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6283335.58441559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27" t="s">
        <v>38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6283335.58441559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1362627.21861472</v>
      </c>
      <c r="B27" s="14"/>
      <c r="C27" s="14"/>
      <c r="D27" s="14"/>
      <c r="E27" s="14" t="n">
        <v>1</v>
      </c>
      <c r="F27" s="14"/>
      <c r="G27" s="14"/>
      <c r="H27" s="14"/>
      <c r="I27" s="14"/>
      <c r="J27" s="14"/>
      <c r="K27" s="14" t="n">
        <v>2.5</v>
      </c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6283335.58441559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1182504.1991342</v>
      </c>
      <c r="B28" s="14"/>
      <c r="C28" s="14"/>
      <c r="D28" s="14"/>
      <c r="E28" s="14" t="n">
        <v>1</v>
      </c>
      <c r="F28" s="14"/>
      <c r="G28" s="14"/>
      <c r="H28" s="14"/>
      <c r="I28" s="14"/>
      <c r="J28" s="14"/>
      <c r="K28" s="14" t="n">
        <v>2</v>
      </c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6283335.58441559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540369.058441559</v>
      </c>
      <c r="B29" s="14"/>
      <c r="C29" s="14"/>
      <c r="D29" s="14"/>
      <c r="E29" s="14"/>
      <c r="F29" s="14"/>
      <c r="G29" s="14"/>
      <c r="H29" s="14"/>
      <c r="I29" s="14"/>
      <c r="J29" s="14"/>
      <c r="K29" s="14" t="n">
        <v>1.5</v>
      </c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6283335.58441559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27" t="s">
        <v>42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6283335.58441559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725790.703463204</v>
      </c>
      <c r="B31" s="14"/>
      <c r="C31" s="14"/>
      <c r="D31" s="14" t="n">
        <v>1.5</v>
      </c>
      <c r="E31" s="14" t="n">
        <v>0.5</v>
      </c>
      <c r="F31" s="14"/>
      <c r="G31" s="14"/>
      <c r="H31" s="14"/>
      <c r="I31" s="14"/>
      <c r="J31" s="14"/>
      <c r="K31" s="14"/>
      <c r="L31" s="24"/>
      <c r="M31" s="17"/>
      <c r="N31" s="28" t="s">
        <v>43</v>
      </c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6283335.58441559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6283335.58441559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6283335.58441559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6283335.58441559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6283335.58441559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6283335.58441559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6283335.58441559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6283335.58441559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6283335.58441559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6283335.58441559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6283335.58441559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2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6283335.58441559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6283335.58441559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6283335.58441559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6283335.58441559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6283335.58441559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6283335.58441559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6283335.58441559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6283335.58441559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6283335.58441559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6283335.58441559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6283335.58441559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6283335.58441559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6283335.58441559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6283335.58441559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6283335.58441559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6283335.58441559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6283335.58441559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6283335.58441559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6283335.58441559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6283335.58441559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6283335.58441559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6283335.58441559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6283335.58441559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6283335.58441559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6283335.58441559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6283335.58441559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6283335.58441559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6283335.58441559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6283335.58441559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6283335.58441559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6283335.58441559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6283335.58441559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6283335.58441559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6283335.58441559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6283335.58441559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6283335.58441559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6283335.58441559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6283335.58441559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6283335.58441559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6283335.58441559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6283335.58441559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6283335.58441559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6283335.58441559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6283335.58441559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6283335.58441559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6283335.58441559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6283335.58441559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6283335.58441559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6283335.58441559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6283335.58441559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6283335.58441559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6283335.58441559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6283335.58441559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6283335.58441559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6283335.58441559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6283335.58441559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6283335.58441559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6283335.58441559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6283335.58441559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6283335.58441559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6283335.58441559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6283335.58441559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6283335.58441559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6283335.58441559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6283335.58441559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6283335.58441559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6283335.58441559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6283335.58441559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6283335.58441559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6283335.58441559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6283335.58441559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6283335.58441559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6283335.58441559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6283335.58441559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6283335.58441559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6283335.58441559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6283335.58441559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6283335.58441559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44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4</v>
      </c>
      <c r="C121" s="14" t="n">
        <f aca="false">SUM(C2:C120)</f>
        <v>3</v>
      </c>
      <c r="D121" s="14" t="n">
        <f aca="false">SUM(D2:D120)</f>
        <v>9</v>
      </c>
      <c r="E121" s="14" t="n">
        <f aca="false">SUM(E2:E120)</f>
        <v>8</v>
      </c>
      <c r="F121" s="14" t="n">
        <f aca="false">SUM(F2:F120)</f>
        <v>11.5</v>
      </c>
      <c r="G121" s="14" t="n">
        <f aca="false">SUM(G2:G120)</f>
        <v>0</v>
      </c>
      <c r="H121" s="14" t="n">
        <f aca="false">SUM(H2:H120)</f>
        <v>3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12.5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45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33320637.8968254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46</v>
      </c>
      <c r="E123" s="44" t="n">
        <v>1750905</v>
      </c>
      <c r="F123" s="45" t="s">
        <v>47</v>
      </c>
      <c r="G123" s="46" t="n">
        <v>249095</v>
      </c>
      <c r="H123" s="40"/>
      <c r="I123" s="47" t="s">
        <v>48</v>
      </c>
      <c r="J123" s="48" t="n">
        <v>0.18</v>
      </c>
      <c r="K123" s="48"/>
      <c r="L123" s="49" t="s">
        <v>49</v>
      </c>
      <c r="M123" s="50" t="n">
        <f aca="false">2.7/12</f>
        <v>0.225</v>
      </c>
      <c r="N123" s="51" t="s">
        <v>50</v>
      </c>
      <c r="O123" s="52" t="n">
        <f aca="false">40*4.2*((244-2)/260)</f>
        <v>156.369230769231</v>
      </c>
      <c r="P123" s="40"/>
      <c r="Q123" s="47" t="s">
        <v>51</v>
      </c>
      <c r="R123" s="53" t="n">
        <v>0.1</v>
      </c>
      <c r="S123" s="40"/>
      <c r="T123" s="54" t="n">
        <v>8</v>
      </c>
      <c r="U123" s="55" t="s">
        <v>52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53</v>
      </c>
      <c r="D124" s="57"/>
      <c r="E124" s="57"/>
      <c r="F124" s="57" t="s">
        <v>54</v>
      </c>
      <c r="G124" s="57"/>
      <c r="H124" s="57"/>
      <c r="I124" s="57" t="s">
        <v>55</v>
      </c>
      <c r="J124" s="57"/>
      <c r="K124" s="57"/>
      <c r="L124" s="57"/>
      <c r="M124" s="57" t="s">
        <v>56</v>
      </c>
      <c r="N124" s="57"/>
      <c r="O124" s="57"/>
      <c r="P124" s="57" t="s">
        <v>57</v>
      </c>
      <c r="Q124" s="57"/>
      <c r="R124" s="57"/>
      <c r="S124" s="40"/>
      <c r="T124" s="40"/>
      <c r="U124" s="58" t="s">
        <v>50</v>
      </c>
      <c r="V124" s="57" t="s">
        <v>58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59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4" t="n">
        <f aca="false">HLOOKUP(B125,$B$1:$K$121,$A$121,0)*$T$123</f>
        <v>32</v>
      </c>
      <c r="W125" s="61" t="n">
        <f aca="false">P125*U125</f>
        <v>2409648.48484849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60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4" t="n">
        <f aca="false">HLOOKUP(B126,$B$1:$K$121,$A$121,0)*$T$123</f>
        <v>24</v>
      </c>
      <c r="W126" s="61" t="n">
        <f aca="false">P126*U126</f>
        <v>989569.285714286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61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4" t="n">
        <f aca="false">HLOOKUP(B127,$B$1:$K$121,$A$121,0)*$T$123</f>
        <v>72</v>
      </c>
      <c r="W127" s="61" t="n">
        <f aca="false">P127*U127</f>
        <v>2968707.85714286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62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4" t="n">
        <f aca="false">HLOOKUP(B128,$B$1:$K$121,$A$121,0)*$T$123</f>
        <v>64</v>
      </c>
      <c r="W128" s="61" t="n">
        <f aca="false">P128*U128</f>
        <v>3696096.96969697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63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4" t="n">
        <f aca="false">HLOOKUP(B129,$B$1:$K$121,$A$121,0)*$T$123</f>
        <v>92</v>
      </c>
      <c r="W129" s="61" t="n">
        <f aca="false">P129*U129</f>
        <v>4472638.74458875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64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4" t="n">
        <f aca="false">HLOOKUP(B130,$B$1:$K$121,$A$121,0)*$T$123</f>
        <v>0</v>
      </c>
      <c r="W130" s="61" t="n">
        <f aca="false">P130*U130</f>
        <v>0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65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4" t="n">
        <f aca="false">HLOOKUP(B131,$B$1:$K$121,$A$121,0)*$T$123</f>
        <v>24</v>
      </c>
      <c r="W131" s="61" t="n">
        <f aca="false">P131*U131</f>
        <v>952645.909090909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66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4" t="n">
        <f aca="false">HLOOKUP(B132,$B$1:$K$121,$A$121,0)*$T$123</f>
        <v>0</v>
      </c>
      <c r="W132" s="61" t="n">
        <f aca="false">P132*U132</f>
        <v>0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67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4" t="n">
        <f aca="false">HLOOKUP(B133,$B$1:$K$121,$A$121,0)*$T$123</f>
        <v>0</v>
      </c>
      <c r="W133" s="61" t="n">
        <f aca="false">P133*U133</f>
        <v>0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68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4" t="n">
        <f aca="false">HLOOKUP(B134,$B$1:$K$121,$A$121,0)*$T$123</f>
        <v>100</v>
      </c>
      <c r="W134" s="61" t="n">
        <f aca="false">P134*U134</f>
        <v>4503075.48701299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19992382.7380952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69</v>
      </c>
      <c r="H140" s="74" t="s">
        <v>70</v>
      </c>
      <c r="I140" s="74" t="s">
        <v>71</v>
      </c>
      <c r="J140" s="74" t="s">
        <v>72</v>
      </c>
      <c r="K140" s="74" t="s">
        <v>73</v>
      </c>
      <c r="L140" s="75" t="s">
        <v>74</v>
      </c>
      <c r="M140" s="75" t="s">
        <v>75</v>
      </c>
      <c r="N140" s="75" t="s">
        <v>76</v>
      </c>
      <c r="O140" s="75" t="s">
        <v>77</v>
      </c>
      <c r="P140" s="74" t="s">
        <v>78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79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2026-08-06T17:04:48Z</dcterms:created>
  <dc:creator>openpyxl</dc:creator>
  <dc:description/>
  <dc:language>es-CO</dc:language>
  <cp:lastModifiedBy>Full Service</cp:lastModifiedBy>
  <dcterms:modified xsi:type="dcterms:W3CDTF">2026-08-06T17:04:49Z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