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ll Service\Downloads\FullService Agents - Gustavo Navarro\QuoteDeveloperV2\cotizaciones\relia\"/>
    </mc:Choice>
  </mc:AlternateContent>
  <bookViews>
    <workbookView xWindow="0" yWindow="0" windowWidth="16380" windowHeight="8190" tabRatio="500"/>
  </bookViews>
  <sheets>
    <sheet name="Plantilla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34" i="1" l="1"/>
  <c r="B133" i="1"/>
  <c r="U133" i="1" s="1"/>
  <c r="B132" i="1"/>
  <c r="U132" i="1" s="1"/>
  <c r="B131" i="1"/>
  <c r="U131" i="1" s="1"/>
  <c r="U130" i="1"/>
  <c r="B130" i="1"/>
  <c r="U129" i="1"/>
  <c r="B129" i="1"/>
  <c r="B128" i="1"/>
  <c r="U128" i="1" s="1"/>
  <c r="B127" i="1"/>
  <c r="U127" i="1" s="1"/>
  <c r="U126" i="1"/>
  <c r="B126" i="1"/>
  <c r="U125" i="1"/>
  <c r="B125" i="1"/>
  <c r="O123" i="1"/>
  <c r="M123" i="1"/>
  <c r="M131" i="1" s="1"/>
  <c r="P131" i="1" s="1"/>
  <c r="W131" i="1" s="1"/>
  <c r="M122" i="1"/>
  <c r="M128" i="1" s="1"/>
  <c r="P128" i="1" s="1"/>
  <c r="W128" i="1" s="1"/>
  <c r="K121" i="1"/>
  <c r="J121" i="1"/>
  <c r="I121" i="1"/>
  <c r="H121" i="1"/>
  <c r="G121" i="1"/>
  <c r="F121" i="1"/>
  <c r="E121" i="1"/>
  <c r="D121" i="1"/>
  <c r="C121" i="1"/>
  <c r="B121" i="1"/>
  <c r="A121" i="1"/>
  <c r="AC119" i="1"/>
  <c r="AB119" i="1"/>
  <c r="X119" i="1"/>
  <c r="AC118" i="1"/>
  <c r="AB118" i="1"/>
  <c r="X118" i="1"/>
  <c r="AC117" i="1"/>
  <c r="AB117" i="1"/>
  <c r="X117" i="1"/>
  <c r="AC116" i="1"/>
  <c r="AB116" i="1"/>
  <c r="X116" i="1"/>
  <c r="AC115" i="1"/>
  <c r="AB115" i="1"/>
  <c r="X115" i="1"/>
  <c r="AC114" i="1"/>
  <c r="AB114" i="1"/>
  <c r="X114" i="1"/>
  <c r="AC113" i="1"/>
  <c r="AB113" i="1"/>
  <c r="X113" i="1"/>
  <c r="AC112" i="1"/>
  <c r="AB112" i="1"/>
  <c r="X112" i="1"/>
  <c r="AC111" i="1"/>
  <c r="AB111" i="1"/>
  <c r="X111" i="1"/>
  <c r="AC110" i="1"/>
  <c r="AB110" i="1"/>
  <c r="X110" i="1"/>
  <c r="AC109" i="1"/>
  <c r="AB109" i="1"/>
  <c r="X109" i="1"/>
  <c r="AC108" i="1"/>
  <c r="AB108" i="1"/>
  <c r="X108" i="1"/>
  <c r="AC107" i="1"/>
  <c r="AB107" i="1"/>
  <c r="X107" i="1"/>
  <c r="AC106" i="1"/>
  <c r="AB106" i="1"/>
  <c r="X106" i="1"/>
  <c r="AC105" i="1"/>
  <c r="AB105" i="1"/>
  <c r="X105" i="1"/>
  <c r="AC104" i="1"/>
  <c r="AB104" i="1"/>
  <c r="X104" i="1"/>
  <c r="AC103" i="1"/>
  <c r="AB103" i="1"/>
  <c r="X103" i="1"/>
  <c r="AC102" i="1"/>
  <c r="AB102" i="1"/>
  <c r="X102" i="1"/>
  <c r="AC101" i="1"/>
  <c r="AB101" i="1"/>
  <c r="X101" i="1"/>
  <c r="AC100" i="1"/>
  <c r="AB100" i="1"/>
  <c r="X100" i="1"/>
  <c r="AC99" i="1"/>
  <c r="AB99" i="1"/>
  <c r="X99" i="1"/>
  <c r="AC98" i="1"/>
  <c r="AB98" i="1"/>
  <c r="X98" i="1"/>
  <c r="AC97" i="1"/>
  <c r="AB97" i="1"/>
  <c r="X97" i="1"/>
  <c r="AC96" i="1"/>
  <c r="AB96" i="1"/>
  <c r="X96" i="1"/>
  <c r="AC95" i="1"/>
  <c r="AB95" i="1"/>
  <c r="X95" i="1"/>
  <c r="AC94" i="1"/>
  <c r="AB94" i="1"/>
  <c r="X94" i="1"/>
  <c r="AC93" i="1"/>
  <c r="AB93" i="1"/>
  <c r="X93" i="1"/>
  <c r="AC92" i="1"/>
  <c r="AB92" i="1"/>
  <c r="X92" i="1"/>
  <c r="AC91" i="1"/>
  <c r="AB91" i="1"/>
  <c r="X91" i="1"/>
  <c r="AC90" i="1"/>
  <c r="AB90" i="1"/>
  <c r="X90" i="1"/>
  <c r="AC89" i="1"/>
  <c r="AB89" i="1"/>
  <c r="X89" i="1"/>
  <c r="AC88" i="1"/>
  <c r="AB88" i="1"/>
  <c r="X88" i="1"/>
  <c r="AC87" i="1"/>
  <c r="AB87" i="1"/>
  <c r="X87" i="1"/>
  <c r="AC86" i="1"/>
  <c r="AB86" i="1"/>
  <c r="X86" i="1"/>
  <c r="AC85" i="1"/>
  <c r="AB85" i="1"/>
  <c r="X85" i="1"/>
  <c r="AC84" i="1"/>
  <c r="AB84" i="1"/>
  <c r="X84" i="1"/>
  <c r="AC83" i="1"/>
  <c r="AB83" i="1"/>
  <c r="X83" i="1"/>
  <c r="AC82" i="1"/>
  <c r="AB82" i="1"/>
  <c r="X82" i="1"/>
  <c r="AC81" i="1"/>
  <c r="AB81" i="1"/>
  <c r="X81" i="1"/>
  <c r="AC80" i="1"/>
  <c r="AB80" i="1"/>
  <c r="X80" i="1"/>
  <c r="AC79" i="1"/>
  <c r="AB79" i="1"/>
  <c r="X79" i="1"/>
  <c r="AC78" i="1"/>
  <c r="AB78" i="1"/>
  <c r="X78" i="1"/>
  <c r="AC77" i="1"/>
  <c r="AB77" i="1"/>
  <c r="X77" i="1"/>
  <c r="AC76" i="1"/>
  <c r="AB76" i="1"/>
  <c r="X76" i="1"/>
  <c r="AC75" i="1"/>
  <c r="AB75" i="1"/>
  <c r="X75" i="1"/>
  <c r="AC74" i="1"/>
  <c r="AB74" i="1"/>
  <c r="X74" i="1"/>
  <c r="AC73" i="1"/>
  <c r="AB73" i="1"/>
  <c r="X73" i="1"/>
  <c r="AC72" i="1"/>
  <c r="AB72" i="1"/>
  <c r="X72" i="1"/>
  <c r="AC71" i="1"/>
  <c r="AB71" i="1"/>
  <c r="X71" i="1"/>
  <c r="AC70" i="1"/>
  <c r="AB70" i="1"/>
  <c r="X70" i="1"/>
  <c r="AC69" i="1"/>
  <c r="AB69" i="1"/>
  <c r="X69" i="1"/>
  <c r="AC68" i="1"/>
  <c r="AB68" i="1"/>
  <c r="X68" i="1"/>
  <c r="AC67" i="1"/>
  <c r="AB67" i="1"/>
  <c r="X67" i="1"/>
  <c r="AC66" i="1"/>
  <c r="AB66" i="1"/>
  <c r="X66" i="1"/>
  <c r="AC65" i="1"/>
  <c r="AB65" i="1"/>
  <c r="X65" i="1"/>
  <c r="AC64" i="1"/>
  <c r="AB64" i="1"/>
  <c r="X64" i="1"/>
  <c r="AC63" i="1"/>
  <c r="AB63" i="1"/>
  <c r="X63" i="1"/>
  <c r="AC62" i="1"/>
  <c r="AB62" i="1"/>
  <c r="X62" i="1"/>
  <c r="AC61" i="1"/>
  <c r="AB61" i="1"/>
  <c r="X61" i="1"/>
  <c r="AC60" i="1"/>
  <c r="AB60" i="1"/>
  <c r="X60" i="1"/>
  <c r="AC59" i="1"/>
  <c r="AB59" i="1"/>
  <c r="X59" i="1"/>
  <c r="AC58" i="1"/>
  <c r="AB58" i="1"/>
  <c r="X58" i="1"/>
  <c r="AC57" i="1"/>
  <c r="AB57" i="1"/>
  <c r="X57" i="1"/>
  <c r="AC56" i="1"/>
  <c r="AB56" i="1"/>
  <c r="X56" i="1"/>
  <c r="AC55" i="1"/>
  <c r="AB55" i="1"/>
  <c r="X55" i="1"/>
  <c r="AC54" i="1"/>
  <c r="AB54" i="1"/>
  <c r="X54" i="1"/>
  <c r="AC53" i="1"/>
  <c r="AB53" i="1"/>
  <c r="X53" i="1"/>
  <c r="AC52" i="1"/>
  <c r="AB52" i="1"/>
  <c r="X52" i="1"/>
  <c r="AC51" i="1"/>
  <c r="AB51" i="1"/>
  <c r="X51" i="1"/>
  <c r="AC50" i="1"/>
  <c r="AB50" i="1"/>
  <c r="X50" i="1"/>
  <c r="AC49" i="1"/>
  <c r="AB49" i="1"/>
  <c r="X49" i="1"/>
  <c r="AC48" i="1"/>
  <c r="AB48" i="1"/>
  <c r="X48" i="1"/>
  <c r="AC47" i="1"/>
  <c r="AB47" i="1"/>
  <c r="X47" i="1"/>
  <c r="AC46" i="1"/>
  <c r="AB46" i="1"/>
  <c r="X46" i="1"/>
  <c r="AC45" i="1"/>
  <c r="AB45" i="1"/>
  <c r="X45" i="1"/>
  <c r="AC44" i="1"/>
  <c r="AB44" i="1"/>
  <c r="X44" i="1"/>
  <c r="AC43" i="1"/>
  <c r="AB43" i="1"/>
  <c r="X43" i="1"/>
  <c r="AC42" i="1"/>
  <c r="AB42" i="1"/>
  <c r="X42" i="1"/>
  <c r="AC41" i="1"/>
  <c r="AB41" i="1"/>
  <c r="X41" i="1"/>
  <c r="AC40" i="1"/>
  <c r="AB40" i="1"/>
  <c r="X40" i="1"/>
  <c r="AC39" i="1"/>
  <c r="AB39" i="1"/>
  <c r="X39" i="1"/>
  <c r="AC38" i="1"/>
  <c r="AB38" i="1"/>
  <c r="X38" i="1"/>
  <c r="AC37" i="1"/>
  <c r="AB37" i="1"/>
  <c r="X37" i="1"/>
  <c r="AC36" i="1"/>
  <c r="AB36" i="1"/>
  <c r="X36" i="1"/>
  <c r="AC35" i="1"/>
  <c r="AB35" i="1"/>
  <c r="X35" i="1"/>
  <c r="AB34" i="1"/>
  <c r="X34" i="1"/>
  <c r="AC33" i="1"/>
  <c r="AB33" i="1"/>
  <c r="X33" i="1"/>
  <c r="AC32" i="1"/>
  <c r="AB32" i="1"/>
  <c r="X32" i="1"/>
  <c r="AC31" i="1"/>
  <c r="AB31" i="1"/>
  <c r="X31" i="1"/>
  <c r="AC30" i="1"/>
  <c r="AB30" i="1"/>
  <c r="X30" i="1"/>
  <c r="AB29" i="1"/>
  <c r="X29" i="1"/>
  <c r="AC28" i="1"/>
  <c r="AB28" i="1"/>
  <c r="X28" i="1"/>
  <c r="AC27" i="1"/>
  <c r="AB27" i="1"/>
  <c r="X27" i="1"/>
  <c r="AB26" i="1"/>
  <c r="X26" i="1"/>
  <c r="AC25" i="1"/>
  <c r="AB25" i="1"/>
  <c r="X25" i="1"/>
  <c r="AC24" i="1"/>
  <c r="AB24" i="1"/>
  <c r="X24" i="1"/>
  <c r="AC23" i="1"/>
  <c r="AB23" i="1"/>
  <c r="X23" i="1"/>
  <c r="AB22" i="1"/>
  <c r="X22" i="1"/>
  <c r="AC21" i="1"/>
  <c r="AB21" i="1"/>
  <c r="X21" i="1"/>
  <c r="AC20" i="1"/>
  <c r="AB20" i="1"/>
  <c r="X20" i="1"/>
  <c r="AC19" i="1"/>
  <c r="AB19" i="1"/>
  <c r="X19" i="1"/>
  <c r="AC18" i="1"/>
  <c r="AB18" i="1"/>
  <c r="X18" i="1"/>
  <c r="AB17" i="1"/>
  <c r="X17" i="1"/>
  <c r="AC16" i="1"/>
  <c r="AB16" i="1"/>
  <c r="X16" i="1"/>
  <c r="AC15" i="1"/>
  <c r="AB15" i="1"/>
  <c r="X15" i="1"/>
  <c r="AC14" i="1"/>
  <c r="AB14" i="1"/>
  <c r="X14" i="1"/>
  <c r="AC13" i="1"/>
  <c r="AB13" i="1"/>
  <c r="X13" i="1"/>
  <c r="AC12" i="1"/>
  <c r="AB12" i="1"/>
  <c r="X12" i="1"/>
  <c r="AC11" i="1"/>
  <c r="AB11" i="1"/>
  <c r="X11" i="1"/>
  <c r="AC10" i="1"/>
  <c r="AB10" i="1"/>
  <c r="X10" i="1"/>
  <c r="AC9" i="1"/>
  <c r="AB9" i="1"/>
  <c r="X9" i="1"/>
  <c r="AB8" i="1"/>
  <c r="X8" i="1"/>
  <c r="AC7" i="1"/>
  <c r="AB7" i="1"/>
  <c r="X7" i="1"/>
  <c r="AC6" i="1"/>
  <c r="AB6" i="1"/>
  <c r="X6" i="1"/>
  <c r="AB5" i="1"/>
  <c r="X5" i="1"/>
  <c r="AB4" i="1"/>
  <c r="X4" i="1"/>
  <c r="AB3" i="1"/>
  <c r="X3" i="1"/>
  <c r="AB2" i="1"/>
  <c r="X2" i="1"/>
  <c r="A140" i="1" a="1"/>
  <c r="A144" i="1" l="1"/>
  <c r="A143" i="1"/>
  <c r="A142" i="1"/>
  <c r="A141" i="1"/>
  <c r="A140" i="1"/>
  <c r="M129" i="1"/>
  <c r="P129" i="1" s="1"/>
  <c r="W129" i="1" s="1"/>
  <c r="M134" i="1"/>
  <c r="P134" i="1" s="1"/>
  <c r="W134" i="1" s="1"/>
  <c r="M127" i="1"/>
  <c r="P127" i="1" s="1"/>
  <c r="W127" i="1" s="1"/>
  <c r="M132" i="1"/>
  <c r="P132" i="1" s="1"/>
  <c r="W132" i="1" s="1"/>
  <c r="M125" i="1"/>
  <c r="P125" i="1" s="1"/>
  <c r="M130" i="1"/>
  <c r="P130" i="1" s="1"/>
  <c r="W130" i="1" s="1"/>
  <c r="M133" i="1"/>
  <c r="P133" i="1" s="1"/>
  <c r="W133" i="1" s="1"/>
  <c r="M126" i="1"/>
  <c r="P126" i="1" s="1"/>
  <c r="W126" i="1" s="1"/>
  <c r="A110" i="1" l="1"/>
  <c r="A98" i="1"/>
  <c r="A86" i="1"/>
  <c r="A74" i="1"/>
  <c r="A62" i="1"/>
  <c r="A50" i="1"/>
  <c r="A38" i="1"/>
  <c r="A26" i="1"/>
  <c r="A14" i="1"/>
  <c r="A117" i="1"/>
  <c r="A105" i="1"/>
  <c r="A93" i="1"/>
  <c r="A81" i="1"/>
  <c r="A69" i="1"/>
  <c r="A57" i="1"/>
  <c r="A45" i="1"/>
  <c r="A33" i="1"/>
  <c r="A21" i="1"/>
  <c r="A9" i="1"/>
  <c r="W125" i="1"/>
  <c r="W135" i="1" s="1"/>
  <c r="A119" i="1"/>
  <c r="A107" i="1"/>
  <c r="A83" i="1"/>
  <c r="A71" i="1"/>
  <c r="A112" i="1"/>
  <c r="A100" i="1"/>
  <c r="A88" i="1"/>
  <c r="A76" i="1"/>
  <c r="A64" i="1"/>
  <c r="A52" i="1"/>
  <c r="A40" i="1"/>
  <c r="A28" i="1"/>
  <c r="A16" i="1"/>
  <c r="A4" i="1"/>
  <c r="Y4" i="1" s="1"/>
  <c r="AC4" i="1" s="1"/>
  <c r="A95" i="1"/>
  <c r="A59" i="1"/>
  <c r="A23" i="1"/>
  <c r="A114" i="1"/>
  <c r="A102" i="1"/>
  <c r="A90" i="1"/>
  <c r="A78" i="1"/>
  <c r="A66" i="1"/>
  <c r="A54" i="1"/>
  <c r="A42" i="1"/>
  <c r="A30" i="1"/>
  <c r="A18" i="1"/>
  <c r="A109" i="1"/>
  <c r="A97" i="1"/>
  <c r="A85" i="1"/>
  <c r="A73" i="1"/>
  <c r="A61" i="1"/>
  <c r="A49" i="1"/>
  <c r="A37" i="1"/>
  <c r="A25" i="1"/>
  <c r="A13" i="1"/>
  <c r="A22" i="1"/>
  <c r="A2" i="1"/>
  <c r="Y2" i="1" s="1"/>
  <c r="P135" i="1"/>
  <c r="A116" i="1"/>
  <c r="A104" i="1"/>
  <c r="A92" i="1"/>
  <c r="A80" i="1"/>
  <c r="A68" i="1"/>
  <c r="A56" i="1"/>
  <c r="A44" i="1"/>
  <c r="A32" i="1"/>
  <c r="A20" i="1"/>
  <c r="A8" i="1"/>
  <c r="A82" i="1"/>
  <c r="A43" i="1"/>
  <c r="A7" i="1"/>
  <c r="A111" i="1"/>
  <c r="A99" i="1"/>
  <c r="A87" i="1"/>
  <c r="A75" i="1"/>
  <c r="A63" i="1"/>
  <c r="A51" i="1"/>
  <c r="A39" i="1"/>
  <c r="A27" i="1"/>
  <c r="A15" i="1"/>
  <c r="A3" i="1"/>
  <c r="Y3" i="1" s="1"/>
  <c r="AC3" i="1" s="1"/>
  <c r="A70" i="1"/>
  <c r="A58" i="1"/>
  <c r="A55" i="1"/>
  <c r="A19" i="1"/>
  <c r="A118" i="1"/>
  <c r="A106" i="1"/>
  <c r="A94" i="1"/>
  <c r="A46" i="1"/>
  <c r="A34" i="1"/>
  <c r="A10" i="1"/>
  <c r="A113" i="1"/>
  <c r="A101" i="1"/>
  <c r="A89" i="1"/>
  <c r="A77" i="1"/>
  <c r="A65" i="1"/>
  <c r="A53" i="1"/>
  <c r="A41" i="1"/>
  <c r="A29" i="1"/>
  <c r="A17" i="1"/>
  <c r="A5" i="1"/>
  <c r="A91" i="1"/>
  <c r="A79" i="1"/>
  <c r="A47" i="1"/>
  <c r="A35" i="1"/>
  <c r="A11" i="1"/>
  <c r="A108" i="1"/>
  <c r="A96" i="1"/>
  <c r="A84" i="1"/>
  <c r="A72" i="1"/>
  <c r="A60" i="1"/>
  <c r="A48" i="1"/>
  <c r="A36" i="1"/>
  <c r="A24" i="1"/>
  <c r="A12" i="1"/>
  <c r="A115" i="1"/>
  <c r="A103" i="1"/>
  <c r="A67" i="1"/>
  <c r="A31" i="1"/>
  <c r="A6" i="1"/>
  <c r="AC2" i="1" l="1"/>
  <c r="Y13" i="1"/>
  <c r="Y8" i="1"/>
  <c r="AC8" i="1" s="1"/>
  <c r="Y10" i="1"/>
  <c r="Y9" i="1"/>
  <c r="Y16" i="1"/>
  <c r="Y11" i="1"/>
  <c r="Y14" i="1"/>
  <c r="Y15" i="1"/>
  <c r="Y12" i="1"/>
  <c r="Y25" i="1"/>
  <c r="Y23" i="1"/>
  <c r="Y22" i="1"/>
  <c r="AC22" i="1" s="1"/>
  <c r="Y24" i="1"/>
  <c r="Y28" i="1"/>
  <c r="Y26" i="1"/>
  <c r="AC26" i="1" s="1"/>
  <c r="Y27" i="1"/>
  <c r="Y37" i="1"/>
  <c r="Y49" i="1"/>
  <c r="Y106" i="1"/>
  <c r="Y110" i="1"/>
  <c r="Y70" i="1"/>
  <c r="Y51" i="1"/>
  <c r="Y89" i="1"/>
  <c r="Y72" i="1"/>
  <c r="Y68" i="1"/>
  <c r="Y80" i="1"/>
  <c r="Y92" i="1"/>
  <c r="Y64" i="1"/>
  <c r="Y85" i="1"/>
  <c r="Y60" i="1"/>
  <c r="Y114" i="1"/>
  <c r="Y47" i="1"/>
  <c r="Y54" i="1"/>
  <c r="Y101" i="1"/>
  <c r="Y57" i="1"/>
  <c r="Y40" i="1"/>
  <c r="Y52" i="1"/>
  <c r="Y74" i="1"/>
  <c r="Y119" i="1"/>
  <c r="Y118" i="1"/>
  <c r="Y34" i="1"/>
  <c r="AC34" i="1" s="1"/>
  <c r="Y71" i="1"/>
  <c r="Y35" i="1"/>
  <c r="Y113" i="1"/>
  <c r="Y84" i="1"/>
  <c r="Y104" i="1"/>
  <c r="Y46" i="1"/>
  <c r="Y97" i="1"/>
  <c r="Y38" i="1"/>
  <c r="Y87" i="1"/>
  <c r="Y63" i="1"/>
  <c r="Y50" i="1"/>
  <c r="Y45" i="1"/>
  <c r="Y96" i="1"/>
  <c r="Y48" i="1"/>
  <c r="Y73" i="1"/>
  <c r="Y98" i="1"/>
  <c r="Y78" i="1"/>
  <c r="Y42" i="1"/>
  <c r="Y99" i="1"/>
  <c r="Y83" i="1"/>
  <c r="Y81" i="1"/>
  <c r="Y108" i="1"/>
  <c r="Y116" i="1"/>
  <c r="Y53" i="1"/>
  <c r="Y117" i="1"/>
  <c r="Y62" i="1"/>
  <c r="Y90" i="1"/>
  <c r="Y107" i="1"/>
  <c r="Y55" i="1"/>
  <c r="Y61" i="1"/>
  <c r="Y76" i="1"/>
  <c r="Y88" i="1"/>
  <c r="Y39" i="1"/>
  <c r="Y66" i="1"/>
  <c r="Y43" i="1"/>
  <c r="Y102" i="1"/>
  <c r="Y59" i="1"/>
  <c r="Y115" i="1"/>
  <c r="Y79" i="1"/>
  <c r="Y103" i="1"/>
  <c r="Y94" i="1"/>
  <c r="Y112" i="1"/>
  <c r="Y75" i="1"/>
  <c r="Y100" i="1"/>
  <c r="Y109" i="1"/>
  <c r="Y56" i="1"/>
  <c r="Y95" i="1"/>
  <c r="Y58" i="1"/>
  <c r="Y41" i="1"/>
  <c r="Y69" i="1"/>
  <c r="Y36" i="1"/>
  <c r="Y93" i="1"/>
  <c r="Y91" i="1"/>
  <c r="Y86" i="1"/>
  <c r="Y82" i="1"/>
  <c r="Y111" i="1"/>
  <c r="Y67" i="1"/>
  <c r="Y65" i="1"/>
  <c r="Y105" i="1"/>
  <c r="Y44" i="1"/>
  <c r="Y77" i="1"/>
  <c r="Y6" i="1"/>
  <c r="Y5" i="1"/>
  <c r="AC5" i="1" s="1"/>
  <c r="Y7" i="1"/>
  <c r="Y21" i="1"/>
  <c r="Y17" i="1"/>
  <c r="AC17" i="1" s="1"/>
  <c r="Y20" i="1"/>
  <c r="Y19" i="1"/>
  <c r="Y18" i="1"/>
  <c r="Y32" i="1"/>
  <c r="Y33" i="1"/>
  <c r="Y29" i="1"/>
  <c r="AC29" i="1" s="1"/>
  <c r="Y30" i="1"/>
  <c r="Y31" i="1"/>
  <c r="AC1" i="1" l="1"/>
  <c r="Y1" i="1"/>
  <c r="Y122" i="1" s="1"/>
</calcChain>
</file>

<file path=xl/comments1.xml><?xml version="1.0" encoding="utf-8"?>
<comments xmlns="http://schemas.openxmlformats.org/spreadsheetml/2006/main">
  <authors>
    <author>None</author>
  </authors>
  <commentList>
    <comment ref="B1" authorId="0" shapeId="0">
      <text>
        <r>
          <rPr>
            <sz val="10"/>
            <rFont val="Arial"/>
            <family val="2"/>
          </rPr>
          <t>Bases de datos
Estructura Proyecto
Líder equipo, creación actividad
Taskman</t>
        </r>
      </text>
    </comment>
    <comment ref="C1" authorId="0" shapeId="0">
      <text>
        <r>
          <rPr>
            <sz val="10"/>
            <rFont val="Arial"/>
            <family val="2"/>
          </rPr>
          <t>Diseño interfaz</t>
        </r>
      </text>
    </comment>
    <comment ref="D1" authorId="0" shapeId="0">
      <text>
        <r>
          <rPr>
            <sz val="10"/>
            <rFont val="Arial"/>
            <family val="2"/>
          </rPr>
          <t>Frontend Medium</t>
        </r>
      </text>
    </comment>
    <comment ref="E1" authorId="0" shapeId="0">
      <text>
        <r>
          <rPr>
            <sz val="10"/>
            <rFont val="Arial"/>
            <family val="2"/>
          </rPr>
          <t>Backend Senior</t>
        </r>
      </text>
    </comment>
    <comment ref="F1" authorId="0" shapeId="0">
      <text>
        <r>
          <rPr>
            <sz val="10"/>
            <rFont val="Arial"/>
            <family val="2"/>
          </rPr>
          <t>Backend Medium</t>
        </r>
      </text>
    </comment>
    <comment ref="G1" authorId="0" shapeId="0">
      <text>
        <r>
          <rPr>
            <sz val="10"/>
            <rFont val="Arial"/>
            <family val="2"/>
          </rPr>
          <t>QA, Test</t>
        </r>
      </text>
    </comment>
    <comment ref="H1" authorId="0" shapeId="0">
      <text>
        <r>
          <rPr>
            <sz val="10"/>
            <rFont val="Arial"/>
            <family val="2"/>
          </rPr>
          <t>Implementación, capacitación, entrega</t>
        </r>
      </text>
    </comment>
    <comment ref="I1" authorId="0" shapeId="0">
      <text>
        <r>
          <rPr>
            <sz val="10"/>
            <rFont val="Arial"/>
            <family val="2"/>
          </rPr>
          <t>Mobile Semi-senior</t>
        </r>
      </text>
    </comment>
    <comment ref="J1" authorId="0" shapeId="0">
      <text>
        <r>
          <rPr>
            <sz val="10"/>
            <rFont val="Arial"/>
            <family val="2"/>
          </rPr>
          <t>Mobile Medium</t>
        </r>
      </text>
    </comment>
    <comment ref="K1" authorId="0" shape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O1" authorId="0" shapeId="0">
      <text>
        <r>
          <rPr>
            <sz val="10"/>
            <rFont val="Arial"/>
            <family val="2"/>
          </rPr>
          <t xml:space="preserve">Resumen del Proyecto 
</t>
        </r>
      </text>
    </comment>
    <comment ref="W1" authorId="0" shapeId="0">
      <text>
        <r>
          <rPr>
            <sz val="10"/>
            <rFont val="Arial"/>
            <family val="2"/>
          </rPr>
          <t>Fecha de actualización</t>
        </r>
      </text>
    </comment>
    <comment ref="Y1" authorId="0" shapeId="0">
      <text>
        <r>
          <rPr>
            <sz val="10"/>
            <rFont val="Arial"/>
            <family val="2"/>
          </rPr>
          <t>COSTO con todos los alcances</t>
        </r>
      </text>
    </comment>
    <comment ref="Z1" authorId="0" shapeId="0">
      <text>
        <r>
          <rPr>
            <sz val="10"/>
            <rFont val="Arial"/>
            <family val="2"/>
          </rPr>
          <t>Alcances que se consideran importantes para el cliente, son Plus o hacen parte esencial de la oferta de valor</t>
        </r>
      </text>
    </comment>
    <comment ref="AA1" authorId="0" shapeId="0">
      <text>
        <r>
          <rPr>
            <sz val="10"/>
            <rFont val="Arial"/>
            <family val="2"/>
          </rPr>
          <t>Ítems o funcionalidades que No son criticas o prioritarias en el sistema y sería posible eliminarlas</t>
        </r>
      </text>
    </comment>
    <comment ref="AB1" authorId="0" shapeId="0">
      <text>
        <r>
          <rPr>
            <sz val="10"/>
            <rFont val="Arial"/>
            <family val="2"/>
          </rPr>
          <t>Selección de alcances, para creación de 2da versión de la oferta</t>
        </r>
      </text>
    </comment>
    <comment ref="I122" authorId="0" shapeId="0">
      <text>
        <r>
          <rPr>
            <sz val="10"/>
            <rFont val="Arial"/>
            <family val="2"/>
          </rPr>
          <t>Valor mensual por persona</t>
        </r>
      </text>
    </comment>
    <comment ref="M122" authorId="0" shapeId="0">
      <text>
        <r>
          <rPr>
            <sz val="10"/>
            <rFont val="Arial"/>
            <family val="2"/>
          </rPr>
          <t>Espacio de trabajo + Computador</t>
        </r>
      </text>
    </comment>
    <comment ref="E123" authorId="0" shapeId="0">
      <text>
        <r>
          <rPr>
            <sz val="10"/>
            <rFont val="Arial"/>
            <family val="2"/>
          </rPr>
          <t>Salario minimo legal vigente</t>
        </r>
      </text>
    </comment>
    <comment ref="G123" authorId="0" shapeId="0">
      <text>
        <r>
          <rPr>
            <sz val="10"/>
            <rFont val="Arial"/>
            <family val="2"/>
          </rPr>
          <t>Auxilio de transporte</t>
        </r>
      </text>
    </comment>
    <comment ref="J123" authorId="0" shapeId="0">
      <text>
        <r>
          <rPr>
            <sz val="10"/>
            <rFont val="Arial"/>
            <family val="2"/>
          </rPr>
          <t>12% pensión
4% caja
0,5% ARL
13% adicional si fueran +10 salarios</t>
        </r>
      </text>
    </comment>
    <comment ref="M123" authorId="0" shapeId="0">
      <text>
        <r>
          <rPr>
            <sz val="10"/>
            <rFont val="Arial"/>
            <family val="2"/>
          </rPr>
          <t>1 primas
1 cesantías
0,5 vacaciones
1% intereses censantías + aux</t>
        </r>
      </text>
    </comment>
    <comment ref="O123" authorId="0" shapeId="0">
      <text>
        <r>
          <rPr>
            <sz val="10"/>
            <rFont val="Arial"/>
            <family val="2"/>
          </rPr>
          <t>40 semanales
x 4,2 semanas al mes
x días festivos del año / total hábiles</t>
        </r>
      </text>
    </comment>
    <comment ref="I130" authorId="0" shapeId="0">
      <text>
        <r>
          <rPr>
            <sz val="10"/>
            <rFont val="Arial"/>
            <family val="2"/>
          </rPr>
          <t>Equipos mobile para test</t>
        </r>
      </text>
    </comment>
    <comment ref="I132" authorId="0" shapeId="0">
      <text>
        <r>
          <rPr>
            <sz val="10"/>
            <rFont val="Arial"/>
            <family val="2"/>
          </rPr>
          <t>Equipo MAC para despliegue</t>
        </r>
      </text>
    </comment>
    <comment ref="I133" authorId="0" shapeId="0">
      <text>
        <r>
          <rPr>
            <sz val="10"/>
            <rFont val="Arial"/>
            <family val="2"/>
          </rPr>
          <t>Equipo MAC para despliegue</t>
        </r>
      </text>
    </comment>
  </commentList>
</comments>
</file>

<file path=xl/sharedStrings.xml><?xml version="1.0" encoding="utf-8"?>
<sst xmlns="http://schemas.openxmlformats.org/spreadsheetml/2006/main" count="90" uniqueCount="88">
  <si>
    <t>Días de Trabajo por especialidad</t>
  </si>
  <si>
    <t>DB</t>
  </si>
  <si>
    <t>UX</t>
  </si>
  <si>
    <t>FM</t>
  </si>
  <si>
    <t>BS</t>
  </si>
  <si>
    <t>BM</t>
  </si>
  <si>
    <t>QA</t>
  </si>
  <si>
    <t>IM</t>
  </si>
  <si>
    <t>MS</t>
  </si>
  <si>
    <t>MM</t>
  </si>
  <si>
    <t xml:space="preserve">IA </t>
  </si>
  <si>
    <t>Resumen</t>
  </si>
  <si>
    <t>Escribe acá una breve descripción del proyecto</t>
  </si>
  <si>
    <t>Plus</t>
  </si>
  <si>
    <t>Quitar</t>
  </si>
  <si>
    <t>2da Ver</t>
  </si>
  <si>
    <t>Estructura del proyecto</t>
  </si>
  <si>
    <t>UX y esquema del proyecto</t>
  </si>
  <si>
    <t>Implementación y entrega del sistema</t>
  </si>
  <si>
    <t xml:space="preserve">Estructura del agente IA </t>
  </si>
  <si>
    <t>MÓDULO 1. CARTERA Y DEUDORES - gestión de saldos a favor, reportes de pagos y conciliación con notas crédito de Siigo</t>
  </si>
  <si>
    <t>Saldo a favor y abonos automáticos</t>
  </si>
  <si>
    <t>Parametrización de abono automático del excedente de un pago a la siguiente factura disponible del deudor, o registro como saldo a favor si no hay más facturas pendientes, con opción configurable por la empresa para habilitar o no el abono automático.</t>
  </si>
  <si>
    <t>Reportes de pagos</t>
  </si>
  <si>
    <t>Descarga de plantilla e importación masiva de pagos recibidos.</t>
  </si>
  <si>
    <t>Detección y exportación de errores de importación por ítem.</t>
  </si>
  <si>
    <t>Descarga del reporte de pagos recibidos.</t>
  </si>
  <si>
    <t>Notas crédito Siigo</t>
  </si>
  <si>
    <t>Extracción de notas crédito desde la API de Siigo y cruce automático con las facturas vigentes del sistema, aplicando el descuento correspondiente y dejando historial del consecutivo de la nota crédito.</t>
  </si>
  <si>
    <t>MÓDULO 2. ACUERDOS Y GESTIÓN DE PAGOS - acuerdos de pago consolidados y anulación de pagos sobre facturas</t>
  </si>
  <si>
    <t>Acuerdos de pago</t>
  </si>
  <si>
    <t>Sección para que el administrador seleccione varias facturas de un mismo deudor y cree un acuerdo de pago consolidado.</t>
  </si>
  <si>
    <t>Anulación de pagos</t>
  </si>
  <si>
    <t>Opción de anular un pago desde el listado de pagos de una factura, con la posibilidad de anularlo por completo o trasladarlo a otra factura del mismo deudor.</t>
  </si>
  <si>
    <t>MÓDULO 3. SEGUIMIENTO Y RELACIONAMIENTO CON DEUDORES - historial de gestiones y contactos realizados a cada deudor</t>
  </si>
  <si>
    <t>Historial de seguimiento</t>
  </si>
  <si>
    <t>Historial de seguimiento por deudor con registro de pagos reportados, acuerdos de pago y contactos por llamada o WhatsApp.</t>
  </si>
  <si>
    <t>Descarga del historial de seguimiento en Excel con encabezado personalizado.</t>
  </si>
  <si>
    <t>MÓDULO 4. CAMPAÑAS DE COBRO - envío de campañas de cobro por correo electrónico</t>
  </si>
  <si>
    <t>Campaña de cobro por correo</t>
  </si>
  <si>
    <t>Envío de campañas de cobro por correo electrónico a los deudores.</t>
  </si>
  <si>
    <t>MÓDULO 5. PARAMETRIZACIÓN GENERAL - configuraciones específicas de centros educativos y ajuste al peso</t>
  </si>
  <si>
    <t>Parametrización de centros educativos</t>
  </si>
  <si>
    <t>Inclusión de los deudores de los centros educativos de Cúcuta y San Gil dentro de Campuslands.</t>
  </si>
  <si>
    <t>Ajuste automático al peso</t>
  </si>
  <si>
    <t>Configuración del valor de ajuste automático al peso de las facturas, para evitar que queden facturas en mora por valores mínimos.</t>
  </si>
  <si>
    <t>MÓDULO 6. PORTAL DEL CLIENTE - portal de autoservicio para que el deudor consulte y gestione su cartera</t>
  </si>
  <si>
    <t>Portal de autoservicio del deudor</t>
  </si>
  <si>
    <t>Consulta del plan de pagos vigente.</t>
  </si>
  <si>
    <t>Historial de facturas pagadas.</t>
  </si>
  <si>
    <t>Registro de pagos con adjunto de comprobante.</t>
  </si>
  <si>
    <t>Calificación del servicio.</t>
  </si>
  <si>
    <t>No borrar</t>
  </si>
  <si>
    <t>Costos Fijos -&gt;</t>
  </si>
  <si>
    <t>Min</t>
  </si>
  <si>
    <t>Aux</t>
  </si>
  <si>
    <t>SS</t>
  </si>
  <si>
    <t>Prov</t>
  </si>
  <si>
    <t>Horas</t>
  </si>
  <si>
    <t>AIU</t>
  </si>
  <si>
    <t>Horas Rango</t>
  </si>
  <si>
    <t>Básico</t>
  </si>
  <si>
    <t>Bono</t>
  </si>
  <si>
    <t>Otros</t>
  </si>
  <si>
    <t>TOTAL</t>
  </si>
  <si>
    <t>Valor Hora</t>
  </si>
  <si>
    <t>Valor Proyecto</t>
  </si>
  <si>
    <t>DB, Líder, Arquitecto, Scrum</t>
  </si>
  <si>
    <t>Diseño UI/UX</t>
  </si>
  <si>
    <t>FrontEnd Medium</t>
  </si>
  <si>
    <t>BackEnd Senior</t>
  </si>
  <si>
    <t>BackEnd Semi-Senior</t>
  </si>
  <si>
    <t>QA, Test</t>
  </si>
  <si>
    <t>Implementación, Capacitación</t>
  </si>
  <si>
    <t>Mobile Semi-Senior</t>
  </si>
  <si>
    <t>Mobile Medium</t>
  </si>
  <si>
    <t xml:space="preserve">BackEnd IA 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</si>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</sst>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\ * #,##0.00_-;\-&quot;$&quot;\ * #,##0.00_-;_-&quot;$&quot;\ * &quot;-&quot;??_-;_-@_-"/>
    <numFmt numFmtId="164" formatCode="d\ mmmm\ yyyy"/>
    <numFmt numFmtId="165" formatCode="\$#,##0"/>
    <numFmt numFmtId="166" formatCode="#,##0_);[Red]#,##0"/>
    <numFmt numFmtId="167" formatCode="\ mmmm\ "/>
  </numFmts>
  <fonts count="19">
    <font>
      <sz val="10"/>
      <color rgb="FF000000"/>
      <name val="Arial"/>
      <charset val="1"/>
    </font>
    <font>
      <sz val="10"/>
      <name val="Arial"/>
    </font>
    <font>
      <b/>
      <sz val="10"/>
      <color theme="1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2"/>
      <color rgb="FFFFFFFF"/>
      <name val="Arial"/>
      <charset val="1"/>
    </font>
    <font>
      <b/>
      <sz val="11"/>
      <color theme="1"/>
      <name val="Arial"/>
      <charset val="1"/>
    </font>
    <font>
      <sz val="14"/>
      <color rgb="FF00000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000000"/>
      <name val="&quot;Calibri&quot;"/>
      <charset val="1"/>
    </font>
    <font>
      <sz val="11"/>
      <color rgb="FF000000"/>
      <name val="&quot;Calibri&quot;"/>
      <charset val="1"/>
    </font>
    <font>
      <b/>
      <sz val="10"/>
      <color rgb="FFFF0000"/>
      <name val="Arial"/>
      <charset val="1"/>
    </font>
    <font>
      <sz val="8"/>
      <color theme="1"/>
      <name val="Arial"/>
      <charset val="1"/>
    </font>
    <font>
      <sz val="10"/>
      <color rgb="FF686868"/>
      <name val="&quot;Open Sans&quot;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86">
    <xf numFmtId="0" fontId="0" fillId="0" borderId="0" xfId="0"/>
    <xf numFmtId="0" fontId="6" fillId="1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6" fontId="2" fillId="18" borderId="0" xfId="0" applyNumberFormat="1" applyFont="1" applyFill="1" applyBorder="1" applyAlignment="1">
      <alignment horizontal="right" vertical="center"/>
    </xf>
    <xf numFmtId="166" fontId="4" fillId="17" borderId="0" xfId="0" applyNumberFormat="1" applyFont="1" applyFill="1" applyBorder="1" applyAlignment="1">
      <alignment horizontal="right" vertical="center"/>
    </xf>
    <xf numFmtId="166" fontId="4" fillId="0" borderId="0" xfId="0" applyNumberFormat="1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center" vertical="center"/>
    </xf>
    <xf numFmtId="166" fontId="4" fillId="10" borderId="0" xfId="0" applyNumberFormat="1" applyFont="1" applyFill="1" applyBorder="1" applyAlignment="1">
      <alignment horizontal="right" vertical="center"/>
    </xf>
    <xf numFmtId="166" fontId="2" fillId="10" borderId="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165" fontId="5" fillId="6" borderId="0" xfId="0" applyNumberFormat="1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center" vertical="center"/>
    </xf>
    <xf numFmtId="9" fontId="2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0" xfId="0" applyNumberFormat="1" applyFont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/>
    <xf numFmtId="0" fontId="4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11" borderId="0" xfId="0" applyFont="1" applyFill="1" applyAlignment="1">
      <alignment vertical="center"/>
    </xf>
    <xf numFmtId="3" fontId="16" fillId="11" borderId="0" xfId="0" applyNumberFormat="1" applyFont="1" applyFill="1" applyAlignment="1">
      <alignment vertical="center"/>
    </xf>
    <xf numFmtId="0" fontId="16" fillId="12" borderId="0" xfId="0" applyFont="1" applyFill="1" applyAlignment="1">
      <alignment vertical="center"/>
    </xf>
    <xf numFmtId="3" fontId="16" fillId="12" borderId="0" xfId="0" applyNumberFormat="1" applyFont="1" applyFill="1" applyAlignment="1">
      <alignment vertical="center"/>
    </xf>
    <xf numFmtId="0" fontId="16" fillId="13" borderId="0" xfId="0" applyFont="1" applyFill="1" applyAlignment="1">
      <alignment vertical="center"/>
    </xf>
    <xf numFmtId="9" fontId="16" fillId="13" borderId="0" xfId="0" applyNumberFormat="1" applyFont="1" applyFill="1" applyAlignment="1">
      <alignment vertical="center"/>
    </xf>
    <xf numFmtId="0" fontId="16" fillId="14" borderId="0" xfId="0" applyFont="1" applyFill="1" applyAlignment="1">
      <alignment vertical="center"/>
    </xf>
    <xf numFmtId="9" fontId="16" fillId="14" borderId="0" xfId="0" applyNumberFormat="1" applyFont="1" applyFill="1" applyAlignment="1">
      <alignment vertical="center"/>
    </xf>
    <xf numFmtId="0" fontId="16" fillId="15" borderId="0" xfId="0" applyFont="1" applyFill="1" applyAlignment="1">
      <alignment vertical="center"/>
    </xf>
    <xf numFmtId="1" fontId="16" fillId="15" borderId="0" xfId="0" applyNumberFormat="1" applyFont="1" applyFill="1" applyAlignment="1">
      <alignment vertical="center"/>
    </xf>
    <xf numFmtId="9" fontId="6" fillId="13" borderId="0" xfId="0" applyNumberFormat="1" applyFont="1" applyFill="1" applyAlignment="1">
      <alignment vertical="center"/>
    </xf>
    <xf numFmtId="0" fontId="16" fillId="16" borderId="0" xfId="0" applyFont="1" applyFill="1" applyAlignment="1">
      <alignment horizontal="center" vertical="center"/>
    </xf>
    <xf numFmtId="0" fontId="16" fillId="16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66" fontId="4" fillId="17" borderId="0" xfId="0" applyNumberFormat="1" applyFont="1" applyFill="1" applyAlignment="1">
      <alignment horizontal="right" vertical="center"/>
    </xf>
    <xf numFmtId="166" fontId="2" fillId="18" borderId="0" xfId="0" applyNumberFormat="1" applyFont="1" applyFill="1" applyAlignment="1">
      <alignment horizontal="right" vertical="center"/>
    </xf>
    <xf numFmtId="0" fontId="17" fillId="7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19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165" fontId="2" fillId="20" borderId="2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165" fontId="4" fillId="20" borderId="2" xfId="0" applyNumberFormat="1" applyFont="1" applyFill="1" applyBorder="1" applyAlignment="1">
      <alignment horizontal="center" vertical="center"/>
    </xf>
    <xf numFmtId="44" fontId="1" fillId="0" borderId="0" xfId="1" applyAlignment="1">
      <alignment horizontal="center" vertical="center"/>
    </xf>
  </cellXfs>
  <cellStyles count="2">
    <cellStyle name="Moneda" xfId="1" builtinId="4"/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CCCCCC"/>
        </patternFill>
      </fill>
    </dxf>
    <dxf>
      <font>
        <b/>
      </font>
      <fill>
        <patternFill>
          <bgColor rgb="FF00FF00"/>
        </patternFill>
      </fill>
    </dxf>
    <dxf>
      <font>
        <b/>
      </font>
      <fill>
        <patternFill>
          <bgColor rgb="FFFCE8B2"/>
        </patternFill>
      </fill>
    </dxf>
    <dxf>
      <font>
        <color rgb="FFFFD966"/>
      </font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E167"/>
  <sheetViews>
    <sheetView tabSelected="1" zoomScaleNormal="100" workbookViewId="0">
      <pane ySplit="1" topLeftCell="A113" activePane="bottomLeft" state="frozen"/>
      <selection pane="bottomLeft" activeCell="Z129" sqref="Z129"/>
    </sheetView>
  </sheetViews>
  <sheetFormatPr baseColWidth="10" defaultColWidth="12.5703125" defaultRowHeight="15.75" customHeight="1"/>
  <cols>
    <col min="1" max="1" width="23.85546875" customWidth="1"/>
    <col min="2" max="4" width="5" customWidth="1"/>
    <col min="5" max="5" width="6.7109375" customWidth="1"/>
    <col min="6" max="8" width="5" customWidth="1"/>
    <col min="9" max="22" width="4.5703125" customWidth="1"/>
    <col min="23" max="23" width="19.140625" customWidth="1"/>
    <col min="24" max="24" width="4.5703125" customWidth="1"/>
    <col min="25" max="25" width="15.42578125" bestFit="1" customWidth="1"/>
    <col min="26" max="27" width="6" customWidth="1"/>
    <col min="28" max="28" width="14" customWidth="1"/>
    <col min="29" max="29" width="15" customWidth="1"/>
    <col min="30" max="31" width="4.5703125" customWidth="1"/>
  </cols>
  <sheetData>
    <row r="1" spans="1:31" ht="25.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1" t="s">
        <v>11</v>
      </c>
      <c r="N1" s="11"/>
      <c r="O1" s="10" t="s">
        <v>12</v>
      </c>
      <c r="P1" s="10"/>
      <c r="Q1" s="10"/>
      <c r="R1" s="10"/>
      <c r="S1" s="10"/>
      <c r="T1" s="10"/>
      <c r="U1" s="10"/>
      <c r="V1" s="14"/>
      <c r="W1" s="15">
        <v>46049</v>
      </c>
      <c r="X1" s="14"/>
      <c r="Y1" s="16">
        <f>SUMIFS(Y2:Y120,L2:L120,"&lt;&gt;"&amp;"")</f>
        <v>14347696.971861474</v>
      </c>
      <c r="Z1" s="14" t="s">
        <v>13</v>
      </c>
      <c r="AA1" s="17" t="s">
        <v>14</v>
      </c>
      <c r="AB1" s="18" t="s">
        <v>15</v>
      </c>
      <c r="AC1" s="19">
        <f>SUM(AC2:AC120)</f>
        <v>14347696.971861474</v>
      </c>
      <c r="AD1" s="14"/>
      <c r="AE1" s="14"/>
    </row>
    <row r="2" spans="1:31" ht="15.75" customHeight="1">
      <c r="A2" s="20">
        <f t="shared" ref="A2:A33" si="0">(B2*$P$125+C2*$P$126+D2*$P$127+E2*$P$128+F2*$P$129+G2*$P$130+H2*$P$131+I2*$P$132+J2*$P$133+K2*$P$134)*$T$123</f>
        <v>1204824.2424242427</v>
      </c>
      <c r="B2" s="21">
        <v>2</v>
      </c>
      <c r="C2" s="22"/>
      <c r="D2" s="22"/>
      <c r="E2" s="22"/>
      <c r="F2" s="22"/>
      <c r="G2" s="22"/>
      <c r="H2" s="22"/>
      <c r="I2" s="22"/>
      <c r="J2" s="23"/>
      <c r="K2" s="23"/>
      <c r="L2" s="24" t="s">
        <v>16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f>COUNTIF($L$2:L2,"&lt;&gt;"&amp;"")</f>
        <v>1</v>
      </c>
      <c r="Y2" s="27">
        <f t="shared" ref="Y2:Y33" si="1">SUMIF($X$2:$X$120,X2,$A$2:$A$120)</f>
        <v>1204824.2424242427</v>
      </c>
      <c r="Z2" s="28"/>
      <c r="AA2" s="29"/>
      <c r="AB2" s="30" t="b">
        <f>TRUE()</f>
        <v>1</v>
      </c>
      <c r="AC2" s="31">
        <f t="shared" ref="AC2:AC33" si="2">IF(L2="",0,IF(AB2=FALSE(),0,Y2))</f>
        <v>1204824.2424242427</v>
      </c>
      <c r="AD2" s="23"/>
      <c r="AE2" s="23"/>
    </row>
    <row r="3" spans="1:31" ht="15.75" customHeight="1">
      <c r="A3" s="20">
        <f t="shared" si="0"/>
        <v>494784.64285714296</v>
      </c>
      <c r="B3" s="22"/>
      <c r="C3" s="21">
        <v>1.5</v>
      </c>
      <c r="D3" s="21"/>
      <c r="E3" s="22"/>
      <c r="F3" s="22"/>
      <c r="G3" s="22"/>
      <c r="H3" s="22"/>
      <c r="I3" s="22"/>
      <c r="J3" s="23"/>
      <c r="K3" s="23"/>
      <c r="L3" s="24" t="s">
        <v>17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f>COUNTIF($L$2:L3,"&lt;&gt;"&amp;"")</f>
        <v>2</v>
      </c>
      <c r="Y3" s="27">
        <f t="shared" si="1"/>
        <v>494784.64285714296</v>
      </c>
      <c r="Z3" s="28"/>
      <c r="AA3" s="29"/>
      <c r="AB3" s="30" t="b">
        <f>TRUE()</f>
        <v>1</v>
      </c>
      <c r="AC3" s="31">
        <f t="shared" si="2"/>
        <v>494784.64285714296</v>
      </c>
      <c r="AD3" s="23"/>
      <c r="AE3" s="23"/>
    </row>
    <row r="4" spans="1:31" ht="15.75" customHeight="1">
      <c r="A4" s="20">
        <f t="shared" si="0"/>
        <v>476322.95454545459</v>
      </c>
      <c r="B4" s="22"/>
      <c r="C4" s="22"/>
      <c r="D4" s="22"/>
      <c r="E4" s="22"/>
      <c r="F4" s="22"/>
      <c r="G4" s="22"/>
      <c r="H4" s="21">
        <v>1.5</v>
      </c>
      <c r="I4" s="22"/>
      <c r="J4" s="23"/>
      <c r="K4" s="23"/>
      <c r="L4" s="24" t="s">
        <v>18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f>COUNTIF($L$2:L4,"&lt;&gt;"&amp;"")</f>
        <v>3</v>
      </c>
      <c r="Y4" s="27">
        <f t="shared" si="1"/>
        <v>476322.95454545459</v>
      </c>
      <c r="Z4" s="28"/>
      <c r="AA4" s="32"/>
      <c r="AB4" s="30" t="b">
        <f>TRUE()</f>
        <v>1</v>
      </c>
      <c r="AC4" s="31">
        <f t="shared" si="2"/>
        <v>476322.95454545459</v>
      </c>
      <c r="AD4" s="23"/>
      <c r="AE4" s="23"/>
    </row>
    <row r="5" spans="1:31" ht="15.75" customHeight="1">
      <c r="A5" s="20">
        <f t="shared" si="0"/>
        <v>301206.06060606067</v>
      </c>
      <c r="B5" s="23">
        <v>0.5</v>
      </c>
      <c r="C5" s="23"/>
      <c r="D5" s="23"/>
      <c r="E5" s="23"/>
      <c r="F5" s="23"/>
      <c r="G5" s="23"/>
      <c r="H5" s="23"/>
      <c r="I5" s="23"/>
      <c r="J5" s="23"/>
      <c r="K5" s="23"/>
      <c r="L5" s="24" t="s">
        <v>19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f>COUNTIF($L$2:L5,"&lt;&gt;"&amp;"")</f>
        <v>4</v>
      </c>
      <c r="Y5" s="27">
        <f t="shared" si="1"/>
        <v>301206.06060606067</v>
      </c>
      <c r="Z5" s="28"/>
      <c r="AA5" s="32"/>
      <c r="AB5" s="30" t="b">
        <f>TRUE()</f>
        <v>1</v>
      </c>
      <c r="AC5" s="31">
        <f t="shared" si="2"/>
        <v>301206.06060606067</v>
      </c>
      <c r="AD5" s="23"/>
      <c r="AE5" s="23"/>
    </row>
    <row r="6" spans="1:31" ht="15" customHeight="1">
      <c r="A6" s="20">
        <f t="shared" si="0"/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3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f>COUNTIF($L$2:L6,"&lt;&gt;"&amp;"")</f>
        <v>4</v>
      </c>
      <c r="Y6" s="27">
        <f t="shared" si="1"/>
        <v>301206.06060606067</v>
      </c>
      <c r="Z6" s="28"/>
      <c r="AA6" s="29"/>
      <c r="AB6" s="30" t="b">
        <f>TRUE()</f>
        <v>1</v>
      </c>
      <c r="AC6" s="31">
        <f t="shared" si="2"/>
        <v>0</v>
      </c>
      <c r="AD6" s="23"/>
      <c r="AE6" s="23"/>
    </row>
    <row r="7" spans="1:31" ht="15" customHeight="1">
      <c r="A7" s="20">
        <f t="shared" si="0"/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33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f>COUNTIF($L$2:L7,"&lt;&gt;"&amp;"")</f>
        <v>4</v>
      </c>
      <c r="Y7" s="27">
        <f t="shared" si="1"/>
        <v>301206.06060606067</v>
      </c>
      <c r="Z7" s="28"/>
      <c r="AA7" s="32"/>
      <c r="AB7" s="30" t="b">
        <f>TRUE()</f>
        <v>1</v>
      </c>
      <c r="AC7" s="31">
        <f t="shared" si="2"/>
        <v>0</v>
      </c>
      <c r="AD7" s="23"/>
      <c r="AE7" s="23"/>
    </row>
    <row r="8" spans="1:31" ht="15.75" customHeight="1">
      <c r="A8" s="20">
        <f t="shared" si="0"/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34" t="s">
        <v>20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>
        <f>COUNTIF($L$2:L8,"&lt;&gt;"&amp;"")</f>
        <v>5</v>
      </c>
      <c r="Y8" s="27">
        <f t="shared" si="1"/>
        <v>3434759.4047619053</v>
      </c>
      <c r="Z8" s="28"/>
      <c r="AA8" s="29"/>
      <c r="AB8" s="30" t="b">
        <f>TRUE()</f>
        <v>1</v>
      </c>
      <c r="AC8" s="31">
        <f t="shared" si="2"/>
        <v>3434759.4047619053</v>
      </c>
      <c r="AD8" s="35"/>
      <c r="AE8" s="35"/>
    </row>
    <row r="9" spans="1:31" ht="12.75" customHeight="1">
      <c r="A9" s="20">
        <f t="shared" si="0"/>
        <v>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6"/>
      <c r="M9" s="36" t="s">
        <v>21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f>COUNTIF($L$2:L9,"&lt;&gt;"&amp;"")</f>
        <v>5</v>
      </c>
      <c r="Y9" s="27">
        <f t="shared" si="1"/>
        <v>3434759.4047619053</v>
      </c>
      <c r="Z9" s="28"/>
      <c r="AA9" s="29"/>
      <c r="AB9" s="30" t="b">
        <f>TRUE()</f>
        <v>1</v>
      </c>
      <c r="AC9" s="31">
        <f t="shared" si="2"/>
        <v>0</v>
      </c>
      <c r="AD9" s="35"/>
      <c r="AE9" s="35"/>
    </row>
    <row r="10" spans="1:31" ht="12.75" customHeight="1">
      <c r="A10" s="20">
        <f t="shared" si="0"/>
        <v>853311.98051948054</v>
      </c>
      <c r="B10" s="23"/>
      <c r="C10" s="23"/>
      <c r="D10" s="23"/>
      <c r="E10" s="23">
        <v>1.5</v>
      </c>
      <c r="F10" s="23"/>
      <c r="G10" s="23">
        <v>0.5</v>
      </c>
      <c r="H10" s="23"/>
      <c r="I10" s="23"/>
      <c r="J10" s="23"/>
      <c r="K10" s="23"/>
      <c r="L10" s="26"/>
      <c r="M10" s="26"/>
      <c r="N10" s="37" t="s">
        <v>22</v>
      </c>
      <c r="O10" s="26"/>
      <c r="P10" s="26"/>
      <c r="Q10" s="26"/>
      <c r="R10" s="26"/>
      <c r="S10" s="26"/>
      <c r="T10" s="26"/>
      <c r="U10" s="26"/>
      <c r="V10" s="26"/>
      <c r="W10" s="26"/>
      <c r="X10" s="26">
        <f>COUNTIF($L$2:L10,"&lt;&gt;"&amp;"")</f>
        <v>5</v>
      </c>
      <c r="Y10" s="27">
        <f t="shared" si="1"/>
        <v>3434759.4047619053</v>
      </c>
      <c r="Z10" s="28"/>
      <c r="AA10" s="29"/>
      <c r="AB10" s="30" t="b">
        <f>TRUE()</f>
        <v>1</v>
      </c>
      <c r="AC10" s="31">
        <f t="shared" si="2"/>
        <v>0</v>
      </c>
      <c r="AD10" s="35"/>
      <c r="AE10" s="35"/>
    </row>
    <row r="11" spans="1:31" ht="12.75" customHeight="1">
      <c r="A11" s="20">
        <f t="shared" si="0"/>
        <v>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6"/>
      <c r="M11" s="36" t="s">
        <v>23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>
        <f>COUNTIF($L$2:L11,"&lt;&gt;"&amp;"")</f>
        <v>5</v>
      </c>
      <c r="Y11" s="27">
        <f t="shared" si="1"/>
        <v>3434759.4047619053</v>
      </c>
      <c r="Z11" s="28"/>
      <c r="AA11" s="29"/>
      <c r="AB11" s="30" t="b">
        <f>TRUE()</f>
        <v>1</v>
      </c>
      <c r="AC11" s="31">
        <f t="shared" si="2"/>
        <v>0</v>
      </c>
      <c r="AD11" s="35"/>
      <c r="AE11" s="35"/>
    </row>
    <row r="12" spans="1:31" ht="12.75" customHeight="1">
      <c r="A12" s="20">
        <f t="shared" si="0"/>
        <v>626940.33549783553</v>
      </c>
      <c r="B12" s="23"/>
      <c r="C12" s="23"/>
      <c r="D12" s="23">
        <v>0.5</v>
      </c>
      <c r="E12" s="23">
        <v>1</v>
      </c>
      <c r="F12" s="23"/>
      <c r="G12" s="23"/>
      <c r="H12" s="23"/>
      <c r="I12" s="23"/>
      <c r="J12" s="23"/>
      <c r="K12" s="23"/>
      <c r="L12" s="26"/>
      <c r="M12" s="39"/>
      <c r="N12" s="37" t="s">
        <v>24</v>
      </c>
      <c r="O12" s="26"/>
      <c r="P12" s="26"/>
      <c r="Q12" s="26"/>
      <c r="R12" s="26"/>
      <c r="S12" s="26"/>
      <c r="T12" s="26"/>
      <c r="U12" s="26"/>
      <c r="V12" s="26"/>
      <c r="W12" s="26"/>
      <c r="X12" s="26">
        <f>COUNTIF($L$2:L12,"&lt;&gt;"&amp;"")</f>
        <v>5</v>
      </c>
      <c r="Y12" s="27">
        <f t="shared" si="1"/>
        <v>3434759.4047619053</v>
      </c>
      <c r="Z12" s="28"/>
      <c r="AA12" s="29"/>
      <c r="AB12" s="30" t="b">
        <f>TRUE()</f>
        <v>1</v>
      </c>
      <c r="AC12" s="31">
        <f t="shared" si="2"/>
        <v>0</v>
      </c>
      <c r="AD12" s="35"/>
      <c r="AE12" s="35"/>
    </row>
    <row r="13" spans="1:31" ht="12.75" customHeight="1">
      <c r="A13" s="20">
        <f t="shared" si="0"/>
        <v>231006.06060606061</v>
      </c>
      <c r="B13" s="23"/>
      <c r="C13" s="23"/>
      <c r="D13" s="23"/>
      <c r="E13" s="23">
        <v>0.5</v>
      </c>
      <c r="F13" s="23"/>
      <c r="G13" s="23"/>
      <c r="H13" s="23"/>
      <c r="I13" s="23"/>
      <c r="J13" s="23"/>
      <c r="K13" s="23"/>
      <c r="L13" s="26"/>
      <c r="M13" s="26"/>
      <c r="N13" s="37" t="s">
        <v>25</v>
      </c>
      <c r="O13" s="26"/>
      <c r="P13" s="26"/>
      <c r="Q13" s="26"/>
      <c r="R13" s="26"/>
      <c r="S13" s="26"/>
      <c r="T13" s="26"/>
      <c r="U13" s="26"/>
      <c r="V13" s="26"/>
      <c r="W13" s="26"/>
      <c r="X13" s="26">
        <f>COUNTIF($L$2:L13,"&lt;&gt;"&amp;"")</f>
        <v>5</v>
      </c>
      <c r="Y13" s="27">
        <f t="shared" si="1"/>
        <v>3434759.4047619053</v>
      </c>
      <c r="Z13" s="28"/>
      <c r="AA13" s="29"/>
      <c r="AB13" s="30" t="b">
        <f>TRUE()</f>
        <v>1</v>
      </c>
      <c r="AC13" s="31">
        <f t="shared" si="2"/>
        <v>0</v>
      </c>
      <c r="AD13" s="35"/>
      <c r="AE13" s="35"/>
    </row>
    <row r="14" spans="1:31" ht="15" customHeight="1">
      <c r="A14" s="20">
        <f t="shared" si="0"/>
        <v>395934.27489177493</v>
      </c>
      <c r="B14" s="23"/>
      <c r="C14" s="23"/>
      <c r="D14" s="23">
        <v>0.5</v>
      </c>
      <c r="E14" s="23">
        <v>0.5</v>
      </c>
      <c r="F14" s="23"/>
      <c r="G14" s="23"/>
      <c r="H14" s="23"/>
      <c r="I14" s="23"/>
      <c r="J14" s="23"/>
      <c r="K14" s="23"/>
      <c r="L14" s="33"/>
      <c r="M14" s="26"/>
      <c r="N14" s="37" t="s">
        <v>26</v>
      </c>
      <c r="O14" s="26"/>
      <c r="P14" s="26"/>
      <c r="Q14" s="26"/>
      <c r="R14" s="26"/>
      <c r="S14" s="26"/>
      <c r="T14" s="26"/>
      <c r="U14" s="26"/>
      <c r="V14" s="26"/>
      <c r="W14" s="26"/>
      <c r="X14" s="26">
        <f>COUNTIF($L$2:L14,"&lt;&gt;"&amp;"")</f>
        <v>5</v>
      </c>
      <c r="Y14" s="27">
        <f t="shared" si="1"/>
        <v>3434759.4047619053</v>
      </c>
      <c r="Z14" s="28"/>
      <c r="AA14" s="29"/>
      <c r="AB14" s="30" t="b">
        <f>TRUE()</f>
        <v>1</v>
      </c>
      <c r="AC14" s="31">
        <f t="shared" si="2"/>
        <v>0</v>
      </c>
      <c r="AD14" s="35"/>
      <c r="AE14" s="35"/>
    </row>
    <row r="15" spans="1:31" ht="12.75" customHeight="1">
      <c r="A15" s="20">
        <f t="shared" si="0"/>
        <v>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6"/>
      <c r="M15" s="36" t="s">
        <v>27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f>COUNTIF($L$2:L15,"&lt;&gt;"&amp;"")</f>
        <v>5</v>
      </c>
      <c r="Y15" s="27">
        <f t="shared" si="1"/>
        <v>3434759.4047619053</v>
      </c>
      <c r="Z15" s="28"/>
      <c r="AA15" s="29"/>
      <c r="AB15" s="30" t="b">
        <f>TRUE()</f>
        <v>1</v>
      </c>
      <c r="AC15" s="31">
        <f t="shared" si="2"/>
        <v>0</v>
      </c>
      <c r="AD15" s="35"/>
      <c r="AE15" s="35"/>
    </row>
    <row r="16" spans="1:31" ht="12.75" customHeight="1">
      <c r="A16" s="20">
        <f t="shared" si="0"/>
        <v>1327566.7532467535</v>
      </c>
      <c r="B16" s="23"/>
      <c r="C16" s="23"/>
      <c r="D16" s="23"/>
      <c r="E16" s="23">
        <v>2.2000000000000002</v>
      </c>
      <c r="F16" s="23">
        <v>0.8</v>
      </c>
      <c r="G16" s="23"/>
      <c r="H16" s="23"/>
      <c r="I16" s="23"/>
      <c r="J16" s="23"/>
      <c r="K16" s="23"/>
      <c r="L16" s="26"/>
      <c r="M16" s="26"/>
      <c r="N16" s="37" t="s">
        <v>28</v>
      </c>
      <c r="O16" s="26"/>
      <c r="P16" s="26"/>
      <c r="Q16" s="26"/>
      <c r="R16" s="26"/>
      <c r="S16" s="26"/>
      <c r="T16" s="26"/>
      <c r="U16" s="26"/>
      <c r="V16" s="26"/>
      <c r="W16" s="26"/>
      <c r="X16" s="26">
        <f>COUNTIF($L$2:L16,"&lt;&gt;"&amp;"")</f>
        <v>5</v>
      </c>
      <c r="Y16" s="27">
        <f t="shared" si="1"/>
        <v>3434759.4047619053</v>
      </c>
      <c r="Z16" s="28"/>
      <c r="AA16" s="29"/>
      <c r="AB16" s="30" t="b">
        <f>TRUE()</f>
        <v>1</v>
      </c>
      <c r="AC16" s="31">
        <f t="shared" si="2"/>
        <v>0</v>
      </c>
      <c r="AD16" s="35"/>
      <c r="AE16" s="35"/>
    </row>
    <row r="17" spans="1:31" ht="12.75" customHeight="1">
      <c r="A17" s="20">
        <f t="shared" si="0"/>
        <v>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40" t="s">
        <v>29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>
        <f>COUNTIF($L$2:L17,"&lt;&gt;"&amp;"")</f>
        <v>6</v>
      </c>
      <c r="Y17" s="27">
        <f t="shared" si="1"/>
        <v>2503126.9264069265</v>
      </c>
      <c r="Z17" s="28"/>
      <c r="AA17" s="29"/>
      <c r="AB17" s="30" t="b">
        <f>TRUE()</f>
        <v>1</v>
      </c>
      <c r="AC17" s="31">
        <f t="shared" si="2"/>
        <v>2503126.9264069265</v>
      </c>
      <c r="AD17" s="35"/>
      <c r="AE17" s="35"/>
    </row>
    <row r="18" spans="1:31" ht="12.75" customHeight="1">
      <c r="A18" s="20">
        <f t="shared" si="0"/>
        <v>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6"/>
      <c r="M18" s="36" t="s">
        <v>30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f>COUNTIF($L$2:L18,"&lt;&gt;"&amp;"")</f>
        <v>6</v>
      </c>
      <c r="Y18" s="27">
        <f t="shared" si="1"/>
        <v>2503126.9264069265</v>
      </c>
      <c r="Z18" s="28"/>
      <c r="AA18" s="29"/>
      <c r="AB18" s="30" t="b">
        <f>TRUE()</f>
        <v>1</v>
      </c>
      <c r="AC18" s="31">
        <f t="shared" si="2"/>
        <v>0</v>
      </c>
      <c r="AD18" s="35"/>
      <c r="AE18" s="35"/>
    </row>
    <row r="19" spans="1:31" ht="15" customHeight="1">
      <c r="A19" s="20">
        <f t="shared" si="0"/>
        <v>2041114.8051948054</v>
      </c>
      <c r="B19" s="23"/>
      <c r="C19" s="23"/>
      <c r="D19" s="23">
        <v>1.5</v>
      </c>
      <c r="E19" s="23">
        <v>3</v>
      </c>
      <c r="F19" s="23"/>
      <c r="G19" s="23">
        <v>0.5</v>
      </c>
      <c r="H19" s="23"/>
      <c r="I19" s="23"/>
      <c r="J19" s="23"/>
      <c r="K19" s="23"/>
      <c r="L19" s="33"/>
      <c r="M19" s="26"/>
      <c r="N19" s="37" t="s">
        <v>31</v>
      </c>
      <c r="O19" s="26"/>
      <c r="P19" s="26"/>
      <c r="Q19" s="26"/>
      <c r="R19" s="26"/>
      <c r="S19" s="26"/>
      <c r="T19" s="26"/>
      <c r="U19" s="26"/>
      <c r="V19" s="26"/>
      <c r="W19" s="26"/>
      <c r="X19" s="26">
        <f>COUNTIF($L$2:L19,"&lt;&gt;"&amp;"")</f>
        <v>6</v>
      </c>
      <c r="Y19" s="27">
        <f t="shared" si="1"/>
        <v>2503126.9264069265</v>
      </c>
      <c r="Z19" s="28"/>
      <c r="AA19" s="29"/>
      <c r="AB19" s="30" t="b">
        <f>TRUE()</f>
        <v>1</v>
      </c>
      <c r="AC19" s="31">
        <f t="shared" si="2"/>
        <v>0</v>
      </c>
      <c r="AD19" s="35"/>
      <c r="AE19" s="35"/>
    </row>
    <row r="20" spans="1:31" ht="12.75" customHeight="1">
      <c r="A20" s="20">
        <f t="shared" si="0"/>
        <v>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6"/>
      <c r="M20" s="36" t="s">
        <v>32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f>COUNTIF($L$2:L20,"&lt;&gt;"&amp;"")</f>
        <v>6</v>
      </c>
      <c r="Y20" s="27">
        <f t="shared" si="1"/>
        <v>2503126.9264069265</v>
      </c>
      <c r="Z20" s="28"/>
      <c r="AA20" s="29"/>
      <c r="AB20" s="30" t="b">
        <f>TRUE()</f>
        <v>1</v>
      </c>
      <c r="AC20" s="31">
        <f t="shared" si="2"/>
        <v>0</v>
      </c>
      <c r="AD20" s="35"/>
      <c r="AE20" s="35"/>
    </row>
    <row r="21" spans="1:31" ht="12.75" customHeight="1">
      <c r="A21" s="20">
        <f t="shared" si="0"/>
        <v>462012.12121212122</v>
      </c>
      <c r="B21" s="23"/>
      <c r="C21" s="23"/>
      <c r="D21" s="23"/>
      <c r="E21" s="23">
        <v>1</v>
      </c>
      <c r="F21" s="23"/>
      <c r="G21" s="23"/>
      <c r="H21" s="23"/>
      <c r="I21" s="23"/>
      <c r="J21" s="23"/>
      <c r="K21" s="23"/>
      <c r="L21" s="26"/>
      <c r="M21" s="26"/>
      <c r="N21" s="37" t="s">
        <v>33</v>
      </c>
      <c r="O21" s="26"/>
      <c r="P21" s="26"/>
      <c r="Q21" s="26"/>
      <c r="R21" s="26"/>
      <c r="S21" s="26"/>
      <c r="T21" s="26"/>
      <c r="U21" s="26"/>
      <c r="V21" s="26"/>
      <c r="W21" s="26"/>
      <c r="X21" s="26">
        <f>COUNTIF($L$2:L21,"&lt;&gt;"&amp;"")</f>
        <v>6</v>
      </c>
      <c r="Y21" s="27">
        <f t="shared" si="1"/>
        <v>2503126.9264069265</v>
      </c>
      <c r="Z21" s="28"/>
      <c r="AA21" s="29"/>
      <c r="AB21" s="30" t="b">
        <f>TRUE()</f>
        <v>1</v>
      </c>
      <c r="AC21" s="31">
        <f t="shared" si="2"/>
        <v>0</v>
      </c>
      <c r="AD21" s="35"/>
      <c r="AE21" s="35"/>
    </row>
    <row r="22" spans="1:31" ht="12.75" customHeight="1">
      <c r="A22" s="20">
        <f t="shared" si="0"/>
        <v>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40" t="s">
        <v>34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f>COUNTIF($L$2:L22,"&lt;&gt;"&amp;"")</f>
        <v>7</v>
      </c>
      <c r="Y22" s="27">
        <f t="shared" si="1"/>
        <v>1610168.2380952381</v>
      </c>
      <c r="Z22" s="28"/>
      <c r="AA22" s="29"/>
      <c r="AB22" s="30" t="b">
        <f>TRUE()</f>
        <v>1</v>
      </c>
      <c r="AC22" s="31">
        <f t="shared" si="2"/>
        <v>1610168.2380952381</v>
      </c>
      <c r="AD22" s="35"/>
      <c r="AE22" s="35"/>
    </row>
    <row r="23" spans="1:31" ht="12.75" customHeight="1">
      <c r="A23" s="20">
        <f t="shared" si="0"/>
        <v>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36" t="s">
        <v>35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f>COUNTIF($L$2:L23,"&lt;&gt;"&amp;"")</f>
        <v>7</v>
      </c>
      <c r="Y23" s="27">
        <f t="shared" si="1"/>
        <v>1610168.2380952381</v>
      </c>
      <c r="Z23" s="28"/>
      <c r="AA23" s="29"/>
      <c r="AB23" s="30" t="b">
        <f>TRUE()</f>
        <v>1</v>
      </c>
      <c r="AC23" s="31">
        <f t="shared" si="2"/>
        <v>0</v>
      </c>
      <c r="AD23" s="35"/>
      <c r="AE23" s="35"/>
    </row>
    <row r="24" spans="1:31" ht="12.75" customHeight="1">
      <c r="A24" s="20">
        <f t="shared" si="0"/>
        <v>1049305.7489177489</v>
      </c>
      <c r="B24" s="23"/>
      <c r="C24" s="23"/>
      <c r="D24" s="23">
        <v>0.8</v>
      </c>
      <c r="E24" s="23">
        <v>1.7</v>
      </c>
      <c r="F24" s="23"/>
      <c r="G24" s="23"/>
      <c r="H24" s="23"/>
      <c r="I24" s="23"/>
      <c r="J24" s="23"/>
      <c r="K24" s="23"/>
      <c r="L24" s="26"/>
      <c r="M24" s="41"/>
      <c r="N24" s="37" t="s">
        <v>36</v>
      </c>
      <c r="O24" s="26"/>
      <c r="P24" s="26"/>
      <c r="Q24" s="26"/>
      <c r="R24" s="26"/>
      <c r="S24" s="26"/>
      <c r="T24" s="26"/>
      <c r="U24" s="26"/>
      <c r="V24" s="26"/>
      <c r="W24" s="26"/>
      <c r="X24" s="26">
        <f>COUNTIF($L$2:L24,"&lt;&gt;"&amp;"")</f>
        <v>7</v>
      </c>
      <c r="Y24" s="27">
        <f t="shared" si="1"/>
        <v>1610168.2380952381</v>
      </c>
      <c r="Z24" s="28"/>
      <c r="AA24" s="29"/>
      <c r="AB24" s="30" t="b">
        <f>TRUE()</f>
        <v>1</v>
      </c>
      <c r="AC24" s="31">
        <f t="shared" si="2"/>
        <v>0</v>
      </c>
      <c r="AD24" s="35"/>
      <c r="AE24" s="35"/>
    </row>
    <row r="25" spans="1:31" ht="15" customHeight="1">
      <c r="A25" s="20">
        <f t="shared" si="0"/>
        <v>560862.48917748919</v>
      </c>
      <c r="B25" s="23"/>
      <c r="C25" s="23"/>
      <c r="D25" s="23">
        <v>1</v>
      </c>
      <c r="E25" s="23">
        <v>0.5</v>
      </c>
      <c r="F25" s="23"/>
      <c r="G25" s="23"/>
      <c r="H25" s="23"/>
      <c r="I25" s="23"/>
      <c r="J25" s="23"/>
      <c r="K25" s="23"/>
      <c r="L25" s="33"/>
      <c r="M25" s="26"/>
      <c r="N25" s="37" t="s">
        <v>37</v>
      </c>
      <c r="O25" s="26"/>
      <c r="P25" s="26"/>
      <c r="Q25" s="26"/>
      <c r="R25" s="26"/>
      <c r="S25" s="26"/>
      <c r="T25" s="26"/>
      <c r="U25" s="26"/>
      <c r="V25" s="26"/>
      <c r="W25" s="26"/>
      <c r="X25" s="26">
        <f>COUNTIF($L$2:L25,"&lt;&gt;"&amp;"")</f>
        <v>7</v>
      </c>
      <c r="Y25" s="27">
        <f t="shared" si="1"/>
        <v>1610168.2380952381</v>
      </c>
      <c r="Z25" s="28"/>
      <c r="AA25" s="29"/>
      <c r="AB25" s="30" t="b">
        <f>TRUE()</f>
        <v>1</v>
      </c>
      <c r="AC25" s="31">
        <f t="shared" si="2"/>
        <v>0</v>
      </c>
      <c r="AD25" s="35"/>
      <c r="AE25" s="35"/>
    </row>
    <row r="26" spans="1:31" ht="15" customHeight="1">
      <c r="A26" s="20">
        <f t="shared" si="0"/>
        <v>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40" t="s">
        <v>38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f>COUNTIF($L$2:L26,"&lt;&gt;"&amp;"")</f>
        <v>8</v>
      </c>
      <c r="Y26" s="27">
        <f t="shared" si="1"/>
        <v>857946.3961038962</v>
      </c>
      <c r="Z26" s="28"/>
      <c r="AA26" s="29"/>
      <c r="AB26" s="30" t="b">
        <f>TRUE()</f>
        <v>1</v>
      </c>
      <c r="AC26" s="31">
        <f t="shared" si="2"/>
        <v>857946.3961038962</v>
      </c>
      <c r="AD26" s="35"/>
      <c r="AE26" s="35"/>
    </row>
    <row r="27" spans="1:31" ht="15" customHeight="1">
      <c r="A27" s="20">
        <f t="shared" si="0"/>
        <v>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33"/>
      <c r="M27" s="36" t="s">
        <v>39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f>COUNTIF($L$2:L27,"&lt;&gt;"&amp;"")</f>
        <v>8</v>
      </c>
      <c r="Y27" s="27">
        <f t="shared" si="1"/>
        <v>857946.3961038962</v>
      </c>
      <c r="Z27" s="28"/>
      <c r="AA27" s="29"/>
      <c r="AB27" s="30" t="b">
        <f>TRUE()</f>
        <v>1</v>
      </c>
      <c r="AC27" s="31">
        <f t="shared" si="2"/>
        <v>0</v>
      </c>
      <c r="AD27" s="35"/>
      <c r="AE27" s="35"/>
    </row>
    <row r="28" spans="1:31" ht="15" customHeight="1">
      <c r="A28" s="20">
        <f t="shared" si="0"/>
        <v>857946.3961038962</v>
      </c>
      <c r="B28" s="23"/>
      <c r="C28" s="23"/>
      <c r="D28" s="23">
        <v>0.5</v>
      </c>
      <c r="E28" s="23">
        <v>1.5</v>
      </c>
      <c r="F28" s="23"/>
      <c r="G28" s="23"/>
      <c r="H28" s="23"/>
      <c r="I28" s="23"/>
      <c r="J28" s="23"/>
      <c r="K28" s="23"/>
      <c r="L28" s="33"/>
      <c r="M28" s="26"/>
      <c r="N28" s="37" t="s">
        <v>40</v>
      </c>
      <c r="O28" s="26"/>
      <c r="P28" s="26"/>
      <c r="Q28" s="26"/>
      <c r="R28" s="26"/>
      <c r="S28" s="26"/>
      <c r="T28" s="26"/>
      <c r="U28" s="26"/>
      <c r="V28" s="26"/>
      <c r="W28" s="26"/>
      <c r="X28" s="26">
        <f>COUNTIF($L$2:L28,"&lt;&gt;"&amp;"")</f>
        <v>8</v>
      </c>
      <c r="Y28" s="27">
        <f t="shared" si="1"/>
        <v>857946.3961038962</v>
      </c>
      <c r="Z28" s="28"/>
      <c r="AA28" s="29"/>
      <c r="AB28" s="30" t="b">
        <f>TRUE()</f>
        <v>1</v>
      </c>
      <c r="AC28" s="31">
        <f t="shared" si="2"/>
        <v>0</v>
      </c>
      <c r="AD28" s="35"/>
      <c r="AE28" s="35"/>
    </row>
    <row r="29" spans="1:31" ht="15" customHeight="1">
      <c r="A29" s="20">
        <f t="shared" si="0"/>
        <v>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40" t="s">
        <v>41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f>COUNTIF($L$2:L29,"&lt;&gt;"&amp;"")</f>
        <v>9</v>
      </c>
      <c r="Y29" s="27">
        <f t="shared" si="1"/>
        <v>1319958.5173160173</v>
      </c>
      <c r="Z29" s="28"/>
      <c r="AA29" s="29"/>
      <c r="AB29" s="30" t="b">
        <f>TRUE()</f>
        <v>1</v>
      </c>
      <c r="AC29" s="31">
        <f t="shared" si="2"/>
        <v>1319958.5173160173</v>
      </c>
      <c r="AD29" s="35"/>
      <c r="AE29" s="35"/>
    </row>
    <row r="30" spans="1:31" ht="15" customHeight="1">
      <c r="A30" s="20">
        <f t="shared" si="0"/>
        <v>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3"/>
      <c r="M30" s="36" t="s">
        <v>42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f>COUNTIF($L$2:L30,"&lt;&gt;"&amp;"")</f>
        <v>9</v>
      </c>
      <c r="Y30" s="27">
        <f t="shared" si="1"/>
        <v>1319958.5173160173</v>
      </c>
      <c r="Z30" s="28"/>
      <c r="AA30" s="29"/>
      <c r="AB30" s="30" t="b">
        <f>TRUE()</f>
        <v>1</v>
      </c>
      <c r="AC30" s="31">
        <f t="shared" si="2"/>
        <v>0</v>
      </c>
      <c r="AD30" s="35"/>
      <c r="AE30" s="35"/>
    </row>
    <row r="31" spans="1:31" ht="15" customHeight="1">
      <c r="A31" s="20">
        <f t="shared" si="0"/>
        <v>462012.12121212122</v>
      </c>
      <c r="B31" s="23"/>
      <c r="C31" s="23"/>
      <c r="D31" s="23"/>
      <c r="E31" s="23">
        <v>1</v>
      </c>
      <c r="F31" s="23"/>
      <c r="G31" s="23"/>
      <c r="H31" s="23"/>
      <c r="I31" s="23"/>
      <c r="J31" s="23"/>
      <c r="K31" s="23"/>
      <c r="L31" s="33"/>
      <c r="M31" s="26"/>
      <c r="N31" s="37" t="s">
        <v>43</v>
      </c>
      <c r="O31" s="26"/>
      <c r="P31" s="26"/>
      <c r="Q31" s="26"/>
      <c r="R31" s="26"/>
      <c r="S31" s="26"/>
      <c r="T31" s="26"/>
      <c r="U31" s="26"/>
      <c r="V31" s="26"/>
      <c r="W31" s="26"/>
      <c r="X31" s="26">
        <f>COUNTIF($L$2:L31,"&lt;&gt;"&amp;"")</f>
        <v>9</v>
      </c>
      <c r="Y31" s="27">
        <f t="shared" si="1"/>
        <v>1319958.5173160173</v>
      </c>
      <c r="Z31" s="28"/>
      <c r="AA31" s="29"/>
      <c r="AB31" s="30" t="b">
        <f>TRUE()</f>
        <v>1</v>
      </c>
      <c r="AC31" s="31">
        <f t="shared" si="2"/>
        <v>0</v>
      </c>
      <c r="AD31" s="35"/>
      <c r="AE31" s="35"/>
    </row>
    <row r="32" spans="1:31" ht="15" customHeight="1">
      <c r="A32" s="20">
        <f t="shared" si="0"/>
        <v>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3"/>
      <c r="M32" s="36" t="s">
        <v>44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COUNTIF($L$2:L32,"&lt;&gt;"&amp;"")</f>
        <v>9</v>
      </c>
      <c r="Y32" s="27">
        <f t="shared" si="1"/>
        <v>1319958.5173160173</v>
      </c>
      <c r="Z32" s="28"/>
      <c r="AA32" s="29"/>
      <c r="AB32" s="30" t="b">
        <f>TRUE()</f>
        <v>1</v>
      </c>
      <c r="AC32" s="31">
        <f t="shared" si="2"/>
        <v>0</v>
      </c>
      <c r="AD32" s="35"/>
      <c r="AE32" s="35"/>
    </row>
    <row r="33" spans="1:31" ht="15" customHeight="1">
      <c r="A33" s="20">
        <f t="shared" si="0"/>
        <v>857946.3961038962</v>
      </c>
      <c r="B33" s="23"/>
      <c r="C33" s="23"/>
      <c r="D33" s="23">
        <v>0.5</v>
      </c>
      <c r="E33" s="23">
        <v>1.5</v>
      </c>
      <c r="F33" s="23"/>
      <c r="G33" s="23"/>
      <c r="H33" s="23"/>
      <c r="I33" s="23"/>
      <c r="J33" s="23"/>
      <c r="K33" s="23"/>
      <c r="L33" s="33"/>
      <c r="M33" s="26"/>
      <c r="N33" s="37" t="s">
        <v>45</v>
      </c>
      <c r="O33" s="26"/>
      <c r="P33" s="26"/>
      <c r="Q33" s="26"/>
      <c r="R33" s="26"/>
      <c r="S33" s="26"/>
      <c r="T33" s="26"/>
      <c r="U33" s="26"/>
      <c r="V33" s="26"/>
      <c r="W33" s="26"/>
      <c r="X33" s="26">
        <f>COUNTIF($L$2:L33,"&lt;&gt;"&amp;"")</f>
        <v>9</v>
      </c>
      <c r="Y33" s="27">
        <f t="shared" si="1"/>
        <v>1319958.5173160173</v>
      </c>
      <c r="Z33" s="28"/>
      <c r="AA33" s="29"/>
      <c r="AB33" s="30" t="b">
        <f>TRUE()</f>
        <v>1</v>
      </c>
      <c r="AC33" s="31">
        <f t="shared" si="2"/>
        <v>0</v>
      </c>
      <c r="AD33" s="35"/>
      <c r="AE33" s="35"/>
    </row>
    <row r="34" spans="1:31" ht="15" customHeight="1">
      <c r="A34" s="20">
        <f t="shared" ref="A34:A65" si="3">(B34*$P$125+C34*$P$126+D34*$P$127+E34*$P$128+F34*$P$129+G34*$P$130+H34*$P$131+I34*$P$132+J34*$P$133+K34*$P$134)*$T$123</f>
        <v>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40" t="s">
        <v>46</v>
      </c>
      <c r="M34" s="33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f>COUNTIF($L$2:L34,"&lt;&gt;"&amp;"")</f>
        <v>10</v>
      </c>
      <c r="Y34" s="27">
        <f t="shared" ref="Y34:Y65" si="4">SUMIF($X$2:$X$120,X34,$A$2:$A$120)</f>
        <v>2144599.5887445891</v>
      </c>
      <c r="Z34" s="28"/>
      <c r="AA34" s="29"/>
      <c r="AB34" s="30" t="b">
        <f>TRUE()</f>
        <v>1</v>
      </c>
      <c r="AC34" s="31">
        <f t="shared" ref="AC34:AC65" si="5">IF(L34="",0,IF(AB34=FALSE(),0,Y34))</f>
        <v>2144599.5887445891</v>
      </c>
      <c r="AD34" s="35"/>
      <c r="AE34" s="35"/>
    </row>
    <row r="35" spans="1:31" ht="15" customHeight="1">
      <c r="A35" s="20">
        <f t="shared" si="3"/>
        <v>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3"/>
      <c r="M35" s="36" t="s">
        <v>47</v>
      </c>
      <c r="N35" s="42"/>
      <c r="O35" s="26"/>
      <c r="P35" s="26"/>
      <c r="Q35" s="26"/>
      <c r="R35" s="26"/>
      <c r="S35" s="26"/>
      <c r="T35" s="26"/>
      <c r="U35" s="26"/>
      <c r="V35" s="26"/>
      <c r="W35" s="26"/>
      <c r="X35" s="26">
        <f>COUNTIF($L$2:L35,"&lt;&gt;"&amp;"")</f>
        <v>10</v>
      </c>
      <c r="Y35" s="27">
        <f t="shared" si="4"/>
        <v>2144599.5887445891</v>
      </c>
      <c r="Z35" s="28"/>
      <c r="AA35" s="29"/>
      <c r="AB35" s="30" t="b">
        <f>TRUE()</f>
        <v>1</v>
      </c>
      <c r="AC35" s="31">
        <f t="shared" si="5"/>
        <v>0</v>
      </c>
      <c r="AD35" s="35"/>
      <c r="AE35" s="35"/>
    </row>
    <row r="36" spans="1:31" ht="15" customHeight="1">
      <c r="A36" s="20">
        <f t="shared" si="3"/>
        <v>560862.48917748919</v>
      </c>
      <c r="B36" s="23"/>
      <c r="C36" s="23"/>
      <c r="D36" s="23">
        <v>1</v>
      </c>
      <c r="E36" s="23">
        <v>0.5</v>
      </c>
      <c r="F36" s="23"/>
      <c r="G36" s="23"/>
      <c r="H36" s="23"/>
      <c r="I36" s="23"/>
      <c r="J36" s="23"/>
      <c r="K36" s="23"/>
      <c r="L36" s="33"/>
      <c r="M36" s="26"/>
      <c r="N36" s="37" t="s">
        <v>48</v>
      </c>
      <c r="O36" s="26"/>
      <c r="P36" s="26"/>
      <c r="Q36" s="26"/>
      <c r="R36" s="26"/>
      <c r="S36" s="26"/>
      <c r="T36" s="26"/>
      <c r="U36" s="26"/>
      <c r="V36" s="26"/>
      <c r="W36" s="26"/>
      <c r="X36" s="26">
        <f>COUNTIF($L$2:L36,"&lt;&gt;"&amp;"")</f>
        <v>10</v>
      </c>
      <c r="Y36" s="27">
        <f t="shared" si="4"/>
        <v>2144599.5887445891</v>
      </c>
      <c r="Z36" s="28"/>
      <c r="AA36" s="29"/>
      <c r="AB36" s="30" t="b">
        <f>TRUE()</f>
        <v>1</v>
      </c>
      <c r="AC36" s="31">
        <f t="shared" si="5"/>
        <v>0</v>
      </c>
      <c r="AD36" s="35"/>
      <c r="AE36" s="35"/>
    </row>
    <row r="37" spans="1:31" ht="15" customHeight="1">
      <c r="A37" s="20">
        <f t="shared" si="3"/>
        <v>395934.27489177493</v>
      </c>
      <c r="B37" s="23"/>
      <c r="C37" s="23"/>
      <c r="D37" s="23">
        <v>0.5</v>
      </c>
      <c r="E37" s="23">
        <v>0.5</v>
      </c>
      <c r="F37" s="23"/>
      <c r="G37" s="23"/>
      <c r="H37" s="23"/>
      <c r="I37" s="23"/>
      <c r="J37" s="23"/>
      <c r="K37" s="23"/>
      <c r="L37" s="33"/>
      <c r="M37" s="26"/>
      <c r="N37" s="37" t="s">
        <v>49</v>
      </c>
      <c r="O37" s="26"/>
      <c r="P37" s="26"/>
      <c r="Q37" s="26"/>
      <c r="R37" s="26"/>
      <c r="S37" s="26"/>
      <c r="T37" s="26"/>
      <c r="U37" s="26"/>
      <c r="V37" s="26"/>
      <c r="W37" s="26"/>
      <c r="X37" s="26">
        <f>COUNTIF($L$2:L37,"&lt;&gt;"&amp;"")</f>
        <v>10</v>
      </c>
      <c r="Y37" s="27">
        <f t="shared" si="4"/>
        <v>2144599.5887445891</v>
      </c>
      <c r="Z37" s="28"/>
      <c r="AA37" s="29"/>
      <c r="AB37" s="30" t="b">
        <f>TRUE()</f>
        <v>1</v>
      </c>
      <c r="AC37" s="31">
        <f t="shared" si="5"/>
        <v>0</v>
      </c>
      <c r="AD37" s="35"/>
      <c r="AE37" s="35"/>
    </row>
    <row r="38" spans="1:31" ht="15" customHeight="1">
      <c r="A38" s="20">
        <f t="shared" si="3"/>
        <v>791868.54978354985</v>
      </c>
      <c r="B38" s="23"/>
      <c r="C38" s="23"/>
      <c r="D38" s="23">
        <v>1</v>
      </c>
      <c r="E38" s="23">
        <v>1</v>
      </c>
      <c r="F38" s="23"/>
      <c r="G38" s="23"/>
      <c r="H38" s="23"/>
      <c r="I38" s="23"/>
      <c r="J38" s="23"/>
      <c r="K38" s="23"/>
      <c r="L38" s="33"/>
      <c r="M38" s="26"/>
      <c r="N38" s="37" t="s">
        <v>50</v>
      </c>
      <c r="O38" s="26"/>
      <c r="P38" s="26"/>
      <c r="Q38" s="26"/>
      <c r="R38" s="26"/>
      <c r="S38" s="26"/>
      <c r="T38" s="26"/>
      <c r="U38" s="26"/>
      <c r="V38" s="26"/>
      <c r="W38" s="26"/>
      <c r="X38" s="26">
        <f>COUNTIF($L$2:L38,"&lt;&gt;"&amp;"")</f>
        <v>10</v>
      </c>
      <c r="Y38" s="27">
        <f t="shared" si="4"/>
        <v>2144599.5887445891</v>
      </c>
      <c r="Z38" s="28"/>
      <c r="AA38" s="29"/>
      <c r="AB38" s="30" t="b">
        <f>TRUE()</f>
        <v>1</v>
      </c>
      <c r="AC38" s="31">
        <f t="shared" si="5"/>
        <v>0</v>
      </c>
      <c r="AD38" s="43"/>
      <c r="AE38" s="43"/>
    </row>
    <row r="39" spans="1:31" ht="15" customHeight="1">
      <c r="A39" s="20">
        <f t="shared" si="3"/>
        <v>395934.27489177493</v>
      </c>
      <c r="B39" s="23"/>
      <c r="C39" s="23"/>
      <c r="D39" s="23">
        <v>0.5</v>
      </c>
      <c r="E39" s="23">
        <v>0.5</v>
      </c>
      <c r="F39" s="23"/>
      <c r="G39" s="23"/>
      <c r="H39" s="23"/>
      <c r="I39" s="23"/>
      <c r="J39" s="23"/>
      <c r="K39" s="23"/>
      <c r="L39" s="33"/>
      <c r="M39" s="26"/>
      <c r="N39" s="37" t="s">
        <v>51</v>
      </c>
      <c r="O39" s="26"/>
      <c r="P39" s="26"/>
      <c r="Q39" s="26"/>
      <c r="R39" s="26"/>
      <c r="S39" s="26"/>
      <c r="T39" s="26"/>
      <c r="U39" s="26"/>
      <c r="V39" s="26"/>
      <c r="W39" s="26"/>
      <c r="X39" s="26">
        <f>COUNTIF($L$2:L39,"&lt;&gt;"&amp;"")</f>
        <v>10</v>
      </c>
      <c r="Y39" s="27">
        <f t="shared" si="4"/>
        <v>2144599.5887445891</v>
      </c>
      <c r="Z39" s="28"/>
      <c r="AA39" s="29"/>
      <c r="AB39" s="30" t="b">
        <f>TRUE()</f>
        <v>1</v>
      </c>
      <c r="AC39" s="31">
        <f t="shared" si="5"/>
        <v>0</v>
      </c>
      <c r="AD39" s="35"/>
      <c r="AE39" s="35"/>
    </row>
    <row r="40" spans="1:31" ht="15" customHeight="1">
      <c r="A40" s="20">
        <f t="shared" si="3"/>
        <v>0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>
        <f>COUNTIF($L$2:L40,"&lt;&gt;"&amp;"")</f>
        <v>10</v>
      </c>
      <c r="Y40" s="27">
        <f t="shared" si="4"/>
        <v>2144599.5887445891</v>
      </c>
      <c r="Z40" s="28"/>
      <c r="AA40" s="29"/>
      <c r="AB40" s="30" t="b">
        <f>TRUE()</f>
        <v>1</v>
      </c>
      <c r="AC40" s="31">
        <f t="shared" si="5"/>
        <v>0</v>
      </c>
      <c r="AD40" s="43"/>
      <c r="AE40" s="43"/>
    </row>
    <row r="41" spans="1:31" ht="15" customHeight="1">
      <c r="A41" s="20">
        <f t="shared" si="3"/>
        <v>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f>COUNTIF($L$2:L41,"&lt;&gt;"&amp;"")</f>
        <v>10</v>
      </c>
      <c r="Y41" s="27">
        <f t="shared" si="4"/>
        <v>2144599.5887445891</v>
      </c>
      <c r="Z41" s="28"/>
      <c r="AA41" s="29"/>
      <c r="AB41" s="30" t="b">
        <f>TRUE()</f>
        <v>1</v>
      </c>
      <c r="AC41" s="31">
        <f t="shared" si="5"/>
        <v>0</v>
      </c>
      <c r="AD41" s="43"/>
      <c r="AE41" s="43"/>
    </row>
    <row r="42" spans="1:31" ht="15" customHeight="1">
      <c r="A42" s="20">
        <f t="shared" si="3"/>
        <v>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3"/>
      <c r="M42" s="26"/>
      <c r="N42" s="41"/>
      <c r="O42" s="26"/>
      <c r="P42" s="26"/>
      <c r="Q42" s="26"/>
      <c r="R42" s="26"/>
      <c r="S42" s="26"/>
      <c r="T42" s="26"/>
      <c r="U42" s="26"/>
      <c r="V42" s="26"/>
      <c r="W42" s="26"/>
      <c r="X42" s="26">
        <f>COUNTIF($L$2:L42,"&lt;&gt;"&amp;"")</f>
        <v>10</v>
      </c>
      <c r="Y42" s="27">
        <f t="shared" si="4"/>
        <v>2144599.5887445891</v>
      </c>
      <c r="Z42" s="28"/>
      <c r="AA42" s="29"/>
      <c r="AB42" s="30" t="b">
        <f>TRUE()</f>
        <v>1</v>
      </c>
      <c r="AC42" s="31">
        <f t="shared" si="5"/>
        <v>0</v>
      </c>
      <c r="AD42" s="35"/>
      <c r="AE42" s="35"/>
    </row>
    <row r="43" spans="1:31" ht="15" customHeight="1">
      <c r="A43" s="20">
        <f t="shared" si="3"/>
        <v>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3"/>
      <c r="M43" s="33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COUNTIF($L$2:L43,"&lt;&gt;"&amp;"")</f>
        <v>10</v>
      </c>
      <c r="Y43" s="27">
        <f t="shared" si="4"/>
        <v>2144599.5887445891</v>
      </c>
      <c r="Z43" s="28"/>
      <c r="AA43" s="29"/>
      <c r="AB43" s="30" t="b">
        <f>TRUE()</f>
        <v>1</v>
      </c>
      <c r="AC43" s="31">
        <f t="shared" si="5"/>
        <v>0</v>
      </c>
      <c r="AD43" s="35"/>
      <c r="AE43" s="35"/>
    </row>
    <row r="44" spans="1:31" ht="15" customHeight="1">
      <c r="A44" s="20">
        <f t="shared" si="3"/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f>COUNTIF($L$2:L44,"&lt;&gt;"&amp;"")</f>
        <v>10</v>
      </c>
      <c r="Y44" s="27">
        <f t="shared" si="4"/>
        <v>2144599.5887445891</v>
      </c>
      <c r="Z44" s="28"/>
      <c r="AA44" s="29"/>
      <c r="AB44" s="30" t="b">
        <f>TRUE()</f>
        <v>1</v>
      </c>
      <c r="AC44" s="31">
        <f t="shared" si="5"/>
        <v>0</v>
      </c>
      <c r="AD44" s="35"/>
      <c r="AE44" s="35"/>
    </row>
    <row r="45" spans="1:31" ht="15" customHeight="1">
      <c r="A45" s="20">
        <f t="shared" si="3"/>
        <v>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COUNTIF($L$2:L45,"&lt;&gt;"&amp;"")</f>
        <v>10</v>
      </c>
      <c r="Y45" s="27">
        <f t="shared" si="4"/>
        <v>2144599.5887445891</v>
      </c>
      <c r="Z45" s="28"/>
      <c r="AA45" s="29"/>
      <c r="AB45" s="30" t="b">
        <f>TRUE()</f>
        <v>1</v>
      </c>
      <c r="AC45" s="31">
        <f t="shared" si="5"/>
        <v>0</v>
      </c>
      <c r="AD45" s="35"/>
      <c r="AE45" s="35"/>
    </row>
    <row r="46" spans="1:31" ht="15" customHeight="1">
      <c r="A46" s="20">
        <f t="shared" si="3"/>
        <v>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>
        <f>COUNTIF($L$2:L46,"&lt;&gt;"&amp;"")</f>
        <v>10</v>
      </c>
      <c r="Y46" s="27">
        <f t="shared" si="4"/>
        <v>2144599.5887445891</v>
      </c>
      <c r="Z46" s="28"/>
      <c r="AA46" s="29"/>
      <c r="AB46" s="30" t="b">
        <f>TRUE()</f>
        <v>1</v>
      </c>
      <c r="AC46" s="31">
        <f t="shared" si="5"/>
        <v>0</v>
      </c>
      <c r="AD46" s="35"/>
      <c r="AE46" s="35"/>
    </row>
    <row r="47" spans="1:31" ht="15" customHeight="1">
      <c r="A47" s="20">
        <f t="shared" si="3"/>
        <v>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>
        <f>COUNTIF($L$2:L47,"&lt;&gt;"&amp;"")</f>
        <v>10</v>
      </c>
      <c r="Y47" s="27">
        <f t="shared" si="4"/>
        <v>2144599.5887445891</v>
      </c>
      <c r="Z47" s="28"/>
      <c r="AA47" s="29"/>
      <c r="AB47" s="30" t="b">
        <f>TRUE()</f>
        <v>1</v>
      </c>
      <c r="AC47" s="31">
        <f t="shared" si="5"/>
        <v>0</v>
      </c>
      <c r="AD47" s="35"/>
      <c r="AE47" s="35"/>
    </row>
    <row r="48" spans="1:31" ht="15" customHeight="1">
      <c r="A48" s="20">
        <f t="shared" si="3"/>
        <v>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f>COUNTIF($L$2:L48,"&lt;&gt;"&amp;"")</f>
        <v>10</v>
      </c>
      <c r="Y48" s="27">
        <f t="shared" si="4"/>
        <v>2144599.5887445891</v>
      </c>
      <c r="Z48" s="28"/>
      <c r="AA48" s="29"/>
      <c r="AB48" s="30" t="b">
        <f>TRUE()</f>
        <v>1</v>
      </c>
      <c r="AC48" s="31">
        <f t="shared" si="5"/>
        <v>0</v>
      </c>
      <c r="AD48" s="43"/>
      <c r="AE48" s="43"/>
    </row>
    <row r="49" spans="1:31" ht="15" customHeight="1">
      <c r="A49" s="20">
        <f t="shared" si="3"/>
        <v>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f>COUNTIF($L$2:L49,"&lt;&gt;"&amp;"")</f>
        <v>10</v>
      </c>
      <c r="Y49" s="27">
        <f t="shared" si="4"/>
        <v>2144599.5887445891</v>
      </c>
      <c r="Z49" s="28"/>
      <c r="AA49" s="29"/>
      <c r="AB49" s="30" t="b">
        <f>TRUE()</f>
        <v>1</v>
      </c>
      <c r="AC49" s="31">
        <f t="shared" si="5"/>
        <v>0</v>
      </c>
      <c r="AD49" s="43"/>
      <c r="AE49" s="43"/>
    </row>
    <row r="50" spans="1:31" ht="15" customHeight="1">
      <c r="A50" s="20">
        <f t="shared" si="3"/>
        <v>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3"/>
      <c r="M50" s="33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>
        <f>COUNTIF($L$2:L50,"&lt;&gt;"&amp;"")</f>
        <v>10</v>
      </c>
      <c r="Y50" s="27">
        <f t="shared" si="4"/>
        <v>2144599.5887445891</v>
      </c>
      <c r="Z50" s="28"/>
      <c r="AA50" s="29"/>
      <c r="AB50" s="30" t="b">
        <f>TRUE()</f>
        <v>1</v>
      </c>
      <c r="AC50" s="31">
        <f t="shared" si="5"/>
        <v>0</v>
      </c>
      <c r="AD50" s="43"/>
      <c r="AE50" s="43"/>
    </row>
    <row r="51" spans="1:31" ht="15" customHeight="1">
      <c r="A51" s="20">
        <f t="shared" si="3"/>
        <v>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>
        <f>COUNTIF($L$2:L51,"&lt;&gt;"&amp;"")</f>
        <v>10</v>
      </c>
      <c r="Y51" s="27">
        <f t="shared" si="4"/>
        <v>2144599.5887445891</v>
      </c>
      <c r="Z51" s="28"/>
      <c r="AA51" s="29"/>
      <c r="AB51" s="30" t="b">
        <f>TRUE()</f>
        <v>1</v>
      </c>
      <c r="AC51" s="31">
        <f t="shared" si="5"/>
        <v>0</v>
      </c>
      <c r="AD51" s="43"/>
      <c r="AE51" s="43"/>
    </row>
    <row r="52" spans="1:31" ht="15" customHeight="1">
      <c r="A52" s="20">
        <f t="shared" si="3"/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>
        <f>COUNTIF($L$2:L52,"&lt;&gt;"&amp;"")</f>
        <v>10</v>
      </c>
      <c r="Y52" s="27">
        <f t="shared" si="4"/>
        <v>2144599.5887445891</v>
      </c>
      <c r="Z52" s="28"/>
      <c r="AA52" s="29"/>
      <c r="AB52" s="30" t="b">
        <f>TRUE()</f>
        <v>1</v>
      </c>
      <c r="AC52" s="31">
        <f t="shared" si="5"/>
        <v>0</v>
      </c>
      <c r="AD52" s="43"/>
      <c r="AE52" s="43"/>
    </row>
    <row r="53" spans="1:31" ht="15" customHeight="1">
      <c r="A53" s="20">
        <f t="shared" si="3"/>
        <v>0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3"/>
      <c r="M53" s="33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f>COUNTIF($L$2:L53,"&lt;&gt;"&amp;"")</f>
        <v>10</v>
      </c>
      <c r="Y53" s="27">
        <f t="shared" si="4"/>
        <v>2144599.5887445891</v>
      </c>
      <c r="Z53" s="28"/>
      <c r="AA53" s="29"/>
      <c r="AB53" s="30" t="b">
        <f>TRUE()</f>
        <v>1</v>
      </c>
      <c r="AC53" s="31">
        <f t="shared" si="5"/>
        <v>0</v>
      </c>
      <c r="AD53" s="43"/>
      <c r="AE53" s="43"/>
    </row>
    <row r="54" spans="1:31" ht="15" customHeight="1">
      <c r="A54" s="20">
        <f t="shared" si="3"/>
        <v>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>
        <f>COUNTIF($L$2:L54,"&lt;&gt;"&amp;"")</f>
        <v>10</v>
      </c>
      <c r="Y54" s="27">
        <f t="shared" si="4"/>
        <v>2144599.5887445891</v>
      </c>
      <c r="Z54" s="28"/>
      <c r="AA54" s="29"/>
      <c r="AB54" s="30" t="b">
        <f>TRUE()</f>
        <v>1</v>
      </c>
      <c r="AC54" s="31">
        <f t="shared" si="5"/>
        <v>0</v>
      </c>
      <c r="AD54" s="43"/>
      <c r="AE54" s="43"/>
    </row>
    <row r="55" spans="1:31" ht="15" customHeight="1">
      <c r="A55" s="20">
        <f t="shared" si="3"/>
        <v>0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f>COUNTIF($L$2:L55,"&lt;&gt;"&amp;"")</f>
        <v>10</v>
      </c>
      <c r="Y55" s="27">
        <f t="shared" si="4"/>
        <v>2144599.5887445891</v>
      </c>
      <c r="Z55" s="28"/>
      <c r="AA55" s="29"/>
      <c r="AB55" s="30" t="b">
        <f>TRUE()</f>
        <v>1</v>
      </c>
      <c r="AC55" s="31">
        <f t="shared" si="5"/>
        <v>0</v>
      </c>
      <c r="AD55" s="43"/>
      <c r="AE55" s="43"/>
    </row>
    <row r="56" spans="1:31" ht="15" customHeight="1">
      <c r="A56" s="20">
        <f t="shared" si="3"/>
        <v>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>
        <f>COUNTIF($L$2:L56,"&lt;&gt;"&amp;"")</f>
        <v>10</v>
      </c>
      <c r="Y56" s="27">
        <f t="shared" si="4"/>
        <v>2144599.5887445891</v>
      </c>
      <c r="Z56" s="28"/>
      <c r="AA56" s="29"/>
      <c r="AB56" s="30" t="b">
        <f>TRUE()</f>
        <v>1</v>
      </c>
      <c r="AC56" s="31">
        <f t="shared" si="5"/>
        <v>0</v>
      </c>
      <c r="AD56" s="43"/>
      <c r="AE56" s="43"/>
    </row>
    <row r="57" spans="1:31" ht="15" customHeight="1">
      <c r="A57" s="20">
        <f t="shared" si="3"/>
        <v>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>
        <f>COUNTIF($L$2:L57,"&lt;&gt;"&amp;"")</f>
        <v>10</v>
      </c>
      <c r="Y57" s="27">
        <f t="shared" si="4"/>
        <v>2144599.5887445891</v>
      </c>
      <c r="Z57" s="28"/>
      <c r="AA57" s="29"/>
      <c r="AB57" s="30" t="b">
        <f>TRUE()</f>
        <v>1</v>
      </c>
      <c r="AC57" s="31">
        <f t="shared" si="5"/>
        <v>0</v>
      </c>
      <c r="AD57" s="43"/>
      <c r="AE57" s="43"/>
    </row>
    <row r="58" spans="1:31" ht="15" customHeight="1">
      <c r="A58" s="20">
        <f t="shared" si="3"/>
        <v>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>
        <f>COUNTIF($L$2:L58,"&lt;&gt;"&amp;"")</f>
        <v>10</v>
      </c>
      <c r="Y58" s="27">
        <f t="shared" si="4"/>
        <v>2144599.5887445891</v>
      </c>
      <c r="Z58" s="28"/>
      <c r="AA58" s="29"/>
      <c r="AB58" s="30" t="b">
        <f>TRUE()</f>
        <v>1</v>
      </c>
      <c r="AC58" s="31">
        <f t="shared" si="5"/>
        <v>0</v>
      </c>
      <c r="AD58" s="43"/>
      <c r="AE58" s="43"/>
    </row>
    <row r="59" spans="1:31" ht="15" customHeight="1">
      <c r="A59" s="20">
        <f t="shared" si="3"/>
        <v>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f>COUNTIF($L$2:L59,"&lt;&gt;"&amp;"")</f>
        <v>10</v>
      </c>
      <c r="Y59" s="27">
        <f t="shared" si="4"/>
        <v>2144599.5887445891</v>
      </c>
      <c r="Z59" s="28"/>
      <c r="AA59" s="29"/>
      <c r="AB59" s="30" t="b">
        <f>TRUE()</f>
        <v>1</v>
      </c>
      <c r="AC59" s="31">
        <f t="shared" si="5"/>
        <v>0</v>
      </c>
      <c r="AD59" s="43"/>
      <c r="AE59" s="43"/>
    </row>
    <row r="60" spans="1:31" ht="15" customHeight="1">
      <c r="A60" s="20">
        <f t="shared" si="3"/>
        <v>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>
        <f>COUNTIF($L$2:L60,"&lt;&gt;"&amp;"")</f>
        <v>10</v>
      </c>
      <c r="Y60" s="27">
        <f t="shared" si="4"/>
        <v>2144599.5887445891</v>
      </c>
      <c r="Z60" s="28"/>
      <c r="AA60" s="29"/>
      <c r="AB60" s="30" t="b">
        <f>TRUE()</f>
        <v>1</v>
      </c>
      <c r="AC60" s="31">
        <f t="shared" si="5"/>
        <v>0</v>
      </c>
      <c r="AD60" s="43"/>
      <c r="AE60" s="43"/>
    </row>
    <row r="61" spans="1:31" ht="15" customHeight="1">
      <c r="A61" s="20">
        <f t="shared" si="3"/>
        <v>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>
        <f>COUNTIF($L$2:L61,"&lt;&gt;"&amp;"")</f>
        <v>10</v>
      </c>
      <c r="Y61" s="27">
        <f t="shared" si="4"/>
        <v>2144599.5887445891</v>
      </c>
      <c r="Z61" s="28"/>
      <c r="AA61" s="29"/>
      <c r="AB61" s="30" t="b">
        <f>TRUE()</f>
        <v>1</v>
      </c>
      <c r="AC61" s="31">
        <f t="shared" si="5"/>
        <v>0</v>
      </c>
      <c r="AD61" s="43"/>
      <c r="AE61" s="43"/>
    </row>
    <row r="62" spans="1:31" ht="15" customHeight="1">
      <c r="A62" s="20">
        <f t="shared" si="3"/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>
        <f>COUNTIF($L$2:L62,"&lt;&gt;"&amp;"")</f>
        <v>10</v>
      </c>
      <c r="Y62" s="27">
        <f t="shared" si="4"/>
        <v>2144599.5887445891</v>
      </c>
      <c r="Z62" s="28"/>
      <c r="AA62" s="29"/>
      <c r="AB62" s="30" t="b">
        <f>TRUE()</f>
        <v>1</v>
      </c>
      <c r="AC62" s="31">
        <f t="shared" si="5"/>
        <v>0</v>
      </c>
      <c r="AD62" s="43"/>
      <c r="AE62" s="43"/>
    </row>
    <row r="63" spans="1:31" ht="15" customHeight="1">
      <c r="A63" s="20">
        <f t="shared" si="3"/>
        <v>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>
        <f>COUNTIF($L$2:L63,"&lt;&gt;"&amp;"")</f>
        <v>10</v>
      </c>
      <c r="Y63" s="27">
        <f t="shared" si="4"/>
        <v>2144599.5887445891</v>
      </c>
      <c r="Z63" s="28"/>
      <c r="AA63" s="29"/>
      <c r="AB63" s="30" t="b">
        <f>TRUE()</f>
        <v>1</v>
      </c>
      <c r="AC63" s="31">
        <f t="shared" si="5"/>
        <v>0</v>
      </c>
      <c r="AD63" s="43"/>
      <c r="AE63" s="43"/>
    </row>
    <row r="64" spans="1:31" ht="15" customHeight="1">
      <c r="A64" s="20">
        <f t="shared" si="3"/>
        <v>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>
        <f>COUNTIF($L$2:L64,"&lt;&gt;"&amp;"")</f>
        <v>10</v>
      </c>
      <c r="Y64" s="27">
        <f t="shared" si="4"/>
        <v>2144599.5887445891</v>
      </c>
      <c r="Z64" s="28"/>
      <c r="AA64" s="29"/>
      <c r="AB64" s="30" t="b">
        <f>TRUE()</f>
        <v>1</v>
      </c>
      <c r="AC64" s="31">
        <f t="shared" si="5"/>
        <v>0</v>
      </c>
      <c r="AD64" s="35"/>
      <c r="AE64" s="35"/>
    </row>
    <row r="65" spans="1:31" ht="15" customHeight="1">
      <c r="A65" s="20">
        <f t="shared" si="3"/>
        <v>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>
        <f>COUNTIF($L$2:L65,"&lt;&gt;"&amp;"")</f>
        <v>10</v>
      </c>
      <c r="Y65" s="27">
        <f t="shared" si="4"/>
        <v>2144599.5887445891</v>
      </c>
      <c r="Z65" s="28"/>
      <c r="AA65" s="29"/>
      <c r="AB65" s="30" t="b">
        <f>TRUE()</f>
        <v>1</v>
      </c>
      <c r="AC65" s="31">
        <f t="shared" si="5"/>
        <v>0</v>
      </c>
      <c r="AD65" s="43"/>
      <c r="AE65" s="43"/>
    </row>
    <row r="66" spans="1:31" ht="15" customHeight="1">
      <c r="A66" s="20">
        <f t="shared" ref="A66:A97" si="6">(B66*$P$125+C66*$P$126+D66*$P$127+E66*$P$128+F66*$P$129+G66*$P$130+H66*$P$131+I66*$P$132+J66*$P$133+K66*$P$134)*$T$123</f>
        <v>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3"/>
      <c r="M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>
        <f>COUNTIF($L$2:L66,"&lt;&gt;"&amp;"")</f>
        <v>10</v>
      </c>
      <c r="Y66" s="27">
        <f t="shared" ref="Y66:Y97" si="7">SUMIF($X$2:$X$120,X66,$A$2:$A$120)</f>
        <v>2144599.5887445891</v>
      </c>
      <c r="Z66" s="28"/>
      <c r="AA66" s="29"/>
      <c r="AB66" s="30" t="b">
        <f>TRUE()</f>
        <v>1</v>
      </c>
      <c r="AC66" s="31">
        <f t="shared" ref="AC66:AC97" si="8">IF(L66="",0,IF(AB66=FALSE(),0,Y66))</f>
        <v>0</v>
      </c>
      <c r="AD66" s="43"/>
      <c r="AE66" s="43"/>
    </row>
    <row r="67" spans="1:31" ht="15" customHeight="1">
      <c r="A67" s="20">
        <f t="shared" si="6"/>
        <v>0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3"/>
      <c r="M67" s="26"/>
      <c r="N67" s="33"/>
      <c r="O67" s="26"/>
      <c r="P67" s="26"/>
      <c r="Q67" s="26"/>
      <c r="R67" s="26"/>
      <c r="S67" s="26"/>
      <c r="T67" s="26"/>
      <c r="U67" s="26"/>
      <c r="V67" s="26"/>
      <c r="W67" s="26"/>
      <c r="X67" s="26">
        <f>COUNTIF($L$2:L67,"&lt;&gt;"&amp;"")</f>
        <v>10</v>
      </c>
      <c r="Y67" s="27">
        <f t="shared" si="7"/>
        <v>2144599.5887445891</v>
      </c>
      <c r="Z67" s="28"/>
      <c r="AA67" s="29"/>
      <c r="AB67" s="30" t="b">
        <f>TRUE()</f>
        <v>1</v>
      </c>
      <c r="AC67" s="31">
        <f t="shared" si="8"/>
        <v>0</v>
      </c>
      <c r="AD67" s="43"/>
      <c r="AE67" s="43"/>
    </row>
    <row r="68" spans="1:31" ht="15" customHeight="1">
      <c r="A68" s="20">
        <f t="shared" si="6"/>
        <v>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>
        <f>COUNTIF($L$2:L68,"&lt;&gt;"&amp;"")</f>
        <v>10</v>
      </c>
      <c r="Y68" s="27">
        <f t="shared" si="7"/>
        <v>2144599.5887445891</v>
      </c>
      <c r="Z68" s="28"/>
      <c r="AA68" s="29"/>
      <c r="AB68" s="30" t="b">
        <f>TRUE()</f>
        <v>1</v>
      </c>
      <c r="AC68" s="31">
        <f t="shared" si="8"/>
        <v>0</v>
      </c>
      <c r="AD68" s="43"/>
      <c r="AE68" s="43"/>
    </row>
    <row r="69" spans="1:31" ht="15" customHeight="1">
      <c r="A69" s="20">
        <f t="shared" si="6"/>
        <v>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f>COUNTIF($L$2:L69,"&lt;&gt;"&amp;"")</f>
        <v>10</v>
      </c>
      <c r="Y69" s="27">
        <f t="shared" si="7"/>
        <v>2144599.5887445891</v>
      </c>
      <c r="Z69" s="28"/>
      <c r="AA69" s="29"/>
      <c r="AB69" s="30" t="b">
        <f>TRUE()</f>
        <v>1</v>
      </c>
      <c r="AC69" s="31">
        <f t="shared" si="8"/>
        <v>0</v>
      </c>
      <c r="AD69" s="43"/>
      <c r="AE69" s="43"/>
    </row>
    <row r="70" spans="1:31" ht="15" customHeight="1">
      <c r="A70" s="20">
        <f t="shared" si="6"/>
        <v>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>
        <f>COUNTIF($L$2:L70,"&lt;&gt;"&amp;"")</f>
        <v>10</v>
      </c>
      <c r="Y70" s="27">
        <f t="shared" si="7"/>
        <v>2144599.5887445891</v>
      </c>
      <c r="Z70" s="28"/>
      <c r="AA70" s="29"/>
      <c r="AB70" s="30" t="b">
        <f>TRUE()</f>
        <v>1</v>
      </c>
      <c r="AC70" s="31">
        <f t="shared" si="8"/>
        <v>0</v>
      </c>
      <c r="AD70" s="43"/>
      <c r="AE70" s="43"/>
    </row>
    <row r="71" spans="1:31" ht="15" customHeight="1">
      <c r="A71" s="20">
        <f t="shared" si="6"/>
        <v>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>
        <f>COUNTIF($L$2:L71,"&lt;&gt;"&amp;"")</f>
        <v>10</v>
      </c>
      <c r="Y71" s="27">
        <f t="shared" si="7"/>
        <v>2144599.5887445891</v>
      </c>
      <c r="Z71" s="28"/>
      <c r="AA71" s="29"/>
      <c r="AB71" s="30" t="b">
        <f>TRUE()</f>
        <v>1</v>
      </c>
      <c r="AC71" s="31">
        <f t="shared" si="8"/>
        <v>0</v>
      </c>
      <c r="AD71" s="43"/>
      <c r="AE71" s="43"/>
    </row>
    <row r="72" spans="1:31" ht="15" customHeight="1">
      <c r="A72" s="20">
        <f t="shared" si="6"/>
        <v>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>
        <f>COUNTIF($L$2:L72,"&lt;&gt;"&amp;"")</f>
        <v>10</v>
      </c>
      <c r="Y72" s="27">
        <f t="shared" si="7"/>
        <v>2144599.5887445891</v>
      </c>
      <c r="Z72" s="28"/>
      <c r="AA72" s="29"/>
      <c r="AB72" s="30" t="b">
        <f>TRUE()</f>
        <v>1</v>
      </c>
      <c r="AC72" s="31">
        <f t="shared" si="8"/>
        <v>0</v>
      </c>
      <c r="AD72" s="43"/>
      <c r="AE72" s="43"/>
    </row>
    <row r="73" spans="1:31" ht="15" customHeight="1">
      <c r="A73" s="20">
        <f t="shared" si="6"/>
        <v>0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3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f>COUNTIF($L$2:L73,"&lt;&gt;"&amp;"")</f>
        <v>10</v>
      </c>
      <c r="Y73" s="27">
        <f t="shared" si="7"/>
        <v>2144599.5887445891</v>
      </c>
      <c r="Z73" s="28"/>
      <c r="AA73" s="29"/>
      <c r="AB73" s="30" t="b">
        <f>TRUE()</f>
        <v>1</v>
      </c>
      <c r="AC73" s="31">
        <f t="shared" si="8"/>
        <v>0</v>
      </c>
      <c r="AD73" s="43"/>
      <c r="AE73" s="43"/>
    </row>
    <row r="74" spans="1:31" ht="15" customHeight="1">
      <c r="A74" s="20">
        <f t="shared" si="6"/>
        <v>0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3"/>
      <c r="M74" s="33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>
        <f>COUNTIF($L$2:L74,"&lt;&gt;"&amp;"")</f>
        <v>10</v>
      </c>
      <c r="Y74" s="27">
        <f t="shared" si="7"/>
        <v>2144599.5887445891</v>
      </c>
      <c r="Z74" s="28"/>
      <c r="AA74" s="29"/>
      <c r="AB74" s="30" t="b">
        <f>TRUE()</f>
        <v>1</v>
      </c>
      <c r="AC74" s="31">
        <f t="shared" si="8"/>
        <v>0</v>
      </c>
      <c r="AD74" s="43"/>
      <c r="AE74" s="43"/>
    </row>
    <row r="75" spans="1:31" ht="15" customHeight="1">
      <c r="A75" s="20">
        <f t="shared" si="6"/>
        <v>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>
        <f>COUNTIF($L$2:L75,"&lt;&gt;"&amp;"")</f>
        <v>10</v>
      </c>
      <c r="Y75" s="27">
        <f t="shared" si="7"/>
        <v>2144599.5887445891</v>
      </c>
      <c r="Z75" s="28"/>
      <c r="AA75" s="29"/>
      <c r="AB75" s="30" t="b">
        <f>TRUE()</f>
        <v>1</v>
      </c>
      <c r="AC75" s="31">
        <f t="shared" si="8"/>
        <v>0</v>
      </c>
      <c r="AD75" s="35"/>
      <c r="AE75" s="35"/>
    </row>
    <row r="76" spans="1:31" ht="15" customHeight="1">
      <c r="A76" s="20">
        <f t="shared" si="6"/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>
        <f>COUNTIF($L$2:L76,"&lt;&gt;"&amp;"")</f>
        <v>10</v>
      </c>
      <c r="Y76" s="27">
        <f t="shared" si="7"/>
        <v>2144599.5887445891</v>
      </c>
      <c r="Z76" s="28"/>
      <c r="AA76" s="29"/>
      <c r="AB76" s="30" t="b">
        <f>TRUE()</f>
        <v>1</v>
      </c>
      <c r="AC76" s="31">
        <f t="shared" si="8"/>
        <v>0</v>
      </c>
      <c r="AD76" s="35"/>
      <c r="AE76" s="35"/>
    </row>
    <row r="77" spans="1:31" ht="15" customHeight="1">
      <c r="A77" s="20">
        <f t="shared" si="6"/>
        <v>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>
        <f>COUNTIF($L$2:L77,"&lt;&gt;"&amp;"")</f>
        <v>10</v>
      </c>
      <c r="Y77" s="27">
        <f t="shared" si="7"/>
        <v>2144599.5887445891</v>
      </c>
      <c r="Z77" s="28"/>
      <c r="AA77" s="29"/>
      <c r="AB77" s="30" t="b">
        <f>TRUE()</f>
        <v>1</v>
      </c>
      <c r="AC77" s="31">
        <f t="shared" si="8"/>
        <v>0</v>
      </c>
      <c r="AD77" s="35"/>
      <c r="AE77" s="35"/>
    </row>
    <row r="78" spans="1:31" ht="15" customHeight="1">
      <c r="A78" s="20">
        <f t="shared" si="6"/>
        <v>0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f>COUNTIF($L$2:L78,"&lt;&gt;"&amp;"")</f>
        <v>10</v>
      </c>
      <c r="Y78" s="27">
        <f t="shared" si="7"/>
        <v>2144599.5887445891</v>
      </c>
      <c r="Z78" s="28"/>
      <c r="AA78" s="29"/>
      <c r="AB78" s="30" t="b">
        <f>TRUE()</f>
        <v>1</v>
      </c>
      <c r="AC78" s="31">
        <f t="shared" si="8"/>
        <v>0</v>
      </c>
      <c r="AD78" s="35"/>
      <c r="AE78" s="35"/>
    </row>
    <row r="79" spans="1:31" ht="15" customHeight="1">
      <c r="A79" s="20">
        <f t="shared" si="6"/>
        <v>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f>COUNTIF($L$2:L79,"&lt;&gt;"&amp;"")</f>
        <v>10</v>
      </c>
      <c r="Y79" s="27">
        <f t="shared" si="7"/>
        <v>2144599.5887445891</v>
      </c>
      <c r="Z79" s="28"/>
      <c r="AA79" s="29"/>
      <c r="AB79" s="30" t="b">
        <f>TRUE()</f>
        <v>1</v>
      </c>
      <c r="AC79" s="31">
        <f t="shared" si="8"/>
        <v>0</v>
      </c>
      <c r="AD79" s="35"/>
      <c r="AE79" s="35"/>
    </row>
    <row r="80" spans="1:31" ht="15" customHeight="1">
      <c r="A80" s="20">
        <f t="shared" si="6"/>
        <v>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>
        <f>COUNTIF($L$2:L80,"&lt;&gt;"&amp;"")</f>
        <v>10</v>
      </c>
      <c r="Y80" s="27">
        <f t="shared" si="7"/>
        <v>2144599.5887445891</v>
      </c>
      <c r="Z80" s="28"/>
      <c r="AA80" s="29"/>
      <c r="AB80" s="30" t="b">
        <f>TRUE()</f>
        <v>1</v>
      </c>
      <c r="AC80" s="31">
        <f t="shared" si="8"/>
        <v>0</v>
      </c>
      <c r="AD80" s="23"/>
      <c r="AE80" s="23"/>
    </row>
    <row r="81" spans="1:31" ht="15" customHeight="1">
      <c r="A81" s="20">
        <f t="shared" si="6"/>
        <v>0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>
        <f>COUNTIF($L$2:L81,"&lt;&gt;"&amp;"")</f>
        <v>10</v>
      </c>
      <c r="Y81" s="27">
        <f t="shared" si="7"/>
        <v>2144599.5887445891</v>
      </c>
      <c r="Z81" s="28"/>
      <c r="AA81" s="29"/>
      <c r="AB81" s="30" t="b">
        <f>TRUE()</f>
        <v>1</v>
      </c>
      <c r="AC81" s="31">
        <f t="shared" si="8"/>
        <v>0</v>
      </c>
      <c r="AD81" s="23"/>
      <c r="AE81" s="23"/>
    </row>
    <row r="82" spans="1:31" ht="15" customHeight="1">
      <c r="A82" s="20">
        <f t="shared" si="6"/>
        <v>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>
        <f>COUNTIF($L$2:L82,"&lt;&gt;"&amp;"")</f>
        <v>10</v>
      </c>
      <c r="Y82" s="27">
        <f t="shared" si="7"/>
        <v>2144599.5887445891</v>
      </c>
      <c r="Z82" s="28"/>
      <c r="AA82" s="29"/>
      <c r="AB82" s="30" t="b">
        <f>TRUE()</f>
        <v>1</v>
      </c>
      <c r="AC82" s="31">
        <f t="shared" si="8"/>
        <v>0</v>
      </c>
      <c r="AD82" s="23"/>
      <c r="AE82" s="23"/>
    </row>
    <row r="83" spans="1:31" ht="15" customHeight="1">
      <c r="A83" s="20">
        <f t="shared" si="6"/>
        <v>0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>
        <f>COUNTIF($L$2:L83,"&lt;&gt;"&amp;"")</f>
        <v>10</v>
      </c>
      <c r="Y83" s="27">
        <f t="shared" si="7"/>
        <v>2144599.5887445891</v>
      </c>
      <c r="Z83" s="28"/>
      <c r="AA83" s="29"/>
      <c r="AB83" s="30" t="b">
        <f>TRUE()</f>
        <v>1</v>
      </c>
      <c r="AC83" s="31">
        <f t="shared" si="8"/>
        <v>0</v>
      </c>
      <c r="AD83" s="23"/>
      <c r="AE83" s="23"/>
    </row>
    <row r="84" spans="1:31" ht="15" customHeight="1">
      <c r="A84" s="20">
        <f t="shared" si="6"/>
        <v>0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>
        <f>COUNTIF($L$2:L84,"&lt;&gt;"&amp;"")</f>
        <v>10</v>
      </c>
      <c r="Y84" s="27">
        <f t="shared" si="7"/>
        <v>2144599.5887445891</v>
      </c>
      <c r="Z84" s="28"/>
      <c r="AA84" s="29"/>
      <c r="AB84" s="30" t="b">
        <f>TRUE()</f>
        <v>1</v>
      </c>
      <c r="AC84" s="31">
        <f t="shared" si="8"/>
        <v>0</v>
      </c>
      <c r="AD84" s="23"/>
      <c r="AE84" s="23"/>
    </row>
    <row r="85" spans="1:31" ht="15" customHeight="1">
      <c r="A85" s="20">
        <f t="shared" si="6"/>
        <v>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f>COUNTIF($L$2:L85,"&lt;&gt;"&amp;"")</f>
        <v>10</v>
      </c>
      <c r="Y85" s="27">
        <f t="shared" si="7"/>
        <v>2144599.5887445891</v>
      </c>
      <c r="Z85" s="28"/>
      <c r="AA85" s="29"/>
      <c r="AB85" s="30" t="b">
        <f>TRUE()</f>
        <v>1</v>
      </c>
      <c r="AC85" s="31">
        <f t="shared" si="8"/>
        <v>0</v>
      </c>
      <c r="AD85" s="43"/>
      <c r="AE85" s="43"/>
    </row>
    <row r="86" spans="1:31" ht="15" customHeight="1">
      <c r="A86" s="20">
        <f t="shared" si="6"/>
        <v>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>
        <f>COUNTIF($L$2:L86,"&lt;&gt;"&amp;"")</f>
        <v>10</v>
      </c>
      <c r="Y86" s="27">
        <f t="shared" si="7"/>
        <v>2144599.5887445891</v>
      </c>
      <c r="Z86" s="28"/>
      <c r="AA86" s="29"/>
      <c r="AB86" s="30" t="b">
        <f>TRUE()</f>
        <v>1</v>
      </c>
      <c r="AC86" s="31">
        <f t="shared" si="8"/>
        <v>0</v>
      </c>
      <c r="AD86" s="43"/>
      <c r="AE86" s="43"/>
    </row>
    <row r="87" spans="1:31" ht="15" customHeight="1">
      <c r="A87" s="20">
        <f t="shared" si="6"/>
        <v>0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>
        <f>COUNTIF($L$2:L87,"&lt;&gt;"&amp;"")</f>
        <v>10</v>
      </c>
      <c r="Y87" s="27">
        <f t="shared" si="7"/>
        <v>2144599.5887445891</v>
      </c>
      <c r="Z87" s="28"/>
      <c r="AA87" s="29"/>
      <c r="AB87" s="30" t="b">
        <f>TRUE()</f>
        <v>1</v>
      </c>
      <c r="AC87" s="31">
        <f t="shared" si="8"/>
        <v>0</v>
      </c>
      <c r="AD87" s="43"/>
      <c r="AE87" s="43"/>
    </row>
    <row r="88" spans="1:31" ht="15" customHeight="1">
      <c r="A88" s="20">
        <f t="shared" si="6"/>
        <v>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>
        <f>COUNTIF($L$2:L88,"&lt;&gt;"&amp;"")</f>
        <v>10</v>
      </c>
      <c r="Y88" s="27">
        <f t="shared" si="7"/>
        <v>2144599.5887445891</v>
      </c>
      <c r="Z88" s="28"/>
      <c r="AA88" s="29"/>
      <c r="AB88" s="30" t="b">
        <f>TRUE()</f>
        <v>1</v>
      </c>
      <c r="AC88" s="31">
        <f t="shared" si="8"/>
        <v>0</v>
      </c>
      <c r="AD88" s="43"/>
      <c r="AE88" s="43"/>
    </row>
    <row r="89" spans="1:31" ht="15" customHeight="1">
      <c r="A89" s="20">
        <f t="shared" si="6"/>
        <v>0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>
        <f>COUNTIF($L$2:L89,"&lt;&gt;"&amp;"")</f>
        <v>10</v>
      </c>
      <c r="Y89" s="27">
        <f t="shared" si="7"/>
        <v>2144599.5887445891</v>
      </c>
      <c r="Z89" s="28"/>
      <c r="AA89" s="29"/>
      <c r="AB89" s="30" t="b">
        <f>TRUE()</f>
        <v>1</v>
      </c>
      <c r="AC89" s="31">
        <f t="shared" si="8"/>
        <v>0</v>
      </c>
      <c r="AD89" s="43"/>
      <c r="AE89" s="43"/>
    </row>
    <row r="90" spans="1:31" ht="15" customHeight="1">
      <c r="A90" s="20">
        <f t="shared" si="6"/>
        <v>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>
        <f>COUNTIF($L$2:L90,"&lt;&gt;"&amp;"")</f>
        <v>10</v>
      </c>
      <c r="Y90" s="27">
        <f t="shared" si="7"/>
        <v>2144599.5887445891</v>
      </c>
      <c r="Z90" s="28"/>
      <c r="AA90" s="29"/>
      <c r="AB90" s="30" t="b">
        <f>TRUE()</f>
        <v>1</v>
      </c>
      <c r="AC90" s="31">
        <f t="shared" si="8"/>
        <v>0</v>
      </c>
      <c r="AD90" s="43"/>
      <c r="AE90" s="43"/>
    </row>
    <row r="91" spans="1:31" ht="15" customHeight="1">
      <c r="A91" s="20">
        <f t="shared" si="6"/>
        <v>0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>
        <f>COUNTIF($L$2:L91,"&lt;&gt;"&amp;"")</f>
        <v>10</v>
      </c>
      <c r="Y91" s="27">
        <f t="shared" si="7"/>
        <v>2144599.5887445891</v>
      </c>
      <c r="Z91" s="28"/>
      <c r="AA91" s="29"/>
      <c r="AB91" s="30" t="b">
        <f>TRUE()</f>
        <v>1</v>
      </c>
      <c r="AC91" s="31">
        <f t="shared" si="8"/>
        <v>0</v>
      </c>
      <c r="AD91" s="43"/>
      <c r="AE91" s="43"/>
    </row>
    <row r="92" spans="1:31" ht="15" customHeight="1">
      <c r="A92" s="20">
        <f t="shared" si="6"/>
        <v>0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f>COUNTIF($L$2:L92,"&lt;&gt;"&amp;"")</f>
        <v>10</v>
      </c>
      <c r="Y92" s="27">
        <f t="shared" si="7"/>
        <v>2144599.5887445891</v>
      </c>
      <c r="Z92" s="28"/>
      <c r="AA92" s="29"/>
      <c r="AB92" s="30" t="b">
        <f>TRUE()</f>
        <v>1</v>
      </c>
      <c r="AC92" s="31">
        <f t="shared" si="8"/>
        <v>0</v>
      </c>
      <c r="AD92" s="43"/>
      <c r="AE92" s="43"/>
    </row>
    <row r="93" spans="1:31" ht="15" customHeight="1">
      <c r="A93" s="20">
        <f t="shared" si="6"/>
        <v>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>
        <f>COUNTIF($L$2:L95,"&lt;&gt;"&amp;"")</f>
        <v>10</v>
      </c>
      <c r="Y93" s="27">
        <f t="shared" si="7"/>
        <v>2144599.5887445891</v>
      </c>
      <c r="Z93" s="28"/>
      <c r="AA93" s="29"/>
      <c r="AB93" s="30" t="b">
        <f>TRUE()</f>
        <v>1</v>
      </c>
      <c r="AC93" s="31">
        <f t="shared" si="8"/>
        <v>0</v>
      </c>
      <c r="AD93" s="43"/>
      <c r="AE93" s="43"/>
    </row>
    <row r="94" spans="1:31" ht="15" customHeight="1">
      <c r="A94" s="20">
        <f t="shared" si="6"/>
        <v>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>
        <f>COUNTIF($L$2:L94,"&lt;&gt;"&amp;"")</f>
        <v>10</v>
      </c>
      <c r="Y94" s="27">
        <f t="shared" si="7"/>
        <v>2144599.5887445891</v>
      </c>
      <c r="Z94" s="28"/>
      <c r="AA94" s="29"/>
      <c r="AB94" s="30" t="b">
        <f>TRUE()</f>
        <v>1</v>
      </c>
      <c r="AC94" s="31">
        <f t="shared" si="8"/>
        <v>0</v>
      </c>
      <c r="AD94" s="43"/>
      <c r="AE94" s="43"/>
    </row>
    <row r="95" spans="1:31" ht="15" customHeight="1">
      <c r="A95" s="20">
        <f t="shared" si="6"/>
        <v>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f>COUNTIF($L$2:L95,"&lt;&gt;"&amp;"")</f>
        <v>10</v>
      </c>
      <c r="Y95" s="27">
        <f t="shared" si="7"/>
        <v>2144599.5887445891</v>
      </c>
      <c r="Z95" s="28"/>
      <c r="AA95" s="29"/>
      <c r="AB95" s="30" t="b">
        <f>TRUE()</f>
        <v>1</v>
      </c>
      <c r="AC95" s="31">
        <f t="shared" si="8"/>
        <v>0</v>
      </c>
      <c r="AD95" s="43"/>
      <c r="AE95" s="43"/>
    </row>
    <row r="96" spans="1:31" ht="15" customHeight="1">
      <c r="A96" s="20">
        <f t="shared" si="6"/>
        <v>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>
        <f>COUNTIF($L$2:L96,"&lt;&gt;"&amp;"")</f>
        <v>10</v>
      </c>
      <c r="Y96" s="27">
        <f t="shared" si="7"/>
        <v>2144599.5887445891</v>
      </c>
      <c r="Z96" s="28"/>
      <c r="AA96" s="29"/>
      <c r="AB96" s="30" t="b">
        <f>TRUE()</f>
        <v>1</v>
      </c>
      <c r="AC96" s="31">
        <f t="shared" si="8"/>
        <v>0</v>
      </c>
      <c r="AD96" s="43"/>
      <c r="AE96" s="43"/>
    </row>
    <row r="97" spans="1:31" ht="15" customHeight="1">
      <c r="A97" s="20">
        <f t="shared" si="6"/>
        <v>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3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>
        <f>COUNTIF($L$2:L97,"&lt;&gt;"&amp;"")</f>
        <v>10</v>
      </c>
      <c r="Y97" s="27">
        <f t="shared" si="7"/>
        <v>2144599.5887445891</v>
      </c>
      <c r="Z97" s="28"/>
      <c r="AA97" s="29"/>
      <c r="AB97" s="30" t="b">
        <f>TRUE()</f>
        <v>1</v>
      </c>
      <c r="AC97" s="31">
        <f t="shared" si="8"/>
        <v>0</v>
      </c>
      <c r="AD97" s="43"/>
      <c r="AE97" s="43"/>
    </row>
    <row r="98" spans="1:31" ht="15" customHeight="1">
      <c r="A98" s="20">
        <f t="shared" ref="A98:A129" si="9">(B98*$P$125+C98*$P$126+D98*$P$127+E98*$P$128+F98*$P$129+G98*$P$130+H98*$P$131+I98*$P$132+J98*$P$133+K98*$P$134)*$T$123</f>
        <v>0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3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>
        <f>COUNTIF($L$2:L98,"&lt;&gt;"&amp;"")</f>
        <v>10</v>
      </c>
      <c r="Y98" s="27">
        <f t="shared" ref="Y98:Y129" si="10">SUMIF($X$2:$X$120,X98,$A$2:$A$120)</f>
        <v>2144599.5887445891</v>
      </c>
      <c r="Z98" s="28"/>
      <c r="AA98" s="29"/>
      <c r="AB98" s="30" t="b">
        <f>TRUE()</f>
        <v>1</v>
      </c>
      <c r="AC98" s="31">
        <f t="shared" ref="AC98:AC129" si="11">IF(L98="",0,IF(AB98=FALSE(),0,Y98))</f>
        <v>0</v>
      </c>
      <c r="AD98" s="43"/>
      <c r="AE98" s="43"/>
    </row>
    <row r="99" spans="1:31" ht="15" customHeight="1">
      <c r="A99" s="20">
        <f t="shared" si="9"/>
        <v>0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3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>
        <f>COUNTIF($L$2:L99,"&lt;&gt;"&amp;"")</f>
        <v>10</v>
      </c>
      <c r="Y99" s="27">
        <f t="shared" si="10"/>
        <v>2144599.5887445891</v>
      </c>
      <c r="Z99" s="28"/>
      <c r="AA99" s="29"/>
      <c r="AB99" s="30" t="b">
        <f>TRUE()</f>
        <v>1</v>
      </c>
      <c r="AC99" s="31">
        <f t="shared" si="11"/>
        <v>0</v>
      </c>
      <c r="AD99" s="43"/>
      <c r="AE99" s="43"/>
    </row>
    <row r="100" spans="1:31" ht="15" customHeight="1">
      <c r="A100" s="20">
        <f t="shared" si="9"/>
        <v>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>
        <f>COUNTIF($L$2:L100,"&lt;&gt;"&amp;"")</f>
        <v>10</v>
      </c>
      <c r="Y100" s="27">
        <f t="shared" si="10"/>
        <v>2144599.5887445891</v>
      </c>
      <c r="Z100" s="28"/>
      <c r="AA100" s="29"/>
      <c r="AB100" s="30" t="b">
        <f>TRUE()</f>
        <v>1</v>
      </c>
      <c r="AC100" s="31">
        <f t="shared" si="11"/>
        <v>0</v>
      </c>
      <c r="AD100" s="43"/>
      <c r="AE100" s="43"/>
    </row>
    <row r="101" spans="1:31" ht="15" customHeight="1">
      <c r="A101" s="20">
        <f t="shared" si="9"/>
        <v>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3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>
        <f>COUNTIF($L$2:L101,"&lt;&gt;"&amp;"")</f>
        <v>10</v>
      </c>
      <c r="Y101" s="27">
        <f t="shared" si="10"/>
        <v>2144599.5887445891</v>
      </c>
      <c r="Z101" s="28"/>
      <c r="AA101" s="29"/>
      <c r="AB101" s="30" t="b">
        <f>TRUE()</f>
        <v>1</v>
      </c>
      <c r="AC101" s="31">
        <f t="shared" si="11"/>
        <v>0</v>
      </c>
      <c r="AD101" s="23"/>
      <c r="AE101" s="23"/>
    </row>
    <row r="102" spans="1:31" ht="15" customHeight="1">
      <c r="A102" s="20">
        <f t="shared" si="9"/>
        <v>0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3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f>COUNTIF($L$2:L106,"&lt;&gt;"&amp;"")</f>
        <v>10</v>
      </c>
      <c r="Y102" s="27">
        <f t="shared" si="10"/>
        <v>2144599.5887445891</v>
      </c>
      <c r="Z102" s="28"/>
      <c r="AA102" s="29"/>
      <c r="AB102" s="30" t="b">
        <f>TRUE()</f>
        <v>1</v>
      </c>
      <c r="AC102" s="31">
        <f t="shared" si="11"/>
        <v>0</v>
      </c>
      <c r="AD102" s="23"/>
      <c r="AE102" s="23"/>
    </row>
    <row r="103" spans="1:31" ht="15" customHeight="1">
      <c r="A103" s="20">
        <f t="shared" si="9"/>
        <v>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3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>
        <f>COUNTIF($L$2:L103,"&lt;&gt;"&amp;"")</f>
        <v>10</v>
      </c>
      <c r="Y103" s="27">
        <f t="shared" si="10"/>
        <v>2144599.5887445891</v>
      </c>
      <c r="Z103" s="28"/>
      <c r="AA103" s="29"/>
      <c r="AB103" s="30" t="b">
        <f>TRUE()</f>
        <v>1</v>
      </c>
      <c r="AC103" s="31">
        <f t="shared" si="11"/>
        <v>0</v>
      </c>
      <c r="AD103" s="43"/>
      <c r="AE103" s="43"/>
    </row>
    <row r="104" spans="1:31" ht="15" customHeight="1">
      <c r="A104" s="20">
        <f t="shared" si="9"/>
        <v>0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>
        <f>COUNTIF($L$2:L104,"&lt;&gt;"&amp;"")</f>
        <v>10</v>
      </c>
      <c r="Y104" s="27">
        <f t="shared" si="10"/>
        <v>2144599.5887445891</v>
      </c>
      <c r="Z104" s="28"/>
      <c r="AA104" s="29"/>
      <c r="AB104" s="30" t="b">
        <f>TRUE()</f>
        <v>1</v>
      </c>
      <c r="AC104" s="31">
        <f t="shared" si="11"/>
        <v>0</v>
      </c>
      <c r="AD104" s="43"/>
      <c r="AE104" s="43"/>
    </row>
    <row r="105" spans="1:31" ht="15" customHeight="1">
      <c r="A105" s="20">
        <f t="shared" si="9"/>
        <v>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3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f>COUNTIF($L$2:L105,"&lt;&gt;"&amp;"")</f>
        <v>10</v>
      </c>
      <c r="Y105" s="27">
        <f t="shared" si="10"/>
        <v>2144599.5887445891</v>
      </c>
      <c r="Z105" s="28"/>
      <c r="AA105" s="29"/>
      <c r="AB105" s="30" t="b">
        <f>TRUE()</f>
        <v>1</v>
      </c>
      <c r="AC105" s="31">
        <f t="shared" si="11"/>
        <v>0</v>
      </c>
      <c r="AD105" s="43"/>
      <c r="AE105" s="43"/>
    </row>
    <row r="106" spans="1:31" ht="15" customHeight="1">
      <c r="A106" s="20">
        <f t="shared" si="9"/>
        <v>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3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>
        <f>COUNTIF($L$2:L106,"&lt;&gt;"&amp;"")</f>
        <v>10</v>
      </c>
      <c r="Y106" s="27">
        <f t="shared" si="10"/>
        <v>2144599.5887445891</v>
      </c>
      <c r="Z106" s="28"/>
      <c r="AA106" s="29"/>
      <c r="AB106" s="30" t="b">
        <f>TRUE()</f>
        <v>1</v>
      </c>
      <c r="AC106" s="31">
        <f t="shared" si="11"/>
        <v>0</v>
      </c>
      <c r="AD106" s="43"/>
      <c r="AE106" s="43"/>
    </row>
    <row r="107" spans="1:31" ht="15" customHeight="1">
      <c r="A107" s="20">
        <f t="shared" si="9"/>
        <v>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3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f>COUNTIF($L$2:L107,"&lt;&gt;"&amp;"")</f>
        <v>10</v>
      </c>
      <c r="Y107" s="27">
        <f t="shared" si="10"/>
        <v>2144599.5887445891</v>
      </c>
      <c r="Z107" s="28"/>
      <c r="AA107" s="29"/>
      <c r="AB107" s="30" t="b">
        <f>TRUE()</f>
        <v>1</v>
      </c>
      <c r="AC107" s="31">
        <f t="shared" si="11"/>
        <v>0</v>
      </c>
      <c r="AD107" s="23"/>
      <c r="AE107" s="23"/>
    </row>
    <row r="108" spans="1:31" ht="15" customHeight="1">
      <c r="A108" s="20">
        <f t="shared" si="9"/>
        <v>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>
        <f>COUNTIF($L$2:L108,"&lt;&gt;"&amp;"")</f>
        <v>10</v>
      </c>
      <c r="Y108" s="27">
        <f t="shared" si="10"/>
        <v>2144599.5887445891</v>
      </c>
      <c r="Z108" s="28"/>
      <c r="AA108" s="29"/>
      <c r="AB108" s="30" t="b">
        <f>TRUE()</f>
        <v>1</v>
      </c>
      <c r="AC108" s="31">
        <f t="shared" si="11"/>
        <v>0</v>
      </c>
      <c r="AD108" s="23"/>
      <c r="AE108" s="23"/>
    </row>
    <row r="109" spans="1:31" ht="15" customHeight="1">
      <c r="A109" s="20">
        <f t="shared" si="9"/>
        <v>0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3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>
        <f>COUNTIF($L$2:L109,"&lt;&gt;"&amp;"")</f>
        <v>10</v>
      </c>
      <c r="Y109" s="27">
        <f t="shared" si="10"/>
        <v>2144599.5887445891</v>
      </c>
      <c r="Z109" s="28"/>
      <c r="AA109" s="29"/>
      <c r="AB109" s="30" t="b">
        <f>TRUE()</f>
        <v>1</v>
      </c>
      <c r="AC109" s="31">
        <f t="shared" si="11"/>
        <v>0</v>
      </c>
      <c r="AD109" s="23"/>
      <c r="AE109" s="23"/>
    </row>
    <row r="110" spans="1:31" ht="15" customHeight="1">
      <c r="A110" s="20">
        <f t="shared" si="9"/>
        <v>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3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>
        <f>COUNTIF($L$2:L110,"&lt;&gt;"&amp;"")</f>
        <v>10</v>
      </c>
      <c r="Y110" s="27">
        <f t="shared" si="10"/>
        <v>2144599.5887445891</v>
      </c>
      <c r="Z110" s="28"/>
      <c r="AA110" s="29"/>
      <c r="AB110" s="30" t="b">
        <f>TRUE()</f>
        <v>1</v>
      </c>
      <c r="AC110" s="31">
        <f t="shared" si="11"/>
        <v>0</v>
      </c>
      <c r="AD110" s="23"/>
      <c r="AE110" s="23"/>
    </row>
    <row r="111" spans="1:31" ht="15" customHeight="1">
      <c r="A111" s="20">
        <f t="shared" si="9"/>
        <v>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3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>
        <f>COUNTIF($L$2:L111,"&lt;&gt;"&amp;"")</f>
        <v>10</v>
      </c>
      <c r="Y111" s="27">
        <f t="shared" si="10"/>
        <v>2144599.5887445891</v>
      </c>
      <c r="Z111" s="28"/>
      <c r="AA111" s="29"/>
      <c r="AB111" s="30" t="b">
        <f>TRUE()</f>
        <v>1</v>
      </c>
      <c r="AC111" s="31">
        <f t="shared" si="11"/>
        <v>0</v>
      </c>
      <c r="AD111" s="23"/>
      <c r="AE111" s="23"/>
    </row>
    <row r="112" spans="1:31" ht="15" customHeight="1">
      <c r="A112" s="20">
        <f t="shared" si="9"/>
        <v>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>
        <f>COUNTIF($L$2:L112,"&lt;&gt;"&amp;"")</f>
        <v>10</v>
      </c>
      <c r="Y112" s="27">
        <f t="shared" si="10"/>
        <v>2144599.5887445891</v>
      </c>
      <c r="Z112" s="28"/>
      <c r="AA112" s="29"/>
      <c r="AB112" s="30" t="b">
        <f>TRUE()</f>
        <v>1</v>
      </c>
      <c r="AC112" s="31">
        <f t="shared" si="11"/>
        <v>0</v>
      </c>
      <c r="AD112" s="23"/>
      <c r="AE112" s="23"/>
    </row>
    <row r="113" spans="1:31" ht="15" customHeight="1">
      <c r="A113" s="20">
        <f t="shared" si="9"/>
        <v>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>
        <f>COUNTIF($L$2:L113,"&lt;&gt;"&amp;"")</f>
        <v>10</v>
      </c>
      <c r="Y113" s="27">
        <f t="shared" si="10"/>
        <v>2144599.5887445891</v>
      </c>
      <c r="Z113" s="28"/>
      <c r="AA113" s="29"/>
      <c r="AB113" s="30" t="b">
        <f>TRUE()</f>
        <v>1</v>
      </c>
      <c r="AC113" s="31">
        <f t="shared" si="11"/>
        <v>0</v>
      </c>
      <c r="AD113" s="23"/>
      <c r="AE113" s="23"/>
    </row>
    <row r="114" spans="1:31" ht="15" customHeight="1">
      <c r="A114" s="20">
        <f t="shared" si="9"/>
        <v>0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3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>
        <f>COUNTIF($L$2:L114,"&lt;&gt;"&amp;"")</f>
        <v>10</v>
      </c>
      <c r="Y114" s="27">
        <f t="shared" si="10"/>
        <v>2144599.5887445891</v>
      </c>
      <c r="Z114" s="28"/>
      <c r="AA114" s="29"/>
      <c r="AB114" s="30" t="b">
        <f>TRUE()</f>
        <v>1</v>
      </c>
      <c r="AC114" s="31">
        <f t="shared" si="11"/>
        <v>0</v>
      </c>
      <c r="AD114" s="23"/>
      <c r="AE114" s="23"/>
    </row>
    <row r="115" spans="1:31" ht="15" customHeight="1">
      <c r="A115" s="20">
        <f t="shared" si="9"/>
        <v>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3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>
        <f>COUNTIF($L$2:L115,"&lt;&gt;"&amp;"")</f>
        <v>10</v>
      </c>
      <c r="Y115" s="27">
        <f t="shared" si="10"/>
        <v>2144599.5887445891</v>
      </c>
      <c r="Z115" s="28"/>
      <c r="AA115" s="29"/>
      <c r="AB115" s="30" t="b">
        <f>TRUE()</f>
        <v>1</v>
      </c>
      <c r="AC115" s="31">
        <f t="shared" si="11"/>
        <v>0</v>
      </c>
      <c r="AD115" s="23"/>
      <c r="AE115" s="23"/>
    </row>
    <row r="116" spans="1:31" ht="15" customHeight="1">
      <c r="A116" s="20">
        <f t="shared" si="9"/>
        <v>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3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>
        <f>COUNTIF($L$2:L116,"&lt;&gt;"&amp;"")</f>
        <v>10</v>
      </c>
      <c r="Y116" s="27">
        <f t="shared" si="10"/>
        <v>2144599.5887445891</v>
      </c>
      <c r="Z116" s="28"/>
      <c r="AA116" s="29"/>
      <c r="AB116" s="30" t="b">
        <f>TRUE()</f>
        <v>1</v>
      </c>
      <c r="AC116" s="31">
        <f t="shared" si="11"/>
        <v>0</v>
      </c>
      <c r="AD116" s="23"/>
      <c r="AE116" s="23"/>
    </row>
    <row r="117" spans="1:31" ht="15" customHeight="1">
      <c r="A117" s="20">
        <f t="shared" si="9"/>
        <v>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3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>
        <f>COUNTIF($L$2:L117,"&lt;&gt;"&amp;"")</f>
        <v>10</v>
      </c>
      <c r="Y117" s="27">
        <f t="shared" si="10"/>
        <v>2144599.5887445891</v>
      </c>
      <c r="Z117" s="28"/>
      <c r="AA117" s="29"/>
      <c r="AB117" s="30" t="b">
        <f>TRUE()</f>
        <v>1</v>
      </c>
      <c r="AC117" s="31">
        <f t="shared" si="11"/>
        <v>0</v>
      </c>
      <c r="AD117" s="23"/>
      <c r="AE117" s="23"/>
    </row>
    <row r="118" spans="1:31" ht="15" customHeight="1">
      <c r="A118" s="20">
        <f t="shared" si="9"/>
        <v>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3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>
        <f>COUNTIF($L$2:L118,"&lt;&gt;"&amp;"")</f>
        <v>10</v>
      </c>
      <c r="Y118" s="27">
        <f t="shared" si="10"/>
        <v>2144599.5887445891</v>
      </c>
      <c r="Z118" s="28"/>
      <c r="AA118" s="29"/>
      <c r="AB118" s="30" t="b">
        <f>TRUE()</f>
        <v>1</v>
      </c>
      <c r="AC118" s="31">
        <f t="shared" si="11"/>
        <v>0</v>
      </c>
      <c r="AD118" s="23"/>
      <c r="AE118" s="23"/>
    </row>
    <row r="119" spans="1:31" ht="15" customHeight="1">
      <c r="A119" s="20">
        <f t="shared" si="9"/>
        <v>0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3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>
        <f>COUNTIF($L$2:L119,"&lt;&gt;"&amp;"")</f>
        <v>10</v>
      </c>
      <c r="Y119" s="27">
        <f t="shared" si="10"/>
        <v>2144599.5887445891</v>
      </c>
      <c r="Z119" s="28"/>
      <c r="AA119" s="29"/>
      <c r="AB119" s="30" t="b">
        <f>TRUE()</f>
        <v>1</v>
      </c>
      <c r="AC119" s="31">
        <f t="shared" si="11"/>
        <v>0</v>
      </c>
      <c r="AD119" s="23"/>
      <c r="AE119" s="23"/>
    </row>
    <row r="120" spans="1:31" ht="12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5"/>
      <c r="M120" s="45"/>
      <c r="N120" s="46"/>
      <c r="O120" s="46" t="s">
        <v>52</v>
      </c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23"/>
      <c r="AE120" s="23"/>
    </row>
    <row r="121" spans="1:31" ht="15" customHeight="1">
      <c r="A121" s="47">
        <f>ROW()</f>
        <v>121</v>
      </c>
      <c r="B121" s="23">
        <f t="shared" ref="B121:K121" si="12">SUM(B2:B120)</f>
        <v>2.5</v>
      </c>
      <c r="C121" s="23">
        <f t="shared" si="12"/>
        <v>1.5</v>
      </c>
      <c r="D121" s="23">
        <f t="shared" si="12"/>
        <v>8.3000000000000007</v>
      </c>
      <c r="E121" s="23">
        <f t="shared" si="12"/>
        <v>18.399999999999999</v>
      </c>
      <c r="F121" s="23">
        <f t="shared" si="12"/>
        <v>0.8</v>
      </c>
      <c r="G121" s="23">
        <f t="shared" si="12"/>
        <v>1</v>
      </c>
      <c r="H121" s="23">
        <f t="shared" si="12"/>
        <v>1.5</v>
      </c>
      <c r="I121" s="23">
        <f t="shared" si="12"/>
        <v>0</v>
      </c>
      <c r="J121" s="23">
        <f t="shared" si="12"/>
        <v>0</v>
      </c>
      <c r="K121" s="23">
        <f t="shared" si="12"/>
        <v>0</v>
      </c>
      <c r="L121" s="33"/>
      <c r="M121" s="26"/>
      <c r="N121" s="26"/>
      <c r="O121" s="26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48"/>
      <c r="AD121" s="23"/>
      <c r="AE121" s="23"/>
    </row>
    <row r="122" spans="1:31" ht="12.75" customHeight="1">
      <c r="A122" s="23"/>
      <c r="B122" s="23"/>
      <c r="C122" s="49"/>
      <c r="D122" s="49"/>
      <c r="E122" s="49"/>
      <c r="F122" s="49"/>
      <c r="G122" s="49"/>
      <c r="H122" s="49"/>
      <c r="I122" s="9" t="s">
        <v>53</v>
      </c>
      <c r="J122" s="9"/>
      <c r="K122" s="9"/>
      <c r="L122" s="9"/>
      <c r="M122" s="8">
        <f>400000+120000</f>
        <v>520000</v>
      </c>
      <c r="N122" s="8"/>
      <c r="O122" s="8"/>
      <c r="P122" s="23"/>
      <c r="Q122" s="23"/>
      <c r="R122" s="23"/>
      <c r="S122" s="49"/>
      <c r="T122" s="49"/>
      <c r="U122" s="49"/>
      <c r="V122" s="23"/>
      <c r="W122" s="23"/>
      <c r="X122" s="23"/>
      <c r="Y122" s="85">
        <f>Y1/0.6</f>
        <v>23912828.28643579</v>
      </c>
      <c r="Z122" s="23"/>
      <c r="AA122" s="23"/>
      <c r="AB122" s="23"/>
      <c r="AC122" s="48"/>
      <c r="AD122" s="23"/>
      <c r="AE122" s="23"/>
    </row>
    <row r="123" spans="1:31" ht="15" customHeight="1">
      <c r="A123" s="23"/>
      <c r="B123" s="23"/>
      <c r="C123" s="49"/>
      <c r="D123" s="50" t="s">
        <v>54</v>
      </c>
      <c r="E123" s="51">
        <v>1750905</v>
      </c>
      <c r="F123" s="52" t="s">
        <v>55</v>
      </c>
      <c r="G123" s="53">
        <v>249095</v>
      </c>
      <c r="H123" s="49"/>
      <c r="I123" s="54" t="s">
        <v>56</v>
      </c>
      <c r="J123" s="55">
        <v>0.18</v>
      </c>
      <c r="K123" s="55"/>
      <c r="L123" s="56" t="s">
        <v>57</v>
      </c>
      <c r="M123" s="57">
        <f>2.7/12</f>
        <v>0.22500000000000001</v>
      </c>
      <c r="N123" s="58" t="s">
        <v>58</v>
      </c>
      <c r="O123" s="59">
        <f>40*4.2*((244-2)/260)</f>
        <v>156.36923076923077</v>
      </c>
      <c r="P123" s="49"/>
      <c r="Q123" s="54" t="s">
        <v>59</v>
      </c>
      <c r="R123" s="60">
        <v>0.1</v>
      </c>
      <c r="S123" s="49"/>
      <c r="T123" s="61">
        <v>8</v>
      </c>
      <c r="U123" s="62" t="s">
        <v>60</v>
      </c>
      <c r="V123" s="63"/>
      <c r="W123" s="23"/>
      <c r="X123" s="23"/>
      <c r="Y123" s="23"/>
      <c r="Z123" s="23"/>
      <c r="AA123" s="23"/>
      <c r="AB123" s="23"/>
      <c r="AC123" s="48"/>
      <c r="AD123" s="23"/>
      <c r="AE123" s="23"/>
    </row>
    <row r="124" spans="1:31" ht="12.75" customHeight="1">
      <c r="A124" s="23"/>
      <c r="B124" s="23"/>
      <c r="C124" s="7" t="s">
        <v>61</v>
      </c>
      <c r="D124" s="7"/>
      <c r="E124" s="7"/>
      <c r="F124" s="7" t="s">
        <v>62</v>
      </c>
      <c r="G124" s="7"/>
      <c r="H124" s="7"/>
      <c r="I124" s="7" t="s">
        <v>63</v>
      </c>
      <c r="J124" s="7"/>
      <c r="K124" s="7"/>
      <c r="L124" s="7"/>
      <c r="M124" s="7" t="s">
        <v>64</v>
      </c>
      <c r="N124" s="7"/>
      <c r="O124" s="7"/>
      <c r="P124" s="7" t="s">
        <v>65</v>
      </c>
      <c r="Q124" s="7"/>
      <c r="R124" s="7"/>
      <c r="S124" s="49"/>
      <c r="T124" s="49"/>
      <c r="U124" s="64" t="s">
        <v>58</v>
      </c>
      <c r="V124" s="7" t="s">
        <v>66</v>
      </c>
      <c r="W124" s="7"/>
      <c r="X124" s="7"/>
      <c r="Y124" s="23"/>
      <c r="Z124" s="23"/>
      <c r="AA124" s="23"/>
      <c r="AB124" s="23"/>
      <c r="AC124" s="48"/>
      <c r="AD124" s="23"/>
      <c r="AE124" s="23"/>
    </row>
    <row r="125" spans="1:31" ht="12.75" customHeight="1">
      <c r="A125" s="35" t="s">
        <v>67</v>
      </c>
      <c r="B125" s="64" t="str">
        <f>B1</f>
        <v>DB</v>
      </c>
      <c r="C125" s="6">
        <v>6480000</v>
      </c>
      <c r="D125" s="6"/>
      <c r="E125" s="6"/>
      <c r="F125" s="6">
        <v>1080000</v>
      </c>
      <c r="G125" s="6"/>
      <c r="H125" s="6"/>
      <c r="I125" s="6">
        <v>0</v>
      </c>
      <c r="J125" s="6"/>
      <c r="K125" s="6"/>
      <c r="L125" s="6"/>
      <c r="M125" s="6">
        <f t="shared" ref="M125:M134" si="13">C125*(1+$J$123+$M$123)+F125+I125+$M$122+IF(($E$123*2)&gt;=C125,$G$123,0)</f>
        <v>10704400</v>
      </c>
      <c r="N125" s="6"/>
      <c r="O125" s="6"/>
      <c r="P125" s="5">
        <f t="shared" ref="P125:P134" si="14">M125/$O$123*(1+$R$123)</f>
        <v>75301.515151515167</v>
      </c>
      <c r="Q125" s="5"/>
      <c r="R125" s="5"/>
      <c r="S125" s="49"/>
      <c r="T125" s="49"/>
      <c r="U125" s="23">
        <f t="shared" ref="U125:U134" si="15">HLOOKUP(B125,$B$1:$K$121,$A$121,0)*$T$123</f>
        <v>20</v>
      </c>
      <c r="W125" s="65">
        <f t="shared" ref="W125:W134" si="16">P125*U125</f>
        <v>1506030.3030303032</v>
      </c>
      <c r="Y125" s="23"/>
      <c r="Z125" s="23"/>
      <c r="AA125" s="23"/>
      <c r="AB125" s="23"/>
      <c r="AC125" s="48"/>
      <c r="AD125" s="23"/>
      <c r="AE125" s="23"/>
    </row>
    <row r="126" spans="1:31" ht="12.75" customHeight="1">
      <c r="A126" s="35" t="s">
        <v>68</v>
      </c>
      <c r="B126" s="64" t="str">
        <f>C1</f>
        <v>UX</v>
      </c>
      <c r="C126" s="6">
        <v>3240000</v>
      </c>
      <c r="D126" s="6"/>
      <c r="E126" s="6"/>
      <c r="F126" s="6">
        <v>540000</v>
      </c>
      <c r="G126" s="6"/>
      <c r="H126" s="6"/>
      <c r="I126" s="6">
        <v>0</v>
      </c>
      <c r="J126" s="6"/>
      <c r="K126" s="6"/>
      <c r="L126" s="6"/>
      <c r="M126" s="6">
        <f t="shared" si="13"/>
        <v>5861295</v>
      </c>
      <c r="N126" s="6"/>
      <c r="O126" s="6"/>
      <c r="P126" s="5">
        <f t="shared" si="14"/>
        <v>41232.05357142858</v>
      </c>
      <c r="Q126" s="5"/>
      <c r="R126" s="5"/>
      <c r="S126" s="49"/>
      <c r="T126" s="49"/>
      <c r="U126" s="23">
        <f t="shared" si="15"/>
        <v>12</v>
      </c>
      <c r="W126" s="65">
        <f t="shared" si="16"/>
        <v>494784.64285714296</v>
      </c>
      <c r="Y126" s="23"/>
      <c r="Z126" s="23"/>
      <c r="AA126" s="23"/>
      <c r="AB126" s="23"/>
      <c r="AC126" s="48"/>
      <c r="AD126" s="23"/>
      <c r="AE126" s="23"/>
    </row>
    <row r="127" spans="1:31" ht="12.75" customHeight="1">
      <c r="A127" s="35" t="s">
        <v>69</v>
      </c>
      <c r="B127" s="64" t="str">
        <f>D1</f>
        <v>FM</v>
      </c>
      <c r="C127" s="6">
        <v>3240000</v>
      </c>
      <c r="D127" s="6"/>
      <c r="E127" s="6"/>
      <c r="F127" s="6">
        <v>540000</v>
      </c>
      <c r="G127" s="6"/>
      <c r="H127" s="6"/>
      <c r="I127" s="6">
        <v>0</v>
      </c>
      <c r="J127" s="6"/>
      <c r="K127" s="6"/>
      <c r="L127" s="6"/>
      <c r="M127" s="6">
        <f t="shared" si="13"/>
        <v>5861295</v>
      </c>
      <c r="N127" s="6"/>
      <c r="O127" s="6"/>
      <c r="P127" s="5">
        <f t="shared" si="14"/>
        <v>41232.05357142858</v>
      </c>
      <c r="Q127" s="5"/>
      <c r="R127" s="5"/>
      <c r="S127" s="49"/>
      <c r="T127" s="49"/>
      <c r="U127" s="23">
        <f t="shared" si="15"/>
        <v>66.400000000000006</v>
      </c>
      <c r="W127" s="65">
        <f t="shared" si="16"/>
        <v>2737808.3571428577</v>
      </c>
      <c r="Y127" s="23"/>
      <c r="Z127" s="23"/>
      <c r="AA127" s="23"/>
      <c r="AB127" s="23"/>
      <c r="AC127" s="48"/>
      <c r="AD127" s="23"/>
      <c r="AE127" s="23"/>
    </row>
    <row r="128" spans="1:31" ht="12.75" customHeight="1">
      <c r="A128" s="35" t="s">
        <v>70</v>
      </c>
      <c r="B128" s="64" t="str">
        <f>E1</f>
        <v>BS</v>
      </c>
      <c r="C128" s="6">
        <v>4320000</v>
      </c>
      <c r="D128" s="6"/>
      <c r="E128" s="6"/>
      <c r="F128" s="6">
        <v>1620000</v>
      </c>
      <c r="G128" s="6"/>
      <c r="H128" s="6"/>
      <c r="I128" s="6">
        <v>0</v>
      </c>
      <c r="J128" s="6"/>
      <c r="K128" s="6"/>
      <c r="L128" s="6"/>
      <c r="M128" s="6">
        <f t="shared" si="13"/>
        <v>8209600</v>
      </c>
      <c r="N128" s="6"/>
      <c r="O128" s="6"/>
      <c r="P128" s="5">
        <f t="shared" si="14"/>
        <v>57751.515151515152</v>
      </c>
      <c r="Q128" s="5"/>
      <c r="R128" s="5"/>
      <c r="S128" s="49"/>
      <c r="T128" s="49"/>
      <c r="U128" s="23">
        <f t="shared" si="15"/>
        <v>147.19999999999999</v>
      </c>
      <c r="W128" s="65">
        <f t="shared" si="16"/>
        <v>8501023.0303030293</v>
      </c>
      <c r="Y128" s="23"/>
      <c r="Z128" s="23"/>
      <c r="AA128" s="23"/>
      <c r="AB128" s="23"/>
      <c r="AC128" s="48"/>
      <c r="AD128" s="23"/>
      <c r="AE128" s="23"/>
    </row>
    <row r="129" spans="1:31" ht="12.75" customHeight="1">
      <c r="A129" s="35" t="s">
        <v>71</v>
      </c>
      <c r="B129" s="64" t="str">
        <f>F1</f>
        <v>BM</v>
      </c>
      <c r="C129" s="6">
        <v>3780000</v>
      </c>
      <c r="D129" s="6"/>
      <c r="E129" s="6"/>
      <c r="F129" s="6">
        <v>1080000</v>
      </c>
      <c r="G129" s="6"/>
      <c r="H129" s="6"/>
      <c r="I129" s="6">
        <v>0</v>
      </c>
      <c r="J129" s="6"/>
      <c r="K129" s="6"/>
      <c r="L129" s="6"/>
      <c r="M129" s="6">
        <f t="shared" si="13"/>
        <v>6910900</v>
      </c>
      <c r="N129" s="6"/>
      <c r="O129" s="6"/>
      <c r="P129" s="5">
        <f t="shared" si="14"/>
        <v>48615.63852813853</v>
      </c>
      <c r="Q129" s="5"/>
      <c r="R129" s="5"/>
      <c r="S129" s="49"/>
      <c r="T129" s="49"/>
      <c r="U129" s="23">
        <f t="shared" si="15"/>
        <v>6.4</v>
      </c>
      <c r="W129" s="65">
        <f t="shared" si="16"/>
        <v>311140.08658008662</v>
      </c>
      <c r="Y129" s="23"/>
      <c r="Z129" s="23"/>
      <c r="AA129" s="23"/>
      <c r="AB129" s="23"/>
      <c r="AC129" s="48"/>
      <c r="AD129" s="23"/>
      <c r="AE129" s="23"/>
    </row>
    <row r="130" spans="1:31" ht="12.75" customHeight="1">
      <c r="A130" s="35" t="s">
        <v>72</v>
      </c>
      <c r="B130" s="64" t="str">
        <f>G1</f>
        <v>QA</v>
      </c>
      <c r="C130" s="6">
        <v>2700000</v>
      </c>
      <c r="D130" s="6"/>
      <c r="E130" s="6"/>
      <c r="F130" s="6">
        <v>1080000</v>
      </c>
      <c r="G130" s="6"/>
      <c r="H130" s="6"/>
      <c r="I130" s="6">
        <v>54000</v>
      </c>
      <c r="J130" s="6"/>
      <c r="K130" s="6"/>
      <c r="L130" s="6"/>
      <c r="M130" s="6">
        <f t="shared" si="13"/>
        <v>5696595</v>
      </c>
      <c r="N130" s="6"/>
      <c r="O130" s="6"/>
      <c r="P130" s="5">
        <f t="shared" si="14"/>
        <v>40073.449675324679</v>
      </c>
      <c r="Q130" s="5"/>
      <c r="R130" s="5"/>
      <c r="S130" s="49"/>
      <c r="T130" s="49"/>
      <c r="U130" s="23">
        <f t="shared" si="15"/>
        <v>8</v>
      </c>
      <c r="W130" s="65">
        <f t="shared" si="16"/>
        <v>320587.59740259743</v>
      </c>
      <c r="Y130" s="23"/>
      <c r="Z130" s="23"/>
      <c r="AA130" s="23"/>
      <c r="AB130" s="23"/>
      <c r="AC130" s="48"/>
      <c r="AD130" s="23"/>
      <c r="AE130" s="23"/>
    </row>
    <row r="131" spans="1:31" ht="12.75" customHeight="1">
      <c r="A131" s="35" t="s">
        <v>73</v>
      </c>
      <c r="B131" s="64" t="str">
        <f>H1</f>
        <v>IM</v>
      </c>
      <c r="C131" s="6">
        <v>2700000</v>
      </c>
      <c r="D131" s="6"/>
      <c r="E131" s="6"/>
      <c r="F131" s="6">
        <v>1080000</v>
      </c>
      <c r="G131" s="6"/>
      <c r="H131" s="6"/>
      <c r="I131" s="6">
        <v>0</v>
      </c>
      <c r="J131" s="6"/>
      <c r="K131" s="6"/>
      <c r="L131" s="6"/>
      <c r="M131" s="6">
        <f t="shared" si="13"/>
        <v>5642595</v>
      </c>
      <c r="N131" s="6"/>
      <c r="O131" s="6"/>
      <c r="P131" s="5">
        <f t="shared" si="14"/>
        <v>39693.579545454551</v>
      </c>
      <c r="Q131" s="5"/>
      <c r="R131" s="5"/>
      <c r="S131" s="49"/>
      <c r="T131" s="49"/>
      <c r="U131" s="23">
        <f t="shared" si="15"/>
        <v>12</v>
      </c>
      <c r="W131" s="65">
        <f t="shared" si="16"/>
        <v>476322.95454545459</v>
      </c>
      <c r="Y131" s="23"/>
      <c r="Z131" s="23"/>
      <c r="AA131" s="23"/>
      <c r="AB131" s="23"/>
      <c r="AC131" s="48"/>
      <c r="AD131" s="23"/>
      <c r="AE131" s="23"/>
    </row>
    <row r="132" spans="1:31" ht="12.75" customHeight="1">
      <c r="A132" s="35" t="s">
        <v>74</v>
      </c>
      <c r="B132" s="64" t="str">
        <f>I1</f>
        <v>MS</v>
      </c>
      <c r="C132" s="6">
        <v>8100000</v>
      </c>
      <c r="D132" s="6"/>
      <c r="E132" s="6"/>
      <c r="F132" s="6">
        <v>2160000</v>
      </c>
      <c r="G132" s="6"/>
      <c r="H132" s="6"/>
      <c r="I132" s="6">
        <v>132000</v>
      </c>
      <c r="J132" s="6"/>
      <c r="K132" s="6"/>
      <c r="L132" s="6"/>
      <c r="M132" s="6">
        <f t="shared" si="13"/>
        <v>14192500</v>
      </c>
      <c r="N132" s="6"/>
      <c r="O132" s="6"/>
      <c r="P132" s="5">
        <f t="shared" si="14"/>
        <v>99839.015151515167</v>
      </c>
      <c r="Q132" s="5"/>
      <c r="R132" s="5"/>
      <c r="S132" s="49"/>
      <c r="T132" s="49"/>
      <c r="U132" s="23">
        <f t="shared" si="15"/>
        <v>0</v>
      </c>
      <c r="W132" s="65">
        <f t="shared" si="16"/>
        <v>0</v>
      </c>
      <c r="Y132" s="23"/>
      <c r="Z132" s="23"/>
      <c r="AA132" s="23"/>
      <c r="AB132" s="23"/>
      <c r="AC132" s="48"/>
      <c r="AD132" s="23"/>
      <c r="AE132" s="23"/>
    </row>
    <row r="133" spans="1:31" ht="12.75" customHeight="1">
      <c r="A133" s="35" t="s">
        <v>75</v>
      </c>
      <c r="B133" s="64" t="str">
        <f>J1</f>
        <v>MM</v>
      </c>
      <c r="C133" s="6">
        <v>3240000</v>
      </c>
      <c r="D133" s="6"/>
      <c r="E133" s="6"/>
      <c r="F133" s="6">
        <v>1080000</v>
      </c>
      <c r="G133" s="6"/>
      <c r="H133" s="6"/>
      <c r="I133" s="6">
        <v>132000</v>
      </c>
      <c r="J133" s="6"/>
      <c r="K133" s="6"/>
      <c r="L133" s="6"/>
      <c r="M133" s="6">
        <f t="shared" si="13"/>
        <v>6533295</v>
      </c>
      <c r="N133" s="6"/>
      <c r="O133" s="6"/>
      <c r="P133" s="5">
        <f t="shared" si="14"/>
        <v>45959.326298701308</v>
      </c>
      <c r="Q133" s="5"/>
      <c r="R133" s="5"/>
      <c r="S133" s="49"/>
      <c r="T133" s="49"/>
      <c r="U133" s="23">
        <f t="shared" si="15"/>
        <v>0</v>
      </c>
      <c r="W133" s="65">
        <f t="shared" si="16"/>
        <v>0</v>
      </c>
      <c r="Y133" s="23"/>
      <c r="Z133" s="23"/>
      <c r="AA133" s="23"/>
      <c r="AB133" s="23"/>
      <c r="AC133" s="48"/>
      <c r="AD133" s="23"/>
      <c r="AE133" s="23"/>
    </row>
    <row r="134" spans="1:31" ht="12.75" customHeight="1">
      <c r="A134" s="35" t="s">
        <v>76</v>
      </c>
      <c r="B134" s="64" t="s">
        <v>10</v>
      </c>
      <c r="C134" s="6">
        <v>3240000</v>
      </c>
      <c r="D134" s="6"/>
      <c r="E134" s="6"/>
      <c r="F134" s="6">
        <v>1080000</v>
      </c>
      <c r="G134" s="6"/>
      <c r="H134" s="6"/>
      <c r="I134" s="6"/>
      <c r="J134" s="6"/>
      <c r="K134" s="6"/>
      <c r="L134" s="6"/>
      <c r="M134" s="6">
        <f t="shared" si="13"/>
        <v>6401295</v>
      </c>
      <c r="N134" s="6"/>
      <c r="O134" s="6"/>
      <c r="P134" s="5">
        <f t="shared" si="14"/>
        <v>45030.754870129873</v>
      </c>
      <c r="Q134" s="5"/>
      <c r="R134" s="5"/>
      <c r="S134" s="49"/>
      <c r="T134" s="49"/>
      <c r="U134" s="23">
        <f t="shared" si="15"/>
        <v>0</v>
      </c>
      <c r="W134" s="65">
        <f t="shared" si="16"/>
        <v>0</v>
      </c>
      <c r="Y134" s="23"/>
      <c r="Z134" s="23"/>
      <c r="AA134" s="23"/>
      <c r="AB134" s="23"/>
      <c r="AC134" s="48"/>
      <c r="AD134" s="23"/>
      <c r="AE134" s="23"/>
    </row>
    <row r="135" spans="1:31" ht="12.75" customHeight="1">
      <c r="A135" s="35"/>
      <c r="B135" s="64"/>
      <c r="C135" s="49"/>
      <c r="D135" s="49"/>
      <c r="E135" s="49"/>
      <c r="F135" s="49"/>
      <c r="G135" s="49"/>
      <c r="H135" s="49"/>
      <c r="I135" s="23"/>
      <c r="J135" s="23"/>
      <c r="K135" s="23"/>
      <c r="L135" s="23"/>
      <c r="M135" s="23"/>
      <c r="N135" s="23"/>
      <c r="O135" s="23"/>
      <c r="P135" s="4">
        <f>SUM(P125:P134)</f>
        <v>534728.90151515161</v>
      </c>
      <c r="Q135" s="4"/>
      <c r="R135" s="4"/>
      <c r="S135" s="49"/>
      <c r="T135" s="49"/>
      <c r="U135" s="49"/>
      <c r="W135" s="66">
        <f>SUM(W125:W134)</f>
        <v>14347696.97186147</v>
      </c>
      <c r="Y135" s="23"/>
      <c r="Z135" s="23"/>
      <c r="AA135" s="23"/>
      <c r="AB135" s="23"/>
      <c r="AC135" s="48"/>
      <c r="AD135" s="23"/>
      <c r="AE135" s="23"/>
    </row>
    <row r="136" spans="1:31" ht="12.75" customHeight="1">
      <c r="A136" s="23"/>
      <c r="B136" s="23"/>
      <c r="C136" s="67"/>
      <c r="D136" s="67"/>
      <c r="E136" s="23"/>
      <c r="F136" s="23"/>
      <c r="G136" s="23"/>
      <c r="H136" s="49"/>
      <c r="I136" s="23"/>
      <c r="J136" s="23"/>
      <c r="K136" s="23"/>
      <c r="L136" s="49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48"/>
      <c r="AD136" s="23"/>
      <c r="AE136" s="23"/>
    </row>
    <row r="137" spans="1:31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48"/>
      <c r="AD137" s="23"/>
      <c r="AE137" s="23"/>
    </row>
    <row r="138" spans="1:31" ht="12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9"/>
      <c r="AD138" s="68"/>
      <c r="AE138" s="68"/>
    </row>
    <row r="139" spans="1:31" ht="15" customHeight="1">
      <c r="A139" s="68"/>
      <c r="B139" s="68"/>
      <c r="C139" s="3"/>
      <c r="D139" s="3"/>
      <c r="E139" s="3"/>
      <c r="F139" s="3"/>
      <c r="G139" s="2"/>
      <c r="H139" s="2"/>
      <c r="I139" s="2"/>
      <c r="J139" s="2"/>
      <c r="K139" s="70"/>
      <c r="L139" s="1"/>
      <c r="M139" s="1"/>
      <c r="N139" s="1"/>
      <c r="O139" s="1"/>
      <c r="P139" s="2"/>
      <c r="Q139" s="2"/>
      <c r="R139" s="2"/>
      <c r="S139" s="2"/>
      <c r="T139" s="1"/>
      <c r="U139" s="1"/>
      <c r="V139" s="1"/>
      <c r="W139" s="1"/>
      <c r="X139" s="2"/>
      <c r="Y139" s="2"/>
      <c r="Z139" s="2"/>
      <c r="AA139" s="1"/>
      <c r="AB139" s="1"/>
      <c r="AC139" s="1"/>
      <c r="AD139" s="71"/>
      <c r="AE139" s="68"/>
    </row>
    <row r="140" spans="1:31" ht="12.75" customHeight="1">
      <c r="A140" s="72" t="e">
        <f t="array" aca="1" ref="A140:A144" ca="1">unique(L1:L120)</f>
        <v>#NAME?</v>
      </c>
      <c r="B140" s="73"/>
      <c r="C140" s="74"/>
      <c r="D140" s="74"/>
      <c r="E140" s="74"/>
      <c r="F140" s="75"/>
      <c r="G140" s="76" t="s">
        <v>77</v>
      </c>
      <c r="H140" s="76" t="s">
        <v>78</v>
      </c>
      <c r="I140" s="76" t="s">
        <v>79</v>
      </c>
      <c r="J140" s="76" t="s">
        <v>80</v>
      </c>
      <c r="K140" s="76" t="s">
        <v>81</v>
      </c>
      <c r="L140" s="77" t="s">
        <v>82</v>
      </c>
      <c r="M140" s="77" t="s">
        <v>83</v>
      </c>
      <c r="N140" s="77" t="s">
        <v>84</v>
      </c>
      <c r="O140" s="77" t="s">
        <v>85</v>
      </c>
      <c r="P140" s="76" t="s">
        <v>86</v>
      </c>
      <c r="Q140" s="76"/>
      <c r="R140" s="76"/>
      <c r="S140" s="76"/>
      <c r="T140" s="77"/>
      <c r="U140" s="77"/>
      <c r="V140" s="77"/>
      <c r="W140" s="77"/>
      <c r="X140" s="76"/>
      <c r="Y140" s="76"/>
      <c r="Z140" s="76"/>
      <c r="AA140" s="77"/>
      <c r="AB140" s="77"/>
      <c r="AC140" s="78"/>
      <c r="AD140" s="77"/>
      <c r="AE140" s="68"/>
    </row>
    <row r="141" spans="1:31" ht="12.75" customHeight="1">
      <c r="A141" s="79" t="e">
        <f ca="1"/>
        <v>#NAME?</v>
      </c>
      <c r="B141" s="80"/>
      <c r="C141" s="80"/>
      <c r="D141" s="80" t="s">
        <v>87</v>
      </c>
      <c r="E141" s="80"/>
      <c r="F141" s="81"/>
      <c r="G141" s="82"/>
      <c r="H141" s="82"/>
      <c r="I141" s="82"/>
      <c r="J141" s="82"/>
      <c r="K141" s="82"/>
      <c r="L141" s="83"/>
      <c r="M141" s="83"/>
      <c r="N141" s="83"/>
      <c r="O141" s="83"/>
      <c r="P141" s="82"/>
      <c r="Q141" s="82"/>
      <c r="R141" s="82"/>
      <c r="S141" s="82"/>
      <c r="T141" s="83"/>
      <c r="U141" s="83"/>
      <c r="V141" s="83"/>
      <c r="W141" s="83"/>
      <c r="X141" s="82"/>
      <c r="Y141" s="82"/>
      <c r="Z141" s="82"/>
      <c r="AA141" s="83"/>
      <c r="AB141" s="83"/>
      <c r="AC141" s="84"/>
      <c r="AD141" s="83"/>
      <c r="AE141" s="68"/>
    </row>
    <row r="142" spans="1:31" ht="12.75" customHeight="1">
      <c r="A142" s="79" t="e">
        <f ca="1"/>
        <v>#NAME?</v>
      </c>
      <c r="B142" s="80"/>
      <c r="C142" s="80"/>
      <c r="D142" s="80"/>
      <c r="E142" s="80"/>
      <c r="F142" s="81"/>
      <c r="G142" s="82"/>
      <c r="H142" s="82"/>
      <c r="I142" s="82"/>
      <c r="J142" s="82"/>
      <c r="K142" s="82"/>
      <c r="L142" s="83"/>
      <c r="M142" s="83"/>
      <c r="N142" s="83"/>
      <c r="O142" s="83"/>
      <c r="P142" s="82"/>
      <c r="Q142" s="82"/>
      <c r="R142" s="82"/>
      <c r="S142" s="82"/>
      <c r="T142" s="83"/>
      <c r="U142" s="83"/>
      <c r="V142" s="83"/>
      <c r="W142" s="83"/>
      <c r="X142" s="82"/>
      <c r="Y142" s="82"/>
      <c r="Z142" s="82"/>
      <c r="AA142" s="83"/>
      <c r="AB142" s="83"/>
      <c r="AC142" s="84"/>
      <c r="AD142" s="83"/>
      <c r="AE142" s="68"/>
    </row>
    <row r="143" spans="1:31" ht="12.75" customHeight="1">
      <c r="A143" s="79" t="e">
        <f ca="1"/>
        <v>#NAME?</v>
      </c>
      <c r="B143" s="80"/>
      <c r="C143" s="80"/>
      <c r="D143" s="80"/>
      <c r="E143" s="80"/>
      <c r="F143" s="81"/>
      <c r="G143" s="82"/>
      <c r="H143" s="82"/>
      <c r="I143" s="82"/>
      <c r="J143" s="82"/>
      <c r="K143" s="82"/>
      <c r="L143" s="83"/>
      <c r="M143" s="83"/>
      <c r="N143" s="83"/>
      <c r="O143" s="83"/>
      <c r="P143" s="82"/>
      <c r="Q143" s="82"/>
      <c r="R143" s="82"/>
      <c r="S143" s="82"/>
      <c r="T143" s="83"/>
      <c r="U143" s="83"/>
      <c r="V143" s="83"/>
      <c r="W143" s="83"/>
      <c r="X143" s="82"/>
      <c r="Y143" s="82"/>
      <c r="Z143" s="82"/>
      <c r="AA143" s="83"/>
      <c r="AB143" s="83"/>
      <c r="AC143" s="84"/>
      <c r="AD143" s="83"/>
      <c r="AE143" s="68"/>
    </row>
    <row r="144" spans="1:31" ht="12.75" customHeight="1">
      <c r="A144" s="79" t="e">
        <f ca="1"/>
        <v>#NAME?</v>
      </c>
      <c r="B144" s="80"/>
      <c r="C144" s="80"/>
      <c r="D144" s="80"/>
      <c r="E144" s="80"/>
      <c r="F144" s="81"/>
      <c r="G144" s="82"/>
      <c r="H144" s="82"/>
      <c r="I144" s="82"/>
      <c r="J144" s="82"/>
      <c r="K144" s="82"/>
      <c r="L144" s="83"/>
      <c r="M144" s="83"/>
      <c r="N144" s="83"/>
      <c r="O144" s="83"/>
      <c r="P144" s="82"/>
      <c r="Q144" s="82"/>
      <c r="R144" s="82"/>
      <c r="S144" s="82"/>
      <c r="T144" s="83"/>
      <c r="U144" s="83"/>
      <c r="V144" s="83"/>
      <c r="W144" s="83"/>
      <c r="X144" s="82"/>
      <c r="Y144" s="82"/>
      <c r="Z144" s="82"/>
      <c r="AA144" s="83"/>
      <c r="AB144" s="83"/>
      <c r="AC144" s="84"/>
      <c r="AD144" s="83"/>
      <c r="AE144" s="68"/>
    </row>
    <row r="145" spans="1:31" ht="12.75" customHeight="1">
      <c r="A145" s="79"/>
      <c r="B145" s="80"/>
      <c r="C145" s="80"/>
      <c r="D145" s="80"/>
      <c r="E145" s="80"/>
      <c r="F145" s="81"/>
      <c r="G145" s="82"/>
      <c r="H145" s="82"/>
      <c r="I145" s="82"/>
      <c r="J145" s="82"/>
      <c r="K145" s="82"/>
      <c r="L145" s="83"/>
      <c r="M145" s="83"/>
      <c r="N145" s="83"/>
      <c r="O145" s="83"/>
      <c r="P145" s="82"/>
      <c r="Q145" s="82"/>
      <c r="R145" s="82"/>
      <c r="S145" s="82"/>
      <c r="T145" s="83"/>
      <c r="U145" s="83"/>
      <c r="V145" s="83"/>
      <c r="W145" s="83"/>
      <c r="X145" s="82"/>
      <c r="Y145" s="82"/>
      <c r="Z145" s="82"/>
      <c r="AA145" s="83"/>
      <c r="AB145" s="83"/>
      <c r="AC145" s="84"/>
      <c r="AD145" s="83"/>
      <c r="AE145" s="68"/>
    </row>
    <row r="146" spans="1:31" ht="12.75" customHeight="1">
      <c r="A146" s="79"/>
      <c r="B146" s="80"/>
      <c r="C146" s="80"/>
      <c r="D146" s="80"/>
      <c r="E146" s="80"/>
      <c r="F146" s="81"/>
      <c r="G146" s="82"/>
      <c r="H146" s="82"/>
      <c r="I146" s="82"/>
      <c r="J146" s="82"/>
      <c r="K146" s="82"/>
      <c r="L146" s="83"/>
      <c r="M146" s="83"/>
      <c r="N146" s="83"/>
      <c r="O146" s="83"/>
      <c r="P146" s="82"/>
      <c r="Q146" s="82"/>
      <c r="R146" s="82"/>
      <c r="S146" s="82"/>
      <c r="T146" s="83"/>
      <c r="U146" s="83"/>
      <c r="V146" s="83"/>
      <c r="W146" s="83"/>
      <c r="X146" s="82"/>
      <c r="Y146" s="82"/>
      <c r="Z146" s="82"/>
      <c r="AA146" s="83"/>
      <c r="AB146" s="83"/>
      <c r="AC146" s="84"/>
      <c r="AD146" s="83"/>
      <c r="AE146" s="68"/>
    </row>
    <row r="147" spans="1:31" ht="12.75" customHeight="1">
      <c r="A147" s="79"/>
      <c r="B147" s="80"/>
      <c r="C147" s="80"/>
      <c r="D147" s="80"/>
      <c r="E147" s="80"/>
      <c r="F147" s="81"/>
      <c r="G147" s="82"/>
      <c r="H147" s="82"/>
      <c r="I147" s="82"/>
      <c r="J147" s="82"/>
      <c r="K147" s="82"/>
      <c r="L147" s="83"/>
      <c r="M147" s="83"/>
      <c r="N147" s="83"/>
      <c r="O147" s="83"/>
      <c r="P147" s="82"/>
      <c r="Q147" s="82"/>
      <c r="R147" s="82"/>
      <c r="S147" s="82"/>
      <c r="T147" s="83"/>
      <c r="U147" s="83"/>
      <c r="V147" s="83"/>
      <c r="W147" s="83"/>
      <c r="X147" s="82"/>
      <c r="Y147" s="82"/>
      <c r="Z147" s="82"/>
      <c r="AA147" s="83"/>
      <c r="AB147" s="83"/>
      <c r="AC147" s="84"/>
      <c r="AD147" s="83"/>
      <c r="AE147" s="68"/>
    </row>
    <row r="148" spans="1:31" ht="12.75" customHeight="1">
      <c r="A148" s="79"/>
      <c r="B148" s="80"/>
      <c r="C148" s="80"/>
      <c r="D148" s="80"/>
      <c r="E148" s="80"/>
      <c r="F148" s="81"/>
      <c r="G148" s="82"/>
      <c r="H148" s="82"/>
      <c r="I148" s="82"/>
      <c r="J148" s="82"/>
      <c r="K148" s="82"/>
      <c r="L148" s="83"/>
      <c r="M148" s="83"/>
      <c r="N148" s="83"/>
      <c r="O148" s="83"/>
      <c r="P148" s="82"/>
      <c r="Q148" s="82"/>
      <c r="R148" s="82"/>
      <c r="S148" s="82"/>
      <c r="T148" s="83"/>
      <c r="U148" s="83"/>
      <c r="V148" s="83"/>
      <c r="W148" s="83"/>
      <c r="X148" s="82"/>
      <c r="Y148" s="82"/>
      <c r="Z148" s="82"/>
      <c r="AA148" s="83"/>
      <c r="AB148" s="83"/>
      <c r="AC148" s="84"/>
      <c r="AD148" s="83"/>
      <c r="AE148" s="68"/>
    </row>
    <row r="149" spans="1:31" ht="12.75" customHeight="1">
      <c r="A149" s="79"/>
      <c r="B149" s="80"/>
      <c r="C149" s="80"/>
      <c r="D149" s="80"/>
      <c r="E149" s="80"/>
      <c r="F149" s="81"/>
      <c r="G149" s="82"/>
      <c r="H149" s="82"/>
      <c r="I149" s="82"/>
      <c r="J149" s="82"/>
      <c r="K149" s="82"/>
      <c r="L149" s="83"/>
      <c r="M149" s="83"/>
      <c r="N149" s="83"/>
      <c r="O149" s="83"/>
      <c r="P149" s="82"/>
      <c r="Q149" s="82"/>
      <c r="R149" s="82"/>
      <c r="S149" s="82"/>
      <c r="T149" s="83"/>
      <c r="U149" s="83"/>
      <c r="V149" s="83"/>
      <c r="W149" s="83"/>
      <c r="X149" s="82"/>
      <c r="Y149" s="82"/>
      <c r="Z149" s="82"/>
      <c r="AA149" s="83"/>
      <c r="AB149" s="83"/>
      <c r="AC149" s="84"/>
      <c r="AD149" s="83"/>
      <c r="AE149" s="68"/>
    </row>
    <row r="150" spans="1:31" ht="12.75" customHeight="1">
      <c r="A150" s="79"/>
      <c r="B150" s="80"/>
      <c r="C150" s="80"/>
      <c r="D150" s="80"/>
      <c r="E150" s="80"/>
      <c r="F150" s="81"/>
      <c r="G150" s="82"/>
      <c r="H150" s="82"/>
      <c r="I150" s="82"/>
      <c r="J150" s="82"/>
      <c r="K150" s="82"/>
      <c r="L150" s="83"/>
      <c r="M150" s="83"/>
      <c r="N150" s="83"/>
      <c r="O150" s="83"/>
      <c r="P150" s="82"/>
      <c r="Q150" s="82"/>
      <c r="R150" s="82"/>
      <c r="S150" s="82"/>
      <c r="T150" s="83"/>
      <c r="U150" s="83"/>
      <c r="V150" s="83"/>
      <c r="W150" s="83"/>
      <c r="X150" s="82"/>
      <c r="Y150" s="82"/>
      <c r="Z150" s="82"/>
      <c r="AA150" s="83"/>
      <c r="AB150" s="83"/>
      <c r="AC150" s="84"/>
      <c r="AD150" s="83"/>
      <c r="AE150" s="68"/>
    </row>
    <row r="151" spans="1:31" ht="12.75" customHeight="1">
      <c r="A151" s="79"/>
      <c r="B151" s="80"/>
      <c r="C151" s="80"/>
      <c r="D151" s="80"/>
      <c r="E151" s="80"/>
      <c r="F151" s="81"/>
      <c r="G151" s="82"/>
      <c r="H151" s="82"/>
      <c r="I151" s="82"/>
      <c r="J151" s="82"/>
      <c r="K151" s="82"/>
      <c r="L151" s="83"/>
      <c r="M151" s="83"/>
      <c r="N151" s="83"/>
      <c r="O151" s="83"/>
      <c r="P151" s="82"/>
      <c r="Q151" s="82"/>
      <c r="R151" s="82"/>
      <c r="S151" s="82"/>
      <c r="T151" s="83"/>
      <c r="U151" s="83"/>
      <c r="V151" s="83"/>
      <c r="W151" s="83"/>
      <c r="X151" s="82"/>
      <c r="Y151" s="82"/>
      <c r="Z151" s="82"/>
      <c r="AA151" s="83"/>
      <c r="AB151" s="83"/>
      <c r="AC151" s="84"/>
      <c r="AD151" s="83"/>
      <c r="AE151" s="68"/>
    </row>
    <row r="152" spans="1:31" ht="12.75" customHeight="1">
      <c r="A152" s="79"/>
      <c r="B152" s="80"/>
      <c r="C152" s="80"/>
      <c r="D152" s="80"/>
      <c r="E152" s="80"/>
      <c r="F152" s="81"/>
      <c r="G152" s="82"/>
      <c r="H152" s="82"/>
      <c r="I152" s="82"/>
      <c r="J152" s="82"/>
      <c r="K152" s="82"/>
      <c r="L152" s="83"/>
      <c r="M152" s="83"/>
      <c r="N152" s="83"/>
      <c r="O152" s="83"/>
      <c r="P152" s="82"/>
      <c r="Q152" s="82"/>
      <c r="R152" s="82"/>
      <c r="S152" s="82"/>
      <c r="T152" s="83"/>
      <c r="U152" s="83"/>
      <c r="V152" s="83"/>
      <c r="W152" s="83"/>
      <c r="X152" s="82"/>
      <c r="Y152" s="82"/>
      <c r="Z152" s="82"/>
      <c r="AA152" s="83"/>
      <c r="AB152" s="83"/>
      <c r="AC152" s="84"/>
      <c r="AD152" s="83"/>
      <c r="AE152" s="68"/>
    </row>
    <row r="153" spans="1:31" ht="12.75" customHeight="1">
      <c r="A153" s="79"/>
      <c r="B153" s="80"/>
      <c r="C153" s="80"/>
      <c r="D153" s="80"/>
      <c r="E153" s="80"/>
      <c r="F153" s="81"/>
      <c r="G153" s="82"/>
      <c r="H153" s="82"/>
      <c r="I153" s="82"/>
      <c r="J153" s="82"/>
      <c r="K153" s="82"/>
      <c r="L153" s="83"/>
      <c r="M153" s="83"/>
      <c r="N153" s="83"/>
      <c r="O153" s="83"/>
      <c r="P153" s="82"/>
      <c r="Q153" s="82"/>
      <c r="R153" s="82"/>
      <c r="S153" s="82"/>
      <c r="T153" s="83"/>
      <c r="U153" s="83"/>
      <c r="V153" s="83"/>
      <c r="W153" s="83"/>
      <c r="X153" s="82"/>
      <c r="Y153" s="82"/>
      <c r="Z153" s="82"/>
      <c r="AA153" s="83"/>
      <c r="AB153" s="83"/>
      <c r="AC153" s="84"/>
      <c r="AD153" s="83"/>
      <c r="AE153" s="68"/>
    </row>
    <row r="154" spans="1:31" ht="12.75" customHeight="1">
      <c r="A154" s="79"/>
      <c r="B154" s="80"/>
      <c r="C154" s="80"/>
      <c r="D154" s="80"/>
      <c r="E154" s="80"/>
      <c r="F154" s="81"/>
      <c r="G154" s="82"/>
      <c r="H154" s="82"/>
      <c r="I154" s="82"/>
      <c r="J154" s="82"/>
      <c r="K154" s="82"/>
      <c r="L154" s="83"/>
      <c r="M154" s="83"/>
      <c r="N154" s="83"/>
      <c r="O154" s="83"/>
      <c r="P154" s="82"/>
      <c r="Q154" s="82"/>
      <c r="R154" s="82"/>
      <c r="S154" s="82"/>
      <c r="T154" s="83"/>
      <c r="U154" s="83"/>
      <c r="V154" s="83"/>
      <c r="W154" s="83"/>
      <c r="X154" s="82"/>
      <c r="Y154" s="82"/>
      <c r="Z154" s="82"/>
      <c r="AA154" s="83"/>
      <c r="AB154" s="83"/>
      <c r="AC154" s="84"/>
      <c r="AD154" s="83"/>
      <c r="AE154" s="68"/>
    </row>
    <row r="155" spans="1:31" ht="12.75" customHeight="1">
      <c r="A155" s="79"/>
      <c r="B155" s="80"/>
      <c r="C155" s="80"/>
      <c r="D155" s="80"/>
      <c r="E155" s="80"/>
      <c r="F155" s="81"/>
      <c r="G155" s="82"/>
      <c r="H155" s="82"/>
      <c r="I155" s="82"/>
      <c r="J155" s="82"/>
      <c r="K155" s="82"/>
      <c r="L155" s="83"/>
      <c r="M155" s="83"/>
      <c r="N155" s="83"/>
      <c r="O155" s="83"/>
      <c r="P155" s="82"/>
      <c r="Q155" s="82"/>
      <c r="R155" s="82"/>
      <c r="S155" s="82"/>
      <c r="T155" s="83"/>
      <c r="U155" s="83"/>
      <c r="V155" s="83"/>
      <c r="W155" s="83"/>
      <c r="X155" s="82"/>
      <c r="Y155" s="82"/>
      <c r="Z155" s="82"/>
      <c r="AA155" s="83"/>
      <c r="AB155" s="83"/>
      <c r="AC155" s="84"/>
      <c r="AD155" s="83"/>
      <c r="AE155" s="68"/>
    </row>
    <row r="156" spans="1:31" ht="12.75" customHeight="1">
      <c r="A156" s="79"/>
      <c r="B156" s="80"/>
      <c r="C156" s="80"/>
      <c r="D156" s="80"/>
      <c r="E156" s="80"/>
      <c r="F156" s="81"/>
      <c r="G156" s="82"/>
      <c r="H156" s="82"/>
      <c r="I156" s="82"/>
      <c r="J156" s="82"/>
      <c r="K156" s="82"/>
      <c r="L156" s="83"/>
      <c r="M156" s="83"/>
      <c r="N156" s="83"/>
      <c r="O156" s="83"/>
      <c r="P156" s="82"/>
      <c r="Q156" s="82"/>
      <c r="R156" s="82"/>
      <c r="S156" s="82"/>
      <c r="T156" s="83"/>
      <c r="U156" s="83"/>
      <c r="V156" s="83"/>
      <c r="W156" s="83"/>
      <c r="X156" s="82"/>
      <c r="Y156" s="82"/>
      <c r="Z156" s="82"/>
      <c r="AA156" s="83"/>
      <c r="AB156" s="83"/>
      <c r="AC156" s="84"/>
      <c r="AD156" s="83"/>
      <c r="AE156" s="68"/>
    </row>
    <row r="157" spans="1:31" ht="12.75" customHeight="1">
      <c r="A157" s="79"/>
      <c r="B157" s="80"/>
      <c r="C157" s="80"/>
      <c r="D157" s="80"/>
      <c r="E157" s="80"/>
      <c r="F157" s="81"/>
      <c r="G157" s="82"/>
      <c r="H157" s="82"/>
      <c r="I157" s="82"/>
      <c r="J157" s="82"/>
      <c r="K157" s="82"/>
      <c r="L157" s="83"/>
      <c r="M157" s="83"/>
      <c r="N157" s="83"/>
      <c r="O157" s="83"/>
      <c r="P157" s="82"/>
      <c r="Q157" s="82"/>
      <c r="R157" s="82"/>
      <c r="S157" s="82"/>
      <c r="T157" s="83"/>
      <c r="U157" s="83"/>
      <c r="V157" s="83"/>
      <c r="W157" s="83"/>
      <c r="X157" s="82"/>
      <c r="Y157" s="82"/>
      <c r="Z157" s="82"/>
      <c r="AA157" s="83"/>
      <c r="AB157" s="83"/>
      <c r="AC157" s="84"/>
      <c r="AD157" s="83"/>
      <c r="AE157" s="68"/>
    </row>
    <row r="158" spans="1:31" ht="12.75" customHeight="1">
      <c r="A158" s="79"/>
      <c r="B158" s="80"/>
      <c r="C158" s="80"/>
      <c r="D158" s="80"/>
      <c r="E158" s="80"/>
      <c r="F158" s="81"/>
      <c r="G158" s="82"/>
      <c r="H158" s="82"/>
      <c r="I158" s="82"/>
      <c r="J158" s="82"/>
      <c r="K158" s="82"/>
      <c r="L158" s="83"/>
      <c r="M158" s="83"/>
      <c r="N158" s="83"/>
      <c r="O158" s="83"/>
      <c r="P158" s="82"/>
      <c r="Q158" s="82"/>
      <c r="R158" s="82"/>
      <c r="S158" s="82"/>
      <c r="T158" s="83"/>
      <c r="U158" s="83"/>
      <c r="V158" s="83"/>
      <c r="W158" s="83"/>
      <c r="X158" s="82"/>
      <c r="Y158" s="82"/>
      <c r="Z158" s="82"/>
      <c r="AA158" s="83"/>
      <c r="AB158" s="83"/>
      <c r="AC158" s="84"/>
      <c r="AD158" s="83"/>
      <c r="AE158" s="68"/>
    </row>
    <row r="159" spans="1:31" ht="12.75" customHeight="1">
      <c r="A159" s="79"/>
      <c r="B159" s="80"/>
      <c r="C159" s="80"/>
      <c r="D159" s="80"/>
      <c r="E159" s="80"/>
      <c r="F159" s="81"/>
      <c r="G159" s="82"/>
      <c r="H159" s="82"/>
      <c r="I159" s="82"/>
      <c r="J159" s="82"/>
      <c r="K159" s="82"/>
      <c r="L159" s="83"/>
      <c r="M159" s="83"/>
      <c r="N159" s="83"/>
      <c r="O159" s="83"/>
      <c r="P159" s="82"/>
      <c r="Q159" s="82"/>
      <c r="R159" s="82"/>
      <c r="S159" s="82"/>
      <c r="T159" s="83"/>
      <c r="U159" s="83"/>
      <c r="V159" s="83"/>
      <c r="W159" s="83"/>
      <c r="X159" s="82"/>
      <c r="Y159" s="82"/>
      <c r="Z159" s="82"/>
      <c r="AA159" s="83"/>
      <c r="AB159" s="83"/>
      <c r="AC159" s="84"/>
      <c r="AD159" s="83"/>
      <c r="AE159" s="68"/>
    </row>
    <row r="160" spans="1:31" ht="12.75" customHeight="1">
      <c r="A160" s="79"/>
      <c r="B160" s="80"/>
      <c r="C160" s="80"/>
      <c r="D160" s="80"/>
      <c r="E160" s="80"/>
      <c r="F160" s="81"/>
      <c r="G160" s="82"/>
      <c r="H160" s="82"/>
      <c r="I160" s="82"/>
      <c r="J160" s="82"/>
      <c r="K160" s="82"/>
      <c r="L160" s="83"/>
      <c r="M160" s="83"/>
      <c r="N160" s="83"/>
      <c r="O160" s="83"/>
      <c r="P160" s="82"/>
      <c r="Q160" s="82"/>
      <c r="R160" s="82"/>
      <c r="S160" s="82"/>
      <c r="T160" s="83"/>
      <c r="U160" s="83"/>
      <c r="V160" s="83"/>
      <c r="W160" s="83"/>
      <c r="X160" s="82"/>
      <c r="Y160" s="82"/>
      <c r="Z160" s="82"/>
      <c r="AA160" s="83"/>
      <c r="AB160" s="83"/>
      <c r="AC160" s="84"/>
      <c r="AD160" s="83"/>
      <c r="AE160" s="68"/>
    </row>
    <row r="161" spans="1:31" ht="12.75" customHeight="1">
      <c r="A161" s="79"/>
      <c r="B161" s="80"/>
      <c r="C161" s="80"/>
      <c r="D161" s="80"/>
      <c r="E161" s="80"/>
      <c r="F161" s="81"/>
      <c r="G161" s="82"/>
      <c r="H161" s="82"/>
      <c r="I161" s="82"/>
      <c r="J161" s="82"/>
      <c r="K161" s="82"/>
      <c r="L161" s="83"/>
      <c r="M161" s="83"/>
      <c r="N161" s="83"/>
      <c r="O161" s="83"/>
      <c r="P161" s="82"/>
      <c r="Q161" s="82"/>
      <c r="R161" s="82"/>
      <c r="S161" s="82"/>
      <c r="T161" s="83"/>
      <c r="U161" s="83"/>
      <c r="V161" s="83"/>
      <c r="W161" s="83"/>
      <c r="X161" s="82"/>
      <c r="Y161" s="82"/>
      <c r="Z161" s="82"/>
      <c r="AA161" s="83"/>
      <c r="AB161" s="83"/>
      <c r="AC161" s="84"/>
      <c r="AD161" s="83"/>
      <c r="AE161" s="68"/>
    </row>
    <row r="162" spans="1:31" ht="12.75" customHeight="1">
      <c r="A162" s="79"/>
      <c r="B162" s="80"/>
      <c r="C162" s="80"/>
      <c r="D162" s="80"/>
      <c r="E162" s="80"/>
      <c r="F162" s="81"/>
      <c r="G162" s="82"/>
      <c r="H162" s="82"/>
      <c r="I162" s="82"/>
      <c r="J162" s="82"/>
      <c r="K162" s="82"/>
      <c r="L162" s="83"/>
      <c r="M162" s="83"/>
      <c r="N162" s="83"/>
      <c r="O162" s="83"/>
      <c r="P162" s="82"/>
      <c r="Q162" s="82"/>
      <c r="R162" s="82"/>
      <c r="S162" s="82"/>
      <c r="T162" s="83"/>
      <c r="U162" s="83"/>
      <c r="V162" s="83"/>
      <c r="W162" s="83"/>
      <c r="X162" s="82"/>
      <c r="Y162" s="82"/>
      <c r="Z162" s="82"/>
      <c r="AA162" s="83"/>
      <c r="AB162" s="83"/>
      <c r="AC162" s="84"/>
      <c r="AD162" s="83"/>
      <c r="AE162" s="68"/>
    </row>
    <row r="163" spans="1:31" ht="12.75" customHeight="1">
      <c r="A163" s="79"/>
      <c r="B163" s="80"/>
      <c r="C163" s="80"/>
      <c r="D163" s="80"/>
      <c r="E163" s="80"/>
      <c r="F163" s="81"/>
      <c r="G163" s="82"/>
      <c r="H163" s="82"/>
      <c r="I163" s="82"/>
      <c r="J163" s="82"/>
      <c r="K163" s="82"/>
      <c r="L163" s="83"/>
      <c r="M163" s="83"/>
      <c r="N163" s="83"/>
      <c r="O163" s="83"/>
      <c r="P163" s="82"/>
      <c r="Q163" s="82"/>
      <c r="R163" s="82"/>
      <c r="S163" s="82"/>
      <c r="T163" s="83"/>
      <c r="U163" s="83"/>
      <c r="V163" s="83"/>
      <c r="W163" s="83"/>
      <c r="X163" s="82"/>
      <c r="Y163" s="82"/>
      <c r="Z163" s="82"/>
      <c r="AA163" s="83"/>
      <c r="AB163" s="83"/>
      <c r="AC163" s="84"/>
      <c r="AD163" s="83"/>
      <c r="AE163" s="68"/>
    </row>
    <row r="164" spans="1:31" ht="12.75" customHeight="1">
      <c r="A164" s="79"/>
      <c r="B164" s="80"/>
      <c r="C164" s="80"/>
      <c r="D164" s="80"/>
      <c r="E164" s="80"/>
      <c r="F164" s="81"/>
      <c r="G164" s="82"/>
      <c r="H164" s="82"/>
      <c r="I164" s="82"/>
      <c r="J164" s="82"/>
      <c r="K164" s="82"/>
      <c r="L164" s="83"/>
      <c r="M164" s="83"/>
      <c r="N164" s="83"/>
      <c r="O164" s="83"/>
      <c r="P164" s="82"/>
      <c r="Q164" s="82"/>
      <c r="R164" s="82"/>
      <c r="S164" s="82"/>
      <c r="T164" s="83"/>
      <c r="U164" s="83"/>
      <c r="V164" s="83"/>
      <c r="W164" s="83"/>
      <c r="X164" s="82"/>
      <c r="Y164" s="82"/>
      <c r="Z164" s="82"/>
      <c r="AA164" s="83"/>
      <c r="AB164" s="83"/>
      <c r="AC164" s="84"/>
      <c r="AD164" s="83"/>
      <c r="AE164" s="68"/>
    </row>
    <row r="165" spans="1:31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48"/>
      <c r="AD165" s="23"/>
      <c r="AE165" s="68"/>
    </row>
    <row r="166" spans="1:31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48"/>
      <c r="AD166" s="23"/>
      <c r="AE166" s="23"/>
    </row>
    <row r="167" spans="1:31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48"/>
      <c r="AD167" s="23"/>
      <c r="AE167" s="23"/>
    </row>
  </sheetData>
  <mergeCells count="68">
    <mergeCell ref="T139:W139"/>
    <mergeCell ref="X139:Z139"/>
    <mergeCell ref="AA139:AC139"/>
    <mergeCell ref="P135:R135"/>
    <mergeCell ref="C139:F139"/>
    <mergeCell ref="G139:J139"/>
    <mergeCell ref="L139:O139"/>
    <mergeCell ref="P139:S139"/>
    <mergeCell ref="C134:E134"/>
    <mergeCell ref="F134:H134"/>
    <mergeCell ref="I134:L134"/>
    <mergeCell ref="M134:O134"/>
    <mergeCell ref="P134:R134"/>
    <mergeCell ref="C133:E133"/>
    <mergeCell ref="F133:H133"/>
    <mergeCell ref="I133:L133"/>
    <mergeCell ref="M133:O133"/>
    <mergeCell ref="P133:R133"/>
    <mergeCell ref="C132:E132"/>
    <mergeCell ref="F132:H132"/>
    <mergeCell ref="I132:L132"/>
    <mergeCell ref="M132:O132"/>
    <mergeCell ref="P132:R132"/>
    <mergeCell ref="C131:E131"/>
    <mergeCell ref="F131:H131"/>
    <mergeCell ref="I131:L131"/>
    <mergeCell ref="M131:O131"/>
    <mergeCell ref="P131:R131"/>
    <mergeCell ref="C130:E130"/>
    <mergeCell ref="F130:H130"/>
    <mergeCell ref="I130:L130"/>
    <mergeCell ref="M130:O130"/>
    <mergeCell ref="P130:R130"/>
    <mergeCell ref="C129:E129"/>
    <mergeCell ref="F129:H129"/>
    <mergeCell ref="I129:L129"/>
    <mergeCell ref="M129:O129"/>
    <mergeCell ref="P129:R129"/>
    <mergeCell ref="C128:E128"/>
    <mergeCell ref="F128:H128"/>
    <mergeCell ref="I128:L128"/>
    <mergeCell ref="M128:O128"/>
    <mergeCell ref="P128:R128"/>
    <mergeCell ref="C127:E127"/>
    <mergeCell ref="F127:H127"/>
    <mergeCell ref="I127:L127"/>
    <mergeCell ref="M127:O127"/>
    <mergeCell ref="P127:R127"/>
    <mergeCell ref="C126:E126"/>
    <mergeCell ref="F126:H126"/>
    <mergeCell ref="I126:L126"/>
    <mergeCell ref="M126:O126"/>
    <mergeCell ref="P126:R126"/>
    <mergeCell ref="V124:X124"/>
    <mergeCell ref="C125:E125"/>
    <mergeCell ref="F125:H125"/>
    <mergeCell ref="I125:L125"/>
    <mergeCell ref="M125:O125"/>
    <mergeCell ref="P125:R125"/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</mergeCells>
  <conditionalFormatting sqref="C141:AD164">
    <cfRule type="expression" dxfId="4" priority="2">
      <formula>LEN(TRIM(C141))&gt;0</formula>
    </cfRule>
  </conditionalFormatting>
  <conditionalFormatting sqref="Y2:Y119">
    <cfRule type="expression" dxfId="3" priority="3">
      <formula>$L2&lt;&gt;""</formula>
    </cfRule>
  </conditionalFormatting>
  <conditionalFormatting sqref="Z1:Z119">
    <cfRule type="expression" dxfId="2" priority="4">
      <formula>LEN(TRIM(Z1))&gt;0</formula>
    </cfRule>
  </conditionalFormatting>
  <conditionalFormatting sqref="AA1:AA119">
    <cfRule type="expression" dxfId="1" priority="5">
      <formula>LEN(TRIM(AA1))&gt;0</formula>
    </cfRule>
  </conditionalFormatting>
  <conditionalFormatting sqref="AB2:AB119">
    <cfRule type="cellIs" dxfId="0" priority="6" operator="equal">
      <formula>FALSE()</formula>
    </cfRule>
  </conditionalFormatting>
  <dataValidations count="1">
    <dataValidation type="decimal" operator="greaterThanOrEqual" allowBlank="1" showDropDown="1" showErrorMessage="1" sqref="B2:K120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Full Service</cp:lastModifiedBy>
  <cp:revision>0</cp:revision>
  <dcterms:created xsi:type="dcterms:W3CDTF">2026-08-19T14:21:34Z</dcterms:created>
  <dcterms:modified xsi:type="dcterms:W3CDTF">2026-08-19T14:25:28Z</dcterms:modified>
  <dc:language>es-CO</dc:language>
</cp:coreProperties>
</file>